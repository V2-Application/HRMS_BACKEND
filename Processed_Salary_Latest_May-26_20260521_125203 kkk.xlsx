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41797\Downloads\"/>
    </mc:Choice>
  </mc:AlternateContent>
  <xr:revisionPtr revIDLastSave="0" documentId="13_ncr:1_{2F65AF87-6465-44EA-81B1-FB1DB1B8D5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aries" sheetId="1" r:id="rId1"/>
  </sheets>
  <externalReferences>
    <externalReference r:id="rId2"/>
  </externalReferences>
  <definedNames>
    <definedName name="_xlnm._FilterDatabase" localSheetId="0" hidden="1">Salaries!$A$2:$CB$56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2" i="1"/>
  <c r="CA4" i="1"/>
  <c r="CA8" i="1"/>
  <c r="CA20" i="1"/>
  <c r="CA22" i="1"/>
  <c r="CA28" i="1"/>
  <c r="CA32" i="1"/>
  <c r="CA44" i="1"/>
  <c r="CA46" i="1"/>
  <c r="CA52" i="1"/>
  <c r="CA56" i="1"/>
  <c r="BZ3" i="1"/>
  <c r="CA3" i="1" s="1"/>
  <c r="BZ4" i="1"/>
  <c r="BZ5" i="1"/>
  <c r="CA5" i="1" s="1"/>
  <c r="BZ6" i="1"/>
  <c r="CA6" i="1" s="1"/>
  <c r="BZ7" i="1"/>
  <c r="CA7" i="1" s="1"/>
  <c r="BZ8" i="1"/>
  <c r="BZ9" i="1"/>
  <c r="CA9" i="1" s="1"/>
  <c r="BZ10" i="1"/>
  <c r="CA10" i="1" s="1"/>
  <c r="BZ11" i="1"/>
  <c r="CA11" i="1" s="1"/>
  <c r="BZ12" i="1"/>
  <c r="CA12" i="1" s="1"/>
  <c r="BZ13" i="1"/>
  <c r="CA13" i="1" s="1"/>
  <c r="BZ14" i="1"/>
  <c r="CA14" i="1" s="1"/>
  <c r="BZ15" i="1"/>
  <c r="CA15" i="1" s="1"/>
  <c r="BZ16" i="1"/>
  <c r="CA16" i="1" s="1"/>
  <c r="BZ17" i="1"/>
  <c r="CA17" i="1" s="1"/>
  <c r="BZ18" i="1"/>
  <c r="CA18" i="1" s="1"/>
  <c r="BZ19" i="1"/>
  <c r="CA19" i="1" s="1"/>
  <c r="BZ20" i="1"/>
  <c r="BZ21" i="1"/>
  <c r="CA21" i="1" s="1"/>
  <c r="BZ22" i="1"/>
  <c r="BZ23" i="1"/>
  <c r="CA23" i="1" s="1"/>
  <c r="BZ24" i="1"/>
  <c r="CA24" i="1" s="1"/>
  <c r="BZ25" i="1"/>
  <c r="CA25" i="1" s="1"/>
  <c r="BZ26" i="1"/>
  <c r="CA26" i="1" s="1"/>
  <c r="BZ27" i="1"/>
  <c r="CA27" i="1" s="1"/>
  <c r="BZ28" i="1"/>
  <c r="BZ29" i="1"/>
  <c r="CA29" i="1" s="1"/>
  <c r="BZ30" i="1"/>
  <c r="CA30" i="1" s="1"/>
  <c r="BZ31" i="1"/>
  <c r="CA31" i="1" s="1"/>
  <c r="BZ32" i="1"/>
  <c r="BZ33" i="1"/>
  <c r="CA33" i="1" s="1"/>
  <c r="BZ34" i="1"/>
  <c r="CA34" i="1" s="1"/>
  <c r="BZ35" i="1"/>
  <c r="CA35" i="1" s="1"/>
  <c r="BZ36" i="1"/>
  <c r="CA36" i="1" s="1"/>
  <c r="BZ37" i="1"/>
  <c r="CA37" i="1" s="1"/>
  <c r="BZ38" i="1"/>
  <c r="CA38" i="1" s="1"/>
  <c r="BZ39" i="1"/>
  <c r="CA39" i="1" s="1"/>
  <c r="BZ40" i="1"/>
  <c r="CA40" i="1" s="1"/>
  <c r="BZ41" i="1"/>
  <c r="CA41" i="1" s="1"/>
  <c r="BZ42" i="1"/>
  <c r="CA42" i="1" s="1"/>
  <c r="BZ43" i="1"/>
  <c r="CA43" i="1" s="1"/>
  <c r="BZ44" i="1"/>
  <c r="BZ45" i="1"/>
  <c r="CA45" i="1" s="1"/>
  <c r="BZ46" i="1"/>
  <c r="BZ47" i="1"/>
  <c r="CA47" i="1" s="1"/>
  <c r="BZ48" i="1"/>
  <c r="CA48" i="1" s="1"/>
  <c r="BZ49" i="1"/>
  <c r="CA49" i="1" s="1"/>
  <c r="BZ50" i="1"/>
  <c r="CA50" i="1" s="1"/>
  <c r="BZ51" i="1"/>
  <c r="CA51" i="1" s="1"/>
  <c r="BZ52" i="1"/>
  <c r="BZ53" i="1"/>
  <c r="CA53" i="1" s="1"/>
  <c r="BZ54" i="1"/>
  <c r="CA54" i="1" s="1"/>
  <c r="BZ55" i="1"/>
  <c r="CA55" i="1" s="1"/>
  <c r="BZ56" i="1"/>
  <c r="BZ2" i="1"/>
  <c r="CA2" i="1" s="1"/>
  <c r="BX3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2" i="1"/>
</calcChain>
</file>

<file path=xl/sharedStrings.xml><?xml version="1.0" encoding="utf-8"?>
<sst xmlns="http://schemas.openxmlformats.org/spreadsheetml/2006/main" count="465" uniqueCount="228">
  <si>
    <t>Process Id</t>
  </si>
  <si>
    <t>Month-Year</t>
  </si>
  <si>
    <t>Run At</t>
  </si>
  <si>
    <t>Loc Code</t>
  </si>
  <si>
    <t>Loc Name</t>
  </si>
  <si>
    <t>Emp Code</t>
  </si>
  <si>
    <t>Emp Name</t>
  </si>
  <si>
    <t>Department</t>
  </si>
  <si>
    <t>Designation</t>
  </si>
  <si>
    <t>Payable Days</t>
  </si>
  <si>
    <t>Penalty</t>
  </si>
  <si>
    <t>Present Weekly Off</t>
  </si>
  <si>
    <t>Absent</t>
  </si>
  <si>
    <t>Machine</t>
  </si>
  <si>
    <t>Manual</t>
  </si>
  <si>
    <t>Holidays Off</t>
  </si>
  <si>
    <t>Incentive</t>
  </si>
  <si>
    <t>Leave Used</t>
  </si>
  <si>
    <t>Loan</t>
  </si>
  <si>
    <t>LWF</t>
  </si>
  <si>
    <t>LWP</t>
  </si>
  <si>
    <t>Overtime</t>
  </si>
  <si>
    <t>Act Ttl Days</t>
  </si>
  <si>
    <t>Basic Sal Act</t>
  </si>
  <si>
    <t>Mobile Bill</t>
  </si>
  <si>
    <t>Basic Sal Bgt</t>
  </si>
  <si>
    <t>Books &amp; Period Act</t>
  </si>
  <si>
    <t>Books &amp; Period Bgt</t>
  </si>
  <si>
    <t>CCA Act</t>
  </si>
  <si>
    <t>CCA Bgt</t>
  </si>
  <si>
    <t>DA Act</t>
  </si>
  <si>
    <t>DA Bgt</t>
  </si>
  <si>
    <t>Driver Wages Act</t>
  </si>
  <si>
    <t>Driver Wages Bgt</t>
  </si>
  <si>
    <t>Fuel &amp; Maint Act</t>
  </si>
  <si>
    <t>Fuel &amp; Maint Bgt</t>
  </si>
  <si>
    <t>HRA Act</t>
  </si>
  <si>
    <t>HRA Bgt</t>
  </si>
  <si>
    <t>Meal Voucher Act</t>
  </si>
  <si>
    <t>Meal Voucher Bgt</t>
  </si>
  <si>
    <t>Mobile Bill Act</t>
  </si>
  <si>
    <t>Mobile Bill Bgt</t>
  </si>
  <si>
    <t>Monthly Gross CTC Act</t>
  </si>
  <si>
    <t>Monthly Gross CTC Bgt</t>
  </si>
  <si>
    <t>Prof Attire Act</t>
  </si>
  <si>
    <t>Prof Attire Bgt</t>
  </si>
  <si>
    <t>Reim Act</t>
  </si>
  <si>
    <t>Reim Bgt</t>
  </si>
  <si>
    <t>Special Allow Act</t>
  </si>
  <si>
    <t>Special Allow Bgt</t>
  </si>
  <si>
    <t>Reim Bgt (dup)</t>
  </si>
  <si>
    <t>Monthly Gross CTC Act (After Deduction &amp; Add-ons)</t>
  </si>
  <si>
    <t>Arrear</t>
  </si>
  <si>
    <t>Cash Short</t>
  </si>
  <si>
    <t>Extra Allow</t>
  </si>
  <si>
    <t>Extra Days</t>
  </si>
  <si>
    <t>Fooding Allow</t>
  </si>
  <si>
    <t>Diesel Deduc</t>
  </si>
  <si>
    <t>Opening CL</t>
  </si>
  <si>
    <t>CL Acq</t>
  </si>
  <si>
    <t>CL Bal</t>
  </si>
  <si>
    <t>CL Used</t>
  </si>
  <si>
    <t>Opening EL</t>
  </si>
  <si>
    <t>EL Acq</t>
  </si>
  <si>
    <t>EL Bal</t>
  </si>
  <si>
    <t>EL Used</t>
  </si>
  <si>
    <t>Opening CompOff</t>
  </si>
  <si>
    <t>CompOff Acq</t>
  </si>
  <si>
    <t>CompOff Bal</t>
  </si>
  <si>
    <t>CompOff Used</t>
  </si>
  <si>
    <t>ESIC Emp</t>
  </si>
  <si>
    <t>ESIC Empr</t>
  </si>
  <si>
    <t>ESIC Total</t>
  </si>
  <si>
    <t>PF Emp</t>
  </si>
  <si>
    <t>PF Empr</t>
  </si>
  <si>
    <t>PF Total</t>
  </si>
  <si>
    <t>P Tax</t>
  </si>
  <si>
    <t>TDS</t>
  </si>
  <si>
    <t>Total Deductions</t>
  </si>
  <si>
    <t>Ttl Bgt Days</t>
  </si>
  <si>
    <t>HOUSE KEEPING</t>
  </si>
  <si>
    <t>HO-NEW</t>
  </si>
  <si>
    <t>ADMIN</t>
  </si>
  <si>
    <t>E0277</t>
  </si>
  <si>
    <t>MR. MANISH KUMAR</t>
  </si>
  <si>
    <t>MARKETING</t>
  </si>
  <si>
    <t>MANAGER</t>
  </si>
  <si>
    <t>ASSISTANT MANAGER</t>
  </si>
  <si>
    <t>EXECUTIVE</t>
  </si>
  <si>
    <t>CASHIER</t>
  </si>
  <si>
    <t>ELECTRICIAN</t>
  </si>
  <si>
    <t>SENIOR MANAGER</t>
  </si>
  <si>
    <t>GENERAL MANAGER</t>
  </si>
  <si>
    <t>ACCOUNTS</t>
  </si>
  <si>
    <t>HUMAN RESOURCE</t>
  </si>
  <si>
    <t>JUNIOR EXECUTIVE</t>
  </si>
  <si>
    <t>SR. EXECUTIVE</t>
  </si>
  <si>
    <t>MR. AJAY KUMAR PRASAD</t>
  </si>
  <si>
    <t>ADMINISTRATION</t>
  </si>
  <si>
    <t>APR-26</t>
  </si>
  <si>
    <t>VWW01</t>
  </si>
  <si>
    <t>VISHAL WATER WORLD</t>
  </si>
  <si>
    <t>E0309</t>
  </si>
  <si>
    <t>E0203</t>
  </si>
  <si>
    <t>E0314</t>
  </si>
  <si>
    <t>E0253</t>
  </si>
  <si>
    <t>E0308</t>
  </si>
  <si>
    <t>E0286</t>
  </si>
  <si>
    <t>E0254</t>
  </si>
  <si>
    <t>E0190</t>
  </si>
  <si>
    <t>E0271</t>
  </si>
  <si>
    <t>E0316</t>
  </si>
  <si>
    <t>E0068</t>
  </si>
  <si>
    <t>E0012</t>
  </si>
  <si>
    <t>E0130</t>
  </si>
  <si>
    <t>E0034</t>
  </si>
  <si>
    <t>E0035</t>
  </si>
  <si>
    <t>E0040</t>
  </si>
  <si>
    <t>E0037</t>
  </si>
  <si>
    <t>E0042</t>
  </si>
  <si>
    <t>E0016</t>
  </si>
  <si>
    <t>E0056</t>
  </si>
  <si>
    <t>E0081</t>
  </si>
  <si>
    <t>E0091</t>
  </si>
  <si>
    <t>E0092</t>
  </si>
  <si>
    <t>E0176</t>
  </si>
  <si>
    <t>E0069</t>
  </si>
  <si>
    <t>E0062</t>
  </si>
  <si>
    <t>E0079</t>
  </si>
  <si>
    <t>E0058</t>
  </si>
  <si>
    <t>E0045</t>
  </si>
  <si>
    <t>E0090</t>
  </si>
  <si>
    <t>E0089</t>
  </si>
  <si>
    <t>E0082</t>
  </si>
  <si>
    <t>E0180</t>
  </si>
  <si>
    <t>E0087</t>
  </si>
  <si>
    <t>E0178</t>
  </si>
  <si>
    <t>E0029</t>
  </si>
  <si>
    <t>E0052</t>
  </si>
  <si>
    <t>E0077</t>
  </si>
  <si>
    <t>E0177</t>
  </si>
  <si>
    <t>E0095</t>
  </si>
  <si>
    <t>E0074</t>
  </si>
  <si>
    <t>E0071</t>
  </si>
  <si>
    <t>E0080</t>
  </si>
  <si>
    <t>E0025</t>
  </si>
  <si>
    <t>E0182</t>
  </si>
  <si>
    <t>E0046</t>
  </si>
  <si>
    <t>E0083</t>
  </si>
  <si>
    <t>E0030</t>
  </si>
  <si>
    <t>E0031</t>
  </si>
  <si>
    <t>E0033</t>
  </si>
  <si>
    <t>E0078</t>
  </si>
  <si>
    <t>E0305</t>
  </si>
  <si>
    <t>E0317</t>
  </si>
  <si>
    <t>E0053</t>
  </si>
  <si>
    <t>MR. RAJIV MANI</t>
  </si>
  <si>
    <t>MR. BARID BARAN SAU</t>
  </si>
  <si>
    <t>MR. SIDDHARTH AGARWAL</t>
  </si>
  <si>
    <t>MR. SANJOY SAHA</t>
  </si>
  <si>
    <t>MR. DIPOMOY DEY</t>
  </si>
  <si>
    <t>MR. ATRAJIT MUKHERJEE</t>
  </si>
  <si>
    <t>MR. BINOD RAY</t>
  </si>
  <si>
    <t>MR. ARUN KANDOYI</t>
  </si>
  <si>
    <t>MR. ANIRBAN PANIGRAHI</t>
  </si>
  <si>
    <t>MR. SEMANT GOUR</t>
  </si>
  <si>
    <t>MR. RAMPRASAD NASKAR</t>
  </si>
  <si>
    <t>MR. HARENDRA NAYAK</t>
  </si>
  <si>
    <t>MR. DEBASISH DAS</t>
  </si>
  <si>
    <t>MR. SWAPAN SARDER</t>
  </si>
  <si>
    <t>MR. SADHAN MONDAL</t>
  </si>
  <si>
    <t>MR. SWAPAN MANDAL</t>
  </si>
  <si>
    <t>MR. INDRAJIT PATRA</t>
  </si>
  <si>
    <t>MR. SUSHIL MONDAL</t>
  </si>
  <si>
    <t>MR. SUBHASH PAL</t>
  </si>
  <si>
    <t>MR. BABLU NASKAR</t>
  </si>
  <si>
    <t>MR. BABLU SARDAR</t>
  </si>
  <si>
    <t>MR. TAPAS ROY</t>
  </si>
  <si>
    <t>MR. PRABIR SARDAR</t>
  </si>
  <si>
    <t>MR. KASIM ALI SHEKH</t>
  </si>
  <si>
    <t>MR. SANATAN NASKAR</t>
  </si>
  <si>
    <t>MR. HEMANTO CHOWDHURY</t>
  </si>
  <si>
    <t>MR. SUNIL NASKAR</t>
  </si>
  <si>
    <t>MR. AJIT GAYEN</t>
  </si>
  <si>
    <t>MR. JAKIR HUSSAIN MOLYA</t>
  </si>
  <si>
    <t>MR. SUMAN NEYE</t>
  </si>
  <si>
    <t>MR. BIKASH BRATA MONDAL</t>
  </si>
  <si>
    <t>MR. BIPLAB MONDAL</t>
  </si>
  <si>
    <t>MR. DIPANKAR SARKAR</t>
  </si>
  <si>
    <t>MR. AJGAR ALI MOLYA</t>
  </si>
  <si>
    <t>MR. ARJUL SEKH</t>
  </si>
  <si>
    <t>MR. ANOWARALI DEWAN</t>
  </si>
  <si>
    <t>MS. GOURI NASKAR</t>
  </si>
  <si>
    <t>MR. MALAY BARUI</t>
  </si>
  <si>
    <t>MR. RASIDUL SEKH</t>
  </si>
  <si>
    <t>MR. NITISH BERA</t>
  </si>
  <si>
    <t>MR. AMAR MOLLA</t>
  </si>
  <si>
    <t>MR. MAHADEV SARDAR</t>
  </si>
  <si>
    <t>MR. TAPAN PRAMANIK</t>
  </si>
  <si>
    <t>MR. PARMINDER HATWAL</t>
  </si>
  <si>
    <t>MR. SANJAY SARDAR</t>
  </si>
  <si>
    <t>MR. NIPEN MONDAL</t>
  </si>
  <si>
    <t>MR. KUDUSH MOLLA</t>
  </si>
  <si>
    <t>MR. AZIZUL SEKH</t>
  </si>
  <si>
    <t>MR. SANJAY GHOSH</t>
  </si>
  <si>
    <t>MR. MANTU NASKAR</t>
  </si>
  <si>
    <t>MR. SOURAV PAUL</t>
  </si>
  <si>
    <t>MR. HARSH AGARWAL</t>
  </si>
  <si>
    <t>MS. UMARANI NASKAR</t>
  </si>
  <si>
    <t>OPERATION</t>
  </si>
  <si>
    <t>COSTUME RENT</t>
  </si>
  <si>
    <t>COSTUME DELIVERY</t>
  </si>
  <si>
    <t>STORE INCHARGE</t>
  </si>
  <si>
    <t>POOL CLEANER</t>
  </si>
  <si>
    <t>PLUMBER</t>
  </si>
  <si>
    <t>CIVIL</t>
  </si>
  <si>
    <t>RIDE ATTENDER</t>
  </si>
  <si>
    <t>PAINTER</t>
  </si>
  <si>
    <t>RIDE ATTENDENT</t>
  </si>
  <si>
    <t>GARDENER</t>
  </si>
  <si>
    <t>FIRST AID</t>
  </si>
  <si>
    <t>OPERATIONS</t>
  </si>
  <si>
    <t>KITCHEN</t>
  </si>
  <si>
    <t>EXECUTIVE- CHEF</t>
  </si>
  <si>
    <t>ACCOUNTS &amp; FINANCE</t>
  </si>
  <si>
    <t>SALES &amp; MARKETING</t>
  </si>
  <si>
    <t>AGM</t>
  </si>
  <si>
    <t>F &amp;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</si>
</sst>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quotePrefix="1" applyNumberFormat="1"/>
    <xf numFmtId="0" fontId="0" fillId="2" borderId="0" xfId="0" applyNumberFormat="1" applyFill="1"/>
    <xf numFmtId="2" fontId="0" fillId="0" borderId="0" xfId="0" applyNumberFormat="1"/>
    <xf numFmtId="1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LARY-CONSOLIDATE-FORMAT-2026-APR_AQUATICA-55_F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ALARY WORKING (2)"/>
      <sheetName val="SALARY WORKING"/>
      <sheetName val="MACRO"/>
      <sheetName val="Sheet3"/>
      <sheetName val="Sheet1"/>
    </sheetNames>
    <sheetDataSet>
      <sheetData sheetId="0"/>
      <sheetData sheetId="1"/>
      <sheetData sheetId="2">
        <row r="12">
          <cell r="F12" t="str">
            <v>E0309</v>
          </cell>
          <cell r="G12" t="str">
            <v>MR. RAJIV MANI</v>
          </cell>
          <cell r="H12" t="str">
            <v>Male</v>
          </cell>
          <cell r="I12" t="str">
            <v>14/11/1977</v>
          </cell>
          <cell r="J12" t="str">
            <v>05/05/2025</v>
          </cell>
          <cell r="K12" t="str">
            <v>8240416321</v>
          </cell>
          <cell r="L12" t="str">
            <v/>
          </cell>
          <cell r="M12" t="str">
            <v>OPERATIONS</v>
          </cell>
          <cell r="N12" t="str">
            <v>OPERATIONS</v>
          </cell>
          <cell r="O12"/>
          <cell r="P12"/>
          <cell r="Q12" t="str">
            <v>GENERAL MANAGER</v>
          </cell>
          <cell r="R12" t="str">
            <v>ACTIVE</v>
          </cell>
          <cell r="S12" t="str">
            <v>HDFC BANK</v>
          </cell>
          <cell r="T12" t="str">
            <v>HDFC0000321</v>
          </cell>
          <cell r="U12" t="str">
            <v>12051140014350</v>
          </cell>
          <cell r="V12" t="str">
            <v>NA</v>
          </cell>
          <cell r="W12" t="str">
            <v>NA</v>
          </cell>
          <cell r="X12" t="str">
            <v>0</v>
          </cell>
          <cell r="Y12" t="str">
            <v/>
          </cell>
          <cell r="Z12" t="str">
            <v>217321948596</v>
          </cell>
          <cell r="AA12" t="str">
            <v>TRUE</v>
          </cell>
          <cell r="AB12" t="str">
            <v>FALSE</v>
          </cell>
          <cell r="AC12" t="str">
            <v>FALSE</v>
          </cell>
          <cell r="AD12" t="str">
            <v>FALSE</v>
          </cell>
          <cell r="AE12" t="str">
            <v>FALSE</v>
          </cell>
          <cell r="AF12" t="str">
            <v/>
          </cell>
          <cell r="AG12" t="str">
            <v>FALSE</v>
          </cell>
          <cell r="AH12" t="str">
            <v/>
          </cell>
          <cell r="AI12" t="str">
            <v/>
          </cell>
          <cell r="AJ12" t="str">
            <v>PAYMENT RELEASE</v>
          </cell>
          <cell r="AK12"/>
          <cell r="AL12"/>
          <cell r="AM12"/>
          <cell r="AN12" t="str">
            <v>NA</v>
          </cell>
          <cell r="AO12"/>
          <cell r="AP12"/>
          <cell r="AQ12">
            <v>89372</v>
          </cell>
          <cell r="AR12">
            <v>89372</v>
          </cell>
          <cell r="AS12">
            <v>37814</v>
          </cell>
          <cell r="AT12">
            <v>37814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37814</v>
          </cell>
          <cell r="AZ12">
            <v>37814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4296.7307692307686</v>
          </cell>
          <cell r="BF12">
            <v>4296.7307692307686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/>
          <cell r="BZ12">
            <v>0</v>
          </cell>
          <cell r="CA12">
            <v>11000</v>
          </cell>
          <cell r="CB12">
            <v>169296.73076923078</v>
          </cell>
          <cell r="CC12">
            <v>180296.73076923078</v>
          </cell>
          <cell r="CD12">
            <v>182246.73076923078</v>
          </cell>
          <cell r="CE12">
            <v>5500</v>
          </cell>
          <cell r="CF12">
            <v>165000</v>
          </cell>
          <cell r="CG12">
            <v>165000</v>
          </cell>
          <cell r="CH12">
            <v>176000</v>
          </cell>
          <cell r="CI12">
            <v>179499.5</v>
          </cell>
          <cell r="CJ12">
            <v>30</v>
          </cell>
          <cell r="CK12">
            <v>3</v>
          </cell>
          <cell r="CL12">
            <v>179500</v>
          </cell>
          <cell r="CM12">
            <v>173999.5</v>
          </cell>
          <cell r="CN12"/>
          <cell r="CO12">
            <v>2000.5</v>
          </cell>
          <cell r="CP12">
            <v>1800</v>
          </cell>
          <cell r="CQ12">
            <v>0</v>
          </cell>
          <cell r="CR12">
            <v>0</v>
          </cell>
          <cell r="CS12">
            <v>200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0.5</v>
          </cell>
          <cell r="CZ12"/>
          <cell r="DA12">
            <v>1950</v>
          </cell>
          <cell r="DB12">
            <v>0</v>
          </cell>
          <cell r="DC12"/>
          <cell r="DD12">
            <v>11.5</v>
          </cell>
          <cell r="DE12">
            <v>12.33</v>
          </cell>
          <cell r="DF12">
            <v>1.83</v>
          </cell>
          <cell r="DG12">
            <v>1</v>
          </cell>
          <cell r="DH12">
            <v>10</v>
          </cell>
          <cell r="DI12">
            <v>11.25</v>
          </cell>
          <cell r="DJ12">
            <v>1.25</v>
          </cell>
          <cell r="DK12">
            <v>0</v>
          </cell>
          <cell r="DL12">
            <v>1.5</v>
          </cell>
        </row>
        <row r="13">
          <cell r="F13" t="str">
            <v>E0277</v>
          </cell>
          <cell r="G13" t="str">
            <v>MR. MANISH KUMAR</v>
          </cell>
          <cell r="H13" t="str">
            <v>Male</v>
          </cell>
          <cell r="I13" t="str">
            <v>25/12/1983</v>
          </cell>
          <cell r="J13" t="str">
            <v>23/08/2023</v>
          </cell>
          <cell r="K13" t="str">
            <v>9971965927</v>
          </cell>
          <cell r="L13" t="str">
            <v/>
          </cell>
          <cell r="M13" t="str">
            <v>MARKETING</v>
          </cell>
          <cell r="N13" t="str">
            <v>MARKETING</v>
          </cell>
          <cell r="O13"/>
          <cell r="P13"/>
          <cell r="Q13" t="str">
            <v>MANAGER</v>
          </cell>
          <cell r="R13" t="str">
            <v>ACTIVE</v>
          </cell>
          <cell r="S13" t="str">
            <v>INDIAN OVERSEAS BANK</v>
          </cell>
          <cell r="T13" t="str">
            <v>IOBA0000725</v>
          </cell>
          <cell r="U13" t="str">
            <v>072501000061077</v>
          </cell>
          <cell r="V13" t="str">
            <v>NA</v>
          </cell>
          <cell r="W13" t="str">
            <v>NA</v>
          </cell>
          <cell r="X13" t="str">
            <v>NA</v>
          </cell>
          <cell r="Y13" t="str">
            <v>CMRPK9137P</v>
          </cell>
          <cell r="Z13" t="str">
            <v>531662633698</v>
          </cell>
          <cell r="AA13" t="str">
            <v>TRUE</v>
          </cell>
          <cell r="AB13" t="str">
            <v>FALSE</v>
          </cell>
          <cell r="AC13" t="str">
            <v>FALSE</v>
          </cell>
          <cell r="AD13" t="str">
            <v>FALSE</v>
          </cell>
          <cell r="AE13" t="str">
            <v>FALSE</v>
          </cell>
          <cell r="AF13" t="str">
            <v/>
          </cell>
          <cell r="AG13" t="str">
            <v>FALSE</v>
          </cell>
          <cell r="AH13" t="str">
            <v/>
          </cell>
          <cell r="AI13" t="str">
            <v/>
          </cell>
          <cell r="AJ13" t="str">
            <v>PAYMENT RELEASE</v>
          </cell>
          <cell r="AK13"/>
          <cell r="AL13"/>
          <cell r="AM13"/>
          <cell r="AN13" t="str">
            <v>NA</v>
          </cell>
          <cell r="AO13"/>
          <cell r="AP13"/>
          <cell r="AQ13">
            <v>86192</v>
          </cell>
          <cell r="AR13">
            <v>86192</v>
          </cell>
          <cell r="AS13">
            <v>36469</v>
          </cell>
          <cell r="AT13">
            <v>36469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36468</v>
          </cell>
          <cell r="AZ13">
            <v>36468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4143.8461538461534</v>
          </cell>
          <cell r="BF13">
            <v>4143.8461538461534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3000</v>
          </cell>
          <cell r="BX13">
            <v>0</v>
          </cell>
          <cell r="BY13"/>
          <cell r="BZ13">
            <v>0</v>
          </cell>
          <cell r="CA13">
            <v>0</v>
          </cell>
          <cell r="CB13">
            <v>163272.84615384616</v>
          </cell>
          <cell r="CC13">
            <v>166272.84615384616</v>
          </cell>
          <cell r="CD13">
            <v>166272.84615384616</v>
          </cell>
          <cell r="CE13">
            <v>5304.3</v>
          </cell>
          <cell r="CF13">
            <v>159129</v>
          </cell>
          <cell r="CG13">
            <v>159129</v>
          </cell>
          <cell r="CH13">
            <v>162129</v>
          </cell>
          <cell r="CI13">
            <v>161895</v>
          </cell>
          <cell r="CJ13">
            <v>30</v>
          </cell>
          <cell r="CK13">
            <v>0</v>
          </cell>
          <cell r="CL13">
            <v>161895</v>
          </cell>
          <cell r="CM13">
            <v>161895</v>
          </cell>
          <cell r="CN13"/>
          <cell r="CO13">
            <v>234</v>
          </cell>
          <cell r="CP13">
            <v>0</v>
          </cell>
          <cell r="CQ13">
            <v>0</v>
          </cell>
          <cell r="CR13">
            <v>0</v>
          </cell>
          <cell r="CS13">
            <v>200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34</v>
          </cell>
          <cell r="CZ13"/>
          <cell r="DA13">
            <v>0</v>
          </cell>
          <cell r="DB13">
            <v>0</v>
          </cell>
          <cell r="DC13"/>
          <cell r="DD13">
            <v>5.5</v>
          </cell>
          <cell r="DE13">
            <v>3.33</v>
          </cell>
          <cell r="DF13">
            <v>1.83</v>
          </cell>
          <cell r="DG13">
            <v>4</v>
          </cell>
          <cell r="DH13">
            <v>4.5</v>
          </cell>
          <cell r="DI13">
            <v>2.75</v>
          </cell>
          <cell r="DJ13">
            <v>1.25</v>
          </cell>
          <cell r="DK13">
            <v>3</v>
          </cell>
          <cell r="DL13">
            <v>1</v>
          </cell>
        </row>
        <row r="14">
          <cell r="F14" t="str">
            <v>E0203</v>
          </cell>
          <cell r="G14" t="str">
            <v>MR. BARID BARAN SAU</v>
          </cell>
          <cell r="H14" t="str">
            <v>Male</v>
          </cell>
          <cell r="I14" t="str">
            <v>16/07/1973</v>
          </cell>
          <cell r="J14" t="str">
            <v>25/09/2017</v>
          </cell>
          <cell r="K14" t="str">
            <v>7685020196</v>
          </cell>
          <cell r="L14" t="str">
            <v/>
          </cell>
          <cell r="M14" t="str">
            <v/>
          </cell>
          <cell r="N14" t="str">
            <v/>
          </cell>
          <cell r="O14"/>
          <cell r="P14"/>
          <cell r="Q14" t="str">
            <v/>
          </cell>
          <cell r="R14" t="str">
            <v>ACTIVE</v>
          </cell>
          <cell r="S14" t="str">
            <v>ICICI BANK</v>
          </cell>
          <cell r="T14" t="str">
            <v>ICIC0001056</v>
          </cell>
          <cell r="U14" t="str">
            <v>105601555502</v>
          </cell>
          <cell r="V14" t="str">
            <v>NA</v>
          </cell>
          <cell r="W14" t="str">
            <v>NA</v>
          </cell>
          <cell r="X14" t="str">
            <v>NA</v>
          </cell>
          <cell r="Y14" t="str">
            <v/>
          </cell>
          <cell r="Z14" t="str">
            <v/>
          </cell>
          <cell r="AA14" t="str">
            <v>TRUE</v>
          </cell>
          <cell r="AB14" t="str">
            <v>FALSE</v>
          </cell>
          <cell r="AC14" t="str">
            <v>FALSE</v>
          </cell>
          <cell r="AD14" t="str">
            <v>FALSE</v>
          </cell>
          <cell r="AE14" t="str">
            <v>FALSE</v>
          </cell>
          <cell r="AF14" t="str">
            <v/>
          </cell>
          <cell r="AG14" t="str">
            <v>FALSE</v>
          </cell>
          <cell r="AH14" t="str">
            <v/>
          </cell>
          <cell r="AI14" t="str">
            <v/>
          </cell>
          <cell r="AJ14" t="str">
            <v>PAYMENT RELEASE</v>
          </cell>
          <cell r="AK14"/>
          <cell r="AL14"/>
          <cell r="AM14"/>
          <cell r="AN14" t="str">
            <v>NA</v>
          </cell>
          <cell r="AO14"/>
          <cell r="AP14"/>
          <cell r="AQ14">
            <v>66521</v>
          </cell>
          <cell r="AR14">
            <v>66521</v>
          </cell>
          <cell r="AS14">
            <v>28146</v>
          </cell>
          <cell r="AT14">
            <v>28146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28145</v>
          </cell>
          <cell r="AZ14">
            <v>28145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3198.125</v>
          </cell>
          <cell r="BF14">
            <v>3198.125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/>
          <cell r="BZ14">
            <v>0</v>
          </cell>
          <cell r="CA14">
            <v>12281.2</v>
          </cell>
          <cell r="CB14">
            <v>126010.125</v>
          </cell>
          <cell r="CC14">
            <v>138291.32500000001</v>
          </cell>
          <cell r="CD14">
            <v>138291.32500000001</v>
          </cell>
          <cell r="CE14">
            <v>4093.7333333333331</v>
          </cell>
          <cell r="CF14">
            <v>122812</v>
          </cell>
          <cell r="CG14">
            <v>122812</v>
          </cell>
          <cell r="CH14">
            <v>135093.20000000001</v>
          </cell>
          <cell r="CI14">
            <v>134892.69999999998</v>
          </cell>
          <cell r="CJ14">
            <v>30</v>
          </cell>
          <cell r="CK14">
            <v>3</v>
          </cell>
          <cell r="CL14">
            <v>134893.20000000001</v>
          </cell>
          <cell r="CM14">
            <v>134892.70000000001</v>
          </cell>
          <cell r="CN14"/>
          <cell r="CO14">
            <v>200.5</v>
          </cell>
          <cell r="CP14">
            <v>0</v>
          </cell>
          <cell r="CQ14">
            <v>0</v>
          </cell>
          <cell r="CR14">
            <v>0</v>
          </cell>
          <cell r="CS14">
            <v>200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0.5</v>
          </cell>
          <cell r="CZ14"/>
          <cell r="DA14">
            <v>0</v>
          </cell>
          <cell r="DB14">
            <v>0</v>
          </cell>
          <cell r="DC14"/>
          <cell r="DD14">
            <v>62.5</v>
          </cell>
          <cell r="DE14">
            <v>64.33</v>
          </cell>
          <cell r="DF14">
            <v>1.83</v>
          </cell>
          <cell r="DG14">
            <v>0</v>
          </cell>
          <cell r="DH14">
            <v>61</v>
          </cell>
          <cell r="DI14">
            <v>62.25</v>
          </cell>
          <cell r="DJ14">
            <v>1.25</v>
          </cell>
          <cell r="DK14">
            <v>0</v>
          </cell>
          <cell r="DL14">
            <v>1.5</v>
          </cell>
        </row>
        <row r="15">
          <cell r="F15" t="str">
            <v>E0314</v>
          </cell>
          <cell r="G15" t="str">
            <v>MR. SIDDHARTH AGARWAL</v>
          </cell>
          <cell r="H15" t="str">
            <v>Male</v>
          </cell>
          <cell r="I15" t="str">
            <v>12/08/1996</v>
          </cell>
          <cell r="J15" t="str">
            <v>22/12/2025</v>
          </cell>
          <cell r="K15" t="str">
            <v>8240416322</v>
          </cell>
          <cell r="L15" t="str">
            <v/>
          </cell>
          <cell r="M15" t="str">
            <v/>
          </cell>
          <cell r="N15" t="str">
            <v/>
          </cell>
          <cell r="O15"/>
          <cell r="P15"/>
          <cell r="Q15" t="str">
            <v>SENIOR MANAGER</v>
          </cell>
          <cell r="R15" t="str">
            <v>ACTIVE</v>
          </cell>
          <cell r="S15" t="str">
            <v>STATE BANK OF INDIA</v>
          </cell>
          <cell r="T15" t="str">
            <v>SBIN0001646</v>
          </cell>
          <cell r="U15" t="str">
            <v>34242375358</v>
          </cell>
          <cell r="V15" t="str">
            <v>102127322268</v>
          </cell>
          <cell r="W15" t="str">
            <v>NA</v>
          </cell>
          <cell r="X15" t="str">
            <v>0</v>
          </cell>
          <cell r="Y15" t="str">
            <v/>
          </cell>
          <cell r="Z15" t="str">
            <v>217321948596</v>
          </cell>
          <cell r="AA15" t="str">
            <v>TRUE</v>
          </cell>
          <cell r="AB15" t="str">
            <v>FALSE</v>
          </cell>
          <cell r="AC15" t="str">
            <v>FALSE</v>
          </cell>
          <cell r="AD15" t="str">
            <v>FALSE</v>
          </cell>
          <cell r="AE15" t="str">
            <v>FALSE</v>
          </cell>
          <cell r="AF15" t="str">
            <v/>
          </cell>
          <cell r="AG15" t="str">
            <v>FALSE</v>
          </cell>
          <cell r="AH15" t="str">
            <v/>
          </cell>
          <cell r="AI15" t="str">
            <v/>
          </cell>
          <cell r="AJ15" t="str">
            <v>PAYMENT RELEASE</v>
          </cell>
          <cell r="AK15"/>
          <cell r="AL15"/>
          <cell r="AM15"/>
          <cell r="AN15" t="str">
            <v>NA</v>
          </cell>
          <cell r="AO15"/>
          <cell r="AP15"/>
          <cell r="AQ15">
            <v>66612</v>
          </cell>
          <cell r="AR15">
            <v>66612</v>
          </cell>
          <cell r="AS15">
            <v>28184</v>
          </cell>
          <cell r="AT15">
            <v>28184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17004</v>
          </cell>
          <cell r="AZ15">
            <v>17004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3202.5</v>
          </cell>
          <cell r="BF15">
            <v>3202.5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/>
          <cell r="BZ15">
            <v>0</v>
          </cell>
          <cell r="CA15">
            <v>5590</v>
          </cell>
          <cell r="CB15">
            <v>115002.5</v>
          </cell>
          <cell r="CC15">
            <v>120592.5</v>
          </cell>
          <cell r="CD15">
            <v>122542.5</v>
          </cell>
          <cell r="CE15">
            <v>3726.6666666666665</v>
          </cell>
          <cell r="CF15">
            <v>111800</v>
          </cell>
          <cell r="CG15">
            <v>111800</v>
          </cell>
          <cell r="CH15">
            <v>117390</v>
          </cell>
          <cell r="CI15">
            <v>120979.5</v>
          </cell>
          <cell r="CJ15">
            <v>30</v>
          </cell>
          <cell r="CK15">
            <v>3</v>
          </cell>
          <cell r="CL15">
            <v>120980</v>
          </cell>
          <cell r="CM15">
            <v>115389.5</v>
          </cell>
          <cell r="CN15"/>
          <cell r="CO15">
            <v>2000.5</v>
          </cell>
          <cell r="CP15">
            <v>1800</v>
          </cell>
          <cell r="CQ15">
            <v>0</v>
          </cell>
          <cell r="CR15">
            <v>0</v>
          </cell>
          <cell r="CS15">
            <v>200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0.5</v>
          </cell>
          <cell r="CZ15"/>
          <cell r="DA15">
            <v>1950</v>
          </cell>
          <cell r="DB15">
            <v>0</v>
          </cell>
          <cell r="DC15"/>
          <cell r="DD15">
            <v>4</v>
          </cell>
          <cell r="DE15">
            <v>5.83</v>
          </cell>
          <cell r="DF15">
            <v>1.83</v>
          </cell>
          <cell r="DG15">
            <v>0</v>
          </cell>
          <cell r="DH15">
            <v>2.5</v>
          </cell>
          <cell r="DI15">
            <v>3.75</v>
          </cell>
          <cell r="DJ15">
            <v>1.25</v>
          </cell>
          <cell r="DK15">
            <v>0</v>
          </cell>
          <cell r="DL15">
            <v>1.5</v>
          </cell>
        </row>
        <row r="16">
          <cell r="F16" t="str">
            <v>E0253</v>
          </cell>
          <cell r="G16" t="str">
            <v>MR. SANJOY SAHA</v>
          </cell>
          <cell r="H16" t="str">
            <v>Male</v>
          </cell>
          <cell r="I16" t="str">
            <v>21/12/1985</v>
          </cell>
          <cell r="J16" t="str">
            <v>01/06/2022</v>
          </cell>
          <cell r="K16" t="str">
            <v>7827403487</v>
          </cell>
          <cell r="L16" t="str">
            <v/>
          </cell>
          <cell r="M16" t="str">
            <v>ADMINISTRATION</v>
          </cell>
          <cell r="N16" t="str">
            <v>ADMINISTRATION</v>
          </cell>
          <cell r="O16"/>
          <cell r="P16"/>
          <cell r="Q16" t="str">
            <v>SR. EXECUTIVE</v>
          </cell>
          <cell r="R16" t="str">
            <v>ACTIVE</v>
          </cell>
          <cell r="S16" t="str">
            <v>ICICI BANK</v>
          </cell>
          <cell r="T16" t="str">
            <v>ICIC0000542</v>
          </cell>
          <cell r="U16" t="str">
            <v>054201508424</v>
          </cell>
          <cell r="V16" t="str">
            <v>100335176390</v>
          </cell>
          <cell r="W16" t="str">
            <v>NA</v>
          </cell>
          <cell r="X16" t="str">
            <v>NA</v>
          </cell>
          <cell r="Y16" t="str">
            <v>EDMPS7570E</v>
          </cell>
          <cell r="Z16" t="str">
            <v>483612926447</v>
          </cell>
          <cell r="AA16" t="str">
            <v>TRUE</v>
          </cell>
          <cell r="AB16" t="str">
            <v>FALSE</v>
          </cell>
          <cell r="AC16" t="str">
            <v>FALSE</v>
          </cell>
          <cell r="AD16" t="str">
            <v>FALSE</v>
          </cell>
          <cell r="AE16" t="str">
            <v>FALSE</v>
          </cell>
          <cell r="AF16" t="str">
            <v/>
          </cell>
          <cell r="AG16" t="str">
            <v>FALSE</v>
          </cell>
          <cell r="AH16" t="str">
            <v/>
          </cell>
          <cell r="AI16" t="str">
            <v/>
          </cell>
          <cell r="AJ16" t="str">
            <v>PAYMENT RELEASE</v>
          </cell>
          <cell r="AK16"/>
          <cell r="AL16"/>
          <cell r="AM16"/>
          <cell r="AN16" t="str">
            <v>NA</v>
          </cell>
          <cell r="AO16"/>
          <cell r="AP16"/>
          <cell r="AQ16">
            <v>40449</v>
          </cell>
          <cell r="AR16">
            <v>40449</v>
          </cell>
          <cell r="AS16">
            <v>17114</v>
          </cell>
          <cell r="AT16">
            <v>17114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17114</v>
          </cell>
          <cell r="AZ16">
            <v>17114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1944.6634615384617</v>
          </cell>
          <cell r="BF16">
            <v>1944.6634615384617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/>
          <cell r="BZ16">
            <v>0</v>
          </cell>
          <cell r="CA16">
            <v>3733.85</v>
          </cell>
          <cell r="CB16">
            <v>76621.663461538468</v>
          </cell>
          <cell r="CC16">
            <v>80355.513461538474</v>
          </cell>
          <cell r="CD16">
            <v>82305.513461538474</v>
          </cell>
          <cell r="CE16">
            <v>2489.2333333333331</v>
          </cell>
          <cell r="CF16">
            <v>74677</v>
          </cell>
          <cell r="CG16">
            <v>74677</v>
          </cell>
          <cell r="CH16">
            <v>78410.850000000006</v>
          </cell>
          <cell r="CI16">
            <v>77654.96666666666</v>
          </cell>
          <cell r="CJ16">
            <v>30</v>
          </cell>
          <cell r="CK16">
            <v>2</v>
          </cell>
          <cell r="CL16">
            <v>77655.46666666666</v>
          </cell>
          <cell r="CM16">
            <v>76410.350000000006</v>
          </cell>
          <cell r="CN16"/>
          <cell r="CO16">
            <v>2000.5</v>
          </cell>
          <cell r="CP16">
            <v>1800</v>
          </cell>
          <cell r="CQ16">
            <v>0</v>
          </cell>
          <cell r="CR16">
            <v>0</v>
          </cell>
          <cell r="CS16">
            <v>200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0.5</v>
          </cell>
          <cell r="CZ16"/>
          <cell r="DA16">
            <v>1950</v>
          </cell>
          <cell r="DB16">
            <v>0</v>
          </cell>
          <cell r="DC16"/>
          <cell r="DD16">
            <v>103.5</v>
          </cell>
          <cell r="DE16">
            <v>103.83</v>
          </cell>
          <cell r="DF16">
            <v>1.83</v>
          </cell>
          <cell r="DG16">
            <v>1.5</v>
          </cell>
          <cell r="DH16">
            <v>103</v>
          </cell>
          <cell r="DI16">
            <v>103.25</v>
          </cell>
          <cell r="DJ16">
            <v>1.25</v>
          </cell>
          <cell r="DK16">
            <v>1</v>
          </cell>
          <cell r="DL16">
            <v>0.5</v>
          </cell>
        </row>
        <row r="17">
          <cell r="F17" t="str">
            <v>E0308</v>
          </cell>
          <cell r="G17" t="str">
            <v>MR. DIPOMOY DEY</v>
          </cell>
          <cell r="H17" t="str">
            <v>Male</v>
          </cell>
          <cell r="I17" t="str">
            <v>04/05/1982</v>
          </cell>
          <cell r="J17" t="str">
            <v>01/05/2025</v>
          </cell>
          <cell r="K17" t="str">
            <v>8240416320</v>
          </cell>
          <cell r="L17" t="str">
            <v/>
          </cell>
          <cell r="M17" t="str">
            <v>SALES &amp; MARKETING</v>
          </cell>
          <cell r="N17" t="str">
            <v>SALES &amp; MARKETING</v>
          </cell>
          <cell r="O17"/>
          <cell r="P17"/>
          <cell r="Q17" t="str">
            <v/>
          </cell>
          <cell r="R17" t="str">
            <v>ACTIVE</v>
          </cell>
          <cell r="S17" t="str">
            <v>HDFC BANK</v>
          </cell>
          <cell r="T17" t="str">
            <v>HDFC0000277</v>
          </cell>
          <cell r="U17" t="str">
            <v>50100687991676</v>
          </cell>
          <cell r="V17" t="str">
            <v>NA</v>
          </cell>
          <cell r="W17" t="str">
            <v>NA</v>
          </cell>
          <cell r="X17" t="str">
            <v>NA</v>
          </cell>
          <cell r="Y17" t="str">
            <v>ATJPD9548G</v>
          </cell>
          <cell r="Z17" t="str">
            <v>830391579348</v>
          </cell>
          <cell r="AA17" t="str">
            <v>TRUE</v>
          </cell>
          <cell r="AB17" t="str">
            <v>FALSE</v>
          </cell>
          <cell r="AC17" t="str">
            <v>FALSE</v>
          </cell>
          <cell r="AD17" t="str">
            <v>FALSE</v>
          </cell>
          <cell r="AE17" t="str">
            <v>FALSE</v>
          </cell>
          <cell r="AF17" t="str">
            <v/>
          </cell>
          <cell r="AG17" t="str">
            <v>FALSE</v>
          </cell>
          <cell r="AH17" t="str">
            <v/>
          </cell>
          <cell r="AI17" t="str">
            <v/>
          </cell>
          <cell r="AJ17" t="str">
            <v>PAYMENT RELEASE</v>
          </cell>
          <cell r="AK17"/>
          <cell r="AL17"/>
          <cell r="AM17"/>
          <cell r="AN17" t="str">
            <v>NA</v>
          </cell>
          <cell r="AO17"/>
          <cell r="AP17"/>
          <cell r="AQ17">
            <v>36654</v>
          </cell>
          <cell r="AR17">
            <v>36654</v>
          </cell>
          <cell r="AS17">
            <v>15509</v>
          </cell>
          <cell r="AT17">
            <v>15509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15508</v>
          </cell>
          <cell r="AZ17">
            <v>15508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1762.2115384615383</v>
          </cell>
          <cell r="BF17">
            <v>1762.2115384615383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/>
          <cell r="BZ17">
            <v>0</v>
          </cell>
          <cell r="CA17">
            <v>0</v>
          </cell>
          <cell r="CB17">
            <v>69433.211538461532</v>
          </cell>
          <cell r="CC17">
            <v>69433.211538461532</v>
          </cell>
          <cell r="CD17">
            <v>71383.211538461532</v>
          </cell>
          <cell r="CE17">
            <v>2255.6999999999998</v>
          </cell>
          <cell r="CF17">
            <v>67671</v>
          </cell>
          <cell r="CG17">
            <v>67671</v>
          </cell>
          <cell r="CH17">
            <v>67671</v>
          </cell>
          <cell r="CI17">
            <v>72437.599999999991</v>
          </cell>
          <cell r="CJ17">
            <v>30</v>
          </cell>
          <cell r="CK17">
            <v>3</v>
          </cell>
          <cell r="CL17">
            <v>72438.100000000006</v>
          </cell>
          <cell r="CM17">
            <v>65670.5</v>
          </cell>
          <cell r="CN17"/>
          <cell r="CO17">
            <v>2000.5</v>
          </cell>
          <cell r="CP17">
            <v>1800</v>
          </cell>
          <cell r="CQ17">
            <v>0</v>
          </cell>
          <cell r="CR17">
            <v>0</v>
          </cell>
          <cell r="CS17">
            <v>200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0.5</v>
          </cell>
          <cell r="CZ17"/>
          <cell r="DA17">
            <v>1950</v>
          </cell>
          <cell r="DB17">
            <v>0</v>
          </cell>
          <cell r="DC17"/>
          <cell r="DD17">
            <v>3.5</v>
          </cell>
          <cell r="DE17">
            <v>3.33</v>
          </cell>
          <cell r="DF17">
            <v>1.83</v>
          </cell>
          <cell r="DG17">
            <v>2</v>
          </cell>
          <cell r="DH17">
            <v>2.5</v>
          </cell>
          <cell r="DI17">
            <v>2.75</v>
          </cell>
          <cell r="DJ17">
            <v>1.25</v>
          </cell>
          <cell r="DK17">
            <v>1</v>
          </cell>
          <cell r="DL17">
            <v>1</v>
          </cell>
        </row>
        <row r="18">
          <cell r="F18" t="str">
            <v>E0286</v>
          </cell>
          <cell r="G18" t="str">
            <v>MR. ATRAJIT MUKHERJEE</v>
          </cell>
          <cell r="H18" t="str">
            <v>Male</v>
          </cell>
          <cell r="I18" t="str">
            <v>09/07/1985</v>
          </cell>
          <cell r="J18" t="str">
            <v>11/02/2024</v>
          </cell>
          <cell r="K18" t="str">
            <v>8910531093</v>
          </cell>
          <cell r="L18" t="str">
            <v/>
          </cell>
          <cell r="M18" t="str">
            <v>F &amp; B</v>
          </cell>
          <cell r="N18" t="str">
            <v>F &amp; B</v>
          </cell>
          <cell r="O18"/>
          <cell r="P18"/>
          <cell r="Q18" t="str">
            <v>ASSISTANT MANAGER</v>
          </cell>
          <cell r="R18" t="str">
            <v>ACTIVE</v>
          </cell>
          <cell r="S18" t="str">
            <v>HDFC BANK</v>
          </cell>
          <cell r="T18" t="str">
            <v>HDFC0000478</v>
          </cell>
          <cell r="U18" t="str">
            <v>50100470728478</v>
          </cell>
          <cell r="V18" t="str">
            <v>NA</v>
          </cell>
          <cell r="W18" t="str">
            <v>NA</v>
          </cell>
          <cell r="X18" t="str">
            <v>NA</v>
          </cell>
          <cell r="Y18" t="str">
            <v>BTLPM5356E</v>
          </cell>
          <cell r="Z18" t="str">
            <v>568497522268</v>
          </cell>
          <cell r="AA18" t="str">
            <v>TRUE</v>
          </cell>
          <cell r="AB18" t="str">
            <v>FALSE</v>
          </cell>
          <cell r="AC18" t="str">
            <v>FALSE</v>
          </cell>
          <cell r="AD18" t="str">
            <v>FALSE</v>
          </cell>
          <cell r="AE18" t="str">
            <v>FALSE</v>
          </cell>
          <cell r="AF18" t="str">
            <v/>
          </cell>
          <cell r="AG18" t="str">
            <v>FALSE</v>
          </cell>
          <cell r="AH18" t="str">
            <v/>
          </cell>
          <cell r="AI18" t="str">
            <v/>
          </cell>
          <cell r="AJ18" t="str">
            <v>PAYMENT RELEASE</v>
          </cell>
          <cell r="AK18"/>
          <cell r="AL18"/>
          <cell r="AM18"/>
          <cell r="AN18" t="str">
            <v>NA</v>
          </cell>
          <cell r="AO18"/>
          <cell r="AP18"/>
          <cell r="AQ18">
            <v>29791</v>
          </cell>
          <cell r="AR18">
            <v>29791</v>
          </cell>
          <cell r="AS18">
            <v>12605</v>
          </cell>
          <cell r="AT18">
            <v>12605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12604</v>
          </cell>
          <cell r="AZ18">
            <v>12604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1432.2596153846155</v>
          </cell>
          <cell r="BF18">
            <v>1432.2596153846155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/>
          <cell r="BZ18">
            <v>0</v>
          </cell>
          <cell r="CA18">
            <v>8250</v>
          </cell>
          <cell r="CB18">
            <v>56432.259615384617</v>
          </cell>
          <cell r="CC18">
            <v>64682.259615384617</v>
          </cell>
          <cell r="CD18">
            <v>66632.259615384624</v>
          </cell>
          <cell r="CE18">
            <v>1833.3333333333333</v>
          </cell>
          <cell r="CF18">
            <v>55000</v>
          </cell>
          <cell r="CG18">
            <v>55000</v>
          </cell>
          <cell r="CH18">
            <v>63250</v>
          </cell>
          <cell r="CI18">
            <v>56666.166666666664</v>
          </cell>
          <cell r="CJ18">
            <v>30</v>
          </cell>
          <cell r="CK18">
            <v>2</v>
          </cell>
          <cell r="CL18">
            <v>56666.666666666664</v>
          </cell>
          <cell r="CM18">
            <v>61249.5</v>
          </cell>
          <cell r="CN18"/>
          <cell r="CO18">
            <v>2000.5</v>
          </cell>
          <cell r="CP18">
            <v>1800</v>
          </cell>
          <cell r="CQ18">
            <v>0</v>
          </cell>
          <cell r="CR18">
            <v>0</v>
          </cell>
          <cell r="CS18">
            <v>200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0.5</v>
          </cell>
          <cell r="CZ18"/>
          <cell r="DA18">
            <v>1950</v>
          </cell>
          <cell r="DB18">
            <v>0</v>
          </cell>
          <cell r="DC18"/>
          <cell r="DD18">
            <v>20.5</v>
          </cell>
          <cell r="DE18">
            <v>22.33</v>
          </cell>
          <cell r="DF18">
            <v>1.83</v>
          </cell>
          <cell r="DG18">
            <v>0</v>
          </cell>
          <cell r="DH18">
            <v>19.5</v>
          </cell>
          <cell r="DI18">
            <v>20.75</v>
          </cell>
          <cell r="DJ18">
            <v>1.25</v>
          </cell>
          <cell r="DK18">
            <v>0</v>
          </cell>
          <cell r="DL18">
            <v>1</v>
          </cell>
        </row>
        <row r="19">
          <cell r="F19" t="str">
            <v>E0254</v>
          </cell>
          <cell r="G19" t="str">
            <v>MR. BINOD RAY</v>
          </cell>
          <cell r="H19" t="str">
            <v>Male</v>
          </cell>
          <cell r="I19" t="str">
            <v>12/09/1979</v>
          </cell>
          <cell r="J19" t="str">
            <v>01/06/2022</v>
          </cell>
          <cell r="K19" t="str">
            <v>7827403486</v>
          </cell>
          <cell r="L19" t="str">
            <v/>
          </cell>
          <cell r="M19" t="str">
            <v>ADMINISTRATION</v>
          </cell>
          <cell r="N19" t="str">
            <v>ADMINISTRATION</v>
          </cell>
          <cell r="O19"/>
          <cell r="P19"/>
          <cell r="Q19" t="str">
            <v>EXECUTIVE</v>
          </cell>
          <cell r="R19" t="str">
            <v>ACTIVE</v>
          </cell>
          <cell r="S19" t="str">
            <v>STATE BANK OF INDIA</v>
          </cell>
          <cell r="T19" t="str">
            <v>SBIN0001580</v>
          </cell>
          <cell r="U19" t="str">
            <v>33536257657</v>
          </cell>
          <cell r="V19" t="str">
            <v>100582552357</v>
          </cell>
          <cell r="W19" t="str">
            <v>NA</v>
          </cell>
          <cell r="X19" t="str">
            <v>NA</v>
          </cell>
          <cell r="Y19" t="str">
            <v>ASKPR3971K</v>
          </cell>
          <cell r="Z19" t="str">
            <v/>
          </cell>
          <cell r="AA19" t="str">
            <v>TRUE</v>
          </cell>
          <cell r="AB19" t="str">
            <v>FALSE</v>
          </cell>
          <cell r="AC19" t="str">
            <v>FALSE</v>
          </cell>
          <cell r="AD19" t="str">
            <v>FALSE</v>
          </cell>
          <cell r="AE19" t="str">
            <v>FALSE</v>
          </cell>
          <cell r="AF19" t="str">
            <v/>
          </cell>
          <cell r="AG19" t="str">
            <v>FALSE</v>
          </cell>
          <cell r="AH19" t="str">
            <v/>
          </cell>
          <cell r="AI19" t="str">
            <v/>
          </cell>
          <cell r="AJ19" t="str">
            <v>PAYMENT RELEASE</v>
          </cell>
          <cell r="AK19"/>
          <cell r="AL19"/>
          <cell r="AM19"/>
          <cell r="AN19" t="str">
            <v>NA</v>
          </cell>
          <cell r="AO19"/>
          <cell r="AP19"/>
          <cell r="AQ19">
            <v>26967</v>
          </cell>
          <cell r="AR19">
            <v>26967</v>
          </cell>
          <cell r="AS19">
            <v>11410</v>
          </cell>
          <cell r="AT19">
            <v>11410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11410</v>
          </cell>
          <cell r="AZ19">
            <v>11410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1296.4903846153845</v>
          </cell>
          <cell r="BF19">
            <v>1296.4903846153845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/>
          <cell r="BZ19">
            <v>0</v>
          </cell>
          <cell r="CA19">
            <v>0</v>
          </cell>
          <cell r="CB19">
            <v>51083.490384615383</v>
          </cell>
          <cell r="CC19">
            <v>51083.490384615383</v>
          </cell>
          <cell r="CD19">
            <v>53033.490384615383</v>
          </cell>
          <cell r="CE19">
            <v>1659.5666666666666</v>
          </cell>
          <cell r="CF19">
            <v>49787</v>
          </cell>
          <cell r="CG19">
            <v>49787</v>
          </cell>
          <cell r="CH19">
            <v>49787</v>
          </cell>
          <cell r="CI19">
            <v>51105.633333333331</v>
          </cell>
          <cell r="CJ19">
            <v>30</v>
          </cell>
          <cell r="CK19">
            <v>2</v>
          </cell>
          <cell r="CL19">
            <v>51106.133333333331</v>
          </cell>
          <cell r="CM19">
            <v>47786.5</v>
          </cell>
          <cell r="CN19"/>
          <cell r="CO19">
            <v>2000.5</v>
          </cell>
          <cell r="CP19">
            <v>1800</v>
          </cell>
          <cell r="CQ19">
            <v>0</v>
          </cell>
          <cell r="CR19">
            <v>0</v>
          </cell>
          <cell r="CS19">
            <v>200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0.5</v>
          </cell>
          <cell r="CZ19"/>
          <cell r="DA19">
            <v>1950</v>
          </cell>
          <cell r="DB19">
            <v>0</v>
          </cell>
          <cell r="DC19"/>
          <cell r="DD19">
            <v>133.5</v>
          </cell>
          <cell r="DE19">
            <v>129.33000000000001</v>
          </cell>
          <cell r="DF19">
            <v>1.83</v>
          </cell>
          <cell r="DG19">
            <v>6</v>
          </cell>
          <cell r="DH19">
            <v>132</v>
          </cell>
          <cell r="DI19">
            <v>128.25</v>
          </cell>
          <cell r="DJ19">
            <v>1.25</v>
          </cell>
          <cell r="DK19">
            <v>5</v>
          </cell>
          <cell r="DL19">
            <v>1.5</v>
          </cell>
        </row>
        <row r="20">
          <cell r="F20" t="str">
            <v>E0190</v>
          </cell>
          <cell r="G20" t="str">
            <v>MR. ARUN KANDOYI</v>
          </cell>
          <cell r="H20" t="str">
            <v>Male</v>
          </cell>
          <cell r="I20" t="str">
            <v>17/06/1983</v>
          </cell>
          <cell r="J20" t="str">
            <v>01/11/2015</v>
          </cell>
          <cell r="K20" t="str">
            <v>7685020197</v>
          </cell>
          <cell r="L20" t="str">
            <v/>
          </cell>
          <cell r="M20" t="str">
            <v>ACCOUNTS</v>
          </cell>
          <cell r="N20" t="str">
            <v>ACCOUNTS</v>
          </cell>
          <cell r="O20"/>
          <cell r="P20"/>
          <cell r="Q20" t="str">
            <v>CASHIER</v>
          </cell>
          <cell r="R20" t="str">
            <v>ACTIVE</v>
          </cell>
          <cell r="S20" t="str">
            <v>ICICI BANK</v>
          </cell>
          <cell r="T20" t="str">
            <v>ICIC0001056</v>
          </cell>
          <cell r="U20" t="str">
            <v>105601555210</v>
          </cell>
          <cell r="V20" t="str">
            <v>NA</v>
          </cell>
          <cell r="W20" t="str">
            <v>NA</v>
          </cell>
          <cell r="X20" t="str">
            <v>4020434631</v>
          </cell>
          <cell r="Y20" t="str">
            <v>AVPPK5089D</v>
          </cell>
          <cell r="Z20" t="str">
            <v/>
          </cell>
          <cell r="AA20" t="str">
            <v>TRUE</v>
          </cell>
          <cell r="AB20" t="str">
            <v>FALSE</v>
          </cell>
          <cell r="AC20" t="str">
            <v>FALSE</v>
          </cell>
          <cell r="AD20" t="str">
            <v>FALSE</v>
          </cell>
          <cell r="AE20" t="str">
            <v>FALSE</v>
          </cell>
          <cell r="AF20" t="str">
            <v/>
          </cell>
          <cell r="AG20" t="str">
            <v>FALSE</v>
          </cell>
          <cell r="AH20" t="str">
            <v/>
          </cell>
          <cell r="AI20" t="str">
            <v/>
          </cell>
          <cell r="AJ20" t="str">
            <v>PAYMENT RELEASE</v>
          </cell>
          <cell r="AK20"/>
          <cell r="AL20"/>
          <cell r="AM20"/>
          <cell r="AN20" t="str">
            <v>NA</v>
          </cell>
          <cell r="AO20"/>
          <cell r="AP20"/>
          <cell r="AQ20">
            <v>24000</v>
          </cell>
          <cell r="AR20">
            <v>24000</v>
          </cell>
          <cell r="AS20">
            <v>10155</v>
          </cell>
          <cell r="AT20">
            <v>10155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10154</v>
          </cell>
          <cell r="AZ20">
            <v>10154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1153.8461538461538</v>
          </cell>
          <cell r="BF20">
            <v>1153.8461538461538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/>
          <cell r="BZ20">
            <v>0</v>
          </cell>
          <cell r="CA20">
            <v>2953.93</v>
          </cell>
          <cell r="CB20">
            <v>45462.846153846156</v>
          </cell>
          <cell r="CC20">
            <v>48416.776153846156</v>
          </cell>
          <cell r="CD20">
            <v>48416.776153846156</v>
          </cell>
          <cell r="CE20">
            <v>1476.9666666666667</v>
          </cell>
          <cell r="CF20">
            <v>44309</v>
          </cell>
          <cell r="CG20">
            <v>44309</v>
          </cell>
          <cell r="CH20">
            <v>47262.93</v>
          </cell>
          <cell r="CI20">
            <v>47062.433333333334</v>
          </cell>
          <cell r="CJ20">
            <v>30</v>
          </cell>
          <cell r="CK20">
            <v>2</v>
          </cell>
          <cell r="CL20">
            <v>47062.933333333334</v>
          </cell>
          <cell r="CM20">
            <v>47062.43</v>
          </cell>
          <cell r="CN20"/>
          <cell r="CO20">
            <v>200.5</v>
          </cell>
          <cell r="CP20">
            <v>0</v>
          </cell>
          <cell r="CQ20">
            <v>0</v>
          </cell>
          <cell r="CR20">
            <v>0</v>
          </cell>
          <cell r="CS20">
            <v>200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0.5</v>
          </cell>
          <cell r="CZ20"/>
          <cell r="DA20">
            <v>0</v>
          </cell>
          <cell r="DB20">
            <v>0</v>
          </cell>
          <cell r="DC20"/>
          <cell r="DD20">
            <v>73.5</v>
          </cell>
          <cell r="DE20">
            <v>74.33</v>
          </cell>
          <cell r="DF20">
            <v>1.83</v>
          </cell>
          <cell r="DG20">
            <v>1</v>
          </cell>
          <cell r="DH20">
            <v>72</v>
          </cell>
          <cell r="DI20">
            <v>73.25</v>
          </cell>
          <cell r="DJ20">
            <v>1.25</v>
          </cell>
          <cell r="DK20">
            <v>0</v>
          </cell>
          <cell r="DL20">
            <v>1.5</v>
          </cell>
        </row>
        <row r="21">
          <cell r="F21" t="str">
            <v>E0271</v>
          </cell>
          <cell r="G21" t="str">
            <v>MR. ANIRBAN PANIGRAHI</v>
          </cell>
          <cell r="H21" t="str">
            <v>Male</v>
          </cell>
          <cell r="I21" t="str">
            <v>13/12/1998</v>
          </cell>
          <cell r="J21" t="str">
            <v>01/03/2023</v>
          </cell>
          <cell r="K21" t="str">
            <v>8927559057</v>
          </cell>
          <cell r="L21" t="str">
            <v/>
          </cell>
          <cell r="M21" t="str">
            <v/>
          </cell>
          <cell r="N21" t="str">
            <v/>
          </cell>
          <cell r="O21"/>
          <cell r="P21"/>
          <cell r="Q21" t="str">
            <v>SR. EXECUTIVE</v>
          </cell>
          <cell r="R21" t="str">
            <v>NOT ACTIVE</v>
          </cell>
          <cell r="S21" t="str">
            <v>STATE BANK OF INDIA</v>
          </cell>
          <cell r="T21" t="str">
            <v>SBIN0061602</v>
          </cell>
          <cell r="U21" t="str">
            <v>40170264721</v>
          </cell>
          <cell r="V21" t="str">
            <v>NA</v>
          </cell>
          <cell r="W21" t="str">
            <v>NA</v>
          </cell>
          <cell r="X21" t="str">
            <v>NA</v>
          </cell>
          <cell r="Y21" t="str">
            <v>DKAPP5704D</v>
          </cell>
          <cell r="Z21" t="str">
            <v>831889262260</v>
          </cell>
          <cell r="AA21" t="str">
            <v>TRUE</v>
          </cell>
          <cell r="AB21" t="str">
            <v>FALSE</v>
          </cell>
          <cell r="AC21" t="str">
            <v>FALSE</v>
          </cell>
          <cell r="AD21" t="str">
            <v>FALSE</v>
          </cell>
          <cell r="AE21" t="str">
            <v>FALSE</v>
          </cell>
          <cell r="AF21" t="str">
            <v/>
          </cell>
          <cell r="AG21" t="str">
            <v>FALSE</v>
          </cell>
          <cell r="AH21" t="str">
            <v/>
          </cell>
          <cell r="AI21" t="str">
            <v/>
          </cell>
          <cell r="AJ21" t="str">
            <v>PAYMENT RELEASE</v>
          </cell>
          <cell r="AK21"/>
          <cell r="AL21"/>
          <cell r="AM21" t="str">
            <v>F&amp;F</v>
          </cell>
          <cell r="AN21" t="str">
            <v>NA</v>
          </cell>
          <cell r="AO21"/>
          <cell r="AP21"/>
          <cell r="AQ21">
            <v>29862</v>
          </cell>
          <cell r="AR21">
            <v>9954</v>
          </cell>
          <cell r="AS21">
            <v>12635</v>
          </cell>
          <cell r="AT21">
            <v>4211.67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12635</v>
          </cell>
          <cell r="AZ21">
            <v>4211.67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1435.6730769230769</v>
          </cell>
          <cell r="BF21">
            <v>1435.6730769230769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/>
          <cell r="BZ21">
            <v>0</v>
          </cell>
          <cell r="CA21">
            <v>0</v>
          </cell>
          <cell r="CB21">
            <v>56567.673076923078</v>
          </cell>
          <cell r="CC21">
            <v>19813.013076923078</v>
          </cell>
          <cell r="CD21">
            <v>21107.033076923079</v>
          </cell>
          <cell r="CE21">
            <v>1837.7333333333333</v>
          </cell>
          <cell r="CF21">
            <v>55132</v>
          </cell>
          <cell r="CG21">
            <v>18377.34</v>
          </cell>
          <cell r="CH21">
            <v>18377.34</v>
          </cell>
          <cell r="CI21">
            <v>-1324.98</v>
          </cell>
          <cell r="CJ21">
            <v>0</v>
          </cell>
          <cell r="CK21">
            <v>0</v>
          </cell>
          <cell r="CL21">
            <v>0</v>
          </cell>
          <cell r="CM21">
            <v>17052.36</v>
          </cell>
          <cell r="CN21"/>
          <cell r="CO21">
            <v>1324.98</v>
          </cell>
          <cell r="CP21">
            <v>1194.48</v>
          </cell>
          <cell r="CQ21">
            <v>0</v>
          </cell>
          <cell r="CR21">
            <v>0</v>
          </cell>
          <cell r="CS21">
            <v>130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0.5</v>
          </cell>
          <cell r="CZ21"/>
          <cell r="DA21">
            <v>1294.02</v>
          </cell>
          <cell r="DB21">
            <v>0</v>
          </cell>
          <cell r="DC21"/>
          <cell r="DD21">
            <v>3.5</v>
          </cell>
          <cell r="DE21">
            <v>4.1099999999999994</v>
          </cell>
          <cell r="DF21">
            <v>0.61</v>
          </cell>
          <cell r="DG21">
            <v>0</v>
          </cell>
          <cell r="DH21">
            <v>3</v>
          </cell>
          <cell r="DI21">
            <v>3.42</v>
          </cell>
          <cell r="DJ21">
            <v>0.42</v>
          </cell>
          <cell r="DK21">
            <v>0</v>
          </cell>
          <cell r="DL21">
            <v>0.5</v>
          </cell>
        </row>
        <row r="22">
          <cell r="F22" t="str">
            <v>E0316</v>
          </cell>
          <cell r="G22" t="str">
            <v>MR. SEMANT GOUR</v>
          </cell>
          <cell r="H22" t="str">
            <v>Male</v>
          </cell>
          <cell r="I22" t="str">
            <v>28/04/2003</v>
          </cell>
          <cell r="J22" t="str">
            <v>02/02/2026</v>
          </cell>
          <cell r="K22" t="str">
            <v>8240416323</v>
          </cell>
          <cell r="L22" t="str">
            <v/>
          </cell>
          <cell r="M22" t="str">
            <v/>
          </cell>
          <cell r="N22" t="str">
            <v/>
          </cell>
          <cell r="O22"/>
          <cell r="P22"/>
          <cell r="Q22" t="str">
            <v>EXECUTIVE</v>
          </cell>
          <cell r="R22" t="str">
            <v>ACTIVE</v>
          </cell>
          <cell r="S22" t="str">
            <v>PUNJAB NATIONAL BANK</v>
          </cell>
          <cell r="T22" t="str">
            <v>PUNB0191100</v>
          </cell>
          <cell r="U22" t="str">
            <v>1911000104824757</v>
          </cell>
          <cell r="V22" t="str">
            <v>102296118365</v>
          </cell>
          <cell r="W22" t="str">
            <v>NA</v>
          </cell>
          <cell r="X22" t="str">
            <v>0</v>
          </cell>
          <cell r="Y22" t="str">
            <v/>
          </cell>
          <cell r="Z22" t="str">
            <v>217321948596</v>
          </cell>
          <cell r="AA22" t="str">
            <v>TRUE</v>
          </cell>
          <cell r="AB22" t="str">
            <v>FALSE</v>
          </cell>
          <cell r="AC22" t="str">
            <v>FALSE</v>
          </cell>
          <cell r="AD22" t="str">
            <v>FALSE</v>
          </cell>
          <cell r="AE22" t="str">
            <v>FALSE</v>
          </cell>
          <cell r="AF22" t="str">
            <v/>
          </cell>
          <cell r="AG22" t="str">
            <v>FALSE</v>
          </cell>
          <cell r="AH22" t="str">
            <v/>
          </cell>
          <cell r="AI22" t="str">
            <v/>
          </cell>
          <cell r="AJ22" t="str">
            <v>PAYMENT RELEASE</v>
          </cell>
          <cell r="AK22"/>
          <cell r="AL22"/>
          <cell r="AM22"/>
          <cell r="AN22" t="str">
            <v>NA</v>
          </cell>
          <cell r="AO22"/>
          <cell r="AP22"/>
          <cell r="AQ22">
            <v>17874</v>
          </cell>
          <cell r="AR22">
            <v>17874</v>
          </cell>
          <cell r="AS22">
            <v>7563</v>
          </cell>
          <cell r="AT22">
            <v>7563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4563</v>
          </cell>
          <cell r="AZ22">
            <v>4563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859.32692307692298</v>
          </cell>
          <cell r="BF22">
            <v>859.32692307692298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/>
          <cell r="BZ22">
            <v>0</v>
          </cell>
          <cell r="CA22">
            <v>1000</v>
          </cell>
          <cell r="CB22">
            <v>30859.326923076922</v>
          </cell>
          <cell r="CC22">
            <v>31859.326923076922</v>
          </cell>
          <cell r="CD22">
            <v>33809.326923076922</v>
          </cell>
          <cell r="CE22">
            <v>1000</v>
          </cell>
          <cell r="CF22">
            <v>30000</v>
          </cell>
          <cell r="CG22">
            <v>30000</v>
          </cell>
          <cell r="CH22">
            <v>31000</v>
          </cell>
          <cell r="CI22">
            <v>30049.5</v>
          </cell>
          <cell r="CJ22">
            <v>30</v>
          </cell>
          <cell r="CK22">
            <v>2</v>
          </cell>
          <cell r="CL22">
            <v>30050</v>
          </cell>
          <cell r="CM22">
            <v>29049.5</v>
          </cell>
          <cell r="CN22"/>
          <cell r="CO22">
            <v>1950.5</v>
          </cell>
          <cell r="CP22">
            <v>1800</v>
          </cell>
          <cell r="CQ22">
            <v>0</v>
          </cell>
          <cell r="CR22">
            <v>0</v>
          </cell>
          <cell r="CS22">
            <v>150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0.5</v>
          </cell>
          <cell r="CZ22"/>
          <cell r="DA22">
            <v>1950</v>
          </cell>
          <cell r="DB22">
            <v>0</v>
          </cell>
          <cell r="DC22"/>
          <cell r="DD22">
            <v>3</v>
          </cell>
          <cell r="DE22">
            <v>2.83</v>
          </cell>
          <cell r="DF22">
            <v>1.83</v>
          </cell>
          <cell r="DG22">
            <v>2</v>
          </cell>
          <cell r="DH22">
            <v>2</v>
          </cell>
          <cell r="DI22">
            <v>2.25</v>
          </cell>
          <cell r="DJ22">
            <v>1.25</v>
          </cell>
          <cell r="DK22">
            <v>1</v>
          </cell>
          <cell r="DL22">
            <v>1</v>
          </cell>
        </row>
        <row r="23">
          <cell r="F23" t="str">
            <v>E0068</v>
          </cell>
          <cell r="G23" t="str">
            <v>MR. RAMPRASAD NASKAR</v>
          </cell>
          <cell r="H23" t="str">
            <v>Male</v>
          </cell>
          <cell r="I23" t="str">
            <v>03/04/1973</v>
          </cell>
          <cell r="J23" t="str">
            <v>01/06/2004</v>
          </cell>
          <cell r="K23" t="str">
            <v>9836129650</v>
          </cell>
          <cell r="L23" t="str">
            <v/>
          </cell>
          <cell r="M23" t="str">
            <v/>
          </cell>
          <cell r="N23" t="str">
            <v/>
          </cell>
          <cell r="O23"/>
          <cell r="P23"/>
          <cell r="Q23" t="str">
            <v>ELECTRICIAN</v>
          </cell>
          <cell r="R23" t="str">
            <v>ACTIVE</v>
          </cell>
          <cell r="S23" t="str">
            <v>STATE BANK OF INDIA</v>
          </cell>
          <cell r="T23" t="str">
            <v>SBIN0016913</v>
          </cell>
          <cell r="U23" t="str">
            <v>36560480730</v>
          </cell>
          <cell r="V23" t="str">
            <v>100306432690</v>
          </cell>
          <cell r="W23" t="str">
            <v>NA</v>
          </cell>
          <cell r="X23" t="str">
            <v>4005522073</v>
          </cell>
          <cell r="Y23" t="str">
            <v>AUMPN4367R</v>
          </cell>
          <cell r="Z23" t="str">
            <v>963546877475</v>
          </cell>
          <cell r="AA23" t="str">
            <v>TRUE</v>
          </cell>
          <cell r="AB23" t="str">
            <v>TRUE</v>
          </cell>
          <cell r="AC23" t="str">
            <v>FALSE</v>
          </cell>
          <cell r="AD23" t="str">
            <v>FALSE</v>
          </cell>
          <cell r="AE23" t="str">
            <v>FALSE</v>
          </cell>
          <cell r="AF23" t="str">
            <v/>
          </cell>
          <cell r="AG23" t="str">
            <v>FALSE</v>
          </cell>
          <cell r="AH23" t="str">
            <v/>
          </cell>
          <cell r="AI23" t="str">
            <v/>
          </cell>
          <cell r="AJ23" t="str">
            <v>PAYMENT RELEASE</v>
          </cell>
          <cell r="AK23"/>
          <cell r="AL23"/>
          <cell r="AM23"/>
          <cell r="AN23" t="str">
            <v>NA</v>
          </cell>
          <cell r="AO23"/>
          <cell r="AP23"/>
          <cell r="AQ23">
            <v>15000</v>
          </cell>
          <cell r="AR23">
            <v>15000</v>
          </cell>
          <cell r="AS23">
            <v>5372</v>
          </cell>
          <cell r="AT23">
            <v>5372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721.15384615384619</v>
          </cell>
          <cell r="BF23">
            <v>721.15384615384619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5432.53</v>
          </cell>
          <cell r="BW23">
            <v>0</v>
          </cell>
          <cell r="BX23">
            <v>240</v>
          </cell>
          <cell r="BY23"/>
          <cell r="BZ23">
            <v>0</v>
          </cell>
          <cell r="CA23">
            <v>2037.2</v>
          </cell>
          <cell r="CB23">
            <v>21093.153846153848</v>
          </cell>
          <cell r="CC23">
            <v>28802.883846153847</v>
          </cell>
          <cell r="CD23">
            <v>31414.973846153847</v>
          </cell>
          <cell r="CE23">
            <v>679.06666666666672</v>
          </cell>
          <cell r="CF23">
            <v>20372</v>
          </cell>
          <cell r="CG23">
            <v>20372</v>
          </cell>
          <cell r="CH23">
            <v>28081.73</v>
          </cell>
          <cell r="CI23">
            <v>25998.44</v>
          </cell>
          <cell r="CJ23">
            <v>30</v>
          </cell>
          <cell r="CK23">
            <v>3</v>
          </cell>
          <cell r="CL23">
            <v>25998.94</v>
          </cell>
          <cell r="CM23">
            <v>25998.44</v>
          </cell>
          <cell r="CN23"/>
          <cell r="CO23">
            <v>2083.29</v>
          </cell>
          <cell r="CP23">
            <v>1800</v>
          </cell>
          <cell r="CQ23">
            <v>152.79</v>
          </cell>
          <cell r="CR23">
            <v>0</v>
          </cell>
          <cell r="CS23">
            <v>130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0.5</v>
          </cell>
          <cell r="CZ23"/>
          <cell r="DA23">
            <v>1950</v>
          </cell>
          <cell r="DB23">
            <v>662.09</v>
          </cell>
          <cell r="DC23"/>
          <cell r="DD23">
            <v>5</v>
          </cell>
          <cell r="DE23">
            <v>6.83</v>
          </cell>
          <cell r="DF23">
            <v>1.83</v>
          </cell>
          <cell r="DG23">
            <v>0</v>
          </cell>
          <cell r="DH23">
            <v>3.5</v>
          </cell>
          <cell r="DI23">
            <v>4.75</v>
          </cell>
          <cell r="DJ23">
            <v>1.25</v>
          </cell>
          <cell r="DK23">
            <v>0</v>
          </cell>
          <cell r="DL23">
            <v>1.5</v>
          </cell>
        </row>
        <row r="24">
          <cell r="F24" t="str">
            <v>E0012</v>
          </cell>
          <cell r="G24" t="str">
            <v>MR. HARENDRA NAYAK</v>
          </cell>
          <cell r="H24" t="str">
            <v>Male</v>
          </cell>
          <cell r="I24" t="str">
            <v>04/12/1975</v>
          </cell>
          <cell r="J24" t="str">
            <v>01/06/2004</v>
          </cell>
          <cell r="K24" t="str">
            <v>8961423516</v>
          </cell>
          <cell r="L24" t="str">
            <v/>
          </cell>
          <cell r="M24" t="str">
            <v/>
          </cell>
          <cell r="N24" t="str">
            <v/>
          </cell>
          <cell r="O24"/>
          <cell r="P24"/>
          <cell r="Q24" t="str">
            <v/>
          </cell>
          <cell r="R24" t="str">
            <v>ACTIVE</v>
          </cell>
          <cell r="S24" t="str">
            <v>STATE BANK OF INDIA</v>
          </cell>
          <cell r="T24" t="str">
            <v>SBIN0016913</v>
          </cell>
          <cell r="U24" t="str">
            <v>36560480810</v>
          </cell>
          <cell r="V24" t="str">
            <v>100161072445</v>
          </cell>
          <cell r="W24" t="str">
            <v>NA</v>
          </cell>
          <cell r="X24" t="str">
            <v>4005522031</v>
          </cell>
          <cell r="Y24" t="str">
            <v>AZZPN6465E</v>
          </cell>
          <cell r="Z24" t="str">
            <v>354085415405</v>
          </cell>
          <cell r="AA24" t="str">
            <v>TRUE</v>
          </cell>
          <cell r="AB24" t="str">
            <v>FALSE</v>
          </cell>
          <cell r="AC24" t="str">
            <v>FALSE</v>
          </cell>
          <cell r="AD24" t="str">
            <v>FALSE</v>
          </cell>
          <cell r="AE24" t="str">
            <v>FALSE</v>
          </cell>
          <cell r="AF24" t="str">
            <v/>
          </cell>
          <cell r="AG24" t="str">
            <v>FALSE</v>
          </cell>
          <cell r="AH24" t="str">
            <v/>
          </cell>
          <cell r="AI24" t="str">
            <v/>
          </cell>
          <cell r="AJ24" t="str">
            <v>PAYMENT RELEASE</v>
          </cell>
          <cell r="AK24"/>
          <cell r="AL24"/>
          <cell r="AM24"/>
          <cell r="AN24" t="str">
            <v>NA</v>
          </cell>
          <cell r="AO24"/>
          <cell r="AP24"/>
          <cell r="AQ24">
            <v>15000</v>
          </cell>
          <cell r="AR24">
            <v>15000</v>
          </cell>
          <cell r="AS24">
            <v>6097</v>
          </cell>
          <cell r="AT24">
            <v>6097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721.15384615384619</v>
          </cell>
          <cell r="BF24">
            <v>721.15384615384619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160</v>
          </cell>
          <cell r="BY24"/>
          <cell r="BZ24">
            <v>0</v>
          </cell>
          <cell r="CA24">
            <v>0</v>
          </cell>
          <cell r="CB24">
            <v>21818.153846153848</v>
          </cell>
          <cell r="CC24">
            <v>21978.153846153848</v>
          </cell>
          <cell r="CD24">
            <v>23928.153846153848</v>
          </cell>
          <cell r="CE24">
            <v>703.23333333333335</v>
          </cell>
          <cell r="CF24">
            <v>21097</v>
          </cell>
          <cell r="CG24">
            <v>21097</v>
          </cell>
          <cell r="CH24">
            <v>21257</v>
          </cell>
          <cell r="CI24">
            <v>20732.966666666667</v>
          </cell>
          <cell r="CJ24">
            <v>30</v>
          </cell>
          <cell r="CK24">
            <v>2</v>
          </cell>
          <cell r="CL24">
            <v>20733.466666666667</v>
          </cell>
          <cell r="CM24">
            <v>19326.5</v>
          </cell>
          <cell r="CN24"/>
          <cell r="CO24">
            <v>1930.5</v>
          </cell>
          <cell r="CP24">
            <v>1800</v>
          </cell>
          <cell r="CQ24">
            <v>0</v>
          </cell>
          <cell r="CR24">
            <v>0</v>
          </cell>
          <cell r="CS24">
            <v>130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0.5</v>
          </cell>
          <cell r="CZ24"/>
          <cell r="DA24">
            <v>1950</v>
          </cell>
          <cell r="DB24">
            <v>0</v>
          </cell>
          <cell r="DC24"/>
          <cell r="DD24">
            <v>2.5</v>
          </cell>
          <cell r="DE24">
            <v>2.33</v>
          </cell>
          <cell r="DF24">
            <v>1.83</v>
          </cell>
          <cell r="DG24">
            <v>2</v>
          </cell>
          <cell r="DH24">
            <v>1.5</v>
          </cell>
          <cell r="DI24">
            <v>1.75</v>
          </cell>
          <cell r="DJ24">
            <v>1.25</v>
          </cell>
          <cell r="DK24">
            <v>1</v>
          </cell>
          <cell r="DL24">
            <v>1</v>
          </cell>
        </row>
        <row r="25">
          <cell r="F25" t="str">
            <v>E0130</v>
          </cell>
          <cell r="G25" t="str">
            <v>MR. DEBASISH DAS</v>
          </cell>
          <cell r="H25" t="str">
            <v>Male</v>
          </cell>
          <cell r="I25" t="str">
            <v>02/02/1978</v>
          </cell>
          <cell r="J25" t="str">
            <v>02/11/2005</v>
          </cell>
          <cell r="K25" t="str">
            <v>9681216591</v>
          </cell>
          <cell r="L25" t="str">
            <v/>
          </cell>
          <cell r="M25" t="str">
            <v/>
          </cell>
          <cell r="N25" t="str">
            <v/>
          </cell>
          <cell r="O25"/>
          <cell r="P25"/>
          <cell r="Q25" t="str">
            <v>STORE INCHARGE</v>
          </cell>
          <cell r="R25" t="str">
            <v>ACTIVE</v>
          </cell>
          <cell r="S25" t="str">
            <v>STATE BANK OF INDIA</v>
          </cell>
          <cell r="T25" t="str">
            <v>SBIN0016913</v>
          </cell>
          <cell r="U25" t="str">
            <v>36560480956</v>
          </cell>
          <cell r="V25" t="str">
            <v>100131201472</v>
          </cell>
          <cell r="W25" t="str">
            <v>NA</v>
          </cell>
          <cell r="X25" t="str">
            <v>4005602606</v>
          </cell>
          <cell r="Y25" t="str">
            <v>BFJPD0734D</v>
          </cell>
          <cell r="Z25" t="str">
            <v>575534750046</v>
          </cell>
          <cell r="AA25" t="str">
            <v>TRUE</v>
          </cell>
          <cell r="AB25" t="str">
            <v>FALSE</v>
          </cell>
          <cell r="AC25" t="str">
            <v>FALSE</v>
          </cell>
          <cell r="AD25" t="str">
            <v>FALSE</v>
          </cell>
          <cell r="AE25" t="str">
            <v>FALSE</v>
          </cell>
          <cell r="AF25" t="str">
            <v/>
          </cell>
          <cell r="AG25" t="str">
            <v>FALSE</v>
          </cell>
          <cell r="AH25" t="str">
            <v/>
          </cell>
          <cell r="AI25" t="str">
            <v/>
          </cell>
          <cell r="AJ25" t="str">
            <v>PAYMENT RELEASE</v>
          </cell>
          <cell r="AK25"/>
          <cell r="AL25"/>
          <cell r="AM25"/>
          <cell r="AN25" t="str">
            <v>NA</v>
          </cell>
          <cell r="AO25"/>
          <cell r="AP25"/>
          <cell r="AQ25">
            <v>15000</v>
          </cell>
          <cell r="AR25">
            <v>15000</v>
          </cell>
          <cell r="AS25">
            <v>7472</v>
          </cell>
          <cell r="AT25">
            <v>7472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721.15384615384619</v>
          </cell>
          <cell r="BF25">
            <v>721.15384615384619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80</v>
          </cell>
          <cell r="BY25"/>
          <cell r="BZ25">
            <v>0</v>
          </cell>
          <cell r="CA25">
            <v>2247.1999999999998</v>
          </cell>
          <cell r="CB25">
            <v>23193.153846153848</v>
          </cell>
          <cell r="CC25">
            <v>25520.353846153848</v>
          </cell>
          <cell r="CD25">
            <v>27470.353846153848</v>
          </cell>
          <cell r="CE25">
            <v>749.06666666666672</v>
          </cell>
          <cell r="CF25">
            <v>22472</v>
          </cell>
          <cell r="CG25">
            <v>22472</v>
          </cell>
          <cell r="CH25">
            <v>24799.200000000001</v>
          </cell>
          <cell r="CI25">
            <v>21370.566666666669</v>
          </cell>
          <cell r="CJ25">
            <v>30</v>
          </cell>
          <cell r="CK25">
            <v>1</v>
          </cell>
          <cell r="CL25">
            <v>21371.066666666666</v>
          </cell>
          <cell r="CM25">
            <v>22868.7</v>
          </cell>
          <cell r="CN25"/>
          <cell r="CO25">
            <v>1930.5</v>
          </cell>
          <cell r="CP25">
            <v>1800</v>
          </cell>
          <cell r="CQ25">
            <v>0</v>
          </cell>
          <cell r="CR25">
            <v>0</v>
          </cell>
          <cell r="CS25">
            <v>130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0.5</v>
          </cell>
          <cell r="CZ25"/>
          <cell r="DA25">
            <v>1950</v>
          </cell>
          <cell r="DB25">
            <v>0</v>
          </cell>
          <cell r="DC25"/>
          <cell r="DD25">
            <v>5</v>
          </cell>
          <cell r="DE25">
            <v>6.83</v>
          </cell>
          <cell r="DF25">
            <v>1.83</v>
          </cell>
          <cell r="DG25">
            <v>0</v>
          </cell>
          <cell r="DH25">
            <v>3.5</v>
          </cell>
          <cell r="DI25">
            <v>4.75</v>
          </cell>
          <cell r="DJ25">
            <v>1.25</v>
          </cell>
          <cell r="DK25">
            <v>0</v>
          </cell>
          <cell r="DL25">
            <v>1.5</v>
          </cell>
        </row>
        <row r="26">
          <cell r="F26" t="str">
            <v>E0034</v>
          </cell>
          <cell r="G26" t="str">
            <v>MR. SWAPAN SARDER</v>
          </cell>
          <cell r="H26" t="str">
            <v>Male</v>
          </cell>
          <cell r="I26" t="str">
            <v>01/01/1967</v>
          </cell>
          <cell r="J26" t="str">
            <v>01/06/2004</v>
          </cell>
          <cell r="K26" t="str">
            <v>9143305292</v>
          </cell>
          <cell r="L26" t="str">
            <v/>
          </cell>
          <cell r="M26" t="str">
            <v/>
          </cell>
          <cell r="N26" t="str">
            <v/>
          </cell>
          <cell r="O26"/>
          <cell r="P26"/>
          <cell r="Q26" t="str">
            <v/>
          </cell>
          <cell r="R26" t="str">
            <v>ACTIVE</v>
          </cell>
          <cell r="S26" t="str">
            <v>STATE BANK OF INDIA</v>
          </cell>
          <cell r="T26" t="str">
            <v>SBIN0016913</v>
          </cell>
          <cell r="U26" t="str">
            <v>36560480582</v>
          </cell>
          <cell r="V26" t="str">
            <v>100337882217</v>
          </cell>
          <cell r="W26" t="str">
            <v>NA</v>
          </cell>
          <cell r="X26" t="str">
            <v>4005522046</v>
          </cell>
          <cell r="Y26" t="str">
            <v/>
          </cell>
          <cell r="Z26" t="str">
            <v/>
          </cell>
          <cell r="AA26" t="str">
            <v>TRUE</v>
          </cell>
          <cell r="AB26" t="str">
            <v>FALSE</v>
          </cell>
          <cell r="AC26" t="str">
            <v>FALSE</v>
          </cell>
          <cell r="AD26" t="str">
            <v>FALSE</v>
          </cell>
          <cell r="AE26" t="str">
            <v>FALSE</v>
          </cell>
          <cell r="AF26" t="str">
            <v/>
          </cell>
          <cell r="AG26" t="str">
            <v>FALSE</v>
          </cell>
          <cell r="AH26" t="str">
            <v/>
          </cell>
          <cell r="AI26" t="str">
            <v/>
          </cell>
          <cell r="AJ26" t="str">
            <v>PAYMENT RELEASE</v>
          </cell>
          <cell r="AK26"/>
          <cell r="AL26"/>
          <cell r="AM26"/>
          <cell r="AN26" t="str">
            <v>NA</v>
          </cell>
          <cell r="AO26"/>
          <cell r="AP26"/>
          <cell r="AQ26">
            <v>15000</v>
          </cell>
          <cell r="AR26">
            <v>15000</v>
          </cell>
          <cell r="AS26">
            <v>6087</v>
          </cell>
          <cell r="AT26">
            <v>6087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721.15384615384619</v>
          </cell>
          <cell r="BF26">
            <v>721.15384615384619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240</v>
          </cell>
          <cell r="BY26"/>
          <cell r="BZ26">
            <v>0</v>
          </cell>
          <cell r="CA26">
            <v>2108.6999999999998</v>
          </cell>
          <cell r="CB26">
            <v>21808.153846153848</v>
          </cell>
          <cell r="CC26">
            <v>24156.853846153848</v>
          </cell>
          <cell r="CD26">
            <v>26106.853846153848</v>
          </cell>
          <cell r="CE26">
            <v>702.9</v>
          </cell>
          <cell r="CF26">
            <v>21087</v>
          </cell>
          <cell r="CG26">
            <v>21087</v>
          </cell>
          <cell r="CH26">
            <v>23435.7</v>
          </cell>
          <cell r="CI26">
            <v>21505.200000000001</v>
          </cell>
          <cell r="CJ26">
            <v>30</v>
          </cell>
          <cell r="CK26">
            <v>3</v>
          </cell>
          <cell r="CL26">
            <v>21505.7</v>
          </cell>
          <cell r="CM26">
            <v>21505.200000000001</v>
          </cell>
          <cell r="CN26"/>
          <cell r="CO26">
            <v>1930.5</v>
          </cell>
          <cell r="CP26">
            <v>1800</v>
          </cell>
          <cell r="CQ26">
            <v>0</v>
          </cell>
          <cell r="CR26">
            <v>0</v>
          </cell>
          <cell r="CS26">
            <v>130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0.5</v>
          </cell>
          <cell r="CZ26"/>
          <cell r="DA26">
            <v>1950</v>
          </cell>
          <cell r="DB26">
            <v>0</v>
          </cell>
          <cell r="DC26"/>
          <cell r="DD26">
            <v>5</v>
          </cell>
          <cell r="DE26">
            <v>6.83</v>
          </cell>
          <cell r="DF26">
            <v>1.83</v>
          </cell>
          <cell r="DG26">
            <v>0</v>
          </cell>
          <cell r="DH26">
            <v>3.5</v>
          </cell>
          <cell r="DI26">
            <v>4.75</v>
          </cell>
          <cell r="DJ26">
            <v>1.25</v>
          </cell>
          <cell r="DK26">
            <v>0</v>
          </cell>
          <cell r="DL26">
            <v>1.5</v>
          </cell>
        </row>
        <row r="27">
          <cell r="F27" t="str">
            <v>E0035</v>
          </cell>
          <cell r="G27" t="str">
            <v>MR. SADHAN MONDAL</v>
          </cell>
          <cell r="H27" t="str">
            <v>Male</v>
          </cell>
          <cell r="I27" t="str">
            <v>15/05/1977</v>
          </cell>
          <cell r="J27" t="str">
            <v>01/06/2004</v>
          </cell>
          <cell r="K27" t="str">
            <v>9163588570</v>
          </cell>
          <cell r="L27" t="str">
            <v/>
          </cell>
          <cell r="M27" t="str">
            <v/>
          </cell>
          <cell r="N27" t="str">
            <v/>
          </cell>
          <cell r="O27"/>
          <cell r="P27"/>
          <cell r="Q27" t="str">
            <v/>
          </cell>
          <cell r="R27" t="str">
            <v>ACTIVE</v>
          </cell>
          <cell r="S27" t="str">
            <v>STATE BANK OF INDIA</v>
          </cell>
          <cell r="T27" t="str">
            <v>SBIN0016913</v>
          </cell>
          <cell r="U27" t="str">
            <v>40926720906</v>
          </cell>
          <cell r="V27" t="str">
            <v>100326643052</v>
          </cell>
          <cell r="W27" t="str">
            <v>NA</v>
          </cell>
          <cell r="X27" t="str">
            <v>4005522047</v>
          </cell>
          <cell r="Y27" t="str">
            <v>BSAPM8121K</v>
          </cell>
          <cell r="Z27" t="str">
            <v>930094488129</v>
          </cell>
          <cell r="AA27" t="str">
            <v>TRUE</v>
          </cell>
          <cell r="AB27" t="str">
            <v>FALSE</v>
          </cell>
          <cell r="AC27" t="str">
            <v>FALSE</v>
          </cell>
          <cell r="AD27" t="str">
            <v>FALSE</v>
          </cell>
          <cell r="AE27" t="str">
            <v>FALSE</v>
          </cell>
          <cell r="AF27" t="str">
            <v/>
          </cell>
          <cell r="AG27" t="str">
            <v>FALSE</v>
          </cell>
          <cell r="AH27" t="str">
            <v/>
          </cell>
          <cell r="AI27" t="str">
            <v/>
          </cell>
          <cell r="AJ27" t="str">
            <v>PAYMENT RELEASE</v>
          </cell>
          <cell r="AK27"/>
          <cell r="AL27"/>
          <cell r="AM27"/>
          <cell r="AN27" t="str">
            <v>NA</v>
          </cell>
          <cell r="AO27"/>
          <cell r="AP27"/>
          <cell r="AQ27">
            <v>15000</v>
          </cell>
          <cell r="AR27">
            <v>15000</v>
          </cell>
          <cell r="AS27">
            <v>6087</v>
          </cell>
          <cell r="AT27">
            <v>6087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721.15384615384619</v>
          </cell>
          <cell r="BF27">
            <v>721.15384615384619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702.9</v>
          </cell>
          <cell r="BW27">
            <v>0</v>
          </cell>
          <cell r="BX27">
            <v>240</v>
          </cell>
          <cell r="BY27"/>
          <cell r="BZ27">
            <v>0</v>
          </cell>
          <cell r="CA27">
            <v>1405.8</v>
          </cell>
          <cell r="CB27">
            <v>21808.153846153848</v>
          </cell>
          <cell r="CC27">
            <v>24156.853846153848</v>
          </cell>
          <cell r="CD27">
            <v>26106.853846153848</v>
          </cell>
          <cell r="CE27">
            <v>702.9</v>
          </cell>
          <cell r="CF27">
            <v>21087</v>
          </cell>
          <cell r="CG27">
            <v>21087</v>
          </cell>
          <cell r="CH27">
            <v>23435.7</v>
          </cell>
          <cell r="CI27">
            <v>22208.100000000002</v>
          </cell>
          <cell r="CJ27">
            <v>30</v>
          </cell>
          <cell r="CK27">
            <v>3</v>
          </cell>
          <cell r="CL27">
            <v>22208.600000000002</v>
          </cell>
          <cell r="CM27">
            <v>21505.200000000001</v>
          </cell>
          <cell r="CN27"/>
          <cell r="CO27">
            <v>1930.5</v>
          </cell>
          <cell r="CP27">
            <v>1800</v>
          </cell>
          <cell r="CQ27">
            <v>0</v>
          </cell>
          <cell r="CR27">
            <v>0</v>
          </cell>
          <cell r="CS27">
            <v>130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0.5</v>
          </cell>
          <cell r="CZ27"/>
          <cell r="DA27">
            <v>1950</v>
          </cell>
          <cell r="DB27">
            <v>0</v>
          </cell>
          <cell r="DC27"/>
          <cell r="DD27">
            <v>2</v>
          </cell>
          <cell r="DE27">
            <v>3.83</v>
          </cell>
          <cell r="DF27">
            <v>1.83</v>
          </cell>
          <cell r="DG27">
            <v>0</v>
          </cell>
          <cell r="DH27">
            <v>1.5</v>
          </cell>
          <cell r="DI27">
            <v>2.75</v>
          </cell>
          <cell r="DJ27">
            <v>1.25</v>
          </cell>
          <cell r="DK27">
            <v>0</v>
          </cell>
          <cell r="DL27">
            <v>0.5</v>
          </cell>
        </row>
        <row r="28">
          <cell r="F28" t="str">
            <v>E0040</v>
          </cell>
          <cell r="G28" t="str">
            <v>MR. SWAPAN MANDAL</v>
          </cell>
          <cell r="H28" t="str">
            <v>Male</v>
          </cell>
          <cell r="I28" t="str">
            <v>01/01/1974</v>
          </cell>
          <cell r="J28" t="str">
            <v>01/06/2004</v>
          </cell>
          <cell r="K28" t="str">
            <v>8697242967</v>
          </cell>
          <cell r="L28" t="str">
            <v/>
          </cell>
          <cell r="M28" t="str">
            <v/>
          </cell>
          <cell r="N28" t="str">
            <v/>
          </cell>
          <cell r="O28"/>
          <cell r="P28"/>
          <cell r="Q28" t="str">
            <v/>
          </cell>
          <cell r="R28" t="str">
            <v>ACTIVE</v>
          </cell>
          <cell r="S28" t="str">
            <v>STATE BANK OF INDIA</v>
          </cell>
          <cell r="T28" t="str">
            <v>SBIN0016913</v>
          </cell>
          <cell r="U28" t="str">
            <v>36595613875</v>
          </cell>
          <cell r="V28" t="str">
            <v>100376888329</v>
          </cell>
          <cell r="W28" t="str">
            <v>NA</v>
          </cell>
          <cell r="X28" t="str">
            <v>4005522052</v>
          </cell>
          <cell r="Y28" t="str">
            <v>CYJPM2851A</v>
          </cell>
          <cell r="Z28" t="str">
            <v>644120604645</v>
          </cell>
          <cell r="AA28" t="str">
            <v>TRUE</v>
          </cell>
          <cell r="AB28" t="str">
            <v>FALSE</v>
          </cell>
          <cell r="AC28" t="str">
            <v>FALSE</v>
          </cell>
          <cell r="AD28" t="str">
            <v>FALSE</v>
          </cell>
          <cell r="AE28" t="str">
            <v>FALSE</v>
          </cell>
          <cell r="AF28" t="str">
            <v/>
          </cell>
          <cell r="AG28" t="str">
            <v>FALSE</v>
          </cell>
          <cell r="AH28" t="str">
            <v/>
          </cell>
          <cell r="AI28" t="str">
            <v/>
          </cell>
          <cell r="AJ28" t="str">
            <v>PAYMENT RELEASE</v>
          </cell>
          <cell r="AK28"/>
          <cell r="AL28"/>
          <cell r="AM28"/>
          <cell r="AN28" t="str">
            <v>NA</v>
          </cell>
          <cell r="AO28"/>
          <cell r="AP28"/>
          <cell r="AQ28">
            <v>15000</v>
          </cell>
          <cell r="AR28">
            <v>15000</v>
          </cell>
          <cell r="AS28">
            <v>6087</v>
          </cell>
          <cell r="AT28">
            <v>6087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721.15384615384619</v>
          </cell>
          <cell r="BF28">
            <v>721.15384615384619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240</v>
          </cell>
          <cell r="BY28"/>
          <cell r="BZ28">
            <v>0</v>
          </cell>
          <cell r="CA28">
            <v>2108.6999999999998</v>
          </cell>
          <cell r="CB28">
            <v>21808.153846153848</v>
          </cell>
          <cell r="CC28">
            <v>24156.853846153848</v>
          </cell>
          <cell r="CD28">
            <v>26106.853846153848</v>
          </cell>
          <cell r="CE28">
            <v>702.9</v>
          </cell>
          <cell r="CF28">
            <v>21087</v>
          </cell>
          <cell r="CG28">
            <v>21087</v>
          </cell>
          <cell r="CH28">
            <v>23435.7</v>
          </cell>
          <cell r="CI28">
            <v>21505.200000000001</v>
          </cell>
          <cell r="CJ28">
            <v>30</v>
          </cell>
          <cell r="CK28">
            <v>3</v>
          </cell>
          <cell r="CL28">
            <v>21505.7</v>
          </cell>
          <cell r="CM28">
            <v>21505.200000000001</v>
          </cell>
          <cell r="CN28"/>
          <cell r="CO28">
            <v>1930.5</v>
          </cell>
          <cell r="CP28">
            <v>1800</v>
          </cell>
          <cell r="CQ28">
            <v>0</v>
          </cell>
          <cell r="CR28">
            <v>0</v>
          </cell>
          <cell r="CS28">
            <v>130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0.5</v>
          </cell>
          <cell r="CZ28"/>
          <cell r="DA28">
            <v>1950</v>
          </cell>
          <cell r="DB28">
            <v>0</v>
          </cell>
          <cell r="DC28"/>
          <cell r="DD28">
            <v>5</v>
          </cell>
          <cell r="DE28">
            <v>6.83</v>
          </cell>
          <cell r="DF28">
            <v>1.83</v>
          </cell>
          <cell r="DG28">
            <v>0</v>
          </cell>
          <cell r="DH28">
            <v>3.5</v>
          </cell>
          <cell r="DI28">
            <v>4.75</v>
          </cell>
          <cell r="DJ28">
            <v>1.25</v>
          </cell>
          <cell r="DK28">
            <v>0</v>
          </cell>
          <cell r="DL28">
            <v>1.5</v>
          </cell>
        </row>
        <row r="29">
          <cell r="F29" t="str">
            <v>E0037</v>
          </cell>
          <cell r="G29" t="str">
            <v>MR. INDRAJIT PATRA</v>
          </cell>
          <cell r="H29" t="str">
            <v>Male</v>
          </cell>
          <cell r="I29" t="str">
            <v>15/06/1971</v>
          </cell>
          <cell r="J29" t="str">
            <v>01/06/2004</v>
          </cell>
          <cell r="K29" t="str">
            <v>9007802571</v>
          </cell>
          <cell r="L29" t="str">
            <v/>
          </cell>
          <cell r="M29" t="str">
            <v/>
          </cell>
          <cell r="N29" t="str">
            <v/>
          </cell>
          <cell r="O29"/>
          <cell r="P29"/>
          <cell r="Q29" t="str">
            <v/>
          </cell>
          <cell r="R29" t="str">
            <v>ACTIVE</v>
          </cell>
          <cell r="S29" t="str">
            <v>STATE BANK OF INDIA</v>
          </cell>
          <cell r="T29" t="str">
            <v>SBIN0016913</v>
          </cell>
          <cell r="U29" t="str">
            <v>36594217454</v>
          </cell>
          <cell r="V29" t="str">
            <v>100167395252</v>
          </cell>
          <cell r="W29" t="str">
            <v>NA</v>
          </cell>
          <cell r="X29" t="str">
            <v>4005522049</v>
          </cell>
          <cell r="Y29" t="str">
            <v>BIHPP2626K</v>
          </cell>
          <cell r="Z29" t="str">
            <v>274549222206</v>
          </cell>
          <cell r="AA29" t="str">
            <v>TRUE</v>
          </cell>
          <cell r="AB29" t="str">
            <v>FALSE</v>
          </cell>
          <cell r="AC29" t="str">
            <v>FALSE</v>
          </cell>
          <cell r="AD29" t="str">
            <v>FALSE</v>
          </cell>
          <cell r="AE29" t="str">
            <v>FALSE</v>
          </cell>
          <cell r="AF29" t="str">
            <v/>
          </cell>
          <cell r="AG29" t="str">
            <v>FALSE</v>
          </cell>
          <cell r="AH29" t="str">
            <v/>
          </cell>
          <cell r="AI29" t="str">
            <v/>
          </cell>
          <cell r="AJ29" t="str">
            <v>PAYMENT RELEASE</v>
          </cell>
          <cell r="AK29"/>
          <cell r="AL29"/>
          <cell r="AM29"/>
          <cell r="AN29" t="str">
            <v>NA</v>
          </cell>
          <cell r="AO29"/>
          <cell r="AP29"/>
          <cell r="AQ29">
            <v>15000</v>
          </cell>
          <cell r="AR29">
            <v>15000</v>
          </cell>
          <cell r="AS29">
            <v>6087</v>
          </cell>
          <cell r="AT29">
            <v>6087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721.15384615384619</v>
          </cell>
          <cell r="BF29">
            <v>721.15384615384619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240</v>
          </cell>
          <cell r="BY29"/>
          <cell r="BZ29">
            <v>0</v>
          </cell>
          <cell r="CA29">
            <v>1405.8</v>
          </cell>
          <cell r="CB29">
            <v>21808.153846153848</v>
          </cell>
          <cell r="CC29">
            <v>23453.953846153847</v>
          </cell>
          <cell r="CD29">
            <v>25403.953846153847</v>
          </cell>
          <cell r="CE29">
            <v>702.9</v>
          </cell>
          <cell r="CF29">
            <v>21087</v>
          </cell>
          <cell r="CG29">
            <v>21087</v>
          </cell>
          <cell r="CH29">
            <v>22732.799999999999</v>
          </cell>
          <cell r="CI29">
            <v>21505.200000000001</v>
          </cell>
          <cell r="CJ29">
            <v>30</v>
          </cell>
          <cell r="CK29">
            <v>3</v>
          </cell>
          <cell r="CL29">
            <v>21505.7</v>
          </cell>
          <cell r="CM29">
            <v>20802.3</v>
          </cell>
          <cell r="CN29"/>
          <cell r="CO29">
            <v>1930.5</v>
          </cell>
          <cell r="CP29">
            <v>1800</v>
          </cell>
          <cell r="CQ29">
            <v>0</v>
          </cell>
          <cell r="CR29">
            <v>0</v>
          </cell>
          <cell r="CS29">
            <v>130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0.5</v>
          </cell>
          <cell r="CZ29"/>
          <cell r="DA29">
            <v>1950</v>
          </cell>
          <cell r="DB29">
            <v>0</v>
          </cell>
          <cell r="DC29"/>
          <cell r="DD29">
            <v>1.5</v>
          </cell>
          <cell r="DE29">
            <v>3.33</v>
          </cell>
          <cell r="DF29">
            <v>1.83</v>
          </cell>
          <cell r="DG29">
            <v>0</v>
          </cell>
          <cell r="DH29">
            <v>1</v>
          </cell>
          <cell r="DI29">
            <v>2.25</v>
          </cell>
          <cell r="DJ29">
            <v>1.25</v>
          </cell>
          <cell r="DK29">
            <v>0</v>
          </cell>
          <cell r="DL29">
            <v>0.5</v>
          </cell>
        </row>
        <row r="30">
          <cell r="F30" t="str">
            <v>E0042</v>
          </cell>
          <cell r="G30" t="str">
            <v>MR. SUSHIL MONDAL</v>
          </cell>
          <cell r="H30" t="str">
            <v>Male</v>
          </cell>
          <cell r="I30" t="str">
            <v>01/01/1970</v>
          </cell>
          <cell r="J30" t="str">
            <v>01/06/2004</v>
          </cell>
          <cell r="K30" t="str">
            <v>9836864787</v>
          </cell>
          <cell r="L30" t="str">
            <v/>
          </cell>
          <cell r="M30" t="str">
            <v/>
          </cell>
          <cell r="N30" t="str">
            <v/>
          </cell>
          <cell r="O30"/>
          <cell r="P30"/>
          <cell r="Q30" t="str">
            <v/>
          </cell>
          <cell r="R30" t="str">
            <v>ACTIVE</v>
          </cell>
          <cell r="S30" t="str">
            <v>STATE BANK OF INDIA</v>
          </cell>
          <cell r="T30" t="str">
            <v>SBIN0016913</v>
          </cell>
          <cell r="U30" t="str">
            <v>36560480978</v>
          </cell>
          <cell r="V30" t="str">
            <v>100376127796</v>
          </cell>
          <cell r="W30" t="str">
            <v>NA</v>
          </cell>
          <cell r="X30" t="str">
            <v>4005522054</v>
          </cell>
          <cell r="Y30" t="str">
            <v>CWKPM8115Q</v>
          </cell>
          <cell r="Z30" t="str">
            <v>278136544340</v>
          </cell>
          <cell r="AA30" t="str">
            <v>TRUE</v>
          </cell>
          <cell r="AB30" t="str">
            <v>FALSE</v>
          </cell>
          <cell r="AC30" t="str">
            <v>FALSE</v>
          </cell>
          <cell r="AD30" t="str">
            <v>FALSE</v>
          </cell>
          <cell r="AE30" t="str">
            <v>FALSE</v>
          </cell>
          <cell r="AF30" t="str">
            <v/>
          </cell>
          <cell r="AG30" t="str">
            <v>FALSE</v>
          </cell>
          <cell r="AH30" t="str">
            <v/>
          </cell>
          <cell r="AI30" t="str">
            <v/>
          </cell>
          <cell r="AJ30" t="str">
            <v>PAYMENT RELEASE</v>
          </cell>
          <cell r="AK30"/>
          <cell r="AL30"/>
          <cell r="AM30"/>
          <cell r="AN30" t="str">
            <v>NA</v>
          </cell>
          <cell r="AO30"/>
          <cell r="AP30"/>
          <cell r="AQ30">
            <v>15000</v>
          </cell>
          <cell r="AR30">
            <v>15000</v>
          </cell>
          <cell r="AS30">
            <v>6087</v>
          </cell>
          <cell r="AT30">
            <v>6087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721.15384615384619</v>
          </cell>
          <cell r="BF30">
            <v>721.15384615384619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160</v>
          </cell>
          <cell r="BY30"/>
          <cell r="BZ30">
            <v>0</v>
          </cell>
          <cell r="CA30">
            <v>1054.3499999999999</v>
          </cell>
          <cell r="CB30">
            <v>21808.153846153848</v>
          </cell>
          <cell r="CC30">
            <v>23022.503846153846</v>
          </cell>
          <cell r="CD30">
            <v>24972.503846153846</v>
          </cell>
          <cell r="CE30">
            <v>702.9</v>
          </cell>
          <cell r="CF30">
            <v>21087</v>
          </cell>
          <cell r="CG30">
            <v>21087</v>
          </cell>
          <cell r="CH30">
            <v>22301.35</v>
          </cell>
          <cell r="CI30">
            <v>20722.3</v>
          </cell>
          <cell r="CJ30">
            <v>30</v>
          </cell>
          <cell r="CK30">
            <v>2</v>
          </cell>
          <cell r="CL30">
            <v>20722.8</v>
          </cell>
          <cell r="CM30">
            <v>20370.849999999999</v>
          </cell>
          <cell r="CN30"/>
          <cell r="CO30">
            <v>1930.5</v>
          </cell>
          <cell r="CP30">
            <v>1800</v>
          </cell>
          <cell r="CQ30">
            <v>0</v>
          </cell>
          <cell r="CR30">
            <v>0</v>
          </cell>
          <cell r="CS30">
            <v>130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0.5</v>
          </cell>
          <cell r="CZ30"/>
          <cell r="DA30">
            <v>1950</v>
          </cell>
          <cell r="DB30">
            <v>0</v>
          </cell>
          <cell r="DC30"/>
          <cell r="DD30">
            <v>5</v>
          </cell>
          <cell r="DE30">
            <v>6.33</v>
          </cell>
          <cell r="DF30">
            <v>1.83</v>
          </cell>
          <cell r="DG30">
            <v>0.5</v>
          </cell>
          <cell r="DH30">
            <v>3.5</v>
          </cell>
          <cell r="DI30">
            <v>4.75</v>
          </cell>
          <cell r="DJ30">
            <v>1.25</v>
          </cell>
          <cell r="DK30">
            <v>0</v>
          </cell>
          <cell r="DL30">
            <v>1.5</v>
          </cell>
        </row>
        <row r="31">
          <cell r="F31" t="str">
            <v>E0016</v>
          </cell>
          <cell r="G31" t="str">
            <v>MR. SUBHASH PAL</v>
          </cell>
          <cell r="H31" t="str">
            <v>Male</v>
          </cell>
          <cell r="I31" t="str">
            <v>04/03/1978</v>
          </cell>
          <cell r="J31" t="str">
            <v>01/06/2004</v>
          </cell>
          <cell r="K31" t="str">
            <v>9143262832</v>
          </cell>
          <cell r="L31" t="str">
            <v/>
          </cell>
          <cell r="M31" t="str">
            <v/>
          </cell>
          <cell r="N31" t="str">
            <v/>
          </cell>
          <cell r="O31"/>
          <cell r="P31"/>
          <cell r="Q31" t="str">
            <v/>
          </cell>
          <cell r="R31" t="str">
            <v>ACTIVE</v>
          </cell>
          <cell r="S31" t="str">
            <v>STATE BANK OF INDIA</v>
          </cell>
          <cell r="T31" t="str">
            <v>SBIN0016913</v>
          </cell>
          <cell r="U31" t="str">
            <v>36560480729</v>
          </cell>
          <cell r="V31" t="str">
            <v>100364190545</v>
          </cell>
          <cell r="W31" t="str">
            <v>NA</v>
          </cell>
          <cell r="X31" t="str">
            <v>4005522033</v>
          </cell>
          <cell r="Y31" t="str">
            <v>CBKPP6844C</v>
          </cell>
          <cell r="Z31" t="str">
            <v/>
          </cell>
          <cell r="AA31" t="str">
            <v>TRUE</v>
          </cell>
          <cell r="AB31" t="str">
            <v>FALSE</v>
          </cell>
          <cell r="AC31" t="str">
            <v>FALSE</v>
          </cell>
          <cell r="AD31" t="str">
            <v>FALSE</v>
          </cell>
          <cell r="AE31" t="str">
            <v>FALSE</v>
          </cell>
          <cell r="AF31" t="str">
            <v/>
          </cell>
          <cell r="AG31" t="str">
            <v>FALSE</v>
          </cell>
          <cell r="AH31" t="str">
            <v/>
          </cell>
          <cell r="AI31" t="str">
            <v/>
          </cell>
          <cell r="AJ31" t="str">
            <v>PAYMENT RELEASE</v>
          </cell>
          <cell r="AK31"/>
          <cell r="AL31"/>
          <cell r="AM31"/>
          <cell r="AN31" t="str">
            <v>NA</v>
          </cell>
          <cell r="AO31"/>
          <cell r="AP31"/>
          <cell r="AQ31">
            <v>15000</v>
          </cell>
          <cell r="AR31">
            <v>15000</v>
          </cell>
          <cell r="AS31">
            <v>6310</v>
          </cell>
          <cell r="AT31">
            <v>6310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721.15384615384619</v>
          </cell>
          <cell r="BF31">
            <v>721.15384615384619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160</v>
          </cell>
          <cell r="BY31"/>
          <cell r="BZ31">
            <v>0</v>
          </cell>
          <cell r="CA31">
            <v>1065.5</v>
          </cell>
          <cell r="CB31">
            <v>22031.153846153848</v>
          </cell>
          <cell r="CC31">
            <v>23256.653846153848</v>
          </cell>
          <cell r="CD31">
            <v>25206.653846153848</v>
          </cell>
          <cell r="CE31">
            <v>710.33333333333337</v>
          </cell>
          <cell r="CF31">
            <v>21310</v>
          </cell>
          <cell r="CG31">
            <v>21310</v>
          </cell>
          <cell r="CH31">
            <v>22535.5</v>
          </cell>
          <cell r="CI31">
            <v>20960.166666666668</v>
          </cell>
          <cell r="CJ31">
            <v>30</v>
          </cell>
          <cell r="CK31">
            <v>2</v>
          </cell>
          <cell r="CL31">
            <v>20960.666666666668</v>
          </cell>
          <cell r="CM31">
            <v>20605</v>
          </cell>
          <cell r="CN31"/>
          <cell r="CO31">
            <v>1930.5</v>
          </cell>
          <cell r="CP31">
            <v>1800</v>
          </cell>
          <cell r="CQ31">
            <v>0</v>
          </cell>
          <cell r="CR31">
            <v>0</v>
          </cell>
          <cell r="CS31">
            <v>130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0.5</v>
          </cell>
          <cell r="CZ31"/>
          <cell r="DA31">
            <v>1950</v>
          </cell>
          <cell r="DB31">
            <v>0</v>
          </cell>
          <cell r="DC31"/>
          <cell r="DD31">
            <v>3.5</v>
          </cell>
          <cell r="DE31">
            <v>3.83</v>
          </cell>
          <cell r="DF31">
            <v>1.83</v>
          </cell>
          <cell r="DG31">
            <v>1.5</v>
          </cell>
          <cell r="DH31">
            <v>3</v>
          </cell>
          <cell r="DI31">
            <v>3.25</v>
          </cell>
          <cell r="DJ31">
            <v>1.25</v>
          </cell>
          <cell r="DK31">
            <v>1</v>
          </cell>
          <cell r="DL31">
            <v>0.5</v>
          </cell>
        </row>
        <row r="32">
          <cell r="F32" t="str">
            <v>E0056</v>
          </cell>
          <cell r="G32" t="str">
            <v>MR. BABLU NASKAR</v>
          </cell>
          <cell r="H32" t="str">
            <v>Male</v>
          </cell>
          <cell r="I32" t="str">
            <v>14/06/1975</v>
          </cell>
          <cell r="J32" t="str">
            <v>01/06/2004</v>
          </cell>
          <cell r="K32" t="str">
            <v>8334965490</v>
          </cell>
          <cell r="L32" t="str">
            <v/>
          </cell>
          <cell r="M32" t="str">
            <v/>
          </cell>
          <cell r="N32" t="str">
            <v/>
          </cell>
          <cell r="O32"/>
          <cell r="P32"/>
          <cell r="Q32" t="str">
            <v/>
          </cell>
          <cell r="R32" t="str">
            <v>ACTIVE</v>
          </cell>
          <cell r="S32" t="str">
            <v>STATE BANK OF INDIA</v>
          </cell>
          <cell r="T32" t="str">
            <v>SBIN0016913</v>
          </cell>
          <cell r="U32" t="str">
            <v>36572901495</v>
          </cell>
          <cell r="V32" t="str">
            <v>100104255027</v>
          </cell>
          <cell r="W32" t="str">
            <v>NA</v>
          </cell>
          <cell r="X32" t="str">
            <v>4005522062</v>
          </cell>
          <cell r="Y32" t="str">
            <v>AQIPN4847J</v>
          </cell>
          <cell r="Z32" t="str">
            <v>348950183567</v>
          </cell>
          <cell r="AA32" t="str">
            <v>TRUE</v>
          </cell>
          <cell r="AB32" t="str">
            <v>TRUE</v>
          </cell>
          <cell r="AC32" t="str">
            <v>FALSE</v>
          </cell>
          <cell r="AD32" t="str">
            <v>FALSE</v>
          </cell>
          <cell r="AE32" t="str">
            <v>FALSE</v>
          </cell>
          <cell r="AF32" t="str">
            <v/>
          </cell>
          <cell r="AG32" t="str">
            <v>FALSE</v>
          </cell>
          <cell r="AH32" t="str">
            <v/>
          </cell>
          <cell r="AI32" t="str">
            <v/>
          </cell>
          <cell r="AJ32" t="str">
            <v>PAYMENT RELEASE</v>
          </cell>
          <cell r="AK32"/>
          <cell r="AL32"/>
          <cell r="AM32"/>
          <cell r="AN32" t="str">
            <v>NA</v>
          </cell>
          <cell r="AO32"/>
          <cell r="AP32"/>
          <cell r="AQ32">
            <v>15000</v>
          </cell>
          <cell r="AR32">
            <v>15000</v>
          </cell>
          <cell r="AS32">
            <v>5372</v>
          </cell>
          <cell r="AT32">
            <v>5372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721.15384615384619</v>
          </cell>
          <cell r="BF32">
            <v>721.15384615384619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240</v>
          </cell>
          <cell r="BY32"/>
          <cell r="BZ32">
            <v>0</v>
          </cell>
          <cell r="CA32">
            <v>2037.2</v>
          </cell>
          <cell r="CB32">
            <v>21093.153846153848</v>
          </cell>
          <cell r="CC32">
            <v>23370.353846153848</v>
          </cell>
          <cell r="CD32">
            <v>25982.443846153848</v>
          </cell>
          <cell r="CE32">
            <v>679.06666666666672</v>
          </cell>
          <cell r="CF32">
            <v>20372</v>
          </cell>
          <cell r="CG32">
            <v>20372</v>
          </cell>
          <cell r="CH32">
            <v>22649.200000000001</v>
          </cell>
          <cell r="CI32">
            <v>20565.91</v>
          </cell>
          <cell r="CJ32">
            <v>30</v>
          </cell>
          <cell r="CK32">
            <v>3</v>
          </cell>
          <cell r="CL32">
            <v>20566.41</v>
          </cell>
          <cell r="CM32">
            <v>20565.91</v>
          </cell>
          <cell r="CN32"/>
          <cell r="CO32">
            <v>2083.29</v>
          </cell>
          <cell r="CP32">
            <v>1800</v>
          </cell>
          <cell r="CQ32">
            <v>152.79</v>
          </cell>
          <cell r="CR32">
            <v>0</v>
          </cell>
          <cell r="CS32">
            <v>130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0.5</v>
          </cell>
          <cell r="CZ32"/>
          <cell r="DA32">
            <v>1950</v>
          </cell>
          <cell r="DB32">
            <v>662.09</v>
          </cell>
          <cell r="DC32"/>
          <cell r="DD32">
            <v>3</v>
          </cell>
          <cell r="DE32">
            <v>4.83</v>
          </cell>
          <cell r="DF32">
            <v>1.83</v>
          </cell>
          <cell r="DG32">
            <v>0</v>
          </cell>
          <cell r="DH32">
            <v>2.5</v>
          </cell>
          <cell r="DI32">
            <v>3.75</v>
          </cell>
          <cell r="DJ32">
            <v>1.25</v>
          </cell>
          <cell r="DK32">
            <v>0</v>
          </cell>
          <cell r="DL32">
            <v>0.5</v>
          </cell>
        </row>
        <row r="33">
          <cell r="F33" t="str">
            <v>E0081</v>
          </cell>
          <cell r="G33" t="str">
            <v>MR. BABLU SARDAR</v>
          </cell>
          <cell r="H33" t="str">
            <v>Male</v>
          </cell>
          <cell r="I33" t="str">
            <v>05/11/1980</v>
          </cell>
          <cell r="J33" t="str">
            <v>01/06/2004</v>
          </cell>
          <cell r="K33" t="str">
            <v>7059433996</v>
          </cell>
          <cell r="L33" t="str">
            <v/>
          </cell>
          <cell r="M33" t="str">
            <v/>
          </cell>
          <cell r="N33" t="str">
            <v/>
          </cell>
          <cell r="O33"/>
          <cell r="P33"/>
          <cell r="Q33" t="str">
            <v/>
          </cell>
          <cell r="R33" t="str">
            <v>ACTIVE</v>
          </cell>
          <cell r="S33" t="str">
            <v>STATE BANK OF INDIA</v>
          </cell>
          <cell r="T33" t="str">
            <v>SBIN0016913</v>
          </cell>
          <cell r="U33" t="str">
            <v>36560481008</v>
          </cell>
          <cell r="V33" t="str">
            <v>100104280724</v>
          </cell>
          <cell r="W33" t="str">
            <v>NA</v>
          </cell>
          <cell r="X33" t="str">
            <v>4005522083</v>
          </cell>
          <cell r="Y33" t="str">
            <v/>
          </cell>
          <cell r="Z33" t="str">
            <v>880160213651</v>
          </cell>
          <cell r="AA33" t="str">
            <v>TRUE</v>
          </cell>
          <cell r="AB33" t="str">
            <v>TRUE</v>
          </cell>
          <cell r="AC33" t="str">
            <v>FALSE</v>
          </cell>
          <cell r="AD33" t="str">
            <v>FALSE</v>
          </cell>
          <cell r="AE33" t="str">
            <v>FALSE</v>
          </cell>
          <cell r="AF33" t="str">
            <v/>
          </cell>
          <cell r="AG33" t="str">
            <v>FALSE</v>
          </cell>
          <cell r="AH33" t="str">
            <v/>
          </cell>
          <cell r="AI33" t="str">
            <v/>
          </cell>
          <cell r="AJ33" t="str">
            <v>PAYMENT RELEASE</v>
          </cell>
          <cell r="AK33"/>
          <cell r="AL33"/>
          <cell r="AM33"/>
          <cell r="AN33" t="str">
            <v>NA</v>
          </cell>
          <cell r="AO33"/>
          <cell r="AP33"/>
          <cell r="AQ33">
            <v>15000</v>
          </cell>
          <cell r="AR33">
            <v>15000</v>
          </cell>
          <cell r="AS33">
            <v>5372</v>
          </cell>
          <cell r="AT33">
            <v>5372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721.15384615384619</v>
          </cell>
          <cell r="BF33">
            <v>721.15384615384619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240</v>
          </cell>
          <cell r="BY33"/>
          <cell r="BZ33">
            <v>0</v>
          </cell>
          <cell r="CA33">
            <v>2037.2</v>
          </cell>
          <cell r="CB33">
            <v>21093.153846153848</v>
          </cell>
          <cell r="CC33">
            <v>23370.353846153848</v>
          </cell>
          <cell r="CD33">
            <v>25982.443846153848</v>
          </cell>
          <cell r="CE33">
            <v>679.06666666666672</v>
          </cell>
          <cell r="CF33">
            <v>20372</v>
          </cell>
          <cell r="CG33">
            <v>20372</v>
          </cell>
          <cell r="CH33">
            <v>22649.200000000001</v>
          </cell>
          <cell r="CI33">
            <v>20565.91</v>
          </cell>
          <cell r="CJ33">
            <v>30</v>
          </cell>
          <cell r="CK33">
            <v>3</v>
          </cell>
          <cell r="CL33">
            <v>20566.41</v>
          </cell>
          <cell r="CM33">
            <v>20565.91</v>
          </cell>
          <cell r="CN33"/>
          <cell r="CO33">
            <v>2083.29</v>
          </cell>
          <cell r="CP33">
            <v>1800</v>
          </cell>
          <cell r="CQ33">
            <v>152.79</v>
          </cell>
          <cell r="CR33">
            <v>0</v>
          </cell>
          <cell r="CS33">
            <v>130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0.5</v>
          </cell>
          <cell r="CZ33"/>
          <cell r="DA33">
            <v>1950</v>
          </cell>
          <cell r="DB33">
            <v>662.09</v>
          </cell>
          <cell r="DC33"/>
          <cell r="DD33">
            <v>4.5</v>
          </cell>
          <cell r="DE33">
            <v>6.33</v>
          </cell>
          <cell r="DF33">
            <v>1.83</v>
          </cell>
          <cell r="DG33">
            <v>0</v>
          </cell>
          <cell r="DH33">
            <v>3.5</v>
          </cell>
          <cell r="DI33">
            <v>4.75</v>
          </cell>
          <cell r="DJ33">
            <v>1.25</v>
          </cell>
          <cell r="DK33">
            <v>0</v>
          </cell>
          <cell r="DL33">
            <v>1</v>
          </cell>
        </row>
        <row r="34">
          <cell r="F34" t="str">
            <v>E0091</v>
          </cell>
          <cell r="G34" t="str">
            <v>MR. TAPAS ROY</v>
          </cell>
          <cell r="H34" t="str">
            <v>Male</v>
          </cell>
          <cell r="I34" t="str">
            <v>01/01/1977</v>
          </cell>
          <cell r="J34" t="str">
            <v>01/06/2004</v>
          </cell>
          <cell r="K34" t="str">
            <v>9674332518</v>
          </cell>
          <cell r="L34" t="str">
            <v/>
          </cell>
          <cell r="M34" t="str">
            <v/>
          </cell>
          <cell r="N34" t="str">
            <v/>
          </cell>
          <cell r="O34"/>
          <cell r="P34"/>
          <cell r="Q34" t="str">
            <v/>
          </cell>
          <cell r="R34" t="str">
            <v>ACTIVE</v>
          </cell>
          <cell r="S34" t="str">
            <v>STATE BANK OF INDIA</v>
          </cell>
          <cell r="T34" t="str">
            <v>SBIN0016913</v>
          </cell>
          <cell r="U34" t="str">
            <v>36560481144</v>
          </cell>
          <cell r="V34" t="str">
            <v>100389297577</v>
          </cell>
          <cell r="W34" t="str">
            <v>NA</v>
          </cell>
          <cell r="X34" t="str">
            <v>4005522528</v>
          </cell>
          <cell r="Y34" t="str">
            <v>CDIPR5460A</v>
          </cell>
          <cell r="Z34" t="str">
            <v>713114061014</v>
          </cell>
          <cell r="AA34" t="str">
            <v>TRUE</v>
          </cell>
          <cell r="AB34" t="str">
            <v>TRUE</v>
          </cell>
          <cell r="AC34" t="str">
            <v>FALSE</v>
          </cell>
          <cell r="AD34" t="str">
            <v>FALSE</v>
          </cell>
          <cell r="AE34" t="str">
            <v>FALSE</v>
          </cell>
          <cell r="AF34" t="str">
            <v/>
          </cell>
          <cell r="AG34" t="str">
            <v>FALSE</v>
          </cell>
          <cell r="AH34" t="str">
            <v/>
          </cell>
          <cell r="AI34" t="str">
            <v/>
          </cell>
          <cell r="AJ34" t="str">
            <v>PAYMENT RELEASE</v>
          </cell>
          <cell r="AK34"/>
          <cell r="AL34"/>
          <cell r="AM34"/>
          <cell r="AN34" t="str">
            <v>NA</v>
          </cell>
          <cell r="AO34"/>
          <cell r="AP34"/>
          <cell r="AQ34">
            <v>15000</v>
          </cell>
          <cell r="AR34">
            <v>15000</v>
          </cell>
          <cell r="AS34">
            <v>5372</v>
          </cell>
          <cell r="AT34">
            <v>5372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721.15384615384619</v>
          </cell>
          <cell r="BF34">
            <v>721.15384615384619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240</v>
          </cell>
          <cell r="BY34"/>
          <cell r="BZ34">
            <v>0</v>
          </cell>
          <cell r="CA34">
            <v>2037.2</v>
          </cell>
          <cell r="CB34">
            <v>21093.153846153848</v>
          </cell>
          <cell r="CC34">
            <v>23370.353846153848</v>
          </cell>
          <cell r="CD34">
            <v>25982.443846153848</v>
          </cell>
          <cell r="CE34">
            <v>679.06666666666672</v>
          </cell>
          <cell r="CF34">
            <v>20372</v>
          </cell>
          <cell r="CG34">
            <v>20372</v>
          </cell>
          <cell r="CH34">
            <v>22649.200000000001</v>
          </cell>
          <cell r="CI34">
            <v>20565.91</v>
          </cell>
          <cell r="CJ34">
            <v>30</v>
          </cell>
          <cell r="CK34">
            <v>3</v>
          </cell>
          <cell r="CL34">
            <v>20566.41</v>
          </cell>
          <cell r="CM34">
            <v>20565.91</v>
          </cell>
          <cell r="CN34"/>
          <cell r="CO34">
            <v>2083.29</v>
          </cell>
          <cell r="CP34">
            <v>1800</v>
          </cell>
          <cell r="CQ34">
            <v>152.79</v>
          </cell>
          <cell r="CR34">
            <v>0</v>
          </cell>
          <cell r="CS34">
            <v>130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0.5</v>
          </cell>
          <cell r="CZ34"/>
          <cell r="DA34">
            <v>1950</v>
          </cell>
          <cell r="DB34">
            <v>662.09</v>
          </cell>
          <cell r="DC34"/>
          <cell r="DD34">
            <v>2.5</v>
          </cell>
          <cell r="DE34">
            <v>4.33</v>
          </cell>
          <cell r="DF34">
            <v>1.83</v>
          </cell>
          <cell r="DG34">
            <v>0</v>
          </cell>
          <cell r="DH34">
            <v>1.5</v>
          </cell>
          <cell r="DI34">
            <v>2.75</v>
          </cell>
          <cell r="DJ34">
            <v>1.25</v>
          </cell>
          <cell r="DK34">
            <v>0</v>
          </cell>
          <cell r="DL34">
            <v>1</v>
          </cell>
        </row>
        <row r="35">
          <cell r="F35" t="str">
            <v>E0092</v>
          </cell>
          <cell r="G35" t="str">
            <v>MR. PRABIR SARDAR</v>
          </cell>
          <cell r="H35" t="str">
            <v>Male</v>
          </cell>
          <cell r="I35" t="str">
            <v>14/10/1975</v>
          </cell>
          <cell r="J35" t="str">
            <v>01/06/2004</v>
          </cell>
          <cell r="K35" t="str">
            <v>8420316324</v>
          </cell>
          <cell r="L35" t="str">
            <v/>
          </cell>
          <cell r="M35" t="str">
            <v/>
          </cell>
          <cell r="N35" t="str">
            <v/>
          </cell>
          <cell r="O35"/>
          <cell r="P35"/>
          <cell r="Q35" t="str">
            <v/>
          </cell>
          <cell r="R35" t="str">
            <v>ACTIVE</v>
          </cell>
          <cell r="S35" t="str">
            <v>STATE BANK OF INDIA</v>
          </cell>
          <cell r="T35" t="str">
            <v>SBIN0016913</v>
          </cell>
          <cell r="U35" t="str">
            <v>34215629670</v>
          </cell>
          <cell r="V35" t="str">
            <v>100273849525</v>
          </cell>
          <cell r="W35" t="str">
            <v>NA</v>
          </cell>
          <cell r="X35" t="str">
            <v>4005600462</v>
          </cell>
          <cell r="Y35" t="str">
            <v>DVZPS2584G</v>
          </cell>
          <cell r="Z35" t="str">
            <v>466731365716</v>
          </cell>
          <cell r="AA35" t="str">
            <v>TRUE</v>
          </cell>
          <cell r="AB35" t="str">
            <v>TRUE</v>
          </cell>
          <cell r="AC35" t="str">
            <v>FALSE</v>
          </cell>
          <cell r="AD35" t="str">
            <v>FALSE</v>
          </cell>
          <cell r="AE35" t="str">
            <v>FALSE</v>
          </cell>
          <cell r="AF35" t="str">
            <v/>
          </cell>
          <cell r="AG35" t="str">
            <v>FALSE</v>
          </cell>
          <cell r="AH35" t="str">
            <v/>
          </cell>
          <cell r="AI35" t="str">
            <v/>
          </cell>
          <cell r="AJ35" t="str">
            <v>PAYMENT RELEASE</v>
          </cell>
          <cell r="AK35"/>
          <cell r="AL35"/>
          <cell r="AM35"/>
          <cell r="AN35" t="str">
            <v>NA</v>
          </cell>
          <cell r="AO35"/>
          <cell r="AP35"/>
          <cell r="AQ35">
            <v>15000</v>
          </cell>
          <cell r="AR35">
            <v>15000</v>
          </cell>
          <cell r="AS35">
            <v>5372</v>
          </cell>
          <cell r="AT35">
            <v>5372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721.15384615384619</v>
          </cell>
          <cell r="BF35">
            <v>721.15384615384619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240</v>
          </cell>
          <cell r="BY35"/>
          <cell r="BZ35">
            <v>0</v>
          </cell>
          <cell r="CA35">
            <v>2037.2</v>
          </cell>
          <cell r="CB35">
            <v>21093.153846153848</v>
          </cell>
          <cell r="CC35">
            <v>23370.353846153848</v>
          </cell>
          <cell r="CD35">
            <v>25982.443846153848</v>
          </cell>
          <cell r="CE35">
            <v>679.06666666666672</v>
          </cell>
          <cell r="CF35">
            <v>20372</v>
          </cell>
          <cell r="CG35">
            <v>20372</v>
          </cell>
          <cell r="CH35">
            <v>22649.200000000001</v>
          </cell>
          <cell r="CI35">
            <v>20565.91</v>
          </cell>
          <cell r="CJ35">
            <v>30</v>
          </cell>
          <cell r="CK35">
            <v>3</v>
          </cell>
          <cell r="CL35">
            <v>20566.41</v>
          </cell>
          <cell r="CM35">
            <v>20565.91</v>
          </cell>
          <cell r="CN35"/>
          <cell r="CO35">
            <v>2083.29</v>
          </cell>
          <cell r="CP35">
            <v>1800</v>
          </cell>
          <cell r="CQ35">
            <v>152.79</v>
          </cell>
          <cell r="CR35">
            <v>0</v>
          </cell>
          <cell r="CS35">
            <v>130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0.5</v>
          </cell>
          <cell r="CZ35"/>
          <cell r="DA35">
            <v>1950</v>
          </cell>
          <cell r="DB35">
            <v>662.09</v>
          </cell>
          <cell r="DC35"/>
          <cell r="DD35">
            <v>5</v>
          </cell>
          <cell r="DE35">
            <v>6.83</v>
          </cell>
          <cell r="DF35">
            <v>1.83</v>
          </cell>
          <cell r="DG35">
            <v>0</v>
          </cell>
          <cell r="DH35">
            <v>3.5</v>
          </cell>
          <cell r="DI35">
            <v>4.75</v>
          </cell>
          <cell r="DJ35">
            <v>1.25</v>
          </cell>
          <cell r="DK35">
            <v>0</v>
          </cell>
          <cell r="DL35">
            <v>1.5</v>
          </cell>
        </row>
        <row r="36">
          <cell r="F36" t="str">
            <v>E0176</v>
          </cell>
          <cell r="G36" t="str">
            <v>MR. KASIM ALI SHEKH</v>
          </cell>
          <cell r="H36" t="str">
            <v>Male</v>
          </cell>
          <cell r="I36" t="str">
            <v>01/01/1972</v>
          </cell>
          <cell r="J36" t="str">
            <v>02/05/2009</v>
          </cell>
          <cell r="K36" t="str">
            <v>7044106353</v>
          </cell>
          <cell r="L36" t="str">
            <v/>
          </cell>
          <cell r="M36" t="str">
            <v/>
          </cell>
          <cell r="N36" t="str">
            <v/>
          </cell>
          <cell r="O36"/>
          <cell r="P36"/>
          <cell r="Q36" t="str">
            <v/>
          </cell>
          <cell r="R36" t="str">
            <v>ACTIVE</v>
          </cell>
          <cell r="S36" t="str">
            <v>STATE BANK OF INDIA</v>
          </cell>
          <cell r="T36" t="str">
            <v>SBIN0016913</v>
          </cell>
          <cell r="U36" t="str">
            <v>36560480627</v>
          </cell>
          <cell r="V36" t="str">
            <v>100191162854</v>
          </cell>
          <cell r="W36" t="str">
            <v>NA</v>
          </cell>
          <cell r="X36" t="str">
            <v>4005639256</v>
          </cell>
          <cell r="Y36" t="str">
            <v>EDIPK0945M</v>
          </cell>
          <cell r="Z36" t="str">
            <v>755146729789</v>
          </cell>
          <cell r="AA36" t="str">
            <v>TRUE</v>
          </cell>
          <cell r="AB36" t="str">
            <v>TRUE</v>
          </cell>
          <cell r="AC36" t="str">
            <v>FALSE</v>
          </cell>
          <cell r="AD36" t="str">
            <v>FALSE</v>
          </cell>
          <cell r="AE36" t="str">
            <v>FALSE</v>
          </cell>
          <cell r="AF36" t="str">
            <v/>
          </cell>
          <cell r="AG36" t="str">
            <v>FALSE</v>
          </cell>
          <cell r="AH36" t="str">
            <v/>
          </cell>
          <cell r="AI36" t="str">
            <v/>
          </cell>
          <cell r="AJ36" t="str">
            <v>PAYMENT RELEASE</v>
          </cell>
          <cell r="AK36"/>
          <cell r="AL36"/>
          <cell r="AM36"/>
          <cell r="AN36" t="str">
            <v>NA</v>
          </cell>
          <cell r="AO36"/>
          <cell r="AP36"/>
          <cell r="AQ36">
            <v>15000</v>
          </cell>
          <cell r="AR36">
            <v>15000</v>
          </cell>
          <cell r="AS36">
            <v>5372</v>
          </cell>
          <cell r="AT36">
            <v>5372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721.15384615384619</v>
          </cell>
          <cell r="BF36">
            <v>721.15384615384619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160</v>
          </cell>
          <cell r="BY36"/>
          <cell r="BZ36">
            <v>0</v>
          </cell>
          <cell r="CA36">
            <v>2037.2</v>
          </cell>
          <cell r="CB36">
            <v>21093.153846153848</v>
          </cell>
          <cell r="CC36">
            <v>23290.353846153848</v>
          </cell>
          <cell r="CD36">
            <v>25902.443846153848</v>
          </cell>
          <cell r="CE36">
            <v>679.06666666666672</v>
          </cell>
          <cell r="CF36">
            <v>20372</v>
          </cell>
          <cell r="CG36">
            <v>20372</v>
          </cell>
          <cell r="CH36">
            <v>22569.200000000001</v>
          </cell>
          <cell r="CI36">
            <v>19806.843333333334</v>
          </cell>
          <cell r="CJ36">
            <v>30</v>
          </cell>
          <cell r="CK36">
            <v>2</v>
          </cell>
          <cell r="CL36">
            <v>19807.343333333334</v>
          </cell>
          <cell r="CM36">
            <v>20485.91</v>
          </cell>
          <cell r="CN36"/>
          <cell r="CO36">
            <v>2083.29</v>
          </cell>
          <cell r="CP36">
            <v>1800</v>
          </cell>
          <cell r="CQ36">
            <v>152.79</v>
          </cell>
          <cell r="CR36">
            <v>0</v>
          </cell>
          <cell r="CS36">
            <v>130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0.5</v>
          </cell>
          <cell r="CZ36"/>
          <cell r="DA36">
            <v>1950</v>
          </cell>
          <cell r="DB36">
            <v>662.09</v>
          </cell>
          <cell r="DC36"/>
          <cell r="DD36">
            <v>3</v>
          </cell>
          <cell r="DE36">
            <v>4.83</v>
          </cell>
          <cell r="DF36">
            <v>1.83</v>
          </cell>
          <cell r="DG36">
            <v>0</v>
          </cell>
          <cell r="DH36">
            <v>2</v>
          </cell>
          <cell r="DI36">
            <v>3.25</v>
          </cell>
          <cell r="DJ36">
            <v>1.25</v>
          </cell>
          <cell r="DK36">
            <v>0</v>
          </cell>
          <cell r="DL36">
            <v>1</v>
          </cell>
        </row>
        <row r="37">
          <cell r="F37" t="str">
            <v>E0069</v>
          </cell>
          <cell r="G37" t="str">
            <v>MR. SANATAN NASKAR</v>
          </cell>
          <cell r="H37" t="str">
            <v>Male</v>
          </cell>
          <cell r="I37" t="str">
            <v>02/01/1975</v>
          </cell>
          <cell r="J37" t="str">
            <v>01/06/2004</v>
          </cell>
          <cell r="K37" t="str">
            <v>9681881678</v>
          </cell>
          <cell r="L37" t="str">
            <v/>
          </cell>
          <cell r="M37" t="str">
            <v/>
          </cell>
          <cell r="N37" t="str">
            <v/>
          </cell>
          <cell r="O37"/>
          <cell r="P37"/>
          <cell r="Q37" t="str">
            <v>ELECTRICIAN</v>
          </cell>
          <cell r="R37" t="str">
            <v>ACTIVE</v>
          </cell>
          <cell r="S37" t="str">
            <v>STATE BANK OF INDIA</v>
          </cell>
          <cell r="T37" t="str">
            <v>SBIN0016913</v>
          </cell>
          <cell r="U37" t="str">
            <v>34733197547</v>
          </cell>
          <cell r="V37" t="str">
            <v>100330450493</v>
          </cell>
          <cell r="W37" t="str">
            <v>NA</v>
          </cell>
          <cell r="X37" t="str">
            <v>4005522074</v>
          </cell>
          <cell r="Y37" t="str">
            <v>AVQPN9422L</v>
          </cell>
          <cell r="Z37" t="str">
            <v>463271637203</v>
          </cell>
          <cell r="AA37" t="str">
            <v>TRUE</v>
          </cell>
          <cell r="AB37" t="str">
            <v>TRUE</v>
          </cell>
          <cell r="AC37" t="str">
            <v>FALSE</v>
          </cell>
          <cell r="AD37" t="str">
            <v>FALSE</v>
          </cell>
          <cell r="AE37" t="str">
            <v>FALSE</v>
          </cell>
          <cell r="AF37" t="str">
            <v/>
          </cell>
          <cell r="AG37" t="str">
            <v>FALSE</v>
          </cell>
          <cell r="AH37" t="str">
            <v/>
          </cell>
          <cell r="AI37" t="str">
            <v/>
          </cell>
          <cell r="AJ37" t="str">
            <v>PAYMENT RELEASE</v>
          </cell>
          <cell r="AK37"/>
          <cell r="AL37"/>
          <cell r="AM37"/>
          <cell r="AN37" t="str">
            <v>NA</v>
          </cell>
          <cell r="AO37"/>
          <cell r="AP37"/>
          <cell r="AQ37">
            <v>15000</v>
          </cell>
          <cell r="AR37">
            <v>15000</v>
          </cell>
          <cell r="AS37">
            <v>5372</v>
          </cell>
          <cell r="AT37">
            <v>5372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721.15384615384619</v>
          </cell>
          <cell r="BF37">
            <v>721.15384615384619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4753.47</v>
          </cell>
          <cell r="BW37">
            <v>0</v>
          </cell>
          <cell r="BX37">
            <v>80</v>
          </cell>
          <cell r="BY37"/>
          <cell r="BZ37">
            <v>0</v>
          </cell>
          <cell r="CA37">
            <v>1358.13</v>
          </cell>
          <cell r="CB37">
            <v>21093.153846153848</v>
          </cell>
          <cell r="CC37">
            <v>27284.753846153846</v>
          </cell>
          <cell r="CD37">
            <v>29896.843846153846</v>
          </cell>
          <cell r="CE37">
            <v>679.06666666666672</v>
          </cell>
          <cell r="CF37">
            <v>20372</v>
          </cell>
          <cell r="CG37">
            <v>20372</v>
          </cell>
          <cell r="CH37">
            <v>26563.599999999999</v>
          </cell>
          <cell r="CI37">
            <v>23801.24666666667</v>
          </cell>
          <cell r="CJ37">
            <v>30</v>
          </cell>
          <cell r="CK37">
            <v>1</v>
          </cell>
          <cell r="CL37">
            <v>23801.746666666666</v>
          </cell>
          <cell r="CM37">
            <v>24480.309999999998</v>
          </cell>
          <cell r="CN37"/>
          <cell r="CO37">
            <v>2083.29</v>
          </cell>
          <cell r="CP37">
            <v>1800</v>
          </cell>
          <cell r="CQ37">
            <v>152.79</v>
          </cell>
          <cell r="CR37">
            <v>0</v>
          </cell>
          <cell r="CS37">
            <v>130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0.5</v>
          </cell>
          <cell r="CZ37"/>
          <cell r="DA37">
            <v>1950</v>
          </cell>
          <cell r="DB37">
            <v>662.09</v>
          </cell>
          <cell r="DC37"/>
          <cell r="DD37">
            <v>2</v>
          </cell>
          <cell r="DE37">
            <v>3.83</v>
          </cell>
          <cell r="DF37">
            <v>1.83</v>
          </cell>
          <cell r="DG37">
            <v>0</v>
          </cell>
          <cell r="DH37">
            <v>1.5</v>
          </cell>
          <cell r="DI37">
            <v>2.75</v>
          </cell>
          <cell r="DJ37">
            <v>1.25</v>
          </cell>
          <cell r="DK37">
            <v>0</v>
          </cell>
          <cell r="DL37">
            <v>0.5</v>
          </cell>
        </row>
        <row r="38">
          <cell r="F38" t="str">
            <v>E0062</v>
          </cell>
          <cell r="G38" t="str">
            <v>MR. HEMANTO CHOWDHURY</v>
          </cell>
          <cell r="H38" t="str">
            <v>Male</v>
          </cell>
          <cell r="I38" t="str">
            <v>28/12/1974</v>
          </cell>
          <cell r="J38" t="str">
            <v>01/06/2004</v>
          </cell>
          <cell r="K38" t="str">
            <v>8017250965</v>
          </cell>
          <cell r="L38" t="str">
            <v/>
          </cell>
          <cell r="M38" t="str">
            <v/>
          </cell>
          <cell r="N38" t="str">
            <v/>
          </cell>
          <cell r="O38"/>
          <cell r="P38"/>
          <cell r="Q38" t="str">
            <v/>
          </cell>
          <cell r="R38" t="str">
            <v>ACTIVE</v>
          </cell>
          <cell r="S38" t="str">
            <v>STATE BANK OF INDIA</v>
          </cell>
          <cell r="T38" t="str">
            <v>SBIN0016913</v>
          </cell>
          <cell r="U38" t="str">
            <v>36560480934</v>
          </cell>
          <cell r="V38" t="str">
            <v>100164140335</v>
          </cell>
          <cell r="W38" t="str">
            <v>NA</v>
          </cell>
          <cell r="X38" t="str">
            <v>4005522067</v>
          </cell>
          <cell r="Y38" t="str">
            <v>BBDPC1429E</v>
          </cell>
          <cell r="Z38" t="str">
            <v>788135782747</v>
          </cell>
          <cell r="AA38" t="str">
            <v>TRUE</v>
          </cell>
          <cell r="AB38" t="str">
            <v>TRUE</v>
          </cell>
          <cell r="AC38" t="str">
            <v>FALSE</v>
          </cell>
          <cell r="AD38" t="str">
            <v>FALSE</v>
          </cell>
          <cell r="AE38" t="str">
            <v>FALSE</v>
          </cell>
          <cell r="AF38" t="str">
            <v/>
          </cell>
          <cell r="AG38" t="str">
            <v>FALSE</v>
          </cell>
          <cell r="AH38" t="str">
            <v/>
          </cell>
          <cell r="AI38" t="str">
            <v/>
          </cell>
          <cell r="AJ38" t="str">
            <v>PAYMENT RELEASE</v>
          </cell>
          <cell r="AK38"/>
          <cell r="AL38"/>
          <cell r="AM38"/>
          <cell r="AN38" t="str">
            <v>NA</v>
          </cell>
          <cell r="AO38"/>
          <cell r="AP38"/>
          <cell r="AQ38">
            <v>15000</v>
          </cell>
          <cell r="AR38">
            <v>15000</v>
          </cell>
          <cell r="AS38">
            <v>5372</v>
          </cell>
          <cell r="AT38">
            <v>5372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721.15384615384619</v>
          </cell>
          <cell r="BF38">
            <v>721.15384615384619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80</v>
          </cell>
          <cell r="BY38"/>
          <cell r="BZ38">
            <v>0</v>
          </cell>
          <cell r="CA38">
            <v>2037.2</v>
          </cell>
          <cell r="CB38">
            <v>21093.153846153848</v>
          </cell>
          <cell r="CC38">
            <v>23210.353846153848</v>
          </cell>
          <cell r="CD38">
            <v>25822.443846153848</v>
          </cell>
          <cell r="CE38">
            <v>679.06666666666672</v>
          </cell>
          <cell r="CF38">
            <v>20372</v>
          </cell>
          <cell r="CG38">
            <v>20372</v>
          </cell>
          <cell r="CH38">
            <v>22489.200000000001</v>
          </cell>
          <cell r="CI38">
            <v>19047.776666666668</v>
          </cell>
          <cell r="CJ38">
            <v>30</v>
          </cell>
          <cell r="CK38">
            <v>1</v>
          </cell>
          <cell r="CL38">
            <v>19048.276666666665</v>
          </cell>
          <cell r="CM38">
            <v>20405.91</v>
          </cell>
          <cell r="CN38"/>
          <cell r="CO38">
            <v>2083.29</v>
          </cell>
          <cell r="CP38">
            <v>1800</v>
          </cell>
          <cell r="CQ38">
            <v>152.79</v>
          </cell>
          <cell r="CR38">
            <v>0</v>
          </cell>
          <cell r="CS38">
            <v>130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0.5</v>
          </cell>
          <cell r="CZ38"/>
          <cell r="DA38">
            <v>1950</v>
          </cell>
          <cell r="DB38">
            <v>662.09</v>
          </cell>
          <cell r="DC38"/>
          <cell r="DD38">
            <v>5</v>
          </cell>
          <cell r="DE38">
            <v>6.83</v>
          </cell>
          <cell r="DF38">
            <v>1.83</v>
          </cell>
          <cell r="DG38">
            <v>0</v>
          </cell>
          <cell r="DH38">
            <v>3.5</v>
          </cell>
          <cell r="DI38">
            <v>4.75</v>
          </cell>
          <cell r="DJ38">
            <v>1.25</v>
          </cell>
          <cell r="DK38">
            <v>0</v>
          </cell>
          <cell r="DL38">
            <v>1.5</v>
          </cell>
        </row>
        <row r="39">
          <cell r="F39" t="str">
            <v>E0079</v>
          </cell>
          <cell r="G39" t="str">
            <v>MR. SUNIL NASKAR</v>
          </cell>
          <cell r="H39" t="str">
            <v>Male</v>
          </cell>
          <cell r="I39" t="str">
            <v>01/01/1980</v>
          </cell>
          <cell r="J39" t="str">
            <v>01/06/2004</v>
          </cell>
          <cell r="K39" t="str">
            <v>9051427531</v>
          </cell>
          <cell r="L39" t="str">
            <v/>
          </cell>
          <cell r="M39" t="str">
            <v/>
          </cell>
          <cell r="N39" t="str">
            <v/>
          </cell>
          <cell r="O39"/>
          <cell r="P39"/>
          <cell r="Q39" t="str">
            <v/>
          </cell>
          <cell r="R39" t="str">
            <v>ACTIVE</v>
          </cell>
          <cell r="S39" t="str">
            <v>STATE BANK OF INDIA</v>
          </cell>
          <cell r="T39" t="str">
            <v>SBIN0016913</v>
          </cell>
          <cell r="U39" t="str">
            <v>36560480854</v>
          </cell>
          <cell r="V39" t="str">
            <v>100371018954</v>
          </cell>
          <cell r="W39" t="str">
            <v>NA</v>
          </cell>
          <cell r="X39" t="str">
            <v>4005522526</v>
          </cell>
          <cell r="Y39" t="str">
            <v>AZYPN2669P</v>
          </cell>
          <cell r="Z39" t="str">
            <v>512377816318</v>
          </cell>
          <cell r="AA39" t="str">
            <v>TRUE</v>
          </cell>
          <cell r="AB39" t="str">
            <v>TRUE</v>
          </cell>
          <cell r="AC39" t="str">
            <v>FALSE</v>
          </cell>
          <cell r="AD39" t="str">
            <v>FALSE</v>
          </cell>
          <cell r="AE39" t="str">
            <v>FALSE</v>
          </cell>
          <cell r="AF39" t="str">
            <v/>
          </cell>
          <cell r="AG39" t="str">
            <v>FALSE</v>
          </cell>
          <cell r="AH39" t="str">
            <v/>
          </cell>
          <cell r="AI39" t="str">
            <v/>
          </cell>
          <cell r="AJ39" t="str">
            <v>PAYMENT RELEASE</v>
          </cell>
          <cell r="AK39"/>
          <cell r="AL39"/>
          <cell r="AM39"/>
          <cell r="AN39" t="str">
            <v>NA</v>
          </cell>
          <cell r="AO39"/>
          <cell r="AP39"/>
          <cell r="AQ39">
            <v>15000</v>
          </cell>
          <cell r="AR39">
            <v>15000</v>
          </cell>
          <cell r="AS39">
            <v>5372</v>
          </cell>
          <cell r="AT39">
            <v>5372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721.15384615384619</v>
          </cell>
          <cell r="BF39">
            <v>721.15384615384619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240</v>
          </cell>
          <cell r="BY39"/>
          <cell r="BZ39">
            <v>0</v>
          </cell>
          <cell r="CA39">
            <v>1358.13</v>
          </cell>
          <cell r="CB39">
            <v>21093.153846153848</v>
          </cell>
          <cell r="CC39">
            <v>22691.283846153849</v>
          </cell>
          <cell r="CD39">
            <v>25303.373846153849</v>
          </cell>
          <cell r="CE39">
            <v>679.06666666666672</v>
          </cell>
          <cell r="CF39">
            <v>20372</v>
          </cell>
          <cell r="CG39">
            <v>20372</v>
          </cell>
          <cell r="CH39">
            <v>21970.13</v>
          </cell>
          <cell r="CI39">
            <v>20565.91</v>
          </cell>
          <cell r="CJ39">
            <v>30</v>
          </cell>
          <cell r="CK39">
            <v>3</v>
          </cell>
          <cell r="CL39">
            <v>20566.41</v>
          </cell>
          <cell r="CM39">
            <v>19886.84</v>
          </cell>
          <cell r="CN39"/>
          <cell r="CO39">
            <v>2083.29</v>
          </cell>
          <cell r="CP39">
            <v>1800</v>
          </cell>
          <cell r="CQ39">
            <v>152.79</v>
          </cell>
          <cell r="CR39">
            <v>0</v>
          </cell>
          <cell r="CS39">
            <v>130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0.5</v>
          </cell>
          <cell r="CZ39"/>
          <cell r="DA39">
            <v>1950</v>
          </cell>
          <cell r="DB39">
            <v>662.09</v>
          </cell>
          <cell r="DC39"/>
          <cell r="DD39">
            <v>3</v>
          </cell>
          <cell r="DE39">
            <v>4.83</v>
          </cell>
          <cell r="DF39">
            <v>1.83</v>
          </cell>
          <cell r="DG39">
            <v>0</v>
          </cell>
          <cell r="DH39">
            <v>2.5</v>
          </cell>
          <cell r="DI39">
            <v>3.75</v>
          </cell>
          <cell r="DJ39">
            <v>1.25</v>
          </cell>
          <cell r="DK39">
            <v>0</v>
          </cell>
          <cell r="DL39">
            <v>0.5</v>
          </cell>
        </row>
        <row r="40">
          <cell r="F40" t="str">
            <v>E0058</v>
          </cell>
          <cell r="G40" t="str">
            <v>MR. AJIT GAYEN</v>
          </cell>
          <cell r="H40" t="str">
            <v>Male</v>
          </cell>
          <cell r="I40" t="str">
            <v>01/01/1970</v>
          </cell>
          <cell r="J40" t="str">
            <v>01/06/2004</v>
          </cell>
          <cell r="K40" t="str">
            <v>8334994783</v>
          </cell>
          <cell r="L40" t="str">
            <v/>
          </cell>
          <cell r="M40" t="str">
            <v/>
          </cell>
          <cell r="N40" t="str">
            <v/>
          </cell>
          <cell r="O40"/>
          <cell r="P40"/>
          <cell r="Q40" t="str">
            <v/>
          </cell>
          <cell r="R40" t="str">
            <v>ACTIVE</v>
          </cell>
          <cell r="S40" t="str">
            <v>STATE BANK OF INDIA</v>
          </cell>
          <cell r="T40" t="str">
            <v>SBIN0016913</v>
          </cell>
          <cell r="U40" t="str">
            <v>36571012135</v>
          </cell>
          <cell r="V40" t="str">
            <v>100076077865</v>
          </cell>
          <cell r="W40" t="str">
            <v>NA</v>
          </cell>
          <cell r="X40" t="str">
            <v>4005522063</v>
          </cell>
          <cell r="Y40" t="str">
            <v>BTLPG5606B</v>
          </cell>
          <cell r="Z40" t="str">
            <v>743188630435</v>
          </cell>
          <cell r="AA40" t="str">
            <v>TRUE</v>
          </cell>
          <cell r="AB40" t="str">
            <v>TRUE</v>
          </cell>
          <cell r="AC40" t="str">
            <v>FALSE</v>
          </cell>
          <cell r="AD40" t="str">
            <v>FALSE</v>
          </cell>
          <cell r="AE40" t="str">
            <v>FALSE</v>
          </cell>
          <cell r="AF40" t="str">
            <v/>
          </cell>
          <cell r="AG40" t="str">
            <v>FALSE</v>
          </cell>
          <cell r="AH40" t="str">
            <v/>
          </cell>
          <cell r="AI40" t="str">
            <v/>
          </cell>
          <cell r="AJ40" t="str">
            <v>PAYMENT RELEASE</v>
          </cell>
          <cell r="AK40"/>
          <cell r="AL40"/>
          <cell r="AM40"/>
          <cell r="AN40" t="str">
            <v>NA</v>
          </cell>
          <cell r="AO40"/>
          <cell r="AP40"/>
          <cell r="AQ40">
            <v>15000</v>
          </cell>
          <cell r="AR40">
            <v>15000</v>
          </cell>
          <cell r="AS40">
            <v>5372</v>
          </cell>
          <cell r="AT40">
            <v>5372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721.15384615384619</v>
          </cell>
          <cell r="BF40">
            <v>721.15384615384619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240</v>
          </cell>
          <cell r="BY40"/>
          <cell r="BZ40">
            <v>0</v>
          </cell>
          <cell r="CA40">
            <v>1358.13</v>
          </cell>
          <cell r="CB40">
            <v>21093.153846153848</v>
          </cell>
          <cell r="CC40">
            <v>22691.283846153849</v>
          </cell>
          <cell r="CD40">
            <v>25303.373846153849</v>
          </cell>
          <cell r="CE40">
            <v>679.06666666666672</v>
          </cell>
          <cell r="CF40">
            <v>20372</v>
          </cell>
          <cell r="CG40">
            <v>20372</v>
          </cell>
          <cell r="CH40">
            <v>21970.13</v>
          </cell>
          <cell r="CI40">
            <v>20565.91</v>
          </cell>
          <cell r="CJ40">
            <v>30</v>
          </cell>
          <cell r="CK40">
            <v>3</v>
          </cell>
          <cell r="CL40">
            <v>20566.41</v>
          </cell>
          <cell r="CM40">
            <v>19886.84</v>
          </cell>
          <cell r="CN40"/>
          <cell r="CO40">
            <v>2083.29</v>
          </cell>
          <cell r="CP40">
            <v>1800</v>
          </cell>
          <cell r="CQ40">
            <v>152.79</v>
          </cell>
          <cell r="CR40">
            <v>0</v>
          </cell>
          <cell r="CS40">
            <v>130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0.5</v>
          </cell>
          <cell r="CZ40"/>
          <cell r="DA40">
            <v>1950</v>
          </cell>
          <cell r="DB40">
            <v>662.09</v>
          </cell>
          <cell r="DC40"/>
          <cell r="DD40">
            <v>5</v>
          </cell>
          <cell r="DE40">
            <v>5.83</v>
          </cell>
          <cell r="DF40">
            <v>1.83</v>
          </cell>
          <cell r="DG40">
            <v>1</v>
          </cell>
          <cell r="DH40">
            <v>3.5</v>
          </cell>
          <cell r="DI40">
            <v>4.75</v>
          </cell>
          <cell r="DJ40">
            <v>1.25</v>
          </cell>
          <cell r="DK40">
            <v>0</v>
          </cell>
          <cell r="DL40">
            <v>1.5</v>
          </cell>
        </row>
        <row r="41">
          <cell r="F41" t="str">
            <v>E0045</v>
          </cell>
          <cell r="G41" t="str">
            <v>MR. JAKIR HUSSAIN MOLYA</v>
          </cell>
          <cell r="H41" t="str">
            <v>Male</v>
          </cell>
          <cell r="I41" t="str">
            <v>01/01/1968</v>
          </cell>
          <cell r="J41" t="str">
            <v>01/06/2004</v>
          </cell>
          <cell r="K41" t="str">
            <v>8478917476</v>
          </cell>
          <cell r="L41" t="str">
            <v/>
          </cell>
          <cell r="M41" t="str">
            <v/>
          </cell>
          <cell r="N41" t="str">
            <v/>
          </cell>
          <cell r="O41"/>
          <cell r="P41"/>
          <cell r="Q41" t="str">
            <v/>
          </cell>
          <cell r="R41" t="str">
            <v>ACTIVE</v>
          </cell>
          <cell r="S41" t="str">
            <v>STATE BANK OF INDIA</v>
          </cell>
          <cell r="T41" t="str">
            <v>SBIN0016913</v>
          </cell>
          <cell r="U41" t="str">
            <v>36560480832</v>
          </cell>
          <cell r="V41" t="str">
            <v>100225488874</v>
          </cell>
          <cell r="W41" t="str">
            <v>NA</v>
          </cell>
          <cell r="X41" t="str">
            <v>4005522057</v>
          </cell>
          <cell r="Y41" t="str">
            <v>CYEPM3092A</v>
          </cell>
          <cell r="Z41" t="str">
            <v>879303756736</v>
          </cell>
          <cell r="AA41" t="str">
            <v>TRUE</v>
          </cell>
          <cell r="AB41" t="str">
            <v>TRUE</v>
          </cell>
          <cell r="AC41" t="str">
            <v>FALSE</v>
          </cell>
          <cell r="AD41" t="str">
            <v>FALSE</v>
          </cell>
          <cell r="AE41" t="str">
            <v>FALSE</v>
          </cell>
          <cell r="AF41" t="str">
            <v/>
          </cell>
          <cell r="AG41" t="str">
            <v>FALSE</v>
          </cell>
          <cell r="AH41" t="str">
            <v/>
          </cell>
          <cell r="AI41" t="str">
            <v/>
          </cell>
          <cell r="AJ41" t="str">
            <v>PAYMENT RELEASE</v>
          </cell>
          <cell r="AK41"/>
          <cell r="AL41"/>
          <cell r="AM41"/>
          <cell r="AN41" t="str">
            <v>NA</v>
          </cell>
          <cell r="AO41"/>
          <cell r="AP41"/>
          <cell r="AQ41">
            <v>15000</v>
          </cell>
          <cell r="AR41">
            <v>15000</v>
          </cell>
          <cell r="AS41">
            <v>5372</v>
          </cell>
          <cell r="AT41">
            <v>5372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721.15384615384619</v>
          </cell>
          <cell r="BF41">
            <v>721.15384615384619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160</v>
          </cell>
          <cell r="BY41"/>
          <cell r="BZ41">
            <v>0</v>
          </cell>
          <cell r="CA41">
            <v>1358.13</v>
          </cell>
          <cell r="CB41">
            <v>21093.153846153848</v>
          </cell>
          <cell r="CC41">
            <v>22611.283846153849</v>
          </cell>
          <cell r="CD41">
            <v>25223.373846153849</v>
          </cell>
          <cell r="CE41">
            <v>679.06666666666672</v>
          </cell>
          <cell r="CF41">
            <v>20372</v>
          </cell>
          <cell r="CG41">
            <v>20372</v>
          </cell>
          <cell r="CH41">
            <v>21890.13</v>
          </cell>
          <cell r="CI41">
            <v>19806.843333333334</v>
          </cell>
          <cell r="CJ41">
            <v>30</v>
          </cell>
          <cell r="CK41">
            <v>2</v>
          </cell>
          <cell r="CL41">
            <v>19807.343333333334</v>
          </cell>
          <cell r="CM41">
            <v>19806.84</v>
          </cell>
          <cell r="CN41"/>
          <cell r="CO41">
            <v>2083.29</v>
          </cell>
          <cell r="CP41">
            <v>1800</v>
          </cell>
          <cell r="CQ41">
            <v>152.79</v>
          </cell>
          <cell r="CR41">
            <v>0</v>
          </cell>
          <cell r="CS41">
            <v>130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0.5</v>
          </cell>
          <cell r="CZ41"/>
          <cell r="DA41">
            <v>1950</v>
          </cell>
          <cell r="DB41">
            <v>662.09</v>
          </cell>
          <cell r="DC41"/>
          <cell r="DD41">
            <v>3.5</v>
          </cell>
          <cell r="DE41">
            <v>5.33</v>
          </cell>
          <cell r="DF41">
            <v>1.83</v>
          </cell>
          <cell r="DG41">
            <v>0</v>
          </cell>
          <cell r="DH41">
            <v>2</v>
          </cell>
          <cell r="DI41">
            <v>3.25</v>
          </cell>
          <cell r="DJ41">
            <v>1.25</v>
          </cell>
          <cell r="DK41">
            <v>0</v>
          </cell>
          <cell r="DL41">
            <v>1.5</v>
          </cell>
        </row>
        <row r="42">
          <cell r="F42" t="str">
            <v>E0090</v>
          </cell>
          <cell r="G42" t="str">
            <v>MR. SUMAN NEYE</v>
          </cell>
          <cell r="H42" t="str">
            <v>Male</v>
          </cell>
          <cell r="I42" t="str">
            <v>23/01/1977</v>
          </cell>
          <cell r="J42" t="str">
            <v>01/06/2004</v>
          </cell>
          <cell r="K42" t="str">
            <v>9007461426</v>
          </cell>
          <cell r="L42" t="str">
            <v/>
          </cell>
          <cell r="M42" t="str">
            <v/>
          </cell>
          <cell r="N42" t="str">
            <v/>
          </cell>
          <cell r="O42"/>
          <cell r="P42"/>
          <cell r="Q42" t="str">
            <v/>
          </cell>
          <cell r="R42" t="str">
            <v>ACTIVE</v>
          </cell>
          <cell r="S42" t="str">
            <v>STATE BANK OF INDIA</v>
          </cell>
          <cell r="T42" t="str">
            <v>SBIN0016913</v>
          </cell>
          <cell r="U42" t="str">
            <v>36560480989</v>
          </cell>
          <cell r="V42" t="str">
            <v>100368495920</v>
          </cell>
          <cell r="W42" t="str">
            <v>NA</v>
          </cell>
          <cell r="X42" t="str">
            <v>4005522527</v>
          </cell>
          <cell r="Y42" t="str">
            <v>AJRPN7314A</v>
          </cell>
          <cell r="Z42" t="str">
            <v>804007855874</v>
          </cell>
          <cell r="AA42" t="str">
            <v>TRUE</v>
          </cell>
          <cell r="AB42" t="str">
            <v>TRUE</v>
          </cell>
          <cell r="AC42" t="str">
            <v>FALSE</v>
          </cell>
          <cell r="AD42" t="str">
            <v>FALSE</v>
          </cell>
          <cell r="AE42" t="str">
            <v>FALSE</v>
          </cell>
          <cell r="AF42" t="str">
            <v/>
          </cell>
          <cell r="AG42" t="str">
            <v>FALSE</v>
          </cell>
          <cell r="AH42" t="str">
            <v/>
          </cell>
          <cell r="AI42" t="str">
            <v/>
          </cell>
          <cell r="AJ42" t="str">
            <v>PAYMENT RELEASE</v>
          </cell>
          <cell r="AK42"/>
          <cell r="AL42"/>
          <cell r="AM42"/>
          <cell r="AN42" t="str">
            <v>NA</v>
          </cell>
          <cell r="AO42"/>
          <cell r="AP42"/>
          <cell r="AQ42">
            <v>15000</v>
          </cell>
          <cell r="AR42">
            <v>15000</v>
          </cell>
          <cell r="AS42">
            <v>5372</v>
          </cell>
          <cell r="AT42">
            <v>5372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721.15384615384619</v>
          </cell>
          <cell r="BF42">
            <v>721.15384615384619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240</v>
          </cell>
          <cell r="BY42"/>
          <cell r="BZ42">
            <v>0</v>
          </cell>
          <cell r="CA42">
            <v>1358.13</v>
          </cell>
          <cell r="CB42">
            <v>21093.153846153848</v>
          </cell>
          <cell r="CC42">
            <v>22691.283846153849</v>
          </cell>
          <cell r="CD42">
            <v>25303.373846153849</v>
          </cell>
          <cell r="CE42">
            <v>679.06666666666672</v>
          </cell>
          <cell r="CF42">
            <v>20372</v>
          </cell>
          <cell r="CG42">
            <v>20372</v>
          </cell>
          <cell r="CH42">
            <v>21970.13</v>
          </cell>
          <cell r="CI42">
            <v>20565.91</v>
          </cell>
          <cell r="CJ42">
            <v>30</v>
          </cell>
          <cell r="CK42">
            <v>3</v>
          </cell>
          <cell r="CL42">
            <v>20566.41</v>
          </cell>
          <cell r="CM42">
            <v>19886.84</v>
          </cell>
          <cell r="CN42"/>
          <cell r="CO42">
            <v>2083.29</v>
          </cell>
          <cell r="CP42">
            <v>1800</v>
          </cell>
          <cell r="CQ42">
            <v>152.79</v>
          </cell>
          <cell r="CR42">
            <v>0</v>
          </cell>
          <cell r="CS42">
            <v>130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0.5</v>
          </cell>
          <cell r="CZ42"/>
          <cell r="DA42">
            <v>1950</v>
          </cell>
          <cell r="DB42">
            <v>662.09</v>
          </cell>
          <cell r="DC42"/>
          <cell r="DD42">
            <v>5</v>
          </cell>
          <cell r="DE42">
            <v>5.83</v>
          </cell>
          <cell r="DF42">
            <v>1.83</v>
          </cell>
          <cell r="DG42">
            <v>1</v>
          </cell>
          <cell r="DH42">
            <v>3.5</v>
          </cell>
          <cell r="DI42">
            <v>4.75</v>
          </cell>
          <cell r="DJ42">
            <v>1.25</v>
          </cell>
          <cell r="DK42">
            <v>0</v>
          </cell>
          <cell r="DL42">
            <v>1.5</v>
          </cell>
        </row>
        <row r="43">
          <cell r="F43" t="str">
            <v>E0089</v>
          </cell>
          <cell r="G43" t="str">
            <v>MR. BIKASH BRATA MONDAL</v>
          </cell>
          <cell r="H43" t="str">
            <v>Male</v>
          </cell>
          <cell r="I43" t="str">
            <v>22/06/1972</v>
          </cell>
          <cell r="J43" t="str">
            <v>01/06/2004</v>
          </cell>
          <cell r="K43" t="str">
            <v>9331413155</v>
          </cell>
          <cell r="L43" t="str">
            <v/>
          </cell>
          <cell r="M43" t="str">
            <v/>
          </cell>
          <cell r="N43" t="str">
            <v/>
          </cell>
          <cell r="O43"/>
          <cell r="P43"/>
          <cell r="Q43" t="str">
            <v/>
          </cell>
          <cell r="R43" t="str">
            <v>ACTIVE</v>
          </cell>
          <cell r="S43" t="str">
            <v>STATE BANK OF INDIA</v>
          </cell>
          <cell r="T43" t="str">
            <v>SBIN0016913</v>
          </cell>
          <cell r="U43" t="str">
            <v>36560480967</v>
          </cell>
          <cell r="V43" t="str">
            <v>100114413029</v>
          </cell>
          <cell r="W43" t="str">
            <v>NA</v>
          </cell>
          <cell r="X43" t="str">
            <v>4005522519</v>
          </cell>
          <cell r="Y43" t="str">
            <v>CPYPM9462B</v>
          </cell>
          <cell r="Z43" t="str">
            <v>713089281596</v>
          </cell>
          <cell r="AA43" t="str">
            <v>TRUE</v>
          </cell>
          <cell r="AB43" t="str">
            <v>TRUE</v>
          </cell>
          <cell r="AC43" t="str">
            <v>FALSE</v>
          </cell>
          <cell r="AD43" t="str">
            <v>FALSE</v>
          </cell>
          <cell r="AE43" t="str">
            <v>FALSE</v>
          </cell>
          <cell r="AF43" t="str">
            <v/>
          </cell>
          <cell r="AG43" t="str">
            <v>FALSE</v>
          </cell>
          <cell r="AH43" t="str">
            <v/>
          </cell>
          <cell r="AI43" t="str">
            <v/>
          </cell>
          <cell r="AJ43" t="str">
            <v>PAYMENT RELEASE</v>
          </cell>
          <cell r="AK43"/>
          <cell r="AL43"/>
          <cell r="AM43"/>
          <cell r="AN43" t="str">
            <v>NA</v>
          </cell>
          <cell r="AO43"/>
          <cell r="AP43"/>
          <cell r="AQ43">
            <v>15000</v>
          </cell>
          <cell r="AR43">
            <v>15000</v>
          </cell>
          <cell r="AS43">
            <v>5372</v>
          </cell>
          <cell r="AT43">
            <v>5372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721.15384615384619</v>
          </cell>
          <cell r="BF43">
            <v>721.15384615384619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80</v>
          </cell>
          <cell r="BY43"/>
          <cell r="BZ43">
            <v>0</v>
          </cell>
          <cell r="CA43">
            <v>1358.13</v>
          </cell>
          <cell r="CB43">
            <v>21093.153846153848</v>
          </cell>
          <cell r="CC43">
            <v>22531.283846153849</v>
          </cell>
          <cell r="CD43">
            <v>25143.373846153849</v>
          </cell>
          <cell r="CE43">
            <v>679.06666666666672</v>
          </cell>
          <cell r="CF43">
            <v>20372</v>
          </cell>
          <cell r="CG43">
            <v>20372</v>
          </cell>
          <cell r="CH43">
            <v>21810.13</v>
          </cell>
          <cell r="CI43">
            <v>19047.776666666668</v>
          </cell>
          <cell r="CJ43">
            <v>30</v>
          </cell>
          <cell r="CK43">
            <v>1</v>
          </cell>
          <cell r="CL43">
            <v>19048.276666666665</v>
          </cell>
          <cell r="CM43">
            <v>19726.84</v>
          </cell>
          <cell r="CN43"/>
          <cell r="CO43">
            <v>2083.29</v>
          </cell>
          <cell r="CP43">
            <v>1800</v>
          </cell>
          <cell r="CQ43">
            <v>152.79</v>
          </cell>
          <cell r="CR43">
            <v>0</v>
          </cell>
          <cell r="CS43">
            <v>130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0.5</v>
          </cell>
          <cell r="CZ43"/>
          <cell r="DA43">
            <v>1950</v>
          </cell>
          <cell r="DB43">
            <v>662.09</v>
          </cell>
          <cell r="DC43"/>
          <cell r="DD43">
            <v>4.5</v>
          </cell>
          <cell r="DE43">
            <v>6.33</v>
          </cell>
          <cell r="DF43">
            <v>1.83</v>
          </cell>
          <cell r="DG43">
            <v>0</v>
          </cell>
          <cell r="DH43">
            <v>3</v>
          </cell>
          <cell r="DI43">
            <v>4.25</v>
          </cell>
          <cell r="DJ43">
            <v>1.25</v>
          </cell>
          <cell r="DK43">
            <v>0</v>
          </cell>
          <cell r="DL43">
            <v>1.5</v>
          </cell>
        </row>
        <row r="44">
          <cell r="F44" t="str">
            <v>E0082</v>
          </cell>
          <cell r="G44" t="str">
            <v>MR. BIPLAB MONDAL</v>
          </cell>
          <cell r="H44" t="str">
            <v>Male</v>
          </cell>
          <cell r="I44" t="str">
            <v>02/07/1980</v>
          </cell>
          <cell r="J44" t="str">
            <v>01/06/2004</v>
          </cell>
          <cell r="K44" t="str">
            <v>9836767866</v>
          </cell>
          <cell r="L44" t="str">
            <v/>
          </cell>
          <cell r="M44" t="str">
            <v/>
          </cell>
          <cell r="N44" t="str">
            <v/>
          </cell>
          <cell r="O44"/>
          <cell r="P44"/>
          <cell r="Q44" t="str">
            <v/>
          </cell>
          <cell r="R44" t="str">
            <v>ACTIVE</v>
          </cell>
          <cell r="S44" t="str">
            <v>STATE BANK OF INDIA</v>
          </cell>
          <cell r="T44" t="str">
            <v>SBIN0016913</v>
          </cell>
          <cell r="U44" t="str">
            <v>34324352771</v>
          </cell>
          <cell r="V44" t="str">
            <v>100115592954</v>
          </cell>
          <cell r="W44" t="str">
            <v>NA</v>
          </cell>
          <cell r="X44" t="str">
            <v>4005522084</v>
          </cell>
          <cell r="Y44" t="str">
            <v>BWPPM9001F</v>
          </cell>
          <cell r="Z44" t="str">
            <v>310185516479</v>
          </cell>
          <cell r="AA44" t="str">
            <v>TRUE</v>
          </cell>
          <cell r="AB44" t="str">
            <v>TRUE</v>
          </cell>
          <cell r="AC44" t="str">
            <v>FALSE</v>
          </cell>
          <cell r="AD44" t="str">
            <v>FALSE</v>
          </cell>
          <cell r="AE44" t="str">
            <v>FALSE</v>
          </cell>
          <cell r="AF44" t="str">
            <v/>
          </cell>
          <cell r="AG44" t="str">
            <v>FALSE</v>
          </cell>
          <cell r="AH44" t="str">
            <v/>
          </cell>
          <cell r="AI44" t="str">
            <v/>
          </cell>
          <cell r="AJ44" t="str">
            <v>PAYMENT RELEASE</v>
          </cell>
          <cell r="AK44"/>
          <cell r="AL44"/>
          <cell r="AM44"/>
          <cell r="AN44" t="str">
            <v>NA</v>
          </cell>
          <cell r="AO44"/>
          <cell r="AP44"/>
          <cell r="AQ44">
            <v>15000</v>
          </cell>
          <cell r="AR44">
            <v>15000</v>
          </cell>
          <cell r="AS44">
            <v>5372</v>
          </cell>
          <cell r="AT44">
            <v>5372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721.15384615384619</v>
          </cell>
          <cell r="BF44">
            <v>721.15384615384619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160</v>
          </cell>
          <cell r="BY44"/>
          <cell r="BZ44">
            <v>0</v>
          </cell>
          <cell r="CA44">
            <v>1358.13</v>
          </cell>
          <cell r="CB44">
            <v>21093.153846153848</v>
          </cell>
          <cell r="CC44">
            <v>22611.283846153849</v>
          </cell>
          <cell r="CD44">
            <v>25223.373846153849</v>
          </cell>
          <cell r="CE44">
            <v>679.06666666666672</v>
          </cell>
          <cell r="CF44">
            <v>20372</v>
          </cell>
          <cell r="CG44">
            <v>20372</v>
          </cell>
          <cell r="CH44">
            <v>21890.13</v>
          </cell>
          <cell r="CI44">
            <v>19806.843333333334</v>
          </cell>
          <cell r="CJ44">
            <v>30</v>
          </cell>
          <cell r="CK44">
            <v>2</v>
          </cell>
          <cell r="CL44">
            <v>19807.343333333334</v>
          </cell>
          <cell r="CM44">
            <v>19806.84</v>
          </cell>
          <cell r="CN44"/>
          <cell r="CO44">
            <v>2083.29</v>
          </cell>
          <cell r="CP44">
            <v>1800</v>
          </cell>
          <cell r="CQ44">
            <v>152.79</v>
          </cell>
          <cell r="CR44">
            <v>0</v>
          </cell>
          <cell r="CS44">
            <v>130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0.5</v>
          </cell>
          <cell r="CZ44"/>
          <cell r="DA44">
            <v>1950</v>
          </cell>
          <cell r="DB44">
            <v>662.09</v>
          </cell>
          <cell r="DC44"/>
          <cell r="DD44">
            <v>4.5</v>
          </cell>
          <cell r="DE44">
            <v>5.33</v>
          </cell>
          <cell r="DF44">
            <v>1.83</v>
          </cell>
          <cell r="DG44">
            <v>1</v>
          </cell>
          <cell r="DH44">
            <v>3.5</v>
          </cell>
          <cell r="DI44">
            <v>4.75</v>
          </cell>
          <cell r="DJ44">
            <v>1.25</v>
          </cell>
          <cell r="DK44">
            <v>0</v>
          </cell>
          <cell r="DL44">
            <v>1</v>
          </cell>
        </row>
        <row r="45">
          <cell r="F45" t="str">
            <v>E0180</v>
          </cell>
          <cell r="G45" t="str">
            <v>MR. DIPANKAR SARKAR</v>
          </cell>
          <cell r="H45" t="str">
            <v>Male</v>
          </cell>
          <cell r="I45" t="str">
            <v>01/01/1983</v>
          </cell>
          <cell r="J45" t="str">
            <v>02/05/2009</v>
          </cell>
          <cell r="K45" t="str">
            <v>8981557716</v>
          </cell>
          <cell r="L45" t="str">
            <v/>
          </cell>
          <cell r="M45" t="str">
            <v/>
          </cell>
          <cell r="N45" t="str">
            <v/>
          </cell>
          <cell r="O45"/>
          <cell r="P45"/>
          <cell r="Q45" t="str">
            <v/>
          </cell>
          <cell r="R45" t="str">
            <v>ACTIVE</v>
          </cell>
          <cell r="S45" t="str">
            <v>STATE BANK OF INDIA</v>
          </cell>
          <cell r="T45" t="str">
            <v>SBIN0016913</v>
          </cell>
          <cell r="U45" t="str">
            <v>36588488922</v>
          </cell>
          <cell r="V45" t="str">
            <v>100140174609</v>
          </cell>
          <cell r="W45" t="str">
            <v>NA</v>
          </cell>
          <cell r="X45" t="str">
            <v>4005637258</v>
          </cell>
          <cell r="Y45" t="str">
            <v>GNHPS2114H</v>
          </cell>
          <cell r="Z45" t="str">
            <v>406445632011</v>
          </cell>
          <cell r="AA45" t="str">
            <v>TRUE</v>
          </cell>
          <cell r="AB45" t="str">
            <v>TRUE</v>
          </cell>
          <cell r="AC45" t="str">
            <v>FALSE</v>
          </cell>
          <cell r="AD45" t="str">
            <v>FALSE</v>
          </cell>
          <cell r="AE45" t="str">
            <v>FALSE</v>
          </cell>
          <cell r="AF45" t="str">
            <v/>
          </cell>
          <cell r="AG45" t="str">
            <v>FALSE</v>
          </cell>
          <cell r="AH45" t="str">
            <v/>
          </cell>
          <cell r="AI45" t="str">
            <v/>
          </cell>
          <cell r="AJ45" t="str">
            <v>PAYMENT RELEASE</v>
          </cell>
          <cell r="AK45"/>
          <cell r="AL45"/>
          <cell r="AM45"/>
          <cell r="AN45" t="str">
            <v>NA</v>
          </cell>
          <cell r="AO45"/>
          <cell r="AP45"/>
          <cell r="AQ45">
            <v>15000</v>
          </cell>
          <cell r="AR45">
            <v>14000</v>
          </cell>
          <cell r="AS45">
            <v>5372</v>
          </cell>
          <cell r="AT45">
            <v>4924.33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721.15384615384619</v>
          </cell>
          <cell r="BF45">
            <v>721.15384615384619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160</v>
          </cell>
          <cell r="BY45"/>
          <cell r="BZ45">
            <v>0</v>
          </cell>
          <cell r="CA45">
            <v>0</v>
          </cell>
          <cell r="CB45">
            <v>21093.153846153848</v>
          </cell>
          <cell r="CC45">
            <v>19805.483846153849</v>
          </cell>
          <cell r="CD45">
            <v>22240.524571153848</v>
          </cell>
          <cell r="CE45">
            <v>679.06666666666672</v>
          </cell>
          <cell r="CF45">
            <v>20372</v>
          </cell>
          <cell r="CG45">
            <v>18924.330000000002</v>
          </cell>
          <cell r="CH45">
            <v>19084.330000000002</v>
          </cell>
          <cell r="CI45">
            <v>16542.367525000001</v>
          </cell>
          <cell r="CJ45">
            <v>25</v>
          </cell>
          <cell r="CK45">
            <v>2</v>
          </cell>
          <cell r="CL45">
            <v>16574.740000000002</v>
          </cell>
          <cell r="CM45">
            <v>17131.897525</v>
          </cell>
          <cell r="CN45"/>
          <cell r="CO45">
            <v>1952.4324750000001</v>
          </cell>
          <cell r="CP45">
            <v>1680</v>
          </cell>
          <cell r="CQ45">
            <v>141.93247500000001</v>
          </cell>
          <cell r="CR45">
            <v>0</v>
          </cell>
          <cell r="CS45">
            <v>130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0.5</v>
          </cell>
          <cell r="CZ45"/>
          <cell r="DA45">
            <v>1820</v>
          </cell>
          <cell r="DB45">
            <v>615.04072500000007</v>
          </cell>
          <cell r="DC45"/>
          <cell r="DD45">
            <v>1.5</v>
          </cell>
          <cell r="DE45">
            <v>2.1799999999999997</v>
          </cell>
          <cell r="DF45">
            <v>1.68</v>
          </cell>
          <cell r="DG45">
            <v>1</v>
          </cell>
          <cell r="DH45">
            <v>1</v>
          </cell>
          <cell r="DI45">
            <v>1.1499999999999999</v>
          </cell>
          <cell r="DJ45">
            <v>1.1499999999999999</v>
          </cell>
          <cell r="DK45">
            <v>1</v>
          </cell>
          <cell r="DL45">
            <v>0.5</v>
          </cell>
        </row>
        <row r="46">
          <cell r="F46" t="str">
            <v>E0087</v>
          </cell>
          <cell r="G46" t="str">
            <v>MR. AJGAR ALI MOLYA</v>
          </cell>
          <cell r="H46" t="str">
            <v>Male</v>
          </cell>
          <cell r="I46" t="str">
            <v>01/01/1965</v>
          </cell>
          <cell r="J46" t="str">
            <v>01/06/2004</v>
          </cell>
          <cell r="K46" t="str">
            <v>9874627663</v>
          </cell>
          <cell r="L46" t="str">
            <v/>
          </cell>
          <cell r="M46" t="str">
            <v/>
          </cell>
          <cell r="N46" t="str">
            <v/>
          </cell>
          <cell r="O46"/>
          <cell r="P46"/>
          <cell r="Q46" t="str">
            <v/>
          </cell>
          <cell r="R46" t="str">
            <v>ACTIVE</v>
          </cell>
          <cell r="S46" t="str">
            <v>STATE BANK OF INDIA</v>
          </cell>
          <cell r="T46" t="str">
            <v>SBIN0016913</v>
          </cell>
          <cell r="U46" t="str">
            <v>36560480876</v>
          </cell>
          <cell r="V46" t="str">
            <v>100092440514</v>
          </cell>
          <cell r="W46" t="str">
            <v>NA</v>
          </cell>
          <cell r="X46" t="str">
            <v>4005522088</v>
          </cell>
          <cell r="Y46" t="str">
            <v>CXHPM4653B</v>
          </cell>
          <cell r="Z46" t="str">
            <v>472559342077</v>
          </cell>
          <cell r="AA46" t="str">
            <v>TRUE</v>
          </cell>
          <cell r="AB46" t="str">
            <v>TRUE</v>
          </cell>
          <cell r="AC46" t="str">
            <v>FALSE</v>
          </cell>
          <cell r="AD46" t="str">
            <v>FALSE</v>
          </cell>
          <cell r="AE46" t="str">
            <v>FALSE</v>
          </cell>
          <cell r="AF46" t="str">
            <v/>
          </cell>
          <cell r="AG46" t="str">
            <v>FALSE</v>
          </cell>
          <cell r="AH46" t="str">
            <v/>
          </cell>
          <cell r="AI46" t="str">
            <v/>
          </cell>
          <cell r="AJ46" t="str">
            <v>PAYMENT RELEASE</v>
          </cell>
          <cell r="AK46"/>
          <cell r="AL46"/>
          <cell r="AM46"/>
          <cell r="AN46" t="str">
            <v>NA</v>
          </cell>
          <cell r="AO46"/>
          <cell r="AP46"/>
          <cell r="AQ46">
            <v>15000</v>
          </cell>
          <cell r="AR46">
            <v>15000</v>
          </cell>
          <cell r="AS46">
            <v>5372</v>
          </cell>
          <cell r="AT46">
            <v>5372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721.15384615384619</v>
          </cell>
          <cell r="BF46">
            <v>721.15384615384619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200</v>
          </cell>
          <cell r="BY46"/>
          <cell r="BZ46">
            <v>0</v>
          </cell>
          <cell r="CA46">
            <v>1018.6</v>
          </cell>
          <cell r="CB46">
            <v>21093.153846153848</v>
          </cell>
          <cell r="CC46">
            <v>22311.753846153846</v>
          </cell>
          <cell r="CD46">
            <v>24923.843846153846</v>
          </cell>
          <cell r="CE46">
            <v>679.06666666666672</v>
          </cell>
          <cell r="CF46">
            <v>20372</v>
          </cell>
          <cell r="CG46">
            <v>20372</v>
          </cell>
          <cell r="CH46">
            <v>21590.6</v>
          </cell>
          <cell r="CI46">
            <v>20186.376666666667</v>
          </cell>
          <cell r="CJ46">
            <v>30</v>
          </cell>
          <cell r="CK46">
            <v>2.5</v>
          </cell>
          <cell r="CL46">
            <v>20186.876666666667</v>
          </cell>
          <cell r="CM46">
            <v>19507.309999999998</v>
          </cell>
          <cell r="CN46"/>
          <cell r="CO46">
            <v>2083.29</v>
          </cell>
          <cell r="CP46">
            <v>1800</v>
          </cell>
          <cell r="CQ46">
            <v>152.79</v>
          </cell>
          <cell r="CR46">
            <v>0</v>
          </cell>
          <cell r="CS46">
            <v>130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0.5</v>
          </cell>
          <cell r="CZ46"/>
          <cell r="DA46">
            <v>1950</v>
          </cell>
          <cell r="DB46">
            <v>662.09</v>
          </cell>
          <cell r="DC46"/>
          <cell r="DD46">
            <v>2.5</v>
          </cell>
          <cell r="DE46">
            <v>2.83</v>
          </cell>
          <cell r="DF46">
            <v>1.83</v>
          </cell>
          <cell r="DG46">
            <v>1.5</v>
          </cell>
          <cell r="DH46">
            <v>2</v>
          </cell>
          <cell r="DI46">
            <v>2.25</v>
          </cell>
          <cell r="DJ46">
            <v>1.25</v>
          </cell>
          <cell r="DK46">
            <v>1</v>
          </cell>
          <cell r="DL46">
            <v>0.5</v>
          </cell>
        </row>
        <row r="47">
          <cell r="F47" t="str">
            <v>E0178</v>
          </cell>
          <cell r="G47" t="str">
            <v>MR. ARJUL SEKH</v>
          </cell>
          <cell r="H47" t="str">
            <v>Male</v>
          </cell>
          <cell r="I47" t="str">
            <v>01/01/1975</v>
          </cell>
          <cell r="J47" t="str">
            <v>02/05/2009</v>
          </cell>
          <cell r="K47" t="str">
            <v>9836922054</v>
          </cell>
          <cell r="L47" t="str">
            <v/>
          </cell>
          <cell r="M47" t="str">
            <v/>
          </cell>
          <cell r="N47" t="str">
            <v/>
          </cell>
          <cell r="O47"/>
          <cell r="P47"/>
          <cell r="Q47" t="str">
            <v/>
          </cell>
          <cell r="R47" t="str">
            <v>ACTIVE</v>
          </cell>
          <cell r="S47" t="str">
            <v>STATE BANK OF INDIA</v>
          </cell>
          <cell r="T47" t="str">
            <v>SBIN0016913</v>
          </cell>
          <cell r="U47" t="str">
            <v>36560480480</v>
          </cell>
          <cell r="V47" t="str">
            <v>100076459231</v>
          </cell>
          <cell r="W47" t="str">
            <v>NA</v>
          </cell>
          <cell r="X47" t="str">
            <v>4005639254</v>
          </cell>
          <cell r="Y47" t="str">
            <v>GPZPS8273F</v>
          </cell>
          <cell r="Z47" t="str">
            <v>659598574661</v>
          </cell>
          <cell r="AA47" t="str">
            <v>TRUE</v>
          </cell>
          <cell r="AB47" t="str">
            <v>TRUE</v>
          </cell>
          <cell r="AC47" t="str">
            <v>FALSE</v>
          </cell>
          <cell r="AD47" t="str">
            <v>FALSE</v>
          </cell>
          <cell r="AE47" t="str">
            <v>FALSE</v>
          </cell>
          <cell r="AF47" t="str">
            <v/>
          </cell>
          <cell r="AG47" t="str">
            <v>FALSE</v>
          </cell>
          <cell r="AH47" t="str">
            <v/>
          </cell>
          <cell r="AI47" t="str">
            <v/>
          </cell>
          <cell r="AJ47" t="str">
            <v>PAYMENT RELEASE</v>
          </cell>
          <cell r="AK47"/>
          <cell r="AL47"/>
          <cell r="AM47"/>
          <cell r="AN47" t="str">
            <v>NA</v>
          </cell>
          <cell r="AO47"/>
          <cell r="AP47"/>
          <cell r="AQ47">
            <v>15000</v>
          </cell>
          <cell r="AR47">
            <v>15000</v>
          </cell>
          <cell r="AS47">
            <v>5372</v>
          </cell>
          <cell r="AT47">
            <v>5372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721.15384615384619</v>
          </cell>
          <cell r="BF47">
            <v>721.15384615384619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160</v>
          </cell>
          <cell r="BY47"/>
          <cell r="BZ47">
            <v>0</v>
          </cell>
          <cell r="CA47">
            <v>2037.2</v>
          </cell>
          <cell r="CB47">
            <v>21093.153846153848</v>
          </cell>
          <cell r="CC47">
            <v>23290.353846153848</v>
          </cell>
          <cell r="CD47">
            <v>25902.443846153848</v>
          </cell>
          <cell r="CE47">
            <v>679.06666666666672</v>
          </cell>
          <cell r="CF47">
            <v>20372</v>
          </cell>
          <cell r="CG47">
            <v>20372</v>
          </cell>
          <cell r="CH47">
            <v>22569.200000000001</v>
          </cell>
          <cell r="CI47">
            <v>19806.843333333334</v>
          </cell>
          <cell r="CJ47">
            <v>30</v>
          </cell>
          <cell r="CK47">
            <v>2</v>
          </cell>
          <cell r="CL47">
            <v>19807.343333333334</v>
          </cell>
          <cell r="CM47">
            <v>20485.91</v>
          </cell>
          <cell r="CN47"/>
          <cell r="CO47">
            <v>2083.29</v>
          </cell>
          <cell r="CP47">
            <v>1800</v>
          </cell>
          <cell r="CQ47">
            <v>152.79</v>
          </cell>
          <cell r="CR47">
            <v>0</v>
          </cell>
          <cell r="CS47">
            <v>130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0.5</v>
          </cell>
          <cell r="CZ47"/>
          <cell r="DA47">
            <v>1950</v>
          </cell>
          <cell r="DB47">
            <v>662.09</v>
          </cell>
          <cell r="DC47"/>
          <cell r="DD47">
            <v>5</v>
          </cell>
          <cell r="DE47">
            <v>6.83</v>
          </cell>
          <cell r="DF47">
            <v>1.83</v>
          </cell>
          <cell r="DG47">
            <v>0</v>
          </cell>
          <cell r="DH47">
            <v>3.5</v>
          </cell>
          <cell r="DI47">
            <v>4.75</v>
          </cell>
          <cell r="DJ47">
            <v>1.25</v>
          </cell>
          <cell r="DK47">
            <v>0</v>
          </cell>
          <cell r="DL47">
            <v>1.5</v>
          </cell>
        </row>
        <row r="48">
          <cell r="F48" t="str">
            <v>E0029</v>
          </cell>
          <cell r="G48" t="str">
            <v>MR. ANOWARALI DEWAN</v>
          </cell>
          <cell r="H48" t="str">
            <v>Male</v>
          </cell>
          <cell r="I48" t="str">
            <v>15/04/1977</v>
          </cell>
          <cell r="J48" t="str">
            <v>01/06/2004</v>
          </cell>
          <cell r="K48" t="str">
            <v>8017585735</v>
          </cell>
          <cell r="L48" t="str">
            <v/>
          </cell>
          <cell r="M48" t="str">
            <v/>
          </cell>
          <cell r="N48" t="str">
            <v/>
          </cell>
          <cell r="O48"/>
          <cell r="P48"/>
          <cell r="Q48" t="str">
            <v/>
          </cell>
          <cell r="R48" t="str">
            <v>ACTIVE</v>
          </cell>
          <cell r="S48" t="str">
            <v>STATE BANK OF INDIA</v>
          </cell>
          <cell r="T48" t="str">
            <v>SBIN0016913</v>
          </cell>
          <cell r="U48" t="str">
            <v>34233717805</v>
          </cell>
          <cell r="V48" t="str">
            <v>100087172885</v>
          </cell>
          <cell r="W48" t="str">
            <v>NA</v>
          </cell>
          <cell r="X48" t="str">
            <v>4005522041</v>
          </cell>
          <cell r="Y48" t="str">
            <v>BHWPD1110L</v>
          </cell>
          <cell r="Z48" t="str">
            <v>621208472744</v>
          </cell>
          <cell r="AA48" t="str">
            <v>TRUE</v>
          </cell>
          <cell r="AB48" t="str">
            <v>TRUE</v>
          </cell>
          <cell r="AC48" t="str">
            <v>FALSE</v>
          </cell>
          <cell r="AD48" t="str">
            <v>FALSE</v>
          </cell>
          <cell r="AE48" t="str">
            <v>FALSE</v>
          </cell>
          <cell r="AF48" t="str">
            <v/>
          </cell>
          <cell r="AG48" t="str">
            <v>FALSE</v>
          </cell>
          <cell r="AH48" t="str">
            <v/>
          </cell>
          <cell r="AI48" t="str">
            <v/>
          </cell>
          <cell r="AJ48" t="str">
            <v>PAYMENT RELEASE</v>
          </cell>
          <cell r="AK48"/>
          <cell r="AL48"/>
          <cell r="AM48"/>
          <cell r="AN48" t="str">
            <v>NA</v>
          </cell>
          <cell r="AO48"/>
          <cell r="AP48"/>
          <cell r="AQ48">
            <v>15000</v>
          </cell>
          <cell r="AR48">
            <v>15000</v>
          </cell>
          <cell r="AS48">
            <v>5372</v>
          </cell>
          <cell r="AT48">
            <v>5372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721.15384615384619</v>
          </cell>
          <cell r="BF48">
            <v>721.15384615384619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160</v>
          </cell>
          <cell r="BY48"/>
          <cell r="BZ48">
            <v>0</v>
          </cell>
          <cell r="CA48">
            <v>1018.6</v>
          </cell>
          <cell r="CB48">
            <v>21093.153846153848</v>
          </cell>
          <cell r="CC48">
            <v>22271.753846153846</v>
          </cell>
          <cell r="CD48">
            <v>24883.843846153846</v>
          </cell>
          <cell r="CE48">
            <v>679.06666666666672</v>
          </cell>
          <cell r="CF48">
            <v>20372</v>
          </cell>
          <cell r="CG48">
            <v>20372</v>
          </cell>
          <cell r="CH48">
            <v>21550.6</v>
          </cell>
          <cell r="CI48">
            <v>19806.843333333334</v>
          </cell>
          <cell r="CJ48">
            <v>30</v>
          </cell>
          <cell r="CK48">
            <v>2</v>
          </cell>
          <cell r="CL48">
            <v>19807.343333333334</v>
          </cell>
          <cell r="CM48">
            <v>19467.309999999998</v>
          </cell>
          <cell r="CN48"/>
          <cell r="CO48">
            <v>2083.29</v>
          </cell>
          <cell r="CP48">
            <v>1800</v>
          </cell>
          <cell r="CQ48">
            <v>152.79</v>
          </cell>
          <cell r="CR48">
            <v>0</v>
          </cell>
          <cell r="CS48">
            <v>130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0.5</v>
          </cell>
          <cell r="CZ48"/>
          <cell r="DA48">
            <v>1950</v>
          </cell>
          <cell r="DB48">
            <v>662.09</v>
          </cell>
          <cell r="DC48"/>
          <cell r="DD48">
            <v>5</v>
          </cell>
          <cell r="DE48">
            <v>6.33</v>
          </cell>
          <cell r="DF48">
            <v>1.83</v>
          </cell>
          <cell r="DG48">
            <v>0.5</v>
          </cell>
          <cell r="DH48">
            <v>3.5</v>
          </cell>
          <cell r="DI48">
            <v>4.75</v>
          </cell>
          <cell r="DJ48">
            <v>1.25</v>
          </cell>
          <cell r="DK48">
            <v>0</v>
          </cell>
          <cell r="DL48">
            <v>1.5</v>
          </cell>
        </row>
        <row r="49">
          <cell r="F49" t="str">
            <v>E0052</v>
          </cell>
          <cell r="G49" t="str">
            <v>MS. GOURI NASKAR</v>
          </cell>
          <cell r="H49" t="str">
            <v>Female</v>
          </cell>
          <cell r="I49" t="str">
            <v>01/01/1968</v>
          </cell>
          <cell r="J49" t="str">
            <v>01/06/2004</v>
          </cell>
          <cell r="K49" t="str">
            <v>9143281081</v>
          </cell>
          <cell r="L49" t="str">
            <v/>
          </cell>
          <cell r="M49" t="str">
            <v>ADMIN</v>
          </cell>
          <cell r="N49" t="str">
            <v>ADMIN</v>
          </cell>
          <cell r="O49"/>
          <cell r="P49"/>
          <cell r="Q49" t="str">
            <v>HOUSE KEEPING</v>
          </cell>
          <cell r="R49" t="str">
            <v>ACTIVE</v>
          </cell>
          <cell r="S49" t="str">
            <v>STATE BANK OF INDIA</v>
          </cell>
          <cell r="T49" t="str">
            <v>SBIN0016913</v>
          </cell>
          <cell r="U49" t="str">
            <v>34211184065</v>
          </cell>
          <cell r="V49" t="str">
            <v>100155688157</v>
          </cell>
          <cell r="W49" t="str">
            <v>NA</v>
          </cell>
          <cell r="X49" t="str">
            <v>4005041223</v>
          </cell>
          <cell r="Y49" t="str">
            <v>AZXPN7880M</v>
          </cell>
          <cell r="Z49" t="str">
            <v>430208304070</v>
          </cell>
          <cell r="AA49" t="str">
            <v>TRUE</v>
          </cell>
          <cell r="AB49" t="str">
            <v>TRUE</v>
          </cell>
          <cell r="AC49" t="str">
            <v>FALSE</v>
          </cell>
          <cell r="AD49" t="str">
            <v>FALSE</v>
          </cell>
          <cell r="AE49" t="str">
            <v>FALSE</v>
          </cell>
          <cell r="AF49" t="str">
            <v/>
          </cell>
          <cell r="AG49" t="str">
            <v>FALSE</v>
          </cell>
          <cell r="AH49" t="str">
            <v/>
          </cell>
          <cell r="AI49" t="str">
            <v/>
          </cell>
          <cell r="AJ49" t="str">
            <v>PAYMENT RELEASE</v>
          </cell>
          <cell r="AK49"/>
          <cell r="AL49"/>
          <cell r="AM49"/>
          <cell r="AN49" t="str">
            <v>NA</v>
          </cell>
          <cell r="AO49"/>
          <cell r="AP49"/>
          <cell r="AQ49">
            <v>15000</v>
          </cell>
          <cell r="AR49">
            <v>15000</v>
          </cell>
          <cell r="AS49">
            <v>4316</v>
          </cell>
          <cell r="AT49">
            <v>4316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721.15384615384619</v>
          </cell>
          <cell r="BF49">
            <v>721.15384615384619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160</v>
          </cell>
          <cell r="BY49"/>
          <cell r="BZ49">
            <v>0</v>
          </cell>
          <cell r="CA49">
            <v>1931.6</v>
          </cell>
          <cell r="CB49">
            <v>20037.153846153848</v>
          </cell>
          <cell r="CC49">
            <v>22128.753846153846</v>
          </cell>
          <cell r="CD49">
            <v>24706.523846153847</v>
          </cell>
          <cell r="CE49">
            <v>643.86666666666667</v>
          </cell>
          <cell r="CF49">
            <v>19316</v>
          </cell>
          <cell r="CG49">
            <v>19316</v>
          </cell>
          <cell r="CH49">
            <v>21407.599999999999</v>
          </cell>
          <cell r="CI49">
            <v>18688.363333333335</v>
          </cell>
          <cell r="CJ49">
            <v>30</v>
          </cell>
          <cell r="CK49">
            <v>2</v>
          </cell>
          <cell r="CL49">
            <v>18688.863333333335</v>
          </cell>
          <cell r="CM49">
            <v>19332.23</v>
          </cell>
          <cell r="CN49"/>
          <cell r="CO49">
            <v>2075.37</v>
          </cell>
          <cell r="CP49">
            <v>1800</v>
          </cell>
          <cell r="CQ49">
            <v>144.87</v>
          </cell>
          <cell r="CR49">
            <v>0</v>
          </cell>
          <cell r="CS49">
            <v>130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0.5</v>
          </cell>
          <cell r="CZ49"/>
          <cell r="DA49">
            <v>1950</v>
          </cell>
          <cell r="DB49">
            <v>627.77</v>
          </cell>
          <cell r="DC49"/>
          <cell r="DD49">
            <v>3</v>
          </cell>
          <cell r="DE49">
            <v>4.83</v>
          </cell>
          <cell r="DF49">
            <v>1.83</v>
          </cell>
          <cell r="DG49">
            <v>0</v>
          </cell>
          <cell r="DH49">
            <v>2.5</v>
          </cell>
          <cell r="DI49">
            <v>3.75</v>
          </cell>
          <cell r="DJ49">
            <v>1.25</v>
          </cell>
          <cell r="DK49">
            <v>0</v>
          </cell>
          <cell r="DL49">
            <v>0.5</v>
          </cell>
        </row>
        <row r="50">
          <cell r="F50" t="str">
            <v>E0077</v>
          </cell>
          <cell r="G50" t="str">
            <v>MR. MALAY BARUI</v>
          </cell>
          <cell r="H50" t="str">
            <v>Male</v>
          </cell>
          <cell r="I50" t="str">
            <v>22/07/1979</v>
          </cell>
          <cell r="J50" t="str">
            <v>01/06/2004</v>
          </cell>
          <cell r="K50" t="str">
            <v>9007411383</v>
          </cell>
          <cell r="L50" t="str">
            <v/>
          </cell>
          <cell r="M50" t="str">
            <v/>
          </cell>
          <cell r="N50" t="str">
            <v/>
          </cell>
          <cell r="O50"/>
          <cell r="P50"/>
          <cell r="Q50" t="str">
            <v/>
          </cell>
          <cell r="R50" t="str">
            <v>ACTIVE</v>
          </cell>
          <cell r="S50" t="str">
            <v>STATE BANK OF INDIA</v>
          </cell>
          <cell r="T50" t="str">
            <v>SBIN0016913</v>
          </cell>
          <cell r="U50" t="str">
            <v>36598595590</v>
          </cell>
          <cell r="V50" t="str">
            <v>100216098018</v>
          </cell>
          <cell r="W50" t="str">
            <v>NA</v>
          </cell>
          <cell r="X50" t="str">
            <v>4005522080</v>
          </cell>
          <cell r="Y50" t="str">
            <v>AZSPB0076C</v>
          </cell>
          <cell r="Z50" t="str">
            <v>674677846954</v>
          </cell>
          <cell r="AA50" t="str">
            <v>TRUE</v>
          </cell>
          <cell r="AB50" t="str">
            <v>TRUE</v>
          </cell>
          <cell r="AC50" t="str">
            <v>FALSE</v>
          </cell>
          <cell r="AD50" t="str">
            <v>FALSE</v>
          </cell>
          <cell r="AE50" t="str">
            <v>FALSE</v>
          </cell>
          <cell r="AF50" t="str">
            <v/>
          </cell>
          <cell r="AG50" t="str">
            <v>FALSE</v>
          </cell>
          <cell r="AH50" t="str">
            <v/>
          </cell>
          <cell r="AI50" t="str">
            <v/>
          </cell>
          <cell r="AJ50" t="str">
            <v>PAYMENT RELEASE</v>
          </cell>
          <cell r="AK50"/>
          <cell r="AL50"/>
          <cell r="AM50"/>
          <cell r="AN50" t="str">
            <v>NA</v>
          </cell>
          <cell r="AO50"/>
          <cell r="AP50"/>
          <cell r="AQ50">
            <v>15000</v>
          </cell>
          <cell r="AR50">
            <v>15000</v>
          </cell>
          <cell r="AS50">
            <v>5372</v>
          </cell>
          <cell r="AT50">
            <v>5372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721.15384615384619</v>
          </cell>
          <cell r="BF50">
            <v>721.15384615384619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80</v>
          </cell>
          <cell r="BY50"/>
          <cell r="BZ50">
            <v>0</v>
          </cell>
          <cell r="CA50">
            <v>1018.6</v>
          </cell>
          <cell r="CB50">
            <v>21093.153846153848</v>
          </cell>
          <cell r="CC50">
            <v>22191.753846153846</v>
          </cell>
          <cell r="CD50">
            <v>24803.843846153846</v>
          </cell>
          <cell r="CE50">
            <v>679.06666666666672</v>
          </cell>
          <cell r="CF50">
            <v>20372</v>
          </cell>
          <cell r="CG50">
            <v>20372</v>
          </cell>
          <cell r="CH50">
            <v>21470.6</v>
          </cell>
          <cell r="CI50">
            <v>19047.776666666668</v>
          </cell>
          <cell r="CJ50">
            <v>30</v>
          </cell>
          <cell r="CK50">
            <v>1</v>
          </cell>
          <cell r="CL50">
            <v>19048.276666666665</v>
          </cell>
          <cell r="CM50">
            <v>19387.309999999998</v>
          </cell>
          <cell r="CN50"/>
          <cell r="CO50">
            <v>2083.29</v>
          </cell>
          <cell r="CP50">
            <v>1800</v>
          </cell>
          <cell r="CQ50">
            <v>152.79</v>
          </cell>
          <cell r="CR50">
            <v>0</v>
          </cell>
          <cell r="CS50">
            <v>130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0.5</v>
          </cell>
          <cell r="CZ50"/>
          <cell r="DA50">
            <v>1950</v>
          </cell>
          <cell r="DB50">
            <v>662.09</v>
          </cell>
          <cell r="DC50"/>
          <cell r="DD50">
            <v>5</v>
          </cell>
          <cell r="DE50">
            <v>6.33</v>
          </cell>
          <cell r="DF50">
            <v>1.83</v>
          </cell>
          <cell r="DG50">
            <v>0.5</v>
          </cell>
          <cell r="DH50">
            <v>3.5</v>
          </cell>
          <cell r="DI50">
            <v>4.75</v>
          </cell>
          <cell r="DJ50">
            <v>1.25</v>
          </cell>
          <cell r="DK50">
            <v>0</v>
          </cell>
          <cell r="DL50">
            <v>1.5</v>
          </cell>
        </row>
        <row r="51">
          <cell r="F51" t="str">
            <v>E0177</v>
          </cell>
          <cell r="G51" t="str">
            <v>MR. RASIDUL SEKH</v>
          </cell>
          <cell r="H51" t="str">
            <v>Male</v>
          </cell>
          <cell r="I51" t="str">
            <v>01/01/1985</v>
          </cell>
          <cell r="J51" t="str">
            <v>02/05/2009</v>
          </cell>
          <cell r="K51" t="str">
            <v>7688076201</v>
          </cell>
          <cell r="L51" t="str">
            <v/>
          </cell>
          <cell r="M51" t="str">
            <v/>
          </cell>
          <cell r="N51" t="str">
            <v/>
          </cell>
          <cell r="O51"/>
          <cell r="P51"/>
          <cell r="Q51" t="str">
            <v/>
          </cell>
          <cell r="R51" t="str">
            <v>ACTIVE</v>
          </cell>
          <cell r="S51" t="str">
            <v>STATE BANK OF INDIA</v>
          </cell>
          <cell r="T51" t="str">
            <v>SBIN0016913</v>
          </cell>
          <cell r="U51" t="str">
            <v>36591596103</v>
          </cell>
          <cell r="V51" t="str">
            <v>100308847112</v>
          </cell>
          <cell r="W51" t="str">
            <v>NA</v>
          </cell>
          <cell r="X51" t="str">
            <v>4005639255</v>
          </cell>
          <cell r="Y51" t="str">
            <v/>
          </cell>
          <cell r="Z51" t="str">
            <v>558814849415</v>
          </cell>
          <cell r="AA51" t="str">
            <v>TRUE</v>
          </cell>
          <cell r="AB51" t="str">
            <v>TRUE</v>
          </cell>
          <cell r="AC51" t="str">
            <v>FALSE</v>
          </cell>
          <cell r="AD51" t="str">
            <v>FALSE</v>
          </cell>
          <cell r="AE51" t="str">
            <v>FALSE</v>
          </cell>
          <cell r="AF51" t="str">
            <v/>
          </cell>
          <cell r="AG51" t="str">
            <v>FALSE</v>
          </cell>
          <cell r="AH51" t="str">
            <v/>
          </cell>
          <cell r="AI51" t="str">
            <v/>
          </cell>
          <cell r="AJ51" t="str">
            <v>PAYMENT RELEASE</v>
          </cell>
          <cell r="AK51"/>
          <cell r="AL51"/>
          <cell r="AM51"/>
          <cell r="AN51" t="str">
            <v>NA</v>
          </cell>
          <cell r="AO51"/>
          <cell r="AP51"/>
          <cell r="AQ51">
            <v>15000</v>
          </cell>
          <cell r="AR51">
            <v>11500</v>
          </cell>
          <cell r="AS51">
            <v>5372</v>
          </cell>
          <cell r="AT51">
            <v>4029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721.15384615384619</v>
          </cell>
          <cell r="BF51">
            <v>721.15384615384619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160</v>
          </cell>
          <cell r="BY51"/>
          <cell r="BZ51">
            <v>0</v>
          </cell>
          <cell r="CA51">
            <v>0</v>
          </cell>
          <cell r="CB51">
            <v>21093.153846153848</v>
          </cell>
          <cell r="CC51">
            <v>16410.153846153848</v>
          </cell>
          <cell r="CD51">
            <v>18409.846346153849</v>
          </cell>
          <cell r="CE51">
            <v>679.06666666666672</v>
          </cell>
          <cell r="CF51">
            <v>20372</v>
          </cell>
          <cell r="CG51">
            <v>15529</v>
          </cell>
          <cell r="CH51">
            <v>15689</v>
          </cell>
          <cell r="CI51">
            <v>13472.499166666666</v>
          </cell>
          <cell r="CJ51">
            <v>20</v>
          </cell>
          <cell r="CK51">
            <v>2</v>
          </cell>
          <cell r="CL51">
            <v>13504.876666666667</v>
          </cell>
          <cell r="CM51">
            <v>14062.032500000001</v>
          </cell>
          <cell r="CN51"/>
          <cell r="CO51">
            <v>1626.9675</v>
          </cell>
          <cell r="CP51">
            <v>1380</v>
          </cell>
          <cell r="CQ51">
            <v>116.4675</v>
          </cell>
          <cell r="CR51">
            <v>0</v>
          </cell>
          <cell r="CS51">
            <v>130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0.5</v>
          </cell>
          <cell r="CZ51"/>
          <cell r="DA51">
            <v>1495</v>
          </cell>
          <cell r="DB51">
            <v>504.6925</v>
          </cell>
          <cell r="DC51"/>
          <cell r="DD51">
            <v>1.5</v>
          </cell>
          <cell r="DE51">
            <v>1.88</v>
          </cell>
          <cell r="DF51">
            <v>1.38</v>
          </cell>
          <cell r="DG51">
            <v>1</v>
          </cell>
          <cell r="DH51">
            <v>1</v>
          </cell>
          <cell r="DI51">
            <v>0.94</v>
          </cell>
          <cell r="DJ51">
            <v>0.94</v>
          </cell>
          <cell r="DK51">
            <v>1</v>
          </cell>
          <cell r="DL51">
            <v>0.5</v>
          </cell>
        </row>
        <row r="52">
          <cell r="F52" t="str">
            <v>E0095</v>
          </cell>
          <cell r="G52" t="str">
            <v>MR. NITISH BERA</v>
          </cell>
          <cell r="H52" t="str">
            <v>Male</v>
          </cell>
          <cell r="I52" t="str">
            <v>17/05/1971</v>
          </cell>
          <cell r="J52" t="str">
            <v>01/06/2004</v>
          </cell>
          <cell r="K52" t="str">
            <v>9748784662</v>
          </cell>
          <cell r="L52" t="str">
            <v/>
          </cell>
          <cell r="M52" t="str">
            <v/>
          </cell>
          <cell r="N52" t="str">
            <v/>
          </cell>
          <cell r="O52"/>
          <cell r="P52"/>
          <cell r="Q52" t="str">
            <v/>
          </cell>
          <cell r="R52" t="str">
            <v>ACTIVE</v>
          </cell>
          <cell r="S52" t="str">
            <v>STATE BANK OF INDIA</v>
          </cell>
          <cell r="T52" t="str">
            <v>SBIN0016913</v>
          </cell>
          <cell r="U52" t="str">
            <v>34203552529</v>
          </cell>
          <cell r="V52" t="str">
            <v>100257937979</v>
          </cell>
          <cell r="W52" t="str">
            <v>NA</v>
          </cell>
          <cell r="X52" t="str">
            <v>4005522089</v>
          </cell>
          <cell r="Y52" t="str">
            <v>BOUPB9804A</v>
          </cell>
          <cell r="Z52" t="str">
            <v>830294829669</v>
          </cell>
          <cell r="AA52" t="str">
            <v>TRUE</v>
          </cell>
          <cell r="AB52" t="str">
            <v>TRUE</v>
          </cell>
          <cell r="AC52" t="str">
            <v>FALSE</v>
          </cell>
          <cell r="AD52" t="str">
            <v>FALSE</v>
          </cell>
          <cell r="AE52" t="str">
            <v>FALSE</v>
          </cell>
          <cell r="AF52" t="str">
            <v/>
          </cell>
          <cell r="AG52" t="str">
            <v>FALSE</v>
          </cell>
          <cell r="AH52" t="str">
            <v/>
          </cell>
          <cell r="AI52" t="str">
            <v/>
          </cell>
          <cell r="AJ52" t="str">
            <v>PAYMENT RELEASE</v>
          </cell>
          <cell r="AK52"/>
          <cell r="AL52"/>
          <cell r="AM52"/>
          <cell r="AN52" t="str">
            <v>NA</v>
          </cell>
          <cell r="AO52"/>
          <cell r="AP52"/>
          <cell r="AQ52">
            <v>15000</v>
          </cell>
          <cell r="AR52">
            <v>13500</v>
          </cell>
          <cell r="AS52">
            <v>5506</v>
          </cell>
          <cell r="AT52">
            <v>5506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721.15384615384619</v>
          </cell>
          <cell r="BF52">
            <v>721.15384615384619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160</v>
          </cell>
          <cell r="BY52"/>
          <cell r="BZ52">
            <v>0</v>
          </cell>
          <cell r="CA52">
            <v>0</v>
          </cell>
          <cell r="CB52">
            <v>21227.153846153848</v>
          </cell>
          <cell r="CC52">
            <v>19887.153846153848</v>
          </cell>
          <cell r="CD52">
            <v>22454.848846153847</v>
          </cell>
          <cell r="CE52">
            <v>683.5333333333333</v>
          </cell>
          <cell r="CF52">
            <v>20506</v>
          </cell>
          <cell r="CG52">
            <v>19006</v>
          </cell>
          <cell r="CH52">
            <v>19166</v>
          </cell>
          <cell r="CI52">
            <v>20643.555</v>
          </cell>
          <cell r="CJ52">
            <v>30</v>
          </cell>
          <cell r="CK52">
            <v>3</v>
          </cell>
          <cell r="CL52">
            <v>20712.8</v>
          </cell>
          <cell r="CM52">
            <v>17092.954999999998</v>
          </cell>
          <cell r="CN52"/>
          <cell r="CO52">
            <v>2073.0450000000001</v>
          </cell>
          <cell r="CP52">
            <v>1800</v>
          </cell>
          <cell r="CQ52">
            <v>142.54499999999999</v>
          </cell>
          <cell r="CR52">
            <v>0</v>
          </cell>
          <cell r="CS52">
            <v>130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0.5</v>
          </cell>
          <cell r="CZ52"/>
          <cell r="DA52">
            <v>1950</v>
          </cell>
          <cell r="DB52">
            <v>617.69500000000005</v>
          </cell>
          <cell r="DC52"/>
          <cell r="DD52">
            <v>5</v>
          </cell>
          <cell r="DE52">
            <v>6.83</v>
          </cell>
          <cell r="DF52">
            <v>1.83</v>
          </cell>
          <cell r="DG52">
            <v>0</v>
          </cell>
          <cell r="DH52">
            <v>3.5</v>
          </cell>
          <cell r="DI52">
            <v>4.75</v>
          </cell>
          <cell r="DJ52">
            <v>1.25</v>
          </cell>
          <cell r="DK52">
            <v>0</v>
          </cell>
          <cell r="DL52">
            <v>1.5</v>
          </cell>
        </row>
        <row r="53">
          <cell r="F53" t="str">
            <v>E0074</v>
          </cell>
          <cell r="G53" t="str">
            <v>MR. AMAR MOLLA</v>
          </cell>
          <cell r="H53" t="str">
            <v>Male</v>
          </cell>
          <cell r="I53" t="str">
            <v/>
          </cell>
          <cell r="J53" t="str">
            <v>01/06/2004</v>
          </cell>
          <cell r="K53" t="str">
            <v>8479894242</v>
          </cell>
          <cell r="L53" t="str">
            <v/>
          </cell>
          <cell r="M53" t="str">
            <v>ADMIN</v>
          </cell>
          <cell r="N53" t="str">
            <v>ADMIN</v>
          </cell>
          <cell r="O53"/>
          <cell r="P53"/>
          <cell r="Q53" t="str">
            <v>HOUSE KEEPING</v>
          </cell>
          <cell r="R53" t="str">
            <v>ACTIVE</v>
          </cell>
          <cell r="S53" t="str">
            <v>STATE BANK OF INDIA</v>
          </cell>
          <cell r="T53" t="str">
            <v>SBIN0016913</v>
          </cell>
          <cell r="U53" t="str">
            <v>36475259059</v>
          </cell>
          <cell r="V53" t="str">
            <v>100078890952</v>
          </cell>
          <cell r="W53" t="str">
            <v>NA</v>
          </cell>
          <cell r="X53" t="str">
            <v>4005600465</v>
          </cell>
          <cell r="Y53" t="str">
            <v/>
          </cell>
          <cell r="Z53" t="str">
            <v/>
          </cell>
          <cell r="AA53" t="str">
            <v>TRUE</v>
          </cell>
          <cell r="AB53" t="str">
            <v>TRUE</v>
          </cell>
          <cell r="AC53" t="str">
            <v>FALSE</v>
          </cell>
          <cell r="AD53" t="str">
            <v>FALSE</v>
          </cell>
          <cell r="AE53" t="str">
            <v>FALSE</v>
          </cell>
          <cell r="AF53" t="str">
            <v/>
          </cell>
          <cell r="AG53" t="str">
            <v>FALSE</v>
          </cell>
          <cell r="AH53" t="str">
            <v/>
          </cell>
          <cell r="AI53" t="str">
            <v/>
          </cell>
          <cell r="AJ53" t="str">
            <v>PAYMENT RELEASE</v>
          </cell>
          <cell r="AK53"/>
          <cell r="AL53"/>
          <cell r="AM53"/>
          <cell r="AN53" t="str">
            <v>NA</v>
          </cell>
          <cell r="AO53"/>
          <cell r="AP53"/>
          <cell r="AQ53">
            <v>15000</v>
          </cell>
          <cell r="AR53">
            <v>15000</v>
          </cell>
          <cell r="AS53">
            <v>5372</v>
          </cell>
          <cell r="AT53">
            <v>5372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721.15384615384619</v>
          </cell>
          <cell r="BF53">
            <v>721.15384615384619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160</v>
          </cell>
          <cell r="BY53"/>
          <cell r="BZ53">
            <v>0</v>
          </cell>
          <cell r="CA53">
            <v>2716.27</v>
          </cell>
          <cell r="CB53">
            <v>21093.153846153848</v>
          </cell>
          <cell r="CC53">
            <v>23969.423846153848</v>
          </cell>
          <cell r="CD53">
            <v>26581.513846153848</v>
          </cell>
          <cell r="CE53">
            <v>679.06666666666672</v>
          </cell>
          <cell r="CF53">
            <v>20372</v>
          </cell>
          <cell r="CG53">
            <v>20372</v>
          </cell>
          <cell r="CH53">
            <v>23248.27</v>
          </cell>
          <cell r="CI53">
            <v>19806.843333333334</v>
          </cell>
          <cell r="CJ53">
            <v>30</v>
          </cell>
          <cell r="CK53">
            <v>2</v>
          </cell>
          <cell r="CL53">
            <v>19807.343333333334</v>
          </cell>
          <cell r="CM53">
            <v>21164.98</v>
          </cell>
          <cell r="CN53"/>
          <cell r="CO53">
            <v>2083.29</v>
          </cell>
          <cell r="CP53">
            <v>1800</v>
          </cell>
          <cell r="CQ53">
            <v>152.79</v>
          </cell>
          <cell r="CR53">
            <v>0</v>
          </cell>
          <cell r="CS53">
            <v>130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0.5</v>
          </cell>
          <cell r="CZ53"/>
          <cell r="DA53">
            <v>1950</v>
          </cell>
          <cell r="DB53">
            <v>662.09</v>
          </cell>
          <cell r="DC53"/>
          <cell r="DD53">
            <v>5</v>
          </cell>
          <cell r="DE53">
            <v>6.83</v>
          </cell>
          <cell r="DF53">
            <v>1.83</v>
          </cell>
          <cell r="DG53">
            <v>0</v>
          </cell>
          <cell r="DH53">
            <v>3.5</v>
          </cell>
          <cell r="DI53">
            <v>4.75</v>
          </cell>
          <cell r="DJ53">
            <v>1.25</v>
          </cell>
          <cell r="DK53">
            <v>0</v>
          </cell>
          <cell r="DL53">
            <v>1.5</v>
          </cell>
        </row>
        <row r="54">
          <cell r="F54" t="str">
            <v>E0071</v>
          </cell>
          <cell r="G54" t="str">
            <v>MR. MAHADEV SARDAR</v>
          </cell>
          <cell r="H54" t="str">
            <v>Male</v>
          </cell>
          <cell r="I54" t="str">
            <v>11/08/1974</v>
          </cell>
          <cell r="J54" t="str">
            <v>01/06/2004</v>
          </cell>
          <cell r="K54" t="str">
            <v>9831544977</v>
          </cell>
          <cell r="L54" t="str">
            <v/>
          </cell>
          <cell r="M54" t="str">
            <v/>
          </cell>
          <cell r="N54" t="str">
            <v/>
          </cell>
          <cell r="O54"/>
          <cell r="P54"/>
          <cell r="Q54" t="str">
            <v/>
          </cell>
          <cell r="R54" t="str">
            <v>ACTIVE</v>
          </cell>
          <cell r="S54" t="str">
            <v>STATE BANK OF INDIA</v>
          </cell>
          <cell r="T54" t="str">
            <v>SBIN0016913</v>
          </cell>
          <cell r="U54" t="str">
            <v>34609467927</v>
          </cell>
          <cell r="V54" t="str">
            <v>100213031397</v>
          </cell>
          <cell r="W54" t="str">
            <v>NA</v>
          </cell>
          <cell r="X54" t="str">
            <v>4005522076</v>
          </cell>
          <cell r="Y54" t="str">
            <v>FVAPS2963E</v>
          </cell>
          <cell r="Z54" t="str">
            <v/>
          </cell>
          <cell r="AA54" t="str">
            <v>TRUE</v>
          </cell>
          <cell r="AB54" t="str">
            <v>TRUE</v>
          </cell>
          <cell r="AC54" t="str">
            <v>FALSE</v>
          </cell>
          <cell r="AD54" t="str">
            <v>FALSE</v>
          </cell>
          <cell r="AE54" t="str">
            <v>FALSE</v>
          </cell>
          <cell r="AF54" t="str">
            <v/>
          </cell>
          <cell r="AG54" t="str">
            <v>FALSE</v>
          </cell>
          <cell r="AH54" t="str">
            <v/>
          </cell>
          <cell r="AI54" t="str">
            <v/>
          </cell>
          <cell r="AJ54" t="str">
            <v>PAYMENT RELEASE</v>
          </cell>
          <cell r="AK54"/>
          <cell r="AL54"/>
          <cell r="AM54"/>
          <cell r="AN54" t="str">
            <v>NA</v>
          </cell>
          <cell r="AO54"/>
          <cell r="AP54"/>
          <cell r="AQ54">
            <v>15000</v>
          </cell>
          <cell r="AR54">
            <v>14500</v>
          </cell>
          <cell r="AS54">
            <v>5372</v>
          </cell>
          <cell r="AT54">
            <v>5372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721.15384615384619</v>
          </cell>
          <cell r="BF54">
            <v>721.15384615384619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240</v>
          </cell>
          <cell r="BY54"/>
          <cell r="BZ54">
            <v>0</v>
          </cell>
          <cell r="CA54">
            <v>0</v>
          </cell>
          <cell r="CB54">
            <v>21093.153846153848</v>
          </cell>
          <cell r="CC54">
            <v>20833.153846153848</v>
          </cell>
          <cell r="CD54">
            <v>23428.993846153848</v>
          </cell>
          <cell r="CE54">
            <v>679.06666666666672</v>
          </cell>
          <cell r="CF54">
            <v>20372</v>
          </cell>
          <cell r="CG54">
            <v>19872</v>
          </cell>
          <cell r="CH54">
            <v>20112</v>
          </cell>
          <cell r="CI54">
            <v>20569.66</v>
          </cell>
          <cell r="CJ54">
            <v>30</v>
          </cell>
          <cell r="CK54">
            <v>3</v>
          </cell>
          <cell r="CL54">
            <v>20566.41</v>
          </cell>
          <cell r="CM54">
            <v>18032.46</v>
          </cell>
          <cell r="CN54"/>
          <cell r="CO54">
            <v>2079.54</v>
          </cell>
          <cell r="CP54">
            <v>1800</v>
          </cell>
          <cell r="CQ54">
            <v>149.04</v>
          </cell>
          <cell r="CR54">
            <v>0</v>
          </cell>
          <cell r="CS54">
            <v>130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0.5</v>
          </cell>
          <cell r="CZ54"/>
          <cell r="DA54">
            <v>1950</v>
          </cell>
          <cell r="DB54">
            <v>645.84</v>
          </cell>
          <cell r="DC54"/>
          <cell r="DD54">
            <v>4.5</v>
          </cell>
          <cell r="DE54">
            <v>4.33</v>
          </cell>
          <cell r="DF54">
            <v>1.83</v>
          </cell>
          <cell r="DG54">
            <v>2</v>
          </cell>
          <cell r="DH54">
            <v>3.5</v>
          </cell>
          <cell r="DI54">
            <v>3.75</v>
          </cell>
          <cell r="DJ54">
            <v>1.25</v>
          </cell>
          <cell r="DK54">
            <v>1</v>
          </cell>
          <cell r="DL54">
            <v>1</v>
          </cell>
        </row>
        <row r="55">
          <cell r="F55" t="str">
            <v>E0080</v>
          </cell>
          <cell r="G55" t="str">
            <v>MR. TAPAN PRAMANIK</v>
          </cell>
          <cell r="H55" t="str">
            <v>Male</v>
          </cell>
          <cell r="I55" t="str">
            <v>15/03/1976</v>
          </cell>
          <cell r="J55" t="str">
            <v>01/06/2004</v>
          </cell>
          <cell r="K55" t="str">
            <v>9007082594</v>
          </cell>
          <cell r="L55" t="str">
            <v/>
          </cell>
          <cell r="M55" t="str">
            <v/>
          </cell>
          <cell r="N55" t="str">
            <v/>
          </cell>
          <cell r="O55"/>
          <cell r="P55"/>
          <cell r="Q55" t="str">
            <v/>
          </cell>
          <cell r="R55" t="str">
            <v>ACTIVE</v>
          </cell>
          <cell r="S55" t="str">
            <v>STATE BANK OF INDIA</v>
          </cell>
          <cell r="T55" t="str">
            <v>SBIN0016913</v>
          </cell>
          <cell r="U55" t="str">
            <v>36560480990</v>
          </cell>
          <cell r="V55" t="str">
            <v>100389156826</v>
          </cell>
          <cell r="W55" t="str">
            <v>NA</v>
          </cell>
          <cell r="X55" t="str">
            <v>4005522082</v>
          </cell>
          <cell r="Y55" t="str">
            <v>CKWPP7070F</v>
          </cell>
          <cell r="Z55" t="str">
            <v>887690970597</v>
          </cell>
          <cell r="AA55" t="str">
            <v>TRUE</v>
          </cell>
          <cell r="AB55" t="str">
            <v>TRUE</v>
          </cell>
          <cell r="AC55" t="str">
            <v>FALSE</v>
          </cell>
          <cell r="AD55" t="str">
            <v>FALSE</v>
          </cell>
          <cell r="AE55" t="str">
            <v>FALSE</v>
          </cell>
          <cell r="AF55" t="str">
            <v/>
          </cell>
          <cell r="AG55" t="str">
            <v>FALSE</v>
          </cell>
          <cell r="AH55" t="str">
            <v/>
          </cell>
          <cell r="AI55" t="str">
            <v/>
          </cell>
          <cell r="AJ55" t="str">
            <v>PAYMENT RELEASE</v>
          </cell>
          <cell r="AK55"/>
          <cell r="AL55"/>
          <cell r="AM55"/>
          <cell r="AN55" t="str">
            <v>NA</v>
          </cell>
          <cell r="AO55"/>
          <cell r="AP55"/>
          <cell r="AQ55">
            <v>15000</v>
          </cell>
          <cell r="AR55">
            <v>15000</v>
          </cell>
          <cell r="AS55">
            <v>5372</v>
          </cell>
          <cell r="AT55">
            <v>5372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721.15384615384619</v>
          </cell>
          <cell r="BF55">
            <v>721.15384615384619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80</v>
          </cell>
          <cell r="BY55"/>
          <cell r="BZ55">
            <v>0</v>
          </cell>
          <cell r="CA55">
            <v>679.07</v>
          </cell>
          <cell r="CB55">
            <v>21093.153846153848</v>
          </cell>
          <cell r="CC55">
            <v>21852.223846153847</v>
          </cell>
          <cell r="CD55">
            <v>24464.313846153847</v>
          </cell>
          <cell r="CE55">
            <v>679.06666666666672</v>
          </cell>
          <cell r="CF55">
            <v>20372</v>
          </cell>
          <cell r="CG55">
            <v>20372</v>
          </cell>
          <cell r="CH55">
            <v>21131.07</v>
          </cell>
          <cell r="CI55">
            <v>19047.776666666668</v>
          </cell>
          <cell r="CJ55">
            <v>30</v>
          </cell>
          <cell r="CK55">
            <v>1</v>
          </cell>
          <cell r="CL55">
            <v>19048.276666666665</v>
          </cell>
          <cell r="CM55">
            <v>19047.78</v>
          </cell>
          <cell r="CN55"/>
          <cell r="CO55">
            <v>2083.29</v>
          </cell>
          <cell r="CP55">
            <v>1800</v>
          </cell>
          <cell r="CQ55">
            <v>152.79</v>
          </cell>
          <cell r="CR55">
            <v>0</v>
          </cell>
          <cell r="CS55">
            <v>130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0.5</v>
          </cell>
          <cell r="CZ55"/>
          <cell r="DA55">
            <v>1950</v>
          </cell>
          <cell r="DB55">
            <v>662.09</v>
          </cell>
          <cell r="DC55"/>
          <cell r="DD55">
            <v>5</v>
          </cell>
          <cell r="DE55">
            <v>5.83</v>
          </cell>
          <cell r="DF55">
            <v>1.83</v>
          </cell>
          <cell r="DG55">
            <v>1</v>
          </cell>
          <cell r="DH55">
            <v>3.5</v>
          </cell>
          <cell r="DI55">
            <v>4.75</v>
          </cell>
          <cell r="DJ55">
            <v>1.25</v>
          </cell>
          <cell r="DK55">
            <v>0</v>
          </cell>
          <cell r="DL55">
            <v>1.5</v>
          </cell>
        </row>
        <row r="56">
          <cell r="F56" t="str">
            <v>E0025</v>
          </cell>
          <cell r="G56" t="str">
            <v>MR. PARMINDER HATWAL</v>
          </cell>
          <cell r="H56" t="str">
            <v>Male</v>
          </cell>
          <cell r="I56" t="str">
            <v>01/01/1995</v>
          </cell>
          <cell r="J56" t="str">
            <v>01/06/2004</v>
          </cell>
          <cell r="K56" t="str">
            <v>7095347216</v>
          </cell>
          <cell r="L56" t="str">
            <v/>
          </cell>
          <cell r="M56" t="str">
            <v>ADMIN</v>
          </cell>
          <cell r="N56" t="str">
            <v>ADMIN</v>
          </cell>
          <cell r="O56"/>
          <cell r="P56"/>
          <cell r="Q56" t="str">
            <v>HOUSE KEEPING</v>
          </cell>
          <cell r="R56" t="str">
            <v>ACTIVE</v>
          </cell>
          <cell r="S56" t="str">
            <v>STATE BANK OF INDIA</v>
          </cell>
          <cell r="T56" t="str">
            <v>SBIN0016913</v>
          </cell>
          <cell r="U56" t="str">
            <v>36560480548</v>
          </cell>
          <cell r="V56" t="str">
            <v>100268465467</v>
          </cell>
          <cell r="W56" t="str">
            <v>NA</v>
          </cell>
          <cell r="X56" t="str">
            <v>4005522039</v>
          </cell>
          <cell r="Y56" t="str">
            <v/>
          </cell>
          <cell r="Z56" t="str">
            <v>516005287187</v>
          </cell>
          <cell r="AA56" t="str">
            <v>TRUE</v>
          </cell>
          <cell r="AB56" t="str">
            <v>TRUE</v>
          </cell>
          <cell r="AC56" t="str">
            <v>FALSE</v>
          </cell>
          <cell r="AD56" t="str">
            <v>FALSE</v>
          </cell>
          <cell r="AE56" t="str">
            <v>FALSE</v>
          </cell>
          <cell r="AF56" t="str">
            <v/>
          </cell>
          <cell r="AG56" t="str">
            <v>FALSE</v>
          </cell>
          <cell r="AH56" t="str">
            <v/>
          </cell>
          <cell r="AI56" t="str">
            <v/>
          </cell>
          <cell r="AJ56" t="str">
            <v>PAYMENT RELEASE</v>
          </cell>
          <cell r="AK56"/>
          <cell r="AL56"/>
          <cell r="AM56"/>
          <cell r="AN56" t="str">
            <v>NA</v>
          </cell>
          <cell r="AO56"/>
          <cell r="AP56"/>
          <cell r="AQ56">
            <v>15000</v>
          </cell>
          <cell r="AR56">
            <v>15000</v>
          </cell>
          <cell r="AS56">
            <v>5372</v>
          </cell>
          <cell r="AT56">
            <v>5372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721.15384615384619</v>
          </cell>
          <cell r="BF56">
            <v>721.15384615384619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160</v>
          </cell>
          <cell r="BY56"/>
          <cell r="BZ56">
            <v>0</v>
          </cell>
          <cell r="CA56">
            <v>0</v>
          </cell>
          <cell r="CB56">
            <v>21093.153846153848</v>
          </cell>
          <cell r="CC56">
            <v>21253.153846153848</v>
          </cell>
          <cell r="CD56">
            <v>23865.243846153848</v>
          </cell>
          <cell r="CE56">
            <v>679.06666666666672</v>
          </cell>
          <cell r="CF56">
            <v>20372</v>
          </cell>
          <cell r="CG56">
            <v>20372</v>
          </cell>
          <cell r="CH56">
            <v>20532</v>
          </cell>
          <cell r="CI56">
            <v>19806.843333333334</v>
          </cell>
          <cell r="CJ56">
            <v>30</v>
          </cell>
          <cell r="CK56">
            <v>2</v>
          </cell>
          <cell r="CL56">
            <v>19807.343333333334</v>
          </cell>
          <cell r="CM56">
            <v>18448.71</v>
          </cell>
          <cell r="CN56"/>
          <cell r="CO56">
            <v>2083.29</v>
          </cell>
          <cell r="CP56">
            <v>1800</v>
          </cell>
          <cell r="CQ56">
            <v>152.79</v>
          </cell>
          <cell r="CR56">
            <v>0</v>
          </cell>
          <cell r="CS56">
            <v>130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0.5</v>
          </cell>
          <cell r="CZ56"/>
          <cell r="DA56">
            <v>1950</v>
          </cell>
          <cell r="DB56">
            <v>662.09</v>
          </cell>
          <cell r="DC56"/>
          <cell r="DD56">
            <v>4</v>
          </cell>
          <cell r="DE56">
            <v>2.33</v>
          </cell>
          <cell r="DF56">
            <v>1.83</v>
          </cell>
          <cell r="DG56">
            <v>3.5</v>
          </cell>
          <cell r="DH56">
            <v>3.5</v>
          </cell>
          <cell r="DI56">
            <v>1.75</v>
          </cell>
          <cell r="DJ56">
            <v>1.25</v>
          </cell>
          <cell r="DK56">
            <v>3</v>
          </cell>
          <cell r="DL56">
            <v>0.5</v>
          </cell>
        </row>
        <row r="57">
          <cell r="F57" t="str">
            <v>E0182</v>
          </cell>
          <cell r="G57" t="str">
            <v>MR. AJAY KUMAR PRASAD</v>
          </cell>
          <cell r="H57" t="str">
            <v>Male</v>
          </cell>
          <cell r="I57" t="str">
            <v>10/03/1975</v>
          </cell>
          <cell r="J57" t="str">
            <v>02/05/2009</v>
          </cell>
          <cell r="K57" t="str">
            <v>9804230875</v>
          </cell>
          <cell r="L57" t="str">
            <v/>
          </cell>
          <cell r="M57" t="str">
            <v/>
          </cell>
          <cell r="N57" t="str">
            <v/>
          </cell>
          <cell r="O57"/>
          <cell r="P57"/>
          <cell r="Q57" t="str">
            <v/>
          </cell>
          <cell r="R57" t="str">
            <v>ACTIVE</v>
          </cell>
          <cell r="S57" t="str">
            <v>STATE BANK OF INDIA</v>
          </cell>
          <cell r="T57" t="str">
            <v>SBIN0016913</v>
          </cell>
          <cell r="U57" t="str">
            <v>36560480945</v>
          </cell>
          <cell r="V57" t="str">
            <v>100075481733</v>
          </cell>
          <cell r="W57" t="str">
            <v>NA</v>
          </cell>
          <cell r="X57" t="str">
            <v>4005639260</v>
          </cell>
          <cell r="Y57" t="str">
            <v>AYJPP0931G</v>
          </cell>
          <cell r="Z57" t="str">
            <v>770152764287</v>
          </cell>
          <cell r="AA57" t="str">
            <v>TRUE</v>
          </cell>
          <cell r="AB57" t="str">
            <v>TRUE</v>
          </cell>
          <cell r="AC57" t="str">
            <v>FALSE</v>
          </cell>
          <cell r="AD57" t="str">
            <v>FALSE</v>
          </cell>
          <cell r="AE57" t="str">
            <v>FALSE</v>
          </cell>
          <cell r="AF57" t="str">
            <v/>
          </cell>
          <cell r="AG57" t="str">
            <v>FALSE</v>
          </cell>
          <cell r="AH57" t="str">
            <v/>
          </cell>
          <cell r="AI57" t="str">
            <v/>
          </cell>
          <cell r="AJ57" t="str">
            <v>PAYMENT RELEASE</v>
          </cell>
          <cell r="AK57"/>
          <cell r="AL57"/>
          <cell r="AM57"/>
          <cell r="AN57" t="str">
            <v>NA</v>
          </cell>
          <cell r="AO57"/>
          <cell r="AP57"/>
          <cell r="AQ57">
            <v>15000</v>
          </cell>
          <cell r="AR57">
            <v>15000</v>
          </cell>
          <cell r="AS57">
            <v>5376</v>
          </cell>
          <cell r="AT57">
            <v>5376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721.15384615384619</v>
          </cell>
          <cell r="BF57">
            <v>721.15384615384619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80</v>
          </cell>
          <cell r="BY57"/>
          <cell r="BZ57">
            <v>0</v>
          </cell>
          <cell r="CA57">
            <v>0</v>
          </cell>
          <cell r="CB57">
            <v>21097.153846153848</v>
          </cell>
          <cell r="CC57">
            <v>21177.153846153848</v>
          </cell>
          <cell r="CD57">
            <v>23789.373846153849</v>
          </cell>
          <cell r="CE57">
            <v>679.2</v>
          </cell>
          <cell r="CF57">
            <v>20376</v>
          </cell>
          <cell r="CG57">
            <v>20376</v>
          </cell>
          <cell r="CH57">
            <v>20456</v>
          </cell>
          <cell r="CI57">
            <v>17693.480000000003</v>
          </cell>
          <cell r="CJ57">
            <v>28</v>
          </cell>
          <cell r="CK57">
            <v>1</v>
          </cell>
          <cell r="CL57">
            <v>17693.980000000003</v>
          </cell>
          <cell r="CM57">
            <v>18372.68</v>
          </cell>
          <cell r="CN57"/>
          <cell r="CO57">
            <v>2083.3199999999997</v>
          </cell>
          <cell r="CP57">
            <v>1800</v>
          </cell>
          <cell r="CQ57">
            <v>152.82</v>
          </cell>
          <cell r="CR57">
            <v>0</v>
          </cell>
          <cell r="CS57">
            <v>130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0.5</v>
          </cell>
          <cell r="CZ57"/>
          <cell r="DA57">
            <v>1950</v>
          </cell>
          <cell r="DB57">
            <v>662.22</v>
          </cell>
          <cell r="DC57"/>
          <cell r="DD57">
            <v>2</v>
          </cell>
          <cell r="DE57">
            <v>2.83</v>
          </cell>
          <cell r="DF57">
            <v>1.83</v>
          </cell>
          <cell r="DG57">
            <v>1</v>
          </cell>
          <cell r="DH57">
            <v>1.5</v>
          </cell>
          <cell r="DI57">
            <v>1.75</v>
          </cell>
          <cell r="DJ57">
            <v>1.25</v>
          </cell>
          <cell r="DK57">
            <v>1</v>
          </cell>
          <cell r="DL57">
            <v>0.5</v>
          </cell>
        </row>
        <row r="58">
          <cell r="F58" t="str">
            <v>E0046</v>
          </cell>
          <cell r="G58" t="str">
            <v>MR. SANJAY SARDAR</v>
          </cell>
          <cell r="H58" t="str">
            <v>Male</v>
          </cell>
          <cell r="I58" t="str">
            <v>01/01/1972</v>
          </cell>
          <cell r="J58" t="str">
            <v>01/06/2004</v>
          </cell>
          <cell r="K58" t="str">
            <v>8013939749</v>
          </cell>
          <cell r="L58" t="str">
            <v/>
          </cell>
          <cell r="M58" t="str">
            <v/>
          </cell>
          <cell r="N58" t="str">
            <v/>
          </cell>
          <cell r="O58"/>
          <cell r="P58"/>
          <cell r="Q58" t="str">
            <v/>
          </cell>
          <cell r="R58" t="str">
            <v>ACTIVE</v>
          </cell>
          <cell r="S58" t="str">
            <v>STATE BANK OF INDIA</v>
          </cell>
          <cell r="T58" t="str">
            <v>SBIN0016913</v>
          </cell>
          <cell r="U58" t="str">
            <v>36560480774</v>
          </cell>
          <cell r="V58" t="str">
            <v>100333971777</v>
          </cell>
          <cell r="W58" t="str">
            <v>NA</v>
          </cell>
          <cell r="X58" t="str">
            <v>4005522058</v>
          </cell>
          <cell r="Y58" t="str">
            <v>GNDPS0693R</v>
          </cell>
          <cell r="Z58" t="str">
            <v>776968784667</v>
          </cell>
          <cell r="AA58" t="str">
            <v>TRUE</v>
          </cell>
          <cell r="AB58" t="str">
            <v>TRUE</v>
          </cell>
          <cell r="AC58" t="str">
            <v>FALSE</v>
          </cell>
          <cell r="AD58" t="str">
            <v>FALSE</v>
          </cell>
          <cell r="AE58" t="str">
            <v>FALSE</v>
          </cell>
          <cell r="AF58" t="str">
            <v/>
          </cell>
          <cell r="AG58" t="str">
            <v>FALSE</v>
          </cell>
          <cell r="AH58" t="str">
            <v/>
          </cell>
          <cell r="AI58" t="str">
            <v/>
          </cell>
          <cell r="AJ58" t="str">
            <v>PAYMENT RELEASE</v>
          </cell>
          <cell r="AK58"/>
          <cell r="AL58"/>
          <cell r="AM58"/>
          <cell r="AN58" t="str">
            <v>NA</v>
          </cell>
          <cell r="AO58"/>
          <cell r="AP58"/>
          <cell r="AQ58">
            <v>15000</v>
          </cell>
          <cell r="AR58">
            <v>15000</v>
          </cell>
          <cell r="AS58">
            <v>5372</v>
          </cell>
          <cell r="AT58">
            <v>5372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721.15384615384619</v>
          </cell>
          <cell r="BF58">
            <v>721.15384615384619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80</v>
          </cell>
          <cell r="BY58"/>
          <cell r="BZ58">
            <v>0</v>
          </cell>
          <cell r="CA58">
            <v>0</v>
          </cell>
          <cell r="CB58">
            <v>21093.153846153848</v>
          </cell>
          <cell r="CC58">
            <v>21173.153846153848</v>
          </cell>
          <cell r="CD58">
            <v>23785.243846153848</v>
          </cell>
          <cell r="CE58">
            <v>679.06666666666672</v>
          </cell>
          <cell r="CF58">
            <v>20372</v>
          </cell>
          <cell r="CG58">
            <v>20372</v>
          </cell>
          <cell r="CH58">
            <v>20452</v>
          </cell>
          <cell r="CI58">
            <v>17010.576666666668</v>
          </cell>
          <cell r="CJ58">
            <v>27</v>
          </cell>
          <cell r="CK58">
            <v>1</v>
          </cell>
          <cell r="CL58">
            <v>17011.076666666668</v>
          </cell>
          <cell r="CM58">
            <v>18368.71</v>
          </cell>
          <cell r="CN58"/>
          <cell r="CO58">
            <v>2083.29</v>
          </cell>
          <cell r="CP58">
            <v>1800</v>
          </cell>
          <cell r="CQ58">
            <v>152.79</v>
          </cell>
          <cell r="CR58">
            <v>0</v>
          </cell>
          <cell r="CS58">
            <v>130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0.5</v>
          </cell>
          <cell r="CZ58"/>
          <cell r="DA58">
            <v>1950</v>
          </cell>
          <cell r="DB58">
            <v>662.09</v>
          </cell>
          <cell r="DC58"/>
          <cell r="DD58">
            <v>2</v>
          </cell>
          <cell r="DE58">
            <v>2.83</v>
          </cell>
          <cell r="DF58">
            <v>1.83</v>
          </cell>
          <cell r="DG58">
            <v>1</v>
          </cell>
          <cell r="DH58">
            <v>1.5</v>
          </cell>
          <cell r="DI58">
            <v>1.75</v>
          </cell>
          <cell r="DJ58">
            <v>1.25</v>
          </cell>
          <cell r="DK58">
            <v>1</v>
          </cell>
          <cell r="DL58">
            <v>0.5</v>
          </cell>
        </row>
        <row r="59">
          <cell r="F59" t="str">
            <v>E0083</v>
          </cell>
          <cell r="G59" t="str">
            <v>MR. NIPEN MONDAL</v>
          </cell>
          <cell r="H59" t="str">
            <v>Male</v>
          </cell>
          <cell r="I59" t="str">
            <v>01/01/1984</v>
          </cell>
          <cell r="J59" t="str">
            <v>01/06/2004</v>
          </cell>
          <cell r="K59" t="str">
            <v>8017505542</v>
          </cell>
          <cell r="L59" t="str">
            <v/>
          </cell>
          <cell r="M59" t="str">
            <v/>
          </cell>
          <cell r="N59" t="str">
            <v/>
          </cell>
          <cell r="O59"/>
          <cell r="P59"/>
          <cell r="Q59" t="str">
            <v/>
          </cell>
          <cell r="R59" t="str">
            <v>ACTIVE</v>
          </cell>
          <cell r="S59" t="str">
            <v>STATE BANK OF INDIA</v>
          </cell>
          <cell r="T59" t="str">
            <v>SBIN0016913</v>
          </cell>
          <cell r="U59" t="str">
            <v>36594241056</v>
          </cell>
          <cell r="V59" t="str">
            <v>100256018187</v>
          </cell>
          <cell r="W59" t="str">
            <v>NA</v>
          </cell>
          <cell r="X59" t="str">
            <v>4005522085</v>
          </cell>
          <cell r="Y59" t="str">
            <v>CXAPM8290D</v>
          </cell>
          <cell r="Z59" t="str">
            <v>547430479999</v>
          </cell>
          <cell r="AA59" t="str">
            <v>TRUE</v>
          </cell>
          <cell r="AB59" t="str">
            <v>TRUE</v>
          </cell>
          <cell r="AC59" t="str">
            <v>FALSE</v>
          </cell>
          <cell r="AD59" t="str">
            <v>FALSE</v>
          </cell>
          <cell r="AE59" t="str">
            <v>FALSE</v>
          </cell>
          <cell r="AF59" t="str">
            <v/>
          </cell>
          <cell r="AG59" t="str">
            <v>FALSE</v>
          </cell>
          <cell r="AH59" t="str">
            <v/>
          </cell>
          <cell r="AI59" t="str">
            <v/>
          </cell>
          <cell r="AJ59" t="str">
            <v>PAYMENT RELEASE</v>
          </cell>
          <cell r="AK59"/>
          <cell r="AL59"/>
          <cell r="AM59"/>
          <cell r="AN59" t="str">
            <v>NA</v>
          </cell>
          <cell r="AO59"/>
          <cell r="AP59"/>
          <cell r="AQ59">
            <v>15000</v>
          </cell>
          <cell r="AR59">
            <v>15000</v>
          </cell>
          <cell r="AS59">
            <v>5372</v>
          </cell>
          <cell r="AT59">
            <v>5372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721.15384615384619</v>
          </cell>
          <cell r="BF59">
            <v>721.15384615384619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80</v>
          </cell>
          <cell r="BY59"/>
          <cell r="BZ59">
            <v>0</v>
          </cell>
          <cell r="CA59">
            <v>0</v>
          </cell>
          <cell r="CB59">
            <v>21093.153846153848</v>
          </cell>
          <cell r="CC59">
            <v>21173.153846153848</v>
          </cell>
          <cell r="CD59">
            <v>23785.243846153848</v>
          </cell>
          <cell r="CE59">
            <v>679.06666666666672</v>
          </cell>
          <cell r="CF59">
            <v>20372</v>
          </cell>
          <cell r="CG59">
            <v>20372</v>
          </cell>
          <cell r="CH59">
            <v>20452</v>
          </cell>
          <cell r="CI59">
            <v>18368.71</v>
          </cell>
          <cell r="CJ59">
            <v>29</v>
          </cell>
          <cell r="CK59">
            <v>1</v>
          </cell>
          <cell r="CL59">
            <v>18369.21</v>
          </cell>
          <cell r="CM59">
            <v>18368.71</v>
          </cell>
          <cell r="CN59"/>
          <cell r="CO59">
            <v>2083.29</v>
          </cell>
          <cell r="CP59">
            <v>1800</v>
          </cell>
          <cell r="CQ59">
            <v>152.79</v>
          </cell>
          <cell r="CR59">
            <v>0</v>
          </cell>
          <cell r="CS59">
            <v>130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0.5</v>
          </cell>
          <cell r="CZ59"/>
          <cell r="DA59">
            <v>1950</v>
          </cell>
          <cell r="DB59">
            <v>662.09</v>
          </cell>
          <cell r="DC59"/>
          <cell r="DD59">
            <v>2.5</v>
          </cell>
          <cell r="DE59">
            <v>2.33</v>
          </cell>
          <cell r="DF59">
            <v>1.83</v>
          </cell>
          <cell r="DG59">
            <v>2</v>
          </cell>
          <cell r="DH59">
            <v>1</v>
          </cell>
          <cell r="DI59">
            <v>1.25</v>
          </cell>
          <cell r="DJ59">
            <v>1.25</v>
          </cell>
          <cell r="DK59">
            <v>1</v>
          </cell>
          <cell r="DL59">
            <v>1.5</v>
          </cell>
        </row>
        <row r="60">
          <cell r="F60" t="str">
            <v>E0030</v>
          </cell>
          <cell r="G60" t="str">
            <v>MR. KUDUSH MOLLA</v>
          </cell>
          <cell r="H60" t="str">
            <v>Male</v>
          </cell>
          <cell r="I60" t="str">
            <v>01/01/1983</v>
          </cell>
          <cell r="J60" t="str">
            <v>01/06/2004</v>
          </cell>
          <cell r="K60" t="str">
            <v>8820666924</v>
          </cell>
          <cell r="L60" t="str">
            <v/>
          </cell>
          <cell r="M60" t="str">
            <v/>
          </cell>
          <cell r="N60" t="str">
            <v/>
          </cell>
          <cell r="O60"/>
          <cell r="P60"/>
          <cell r="Q60" t="str">
            <v/>
          </cell>
          <cell r="R60" t="str">
            <v>ACTIVE</v>
          </cell>
          <cell r="S60" t="str">
            <v>STATE BANK OF INDIA</v>
          </cell>
          <cell r="T60" t="str">
            <v>SBIN0016913</v>
          </cell>
          <cell r="U60" t="str">
            <v>36573156539</v>
          </cell>
          <cell r="V60" t="str">
            <v>100197402185</v>
          </cell>
          <cell r="W60" t="str">
            <v>NA</v>
          </cell>
          <cell r="X60" t="str">
            <v>4005522042</v>
          </cell>
          <cell r="Y60" t="str">
            <v>CXWPM6350E</v>
          </cell>
          <cell r="Z60" t="str">
            <v>931500887835</v>
          </cell>
          <cell r="AA60" t="str">
            <v>TRUE</v>
          </cell>
          <cell r="AB60" t="str">
            <v>TRUE</v>
          </cell>
          <cell r="AC60" t="str">
            <v>FALSE</v>
          </cell>
          <cell r="AD60" t="str">
            <v>FALSE</v>
          </cell>
          <cell r="AE60" t="str">
            <v>FALSE</v>
          </cell>
          <cell r="AF60" t="str">
            <v/>
          </cell>
          <cell r="AG60" t="str">
            <v>FALSE</v>
          </cell>
          <cell r="AH60" t="str">
            <v/>
          </cell>
          <cell r="AI60" t="str">
            <v/>
          </cell>
          <cell r="AJ60" t="str">
            <v>PAYMENT RELEASE</v>
          </cell>
          <cell r="AK60"/>
          <cell r="AL60"/>
          <cell r="AM60"/>
          <cell r="AN60" t="str">
            <v>NA</v>
          </cell>
          <cell r="AO60"/>
          <cell r="AP60"/>
          <cell r="AQ60">
            <v>15000</v>
          </cell>
          <cell r="AR60">
            <v>15000</v>
          </cell>
          <cell r="AS60">
            <v>5372</v>
          </cell>
          <cell r="AT60">
            <v>5372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721.15384615384619</v>
          </cell>
          <cell r="BF60">
            <v>721.15384615384619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240</v>
          </cell>
          <cell r="BY60"/>
          <cell r="BZ60">
            <v>0</v>
          </cell>
          <cell r="CA60">
            <v>0</v>
          </cell>
          <cell r="CB60">
            <v>21093.153846153848</v>
          </cell>
          <cell r="CC60">
            <v>21333.153846153848</v>
          </cell>
          <cell r="CD60">
            <v>23945.243846153848</v>
          </cell>
          <cell r="CE60">
            <v>679.06666666666672</v>
          </cell>
          <cell r="CF60">
            <v>20372</v>
          </cell>
          <cell r="CG60">
            <v>20372</v>
          </cell>
          <cell r="CH60">
            <v>20612</v>
          </cell>
          <cell r="CI60">
            <v>20565.91</v>
          </cell>
          <cell r="CJ60">
            <v>30</v>
          </cell>
          <cell r="CK60">
            <v>3</v>
          </cell>
          <cell r="CL60">
            <v>20566.41</v>
          </cell>
          <cell r="CM60">
            <v>18528.71</v>
          </cell>
          <cell r="CN60"/>
          <cell r="CO60">
            <v>2083.29</v>
          </cell>
          <cell r="CP60">
            <v>1800</v>
          </cell>
          <cell r="CQ60">
            <v>152.79</v>
          </cell>
          <cell r="CR60">
            <v>0</v>
          </cell>
          <cell r="CS60">
            <v>130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0.5</v>
          </cell>
          <cell r="CZ60"/>
          <cell r="DA60">
            <v>1950</v>
          </cell>
          <cell r="DB60">
            <v>662.09</v>
          </cell>
          <cell r="DC60"/>
          <cell r="DD60">
            <v>3.5</v>
          </cell>
          <cell r="DE60">
            <v>2.83</v>
          </cell>
          <cell r="DF60">
            <v>1.83</v>
          </cell>
          <cell r="DG60">
            <v>2.5</v>
          </cell>
          <cell r="DH60">
            <v>3</v>
          </cell>
          <cell r="DI60">
            <v>2.25</v>
          </cell>
          <cell r="DJ60">
            <v>1.25</v>
          </cell>
          <cell r="DK60">
            <v>2</v>
          </cell>
          <cell r="DL60">
            <v>0.5</v>
          </cell>
        </row>
        <row r="61">
          <cell r="F61" t="str">
            <v>E0031</v>
          </cell>
          <cell r="G61" t="str">
            <v>MR. AZIZUL SEKH</v>
          </cell>
          <cell r="H61" t="str">
            <v>Male</v>
          </cell>
          <cell r="I61" t="str">
            <v>07/11/1984</v>
          </cell>
          <cell r="J61" t="str">
            <v>01/06/2004</v>
          </cell>
          <cell r="K61" t="str">
            <v>9007039299</v>
          </cell>
          <cell r="L61" t="str">
            <v/>
          </cell>
          <cell r="M61" t="str">
            <v/>
          </cell>
          <cell r="N61" t="str">
            <v/>
          </cell>
          <cell r="O61"/>
          <cell r="P61"/>
          <cell r="Q61" t="str">
            <v/>
          </cell>
          <cell r="R61" t="str">
            <v>ACTIVE</v>
          </cell>
          <cell r="S61" t="str">
            <v>STATE BANK OF INDIA</v>
          </cell>
          <cell r="T61" t="str">
            <v>SBIN0016913</v>
          </cell>
          <cell r="U61" t="str">
            <v>36560480650</v>
          </cell>
          <cell r="V61" t="str">
            <v>100075969183</v>
          </cell>
          <cell r="W61" t="str">
            <v>NA</v>
          </cell>
          <cell r="X61" t="str">
            <v>4005522043</v>
          </cell>
          <cell r="Y61" t="str">
            <v>FEVPS3305Q</v>
          </cell>
          <cell r="Z61" t="str">
            <v>873670842048</v>
          </cell>
          <cell r="AA61" t="str">
            <v>TRUE</v>
          </cell>
          <cell r="AB61" t="str">
            <v>TRUE</v>
          </cell>
          <cell r="AC61" t="str">
            <v>FALSE</v>
          </cell>
          <cell r="AD61" t="str">
            <v>FALSE</v>
          </cell>
          <cell r="AE61" t="str">
            <v>FALSE</v>
          </cell>
          <cell r="AF61" t="str">
            <v/>
          </cell>
          <cell r="AG61" t="str">
            <v>FALSE</v>
          </cell>
          <cell r="AH61" t="str">
            <v/>
          </cell>
          <cell r="AI61" t="str">
            <v/>
          </cell>
          <cell r="AJ61" t="str">
            <v>PAYMENT RELEASE</v>
          </cell>
          <cell r="AK61"/>
          <cell r="AL61"/>
          <cell r="AM61"/>
          <cell r="AN61" t="str">
            <v>NA</v>
          </cell>
          <cell r="AO61"/>
          <cell r="AP61"/>
          <cell r="AQ61">
            <v>15000</v>
          </cell>
          <cell r="AR61">
            <v>14000</v>
          </cell>
          <cell r="AS61">
            <v>5372</v>
          </cell>
          <cell r="AT61">
            <v>5013.87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721.15384615384619</v>
          </cell>
          <cell r="BF61">
            <v>721.15384615384619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120</v>
          </cell>
          <cell r="BY61"/>
          <cell r="BZ61">
            <v>0</v>
          </cell>
          <cell r="CA61">
            <v>0</v>
          </cell>
          <cell r="CB61">
            <v>21093.153846153848</v>
          </cell>
          <cell r="CC61">
            <v>19855.023846153847</v>
          </cell>
          <cell r="CD61">
            <v>22292.974621153848</v>
          </cell>
          <cell r="CE61">
            <v>679.06666666666672</v>
          </cell>
          <cell r="CF61">
            <v>20372</v>
          </cell>
          <cell r="CG61">
            <v>19013.87</v>
          </cell>
          <cell r="CH61">
            <v>19133.87</v>
          </cell>
          <cell r="CI61">
            <v>16162.162641666666</v>
          </cell>
          <cell r="CJ61">
            <v>25</v>
          </cell>
          <cell r="CK61">
            <v>1.5</v>
          </cell>
          <cell r="CL61">
            <v>16162.666666666666</v>
          </cell>
          <cell r="CM61">
            <v>17180.765974999998</v>
          </cell>
          <cell r="CN61"/>
          <cell r="CO61">
            <v>1953.1040250000001</v>
          </cell>
          <cell r="CP61">
            <v>1680</v>
          </cell>
          <cell r="CQ61">
            <v>142.60402499999998</v>
          </cell>
          <cell r="CR61">
            <v>0</v>
          </cell>
          <cell r="CS61">
            <v>130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0.5</v>
          </cell>
          <cell r="CZ61"/>
          <cell r="DA61">
            <v>1820</v>
          </cell>
          <cell r="DB61">
            <v>617.95077500000002</v>
          </cell>
          <cell r="DC61"/>
          <cell r="DD61">
            <v>2.5</v>
          </cell>
          <cell r="DE61">
            <v>1.71</v>
          </cell>
          <cell r="DF61">
            <v>1.71</v>
          </cell>
          <cell r="DG61">
            <v>2.5</v>
          </cell>
          <cell r="DH61">
            <v>2</v>
          </cell>
          <cell r="DI61">
            <v>1.17</v>
          </cell>
          <cell r="DJ61">
            <v>1.17</v>
          </cell>
          <cell r="DK61">
            <v>2</v>
          </cell>
          <cell r="DL61">
            <v>0.5</v>
          </cell>
        </row>
        <row r="62">
          <cell r="F62" t="str">
            <v>E0033</v>
          </cell>
          <cell r="G62" t="str">
            <v>MR. SANJAY GHOSH</v>
          </cell>
          <cell r="H62" t="str">
            <v>Male</v>
          </cell>
          <cell r="I62" t="str">
            <v>01/11/1965</v>
          </cell>
          <cell r="J62" t="str">
            <v>01/06/2004</v>
          </cell>
          <cell r="K62" t="str">
            <v>8450018367</v>
          </cell>
          <cell r="L62" t="str">
            <v/>
          </cell>
          <cell r="M62" t="str">
            <v/>
          </cell>
          <cell r="N62" t="str">
            <v/>
          </cell>
          <cell r="O62"/>
          <cell r="P62"/>
          <cell r="Q62" t="str">
            <v/>
          </cell>
          <cell r="R62" t="str">
            <v>ACTIVE</v>
          </cell>
          <cell r="S62" t="str">
            <v>STATE BANK OF INDIA</v>
          </cell>
          <cell r="T62" t="str">
            <v>SBIN0016913</v>
          </cell>
          <cell r="U62" t="str">
            <v>36560480718</v>
          </cell>
          <cell r="V62" t="str">
            <v>100333011452</v>
          </cell>
          <cell r="W62" t="str">
            <v>NA</v>
          </cell>
          <cell r="X62" t="str">
            <v>4005522045</v>
          </cell>
          <cell r="Y62" t="str">
            <v>AYSPG9313L</v>
          </cell>
          <cell r="Z62" t="str">
            <v>818983765303</v>
          </cell>
          <cell r="AA62" t="str">
            <v>TRUE</v>
          </cell>
          <cell r="AB62" t="str">
            <v>TRUE</v>
          </cell>
          <cell r="AC62" t="str">
            <v>FALSE</v>
          </cell>
          <cell r="AD62" t="str">
            <v>FALSE</v>
          </cell>
          <cell r="AE62" t="str">
            <v>FALSE</v>
          </cell>
          <cell r="AF62" t="str">
            <v/>
          </cell>
          <cell r="AG62" t="str">
            <v>FALSE</v>
          </cell>
          <cell r="AH62" t="str">
            <v/>
          </cell>
          <cell r="AI62" t="str">
            <v/>
          </cell>
          <cell r="AJ62" t="str">
            <v>PAYMENT RELEASE</v>
          </cell>
          <cell r="AK62"/>
          <cell r="AL62"/>
          <cell r="AM62"/>
          <cell r="AN62" t="str">
            <v>NA</v>
          </cell>
          <cell r="AO62"/>
          <cell r="AP62"/>
          <cell r="AQ62">
            <v>15000</v>
          </cell>
          <cell r="AR62">
            <v>15000</v>
          </cell>
          <cell r="AS62">
            <v>5372</v>
          </cell>
          <cell r="AT62">
            <v>5372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721.15384615384619</v>
          </cell>
          <cell r="BF62">
            <v>721.15384615384619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200</v>
          </cell>
          <cell r="BY62"/>
          <cell r="BZ62">
            <v>0</v>
          </cell>
          <cell r="CA62">
            <v>0</v>
          </cell>
          <cell r="CB62">
            <v>21093.153846153848</v>
          </cell>
          <cell r="CC62">
            <v>21293.153846153848</v>
          </cell>
          <cell r="CD62">
            <v>23905.243846153848</v>
          </cell>
          <cell r="CE62">
            <v>679.06666666666672</v>
          </cell>
          <cell r="CF62">
            <v>20372</v>
          </cell>
          <cell r="CG62">
            <v>20372</v>
          </cell>
          <cell r="CH62">
            <v>20572</v>
          </cell>
          <cell r="CI62">
            <v>20186.376666666667</v>
          </cell>
          <cell r="CJ62">
            <v>30</v>
          </cell>
          <cell r="CK62">
            <v>2.5</v>
          </cell>
          <cell r="CL62">
            <v>20186.876666666667</v>
          </cell>
          <cell r="CM62">
            <v>18488.71</v>
          </cell>
          <cell r="CN62"/>
          <cell r="CO62">
            <v>2083.29</v>
          </cell>
          <cell r="CP62">
            <v>1800</v>
          </cell>
          <cell r="CQ62">
            <v>152.79</v>
          </cell>
          <cell r="CR62">
            <v>0</v>
          </cell>
          <cell r="CS62">
            <v>130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0.5</v>
          </cell>
          <cell r="CZ62"/>
          <cell r="DA62">
            <v>1950</v>
          </cell>
          <cell r="DB62">
            <v>662.09</v>
          </cell>
          <cell r="DC62"/>
          <cell r="DD62">
            <v>3</v>
          </cell>
          <cell r="DE62">
            <v>2.33</v>
          </cell>
          <cell r="DF62">
            <v>1.83</v>
          </cell>
          <cell r="DG62">
            <v>2.5</v>
          </cell>
          <cell r="DH62">
            <v>2.5</v>
          </cell>
          <cell r="DI62">
            <v>1.75</v>
          </cell>
          <cell r="DJ62">
            <v>1.25</v>
          </cell>
          <cell r="DK62">
            <v>2</v>
          </cell>
          <cell r="DL62">
            <v>0.5</v>
          </cell>
        </row>
        <row r="63">
          <cell r="F63" t="str">
            <v>E0078</v>
          </cell>
          <cell r="G63" t="str">
            <v>MR. MANTU NASKAR</v>
          </cell>
          <cell r="H63" t="str">
            <v>Male</v>
          </cell>
          <cell r="I63" t="str">
            <v>01/01/1969</v>
          </cell>
          <cell r="J63" t="str">
            <v>01/06/2004</v>
          </cell>
          <cell r="K63" t="str">
            <v>9674350580</v>
          </cell>
          <cell r="L63" t="str">
            <v/>
          </cell>
          <cell r="M63" t="str">
            <v/>
          </cell>
          <cell r="N63" t="str">
            <v/>
          </cell>
          <cell r="O63"/>
          <cell r="P63"/>
          <cell r="Q63" t="str">
            <v/>
          </cell>
          <cell r="R63" t="str">
            <v>ACTIVE</v>
          </cell>
          <cell r="S63" t="str">
            <v>STATE BANK OF INDIA</v>
          </cell>
          <cell r="T63" t="str">
            <v>SBIN0016913</v>
          </cell>
          <cell r="U63" t="str">
            <v>36599076561</v>
          </cell>
          <cell r="V63" t="str">
            <v>100222834969</v>
          </cell>
          <cell r="W63" t="str">
            <v>NA</v>
          </cell>
          <cell r="X63" t="str">
            <v>4005522081</v>
          </cell>
          <cell r="Y63" t="str">
            <v/>
          </cell>
          <cell r="Z63" t="str">
            <v>750820720123</v>
          </cell>
          <cell r="AA63" t="str">
            <v>TRUE</v>
          </cell>
          <cell r="AB63" t="str">
            <v>TRUE</v>
          </cell>
          <cell r="AC63" t="str">
            <v>FALSE</v>
          </cell>
          <cell r="AD63" t="str">
            <v>FALSE</v>
          </cell>
          <cell r="AE63" t="str">
            <v>FALSE</v>
          </cell>
          <cell r="AF63" t="str">
            <v/>
          </cell>
          <cell r="AG63" t="str">
            <v>FALSE</v>
          </cell>
          <cell r="AH63" t="str">
            <v/>
          </cell>
          <cell r="AI63" t="str">
            <v/>
          </cell>
          <cell r="AJ63" t="str">
            <v>PAYMENT RELEASE</v>
          </cell>
          <cell r="AK63"/>
          <cell r="AL63"/>
          <cell r="AM63"/>
          <cell r="AN63" t="str">
            <v>NA</v>
          </cell>
          <cell r="AO63"/>
          <cell r="AP63"/>
          <cell r="AQ63">
            <v>15000</v>
          </cell>
          <cell r="AR63">
            <v>15000</v>
          </cell>
          <cell r="AS63">
            <v>5372</v>
          </cell>
          <cell r="AT63">
            <v>5282.47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721.15384615384619</v>
          </cell>
          <cell r="BF63">
            <v>721.15384615384619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160</v>
          </cell>
          <cell r="BY63"/>
          <cell r="BZ63">
            <v>0</v>
          </cell>
          <cell r="CA63">
            <v>0</v>
          </cell>
          <cell r="CB63">
            <v>21093.153846153848</v>
          </cell>
          <cell r="CC63">
            <v>21163.623846153849</v>
          </cell>
          <cell r="CD63">
            <v>23772.804121153848</v>
          </cell>
          <cell r="CE63">
            <v>679.06666666666672</v>
          </cell>
          <cell r="CF63">
            <v>20372</v>
          </cell>
          <cell r="CG63">
            <v>20282.47</v>
          </cell>
          <cell r="CH63">
            <v>20442.47</v>
          </cell>
          <cell r="CI63">
            <v>17770.314808333336</v>
          </cell>
          <cell r="CJ63">
            <v>27</v>
          </cell>
          <cell r="CK63">
            <v>2</v>
          </cell>
          <cell r="CL63">
            <v>17802.693333333336</v>
          </cell>
          <cell r="CM63">
            <v>18359.851474999999</v>
          </cell>
          <cell r="CN63"/>
          <cell r="CO63">
            <v>2082.6185249999999</v>
          </cell>
          <cell r="CP63">
            <v>1800</v>
          </cell>
          <cell r="CQ63">
            <v>152.11852500000001</v>
          </cell>
          <cell r="CR63">
            <v>0</v>
          </cell>
          <cell r="CS63">
            <v>130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0.5</v>
          </cell>
          <cell r="CZ63"/>
          <cell r="DA63">
            <v>1950</v>
          </cell>
          <cell r="DB63">
            <v>659.18027500000005</v>
          </cell>
          <cell r="DC63"/>
          <cell r="DD63">
            <v>2.5</v>
          </cell>
          <cell r="DE63">
            <v>2.2999999999999998</v>
          </cell>
          <cell r="DF63">
            <v>1.7999999999999998</v>
          </cell>
          <cell r="DG63">
            <v>2</v>
          </cell>
          <cell r="DH63">
            <v>1.5</v>
          </cell>
          <cell r="DI63">
            <v>1.73</v>
          </cell>
          <cell r="DJ63">
            <v>1.23</v>
          </cell>
          <cell r="DK63">
            <v>1</v>
          </cell>
          <cell r="DL63">
            <v>1</v>
          </cell>
        </row>
        <row r="64">
          <cell r="F64" t="str">
            <v>E0305</v>
          </cell>
          <cell r="G64" t="str">
            <v>MR. SOURAV PAUL</v>
          </cell>
          <cell r="H64" t="str">
            <v>Male</v>
          </cell>
          <cell r="I64" t="str">
            <v>12/10/1999</v>
          </cell>
          <cell r="J64" t="str">
            <v>01/04/2025</v>
          </cell>
          <cell r="K64" t="str">
            <v>6289390410</v>
          </cell>
          <cell r="L64" t="str">
            <v/>
          </cell>
          <cell r="M64" t="str">
            <v>HUMAN RESOURCE</v>
          </cell>
          <cell r="N64" t="str">
            <v>HUMAN RESOURCE</v>
          </cell>
          <cell r="O64"/>
          <cell r="P64"/>
          <cell r="Q64" t="str">
            <v>JUNIOR EXECUTIVE</v>
          </cell>
          <cell r="R64" t="str">
            <v>ACTIVE</v>
          </cell>
          <cell r="S64" t="str">
            <v>ICICI BANK</v>
          </cell>
          <cell r="T64" t="str">
            <v>ICIC0001301</v>
          </cell>
          <cell r="U64" t="str">
            <v>130101511001</v>
          </cell>
          <cell r="V64" t="str">
            <v>NA</v>
          </cell>
          <cell r="W64" t="str">
            <v>NA</v>
          </cell>
          <cell r="X64" t="str">
            <v>NA</v>
          </cell>
          <cell r="Y64" t="str">
            <v>EFHPP5716N</v>
          </cell>
          <cell r="Z64" t="str">
            <v>975994251655</v>
          </cell>
          <cell r="AA64" t="str">
            <v>TRUE</v>
          </cell>
          <cell r="AB64" t="str">
            <v>TRUE</v>
          </cell>
          <cell r="AC64" t="str">
            <v>FALSE</v>
          </cell>
          <cell r="AD64" t="str">
            <v>FALSE</v>
          </cell>
          <cell r="AE64" t="str">
            <v>FALSE</v>
          </cell>
          <cell r="AF64" t="str">
            <v/>
          </cell>
          <cell r="AG64" t="str">
            <v>FALSE</v>
          </cell>
          <cell r="AH64" t="str">
            <v/>
          </cell>
          <cell r="AI64" t="str">
            <v/>
          </cell>
          <cell r="AJ64" t="str">
            <v>PAYMENT RELEASE</v>
          </cell>
          <cell r="AK64"/>
          <cell r="AL64"/>
          <cell r="AM64"/>
          <cell r="AN64" t="str">
            <v>NA</v>
          </cell>
          <cell r="AO64"/>
          <cell r="AP64"/>
          <cell r="AQ64">
            <v>15000</v>
          </cell>
          <cell r="AR64">
            <v>15000</v>
          </cell>
          <cell r="AS64">
            <v>3480</v>
          </cell>
          <cell r="AT64">
            <v>3480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721.15384615384619</v>
          </cell>
          <cell r="BF64">
            <v>721.15384615384619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/>
          <cell r="BZ64">
            <v>0</v>
          </cell>
          <cell r="CA64">
            <v>0</v>
          </cell>
          <cell r="CB64">
            <v>19201.153846153848</v>
          </cell>
          <cell r="CC64">
            <v>19201.153846153848</v>
          </cell>
          <cell r="CD64">
            <v>21751.753846153846</v>
          </cell>
          <cell r="CE64">
            <v>616</v>
          </cell>
          <cell r="CF64">
            <v>18480</v>
          </cell>
          <cell r="CG64">
            <v>18480</v>
          </cell>
          <cell r="CH64">
            <v>18480</v>
          </cell>
          <cell r="CI64">
            <v>17642.900000000001</v>
          </cell>
          <cell r="CJ64">
            <v>30</v>
          </cell>
          <cell r="CK64">
            <v>2</v>
          </cell>
          <cell r="CL64">
            <v>17643.400000000001</v>
          </cell>
          <cell r="CM64">
            <v>16410.900000000001</v>
          </cell>
          <cell r="CN64"/>
          <cell r="CO64">
            <v>2069.1</v>
          </cell>
          <cell r="CP64">
            <v>1800</v>
          </cell>
          <cell r="CQ64">
            <v>138.6</v>
          </cell>
          <cell r="CR64">
            <v>0</v>
          </cell>
          <cell r="CS64">
            <v>130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0.5</v>
          </cell>
          <cell r="CZ64"/>
          <cell r="DA64">
            <v>1950</v>
          </cell>
          <cell r="DB64">
            <v>600.6</v>
          </cell>
          <cell r="DC64"/>
          <cell r="DD64">
            <v>2.5</v>
          </cell>
          <cell r="DE64">
            <v>1.83</v>
          </cell>
          <cell r="DF64">
            <v>1.83</v>
          </cell>
          <cell r="DG64">
            <v>2.5</v>
          </cell>
          <cell r="DH64">
            <v>1.5</v>
          </cell>
          <cell r="DI64">
            <v>1.75</v>
          </cell>
          <cell r="DJ64">
            <v>1.25</v>
          </cell>
          <cell r="DK64">
            <v>1</v>
          </cell>
          <cell r="DL64">
            <v>1</v>
          </cell>
        </row>
        <row r="65">
          <cell r="F65" t="str">
            <v>E0317</v>
          </cell>
          <cell r="G65" t="str">
            <v>MR. HARSH AGARWAL</v>
          </cell>
          <cell r="H65" t="str">
            <v>Male</v>
          </cell>
          <cell r="I65" t="str">
            <v>30/11/1996</v>
          </cell>
          <cell r="J65" t="str">
            <v>06/02/2026</v>
          </cell>
          <cell r="K65" t="str">
            <v>8240416324</v>
          </cell>
          <cell r="L65" t="str">
            <v/>
          </cell>
          <cell r="M65" t="str">
            <v>OPERATIONS</v>
          </cell>
          <cell r="N65" t="str">
            <v>OPERATIONS</v>
          </cell>
          <cell r="O65"/>
          <cell r="P65"/>
          <cell r="Q65" t="str">
            <v>STORE INCHARGE</v>
          </cell>
          <cell r="R65" t="str">
            <v>ACTIVE</v>
          </cell>
          <cell r="S65" t="str">
            <v>BANK OF INDIA</v>
          </cell>
          <cell r="T65" t="str">
            <v>BKID0004249</v>
          </cell>
          <cell r="U65" t="str">
            <v>424910110005703</v>
          </cell>
          <cell r="V65" t="str">
            <v>NA</v>
          </cell>
          <cell r="W65" t="str">
            <v>NA</v>
          </cell>
          <cell r="X65" t="str">
            <v>NA</v>
          </cell>
          <cell r="Y65" t="str">
            <v/>
          </cell>
          <cell r="Z65" t="str">
            <v>217321948596</v>
          </cell>
          <cell r="AA65" t="str">
            <v>TRUE</v>
          </cell>
          <cell r="AB65" t="str">
            <v>FALSE</v>
          </cell>
          <cell r="AC65" t="str">
            <v>FALSE</v>
          </cell>
          <cell r="AD65" t="str">
            <v>FALSE</v>
          </cell>
          <cell r="AE65" t="str">
            <v>FALSE</v>
          </cell>
          <cell r="AF65" t="str">
            <v/>
          </cell>
          <cell r="AG65" t="str">
            <v>FALSE</v>
          </cell>
          <cell r="AH65" t="str">
            <v/>
          </cell>
          <cell r="AI65" t="str">
            <v/>
          </cell>
          <cell r="AJ65" t="str">
            <v>PAYMENT RELEASE</v>
          </cell>
          <cell r="AK65"/>
          <cell r="AL65"/>
          <cell r="AM65"/>
          <cell r="AN65" t="str">
            <v>NA</v>
          </cell>
          <cell r="AO65"/>
          <cell r="AP65"/>
          <cell r="AQ65">
            <v>22641</v>
          </cell>
          <cell r="AR65">
            <v>22641</v>
          </cell>
          <cell r="AS65">
            <v>9580</v>
          </cell>
          <cell r="AT65">
            <v>9580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5779</v>
          </cell>
          <cell r="AZ65">
            <v>5779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1088.5096153846155</v>
          </cell>
          <cell r="BF65">
            <v>1088.5096153846155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/>
          <cell r="BZ65">
            <v>0</v>
          </cell>
          <cell r="CA65">
            <v>0</v>
          </cell>
          <cell r="CB65">
            <v>39088.509615384617</v>
          </cell>
          <cell r="CC65">
            <v>39088.509615384617</v>
          </cell>
          <cell r="CD65">
            <v>41038.509615384617</v>
          </cell>
          <cell r="CE65">
            <v>1266.6666666666667</v>
          </cell>
          <cell r="CF65">
            <v>38000</v>
          </cell>
          <cell r="CG65">
            <v>38000</v>
          </cell>
          <cell r="CH65">
            <v>38000</v>
          </cell>
          <cell r="CI65">
            <v>39849.5</v>
          </cell>
          <cell r="CJ65">
            <v>30</v>
          </cell>
          <cell r="CK65">
            <v>3</v>
          </cell>
          <cell r="CL65">
            <v>39800</v>
          </cell>
          <cell r="CM65">
            <v>36049.5</v>
          </cell>
          <cell r="CN65"/>
          <cell r="CO65">
            <v>1950.5</v>
          </cell>
          <cell r="CP65">
            <v>1800</v>
          </cell>
          <cell r="CQ65">
            <v>0</v>
          </cell>
          <cell r="CR65">
            <v>0</v>
          </cell>
          <cell r="CS65">
            <v>150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0.5</v>
          </cell>
          <cell r="CZ65"/>
          <cell r="DA65">
            <v>1950</v>
          </cell>
          <cell r="DB65">
            <v>0</v>
          </cell>
          <cell r="DC65"/>
          <cell r="DD65">
            <v>3</v>
          </cell>
          <cell r="DE65">
            <v>3.83</v>
          </cell>
          <cell r="DF65">
            <v>1.83</v>
          </cell>
          <cell r="DG65">
            <v>1</v>
          </cell>
          <cell r="DH65">
            <v>2</v>
          </cell>
          <cell r="DI65">
            <v>3.25</v>
          </cell>
          <cell r="DJ65">
            <v>1.25</v>
          </cell>
          <cell r="DK65">
            <v>0</v>
          </cell>
          <cell r="DL65">
            <v>1</v>
          </cell>
        </row>
        <row r="66">
          <cell r="F66" t="str">
            <v>E0053</v>
          </cell>
          <cell r="G66" t="str">
            <v>MS. UMARANI NASKAR</v>
          </cell>
          <cell r="H66" t="str">
            <v>Female</v>
          </cell>
          <cell r="I66" t="str">
            <v>01/01/1973</v>
          </cell>
          <cell r="J66" t="str">
            <v>01/06/2004</v>
          </cell>
          <cell r="K66" t="str">
            <v>9874238638</v>
          </cell>
          <cell r="L66" t="str">
            <v/>
          </cell>
          <cell r="M66" t="str">
            <v>ADMIN</v>
          </cell>
          <cell r="N66" t="str">
            <v>ADMIN</v>
          </cell>
          <cell r="O66"/>
          <cell r="P66"/>
          <cell r="Q66" t="str">
            <v>HOUSE KEEPING</v>
          </cell>
          <cell r="R66" t="str">
            <v>ACTIVE</v>
          </cell>
          <cell r="S66" t="str">
            <v>STATE BANK OF INDIA</v>
          </cell>
          <cell r="T66" t="str">
            <v>SBIN0016913</v>
          </cell>
          <cell r="U66" t="str">
            <v>36571012102</v>
          </cell>
          <cell r="V66" t="str">
            <v>100394706927</v>
          </cell>
          <cell r="W66" t="str">
            <v>NA</v>
          </cell>
          <cell r="X66" t="str">
            <v>4005041224</v>
          </cell>
          <cell r="Y66" t="str">
            <v>AZUPN4772F</v>
          </cell>
          <cell r="Z66" t="str">
            <v>244401702780</v>
          </cell>
          <cell r="AA66" t="str">
            <v>TRUE</v>
          </cell>
          <cell r="AB66" t="str">
            <v>TRUE</v>
          </cell>
          <cell r="AC66" t="str">
            <v>FALSE</v>
          </cell>
          <cell r="AD66" t="str">
            <v>FALSE</v>
          </cell>
          <cell r="AE66" t="str">
            <v>FALSE</v>
          </cell>
          <cell r="AF66" t="str">
            <v/>
          </cell>
          <cell r="AG66" t="str">
            <v>FALSE</v>
          </cell>
          <cell r="AH66" t="str">
            <v/>
          </cell>
          <cell r="AI66" t="str">
            <v/>
          </cell>
          <cell r="AJ66" t="str">
            <v>PAYMENT RELEASE</v>
          </cell>
          <cell r="AK66"/>
          <cell r="AL66"/>
          <cell r="AM66"/>
          <cell r="AN66" t="str">
            <v>NA</v>
          </cell>
          <cell r="AO66"/>
          <cell r="AP66"/>
          <cell r="AQ66">
            <v>15000</v>
          </cell>
          <cell r="AR66">
            <v>10000</v>
          </cell>
          <cell r="AS66">
            <v>4316</v>
          </cell>
          <cell r="AT66">
            <v>2877.33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721.15384615384619</v>
          </cell>
          <cell r="BF66">
            <v>721.15384615384619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80</v>
          </cell>
          <cell r="BY66"/>
          <cell r="BZ66">
            <v>0</v>
          </cell>
          <cell r="CA66">
            <v>0</v>
          </cell>
          <cell r="CB66">
            <v>20037.153846153848</v>
          </cell>
          <cell r="CC66">
            <v>13678.483846153846</v>
          </cell>
          <cell r="CD66">
            <v>15396.997071153846</v>
          </cell>
          <cell r="CE66">
            <v>643.86666666666667</v>
          </cell>
          <cell r="CF66">
            <v>19316</v>
          </cell>
          <cell r="CG66">
            <v>12877.33</v>
          </cell>
          <cell r="CH66">
            <v>12957.33</v>
          </cell>
          <cell r="CI66">
            <v>10262.520025</v>
          </cell>
          <cell r="CJ66">
            <v>17</v>
          </cell>
          <cell r="CK66">
            <v>1</v>
          </cell>
          <cell r="CL66">
            <v>10263.02</v>
          </cell>
          <cell r="CM66">
            <v>11550.250024999999</v>
          </cell>
          <cell r="CN66"/>
          <cell r="CO66">
            <v>1407.0799750000001</v>
          </cell>
          <cell r="CP66">
            <v>1200</v>
          </cell>
          <cell r="CQ66">
            <v>96.57997499999999</v>
          </cell>
          <cell r="CR66">
            <v>0</v>
          </cell>
          <cell r="CS66">
            <v>110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0.5</v>
          </cell>
          <cell r="CZ66"/>
          <cell r="DA66">
            <v>1300</v>
          </cell>
          <cell r="DB66">
            <v>418.51322500000003</v>
          </cell>
          <cell r="DC66"/>
          <cell r="DD66">
            <v>2</v>
          </cell>
          <cell r="DE66">
            <v>1.2200000000000002</v>
          </cell>
          <cell r="DF66">
            <v>1.22</v>
          </cell>
          <cell r="DG66">
            <v>2</v>
          </cell>
          <cell r="DH66">
            <v>1</v>
          </cell>
          <cell r="DI66">
            <v>0.83000000000000007</v>
          </cell>
          <cell r="DJ66">
            <v>0.83</v>
          </cell>
          <cell r="DK66">
            <v>1</v>
          </cell>
          <cell r="DL66">
            <v>1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6"/>
  <sheetViews>
    <sheetView tabSelected="1" zoomScale="157" zoomScaleNormal="157" workbookViewId="0">
      <pane ySplit="1" topLeftCell="A2" activePane="bottomLeft" state="frozen"/>
      <selection pane="bottomLeft" activeCell="A2" sqref="A2"/>
    </sheetView>
  </sheetViews>
  <sheetFormatPr defaultRowHeight="15.5" x14ac:dyDescent="0.35"/>
  <cols>
    <col min="1" max="1" width="9.33203125" bestFit="1" customWidth="1"/>
    <col min="2" max="2" width="10.83203125" bestFit="1" customWidth="1"/>
    <col min="3" max="3" width="6.58203125" bestFit="1" customWidth="1"/>
    <col min="4" max="4" width="8.33203125" bestFit="1" customWidth="1"/>
    <col min="5" max="5" width="9.08203125" bestFit="1" customWidth="1"/>
    <col min="6" max="6" width="9.33203125" bestFit="1" customWidth="1"/>
    <col min="7" max="7" width="10" bestFit="1" customWidth="1"/>
    <col min="8" max="8" width="11" bestFit="1" customWidth="1"/>
    <col min="9" max="9" width="10.75" bestFit="1" customWidth="1"/>
    <col min="10" max="10" width="11.75" bestFit="1" customWidth="1"/>
    <col min="11" max="11" width="7.25" bestFit="1" customWidth="1"/>
    <col min="12" max="12" width="16.83203125" bestFit="1" customWidth="1"/>
    <col min="13" max="13" width="6.83203125" bestFit="1" customWidth="1"/>
    <col min="14" max="14" width="8.08203125" bestFit="1" customWidth="1"/>
    <col min="15" max="15" width="7.33203125" bestFit="1" customWidth="1"/>
    <col min="16" max="16" width="11.08203125" bestFit="1" customWidth="1"/>
    <col min="17" max="17" width="8.5" bestFit="1" customWidth="1"/>
    <col min="18" max="18" width="10.25" bestFit="1" customWidth="1"/>
    <col min="19" max="19" width="5" bestFit="1" customWidth="1"/>
    <col min="20" max="20" width="5.75" customWidth="1"/>
    <col min="21" max="21" width="4.75" bestFit="1" customWidth="1"/>
    <col min="22" max="22" width="8.75" bestFit="1" customWidth="1"/>
    <col min="23" max="23" width="10.75" bestFit="1" customWidth="1"/>
    <col min="24" max="24" width="11.25" bestFit="1" customWidth="1"/>
    <col min="25" max="25" width="9.75" bestFit="1" customWidth="1"/>
    <col min="26" max="26" width="11.33203125" bestFit="1" customWidth="1"/>
    <col min="27" max="28" width="17" bestFit="1" customWidth="1"/>
    <col min="29" max="30" width="7.5" bestFit="1" customWidth="1"/>
    <col min="31" max="32" width="6.58203125" bestFit="1" customWidth="1"/>
    <col min="33" max="34" width="15.25" bestFit="1" customWidth="1"/>
    <col min="35" max="36" width="15.08203125" bestFit="1" customWidth="1"/>
    <col min="37" max="38" width="7.75" bestFit="1" customWidth="1"/>
    <col min="39" max="40" width="15.75" bestFit="1" customWidth="1"/>
    <col min="41" max="42" width="13" bestFit="1" customWidth="1"/>
    <col min="43" max="44" width="20.25" bestFit="1" customWidth="1"/>
    <col min="45" max="46" width="12.83203125" bestFit="1" customWidth="1"/>
    <col min="47" max="48" width="8.33203125" bestFit="1" customWidth="1"/>
    <col min="49" max="50" width="15.08203125" bestFit="1" customWidth="1"/>
    <col min="51" max="51" width="13.25" bestFit="1" customWidth="1"/>
    <col min="52" max="52" width="44.83203125" bestFit="1" customWidth="1"/>
    <col min="53" max="53" width="6.25" bestFit="1" customWidth="1"/>
    <col min="54" max="54" width="9.83203125" bestFit="1" customWidth="1"/>
    <col min="55" max="55" width="10.25" bestFit="1" customWidth="1"/>
    <col min="56" max="56" width="9.5" bestFit="1" customWidth="1"/>
    <col min="57" max="57" width="12.75" bestFit="1" customWidth="1"/>
    <col min="58" max="58" width="11.58203125" bestFit="1" customWidth="1"/>
    <col min="59" max="59" width="10.25" bestFit="1" customWidth="1"/>
    <col min="60" max="60" width="6.5" bestFit="1" customWidth="1"/>
    <col min="61" max="61" width="6" bestFit="1" customWidth="1"/>
    <col min="62" max="62" width="7.5" bestFit="1" customWidth="1"/>
    <col min="63" max="63" width="10.08203125" bestFit="1" customWidth="1"/>
    <col min="64" max="64" width="6.33203125" bestFit="1" customWidth="1"/>
    <col min="65" max="65" width="5.83203125" bestFit="1" customWidth="1"/>
    <col min="66" max="66" width="7.33203125" bestFit="1" customWidth="1"/>
    <col min="67" max="67" width="15.75" bestFit="1" customWidth="1"/>
    <col min="68" max="68" width="11.83203125" bestFit="1" customWidth="1"/>
    <col min="69" max="69" width="11.33203125" bestFit="1" customWidth="1"/>
    <col min="70" max="70" width="13" bestFit="1" customWidth="1"/>
    <col min="71" max="71" width="8.58203125" bestFit="1" customWidth="1"/>
    <col min="72" max="72" width="9.33203125" bestFit="1" customWidth="1"/>
    <col min="73" max="73" width="9.08203125" bestFit="1" customWidth="1"/>
    <col min="74" max="74" width="7.25" bestFit="1" customWidth="1"/>
    <col min="75" max="75" width="7.83203125" bestFit="1" customWidth="1"/>
    <col min="76" max="76" width="7.58203125" bestFit="1" customWidth="1"/>
    <col min="77" max="77" width="5.33203125" bestFit="1" customWidth="1"/>
    <col min="78" max="78" width="4.08203125" bestFit="1" customWidth="1"/>
    <col min="79" max="79" width="15" bestFit="1" customWidth="1"/>
    <col min="80" max="80" width="10.75" bestFit="1" customWidth="1"/>
  </cols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5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s="2" t="s">
        <v>70</v>
      </c>
      <c r="BT1" t="s">
        <v>71</v>
      </c>
      <c r="BU1" t="s">
        <v>72</v>
      </c>
      <c r="BV1" s="2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5">
      <c r="B2" s="1" t="s">
        <v>99</v>
      </c>
      <c r="D2" t="s">
        <v>100</v>
      </c>
      <c r="E2" t="s">
        <v>101</v>
      </c>
      <c r="F2" t="s">
        <v>102</v>
      </c>
      <c r="G2" t="s">
        <v>156</v>
      </c>
      <c r="H2" t="s">
        <v>221</v>
      </c>
      <c r="I2" t="s">
        <v>92</v>
      </c>
      <c r="J2">
        <v>30</v>
      </c>
      <c r="K2">
        <v>0</v>
      </c>
      <c r="L2">
        <v>4</v>
      </c>
      <c r="M2">
        <v>0</v>
      </c>
      <c r="N2">
        <v>25</v>
      </c>
      <c r="O2">
        <v>0</v>
      </c>
      <c r="P2">
        <v>3</v>
      </c>
      <c r="Q2">
        <v>0</v>
      </c>
      <c r="R2">
        <v>1</v>
      </c>
      <c r="S2">
        <v>0</v>
      </c>
      <c r="T2" s="3">
        <v>0.5</v>
      </c>
      <c r="U2">
        <f>CB2-J2</f>
        <v>0</v>
      </c>
      <c r="V2" s="4">
        <v>0</v>
      </c>
      <c r="W2">
        <v>33</v>
      </c>
      <c r="X2">
        <v>89372</v>
      </c>
      <c r="Y2">
        <v>0</v>
      </c>
      <c r="Z2">
        <v>89372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s="4">
        <v>37814</v>
      </c>
      <c r="AL2">
        <v>37814</v>
      </c>
      <c r="AM2">
        <v>0</v>
      </c>
      <c r="AN2">
        <v>0</v>
      </c>
      <c r="AO2">
        <v>0</v>
      </c>
      <c r="AP2">
        <v>0</v>
      </c>
      <c r="AQ2">
        <f>VLOOKUP(F2,'[1]SALARY WORKING'!$F$12:$CG$66,80,0)</f>
        <v>165000</v>
      </c>
      <c r="AR2">
        <f>VLOOKUP(F2,'[1]SALARY WORKING'!$F$12:$CF$66,79,0)</f>
        <v>165000</v>
      </c>
      <c r="AS2">
        <v>0</v>
      </c>
      <c r="AT2">
        <v>0</v>
      </c>
      <c r="AU2">
        <v>0</v>
      </c>
      <c r="AV2">
        <v>0</v>
      </c>
      <c r="AW2">
        <v>37814</v>
      </c>
      <c r="AX2">
        <v>37814</v>
      </c>
      <c r="AY2">
        <v>0</v>
      </c>
      <c r="AZ2" s="4">
        <v>173999.5</v>
      </c>
      <c r="BA2">
        <v>0</v>
      </c>
      <c r="BB2">
        <v>0</v>
      </c>
      <c r="BC2" s="4">
        <f>VLOOKUP(F2,'[1]SALARY WORKING'!$F$12:$CA$66,74,0)</f>
        <v>11000</v>
      </c>
      <c r="BD2">
        <v>2</v>
      </c>
      <c r="BE2">
        <v>0</v>
      </c>
      <c r="BF2">
        <v>0</v>
      </c>
      <c r="BG2">
        <f>VLOOKUP(F2,'[1]SALARY WORKING'!$F$12:$DL$66,111,0)</f>
        <v>1.5</v>
      </c>
      <c r="BH2">
        <v>0.57999999999999996</v>
      </c>
      <c r="BI2">
        <v>1.08</v>
      </c>
      <c r="BJ2">
        <v>1</v>
      </c>
      <c r="BK2">
        <v>10</v>
      </c>
      <c r="BL2">
        <v>1.25</v>
      </c>
      <c r="BM2">
        <v>11.25</v>
      </c>
      <c r="BN2">
        <v>0</v>
      </c>
      <c r="BO2">
        <v>0</v>
      </c>
      <c r="BP2">
        <v>0</v>
      </c>
      <c r="BQ2">
        <v>0</v>
      </c>
      <c r="BR2">
        <v>0</v>
      </c>
      <c r="BS2" s="4">
        <v>0</v>
      </c>
      <c r="BT2" s="4">
        <v>0</v>
      </c>
      <c r="BU2" s="4">
        <v>0</v>
      </c>
      <c r="BV2" s="4">
        <v>1800</v>
      </c>
      <c r="BW2">
        <v>1950</v>
      </c>
      <c r="BX2" s="4">
        <f>BW2+BV2</f>
        <v>3750</v>
      </c>
      <c r="BY2">
        <v>200</v>
      </c>
      <c r="BZ2">
        <f>VLOOKUP(F2,'[1]SALARY WORKING'!$F$12:$CR$66,91,0)</f>
        <v>0</v>
      </c>
      <c r="CA2" s="4">
        <f>BV2+BS2+BY2+BZ2+T2</f>
        <v>2000.5</v>
      </c>
      <c r="CB2">
        <v>30</v>
      </c>
    </row>
    <row r="3" spans="1:80" x14ac:dyDescent="0.35">
      <c r="B3" s="1" t="s">
        <v>99</v>
      </c>
      <c r="D3" t="s">
        <v>100</v>
      </c>
      <c r="E3" t="s">
        <v>81</v>
      </c>
      <c r="F3" t="s">
        <v>83</v>
      </c>
      <c r="G3" t="s">
        <v>84</v>
      </c>
      <c r="H3" t="s">
        <v>85</v>
      </c>
      <c r="I3" t="s">
        <v>86</v>
      </c>
      <c r="J3">
        <v>30</v>
      </c>
      <c r="K3">
        <v>0</v>
      </c>
      <c r="L3">
        <v>8</v>
      </c>
      <c r="M3">
        <v>4</v>
      </c>
      <c r="N3">
        <v>18</v>
      </c>
      <c r="O3">
        <v>0</v>
      </c>
      <c r="P3">
        <v>0</v>
      </c>
      <c r="Q3">
        <v>3000</v>
      </c>
      <c r="R3">
        <v>4</v>
      </c>
      <c r="S3">
        <v>0</v>
      </c>
      <c r="T3" s="3">
        <v>34</v>
      </c>
      <c r="U3">
        <f t="shared" ref="U3:U56" si="0">CB3-J3</f>
        <v>0</v>
      </c>
      <c r="V3" s="4">
        <v>0</v>
      </c>
      <c r="W3">
        <v>30</v>
      </c>
      <c r="X3">
        <v>86192</v>
      </c>
      <c r="Y3">
        <v>0</v>
      </c>
      <c r="Z3">
        <v>86192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s="4">
        <v>36469</v>
      </c>
      <c r="AL3">
        <v>36469</v>
      </c>
      <c r="AM3">
        <v>0</v>
      </c>
      <c r="AN3">
        <v>0</v>
      </c>
      <c r="AO3">
        <v>0</v>
      </c>
      <c r="AP3">
        <v>0</v>
      </c>
      <c r="AQ3">
        <f>VLOOKUP(F3,'[1]SALARY WORKING'!$F$12:$CG$66,80,0)</f>
        <v>159129</v>
      </c>
      <c r="AR3">
        <f>VLOOKUP(F3,'[1]SALARY WORKING'!$F$12:$CF$66,79,0)</f>
        <v>159129</v>
      </c>
      <c r="AS3">
        <v>0</v>
      </c>
      <c r="AT3">
        <v>0</v>
      </c>
      <c r="AU3">
        <v>0</v>
      </c>
      <c r="AV3">
        <v>0</v>
      </c>
      <c r="AW3">
        <v>36468</v>
      </c>
      <c r="AX3">
        <v>36468</v>
      </c>
      <c r="AY3">
        <v>0</v>
      </c>
      <c r="AZ3" s="4">
        <v>161895</v>
      </c>
      <c r="BA3">
        <v>0</v>
      </c>
      <c r="BB3">
        <v>0</v>
      </c>
      <c r="BC3" s="4">
        <f>VLOOKUP(F3,'[1]SALARY WORKING'!$F$12:$CA$66,74,0)</f>
        <v>0</v>
      </c>
      <c r="BD3">
        <v>0</v>
      </c>
      <c r="BE3">
        <v>0</v>
      </c>
      <c r="BF3">
        <v>0</v>
      </c>
      <c r="BG3">
        <f>VLOOKUP(F3,'[1]SALARY WORKING'!$F$12:$DL$66,111,0)</f>
        <v>1</v>
      </c>
      <c r="BH3">
        <v>0.57999999999999996</v>
      </c>
      <c r="BI3">
        <v>0.58000000000000007</v>
      </c>
      <c r="BJ3">
        <v>1</v>
      </c>
      <c r="BK3">
        <v>4.5</v>
      </c>
      <c r="BL3">
        <v>1.25</v>
      </c>
      <c r="BM3">
        <v>2.75</v>
      </c>
      <c r="BN3">
        <v>3</v>
      </c>
      <c r="BO3">
        <v>0</v>
      </c>
      <c r="BP3">
        <v>0</v>
      </c>
      <c r="BQ3">
        <v>0</v>
      </c>
      <c r="BR3">
        <v>0</v>
      </c>
      <c r="BS3" s="4">
        <v>0</v>
      </c>
      <c r="BT3" s="4">
        <v>0</v>
      </c>
      <c r="BU3" s="4">
        <v>0</v>
      </c>
      <c r="BV3" s="4">
        <v>0</v>
      </c>
      <c r="BW3">
        <v>0</v>
      </c>
      <c r="BX3" s="4">
        <f t="shared" ref="BX3:BX56" si="1">BW3+BV3</f>
        <v>0</v>
      </c>
      <c r="BY3">
        <v>200</v>
      </c>
      <c r="BZ3">
        <f>VLOOKUP(F3,'[1]SALARY WORKING'!$F$12:$CR$66,91,0)</f>
        <v>0</v>
      </c>
      <c r="CA3" s="4">
        <f t="shared" ref="CA3:CA56" si="2">BV3+BS3+BY3+BZ3+T3</f>
        <v>234</v>
      </c>
      <c r="CB3">
        <v>30</v>
      </c>
    </row>
    <row r="4" spans="1:80" x14ac:dyDescent="0.35">
      <c r="B4" s="1" t="s">
        <v>99</v>
      </c>
      <c r="D4" t="s">
        <v>100</v>
      </c>
      <c r="E4" t="s">
        <v>101</v>
      </c>
      <c r="F4" t="s">
        <v>103</v>
      </c>
      <c r="G4" t="s">
        <v>157</v>
      </c>
      <c r="H4" t="s">
        <v>222</v>
      </c>
      <c r="I4" t="s">
        <v>223</v>
      </c>
      <c r="J4">
        <v>30</v>
      </c>
      <c r="K4">
        <v>0</v>
      </c>
      <c r="L4">
        <v>4</v>
      </c>
      <c r="M4">
        <v>0</v>
      </c>
      <c r="N4">
        <v>26</v>
      </c>
      <c r="O4">
        <v>0</v>
      </c>
      <c r="P4">
        <v>3</v>
      </c>
      <c r="Q4">
        <v>0</v>
      </c>
      <c r="R4">
        <v>0</v>
      </c>
      <c r="S4">
        <v>0</v>
      </c>
      <c r="T4" s="3">
        <v>0.5</v>
      </c>
      <c r="U4">
        <f t="shared" si="0"/>
        <v>0</v>
      </c>
      <c r="V4" s="4">
        <v>0</v>
      </c>
      <c r="W4">
        <v>33</v>
      </c>
      <c r="X4">
        <v>66521</v>
      </c>
      <c r="Y4">
        <v>0</v>
      </c>
      <c r="Z4">
        <v>66521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4">
        <v>28146</v>
      </c>
      <c r="AL4">
        <v>28146</v>
      </c>
      <c r="AM4">
        <v>0</v>
      </c>
      <c r="AN4">
        <v>0</v>
      </c>
      <c r="AO4">
        <v>0</v>
      </c>
      <c r="AP4">
        <v>0</v>
      </c>
      <c r="AQ4">
        <f>VLOOKUP(F4,'[1]SALARY WORKING'!$F$12:$CG$66,80,0)</f>
        <v>122812</v>
      </c>
      <c r="AR4">
        <f>VLOOKUP(F4,'[1]SALARY WORKING'!$F$12:$CF$66,79,0)</f>
        <v>122812</v>
      </c>
      <c r="AS4">
        <v>0</v>
      </c>
      <c r="AT4">
        <v>0</v>
      </c>
      <c r="AU4">
        <v>0</v>
      </c>
      <c r="AV4">
        <v>0</v>
      </c>
      <c r="AW4">
        <v>28145</v>
      </c>
      <c r="AX4">
        <v>28145</v>
      </c>
      <c r="AY4">
        <v>0</v>
      </c>
      <c r="AZ4" s="4">
        <v>134892.70000000001</v>
      </c>
      <c r="BA4">
        <v>0</v>
      </c>
      <c r="BB4">
        <v>0</v>
      </c>
      <c r="BC4" s="4">
        <f>VLOOKUP(F4,'[1]SALARY WORKING'!$F$12:$CA$66,74,0)</f>
        <v>12281.2</v>
      </c>
      <c r="BD4">
        <v>3</v>
      </c>
      <c r="BE4">
        <v>0</v>
      </c>
      <c r="BF4">
        <v>0</v>
      </c>
      <c r="BG4">
        <f>VLOOKUP(F4,'[1]SALARY WORKING'!$F$12:$DL$66,111,0)</f>
        <v>1.5</v>
      </c>
      <c r="BH4">
        <v>0.57999999999999996</v>
      </c>
      <c r="BI4">
        <v>2.08</v>
      </c>
      <c r="BJ4">
        <v>0</v>
      </c>
      <c r="BK4">
        <v>61</v>
      </c>
      <c r="BL4">
        <v>1.25</v>
      </c>
      <c r="BM4">
        <v>62.25</v>
      </c>
      <c r="BN4">
        <v>0</v>
      </c>
      <c r="BO4">
        <v>0</v>
      </c>
      <c r="BP4">
        <v>0</v>
      </c>
      <c r="BQ4">
        <v>0</v>
      </c>
      <c r="BR4">
        <v>0</v>
      </c>
      <c r="BS4" s="4">
        <v>0</v>
      </c>
      <c r="BT4" s="4">
        <v>0</v>
      </c>
      <c r="BU4" s="4">
        <v>0</v>
      </c>
      <c r="BV4" s="4">
        <v>0</v>
      </c>
      <c r="BW4">
        <v>0</v>
      </c>
      <c r="BX4" s="4">
        <f t="shared" si="1"/>
        <v>0</v>
      </c>
      <c r="BY4">
        <v>200</v>
      </c>
      <c r="BZ4">
        <f>VLOOKUP(F4,'[1]SALARY WORKING'!$F$12:$CR$66,91,0)</f>
        <v>0</v>
      </c>
      <c r="CA4" s="4">
        <f t="shared" si="2"/>
        <v>200.5</v>
      </c>
      <c r="CB4">
        <v>30</v>
      </c>
    </row>
    <row r="5" spans="1:80" x14ac:dyDescent="0.35">
      <c r="B5" s="1" t="s">
        <v>99</v>
      </c>
      <c r="D5" t="s">
        <v>100</v>
      </c>
      <c r="E5" t="s">
        <v>101</v>
      </c>
      <c r="F5" t="s">
        <v>104</v>
      </c>
      <c r="G5" t="s">
        <v>158</v>
      </c>
      <c r="H5" t="s">
        <v>224</v>
      </c>
      <c r="I5" t="s">
        <v>91</v>
      </c>
      <c r="J5">
        <v>30</v>
      </c>
      <c r="K5">
        <v>0</v>
      </c>
      <c r="L5">
        <v>4</v>
      </c>
      <c r="M5">
        <v>0</v>
      </c>
      <c r="N5">
        <v>24.5</v>
      </c>
      <c r="O5">
        <v>0</v>
      </c>
      <c r="P5">
        <v>3</v>
      </c>
      <c r="Q5">
        <v>0</v>
      </c>
      <c r="R5">
        <v>0</v>
      </c>
      <c r="S5">
        <v>0</v>
      </c>
      <c r="T5" s="3">
        <v>0.5</v>
      </c>
      <c r="U5">
        <f t="shared" si="0"/>
        <v>0</v>
      </c>
      <c r="V5" s="4">
        <v>0</v>
      </c>
      <c r="W5">
        <v>33</v>
      </c>
      <c r="X5">
        <v>66612</v>
      </c>
      <c r="Y5">
        <v>0</v>
      </c>
      <c r="Z5">
        <v>66612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s="4">
        <v>28184</v>
      </c>
      <c r="AL5">
        <v>28184</v>
      </c>
      <c r="AM5">
        <v>0</v>
      </c>
      <c r="AN5">
        <v>0</v>
      </c>
      <c r="AO5">
        <v>0</v>
      </c>
      <c r="AP5">
        <v>0</v>
      </c>
      <c r="AQ5">
        <f>VLOOKUP(F5,'[1]SALARY WORKING'!$F$12:$CG$66,80,0)</f>
        <v>111800</v>
      </c>
      <c r="AR5">
        <f>VLOOKUP(F5,'[1]SALARY WORKING'!$F$12:$CF$66,79,0)</f>
        <v>111800</v>
      </c>
      <c r="AS5">
        <v>0</v>
      </c>
      <c r="AT5">
        <v>0</v>
      </c>
      <c r="AU5">
        <v>0</v>
      </c>
      <c r="AV5">
        <v>0</v>
      </c>
      <c r="AW5">
        <v>17004</v>
      </c>
      <c r="AX5">
        <v>17004</v>
      </c>
      <c r="AY5">
        <v>0</v>
      </c>
      <c r="AZ5" s="4">
        <v>115389.5</v>
      </c>
      <c r="BA5">
        <v>0</v>
      </c>
      <c r="BB5">
        <v>0</v>
      </c>
      <c r="BC5" s="4">
        <f>VLOOKUP(F5,'[1]SALARY WORKING'!$F$12:$CA$66,74,0)</f>
        <v>5590</v>
      </c>
      <c r="BD5">
        <v>1.5</v>
      </c>
      <c r="BE5">
        <v>0</v>
      </c>
      <c r="BF5">
        <v>0</v>
      </c>
      <c r="BG5">
        <f>VLOOKUP(F5,'[1]SALARY WORKING'!$F$12:$DL$66,111,0)</f>
        <v>1.5</v>
      </c>
      <c r="BH5">
        <v>0.57999999999999996</v>
      </c>
      <c r="BI5">
        <v>2.08</v>
      </c>
      <c r="BJ5">
        <v>0</v>
      </c>
      <c r="BK5">
        <v>2.5</v>
      </c>
      <c r="BL5">
        <v>1.25</v>
      </c>
      <c r="BM5">
        <v>3.75</v>
      </c>
      <c r="BN5">
        <v>0</v>
      </c>
      <c r="BO5">
        <v>0</v>
      </c>
      <c r="BP5">
        <v>0</v>
      </c>
      <c r="BQ5">
        <v>0</v>
      </c>
      <c r="BR5">
        <v>0</v>
      </c>
      <c r="BS5" s="4">
        <v>0</v>
      </c>
      <c r="BT5" s="4">
        <v>0</v>
      </c>
      <c r="BU5" s="4">
        <v>0</v>
      </c>
      <c r="BV5" s="4">
        <v>1800</v>
      </c>
      <c r="BW5">
        <v>1950</v>
      </c>
      <c r="BX5" s="4">
        <f t="shared" si="1"/>
        <v>3750</v>
      </c>
      <c r="BY5">
        <v>200</v>
      </c>
      <c r="BZ5">
        <f>VLOOKUP(F5,'[1]SALARY WORKING'!$F$12:$CR$66,91,0)</f>
        <v>0</v>
      </c>
      <c r="CA5" s="4">
        <f t="shared" si="2"/>
        <v>2000.5</v>
      </c>
      <c r="CB5">
        <v>30</v>
      </c>
    </row>
    <row r="6" spans="1:80" x14ac:dyDescent="0.35">
      <c r="B6" s="1" t="s">
        <v>99</v>
      </c>
      <c r="D6" t="s">
        <v>100</v>
      </c>
      <c r="E6" t="s">
        <v>101</v>
      </c>
      <c r="F6" t="s">
        <v>105</v>
      </c>
      <c r="G6" t="s">
        <v>159</v>
      </c>
      <c r="H6" t="s">
        <v>98</v>
      </c>
      <c r="I6" t="s">
        <v>96</v>
      </c>
      <c r="J6">
        <v>30</v>
      </c>
      <c r="K6">
        <v>0</v>
      </c>
      <c r="L6">
        <v>4</v>
      </c>
      <c r="M6">
        <v>0</v>
      </c>
      <c r="N6">
        <v>24.5</v>
      </c>
      <c r="O6">
        <v>0</v>
      </c>
      <c r="P6">
        <v>3</v>
      </c>
      <c r="Q6">
        <v>0</v>
      </c>
      <c r="R6">
        <v>1.5</v>
      </c>
      <c r="S6">
        <v>0</v>
      </c>
      <c r="T6" s="3">
        <v>0.5</v>
      </c>
      <c r="U6">
        <f t="shared" si="0"/>
        <v>0</v>
      </c>
      <c r="V6" s="4">
        <v>0</v>
      </c>
      <c r="W6">
        <v>32</v>
      </c>
      <c r="X6">
        <v>40449</v>
      </c>
      <c r="Y6">
        <v>0</v>
      </c>
      <c r="Z6">
        <v>40449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s="4">
        <v>17114</v>
      </c>
      <c r="AL6">
        <v>17114</v>
      </c>
      <c r="AM6">
        <v>0</v>
      </c>
      <c r="AN6">
        <v>0</v>
      </c>
      <c r="AO6">
        <v>0</v>
      </c>
      <c r="AP6">
        <v>0</v>
      </c>
      <c r="AQ6">
        <f>VLOOKUP(F6,'[1]SALARY WORKING'!$F$12:$CG$66,80,0)</f>
        <v>74677</v>
      </c>
      <c r="AR6">
        <f>VLOOKUP(F6,'[1]SALARY WORKING'!$F$12:$CF$66,79,0)</f>
        <v>74677</v>
      </c>
      <c r="AS6">
        <v>0</v>
      </c>
      <c r="AT6">
        <v>0</v>
      </c>
      <c r="AU6">
        <v>0</v>
      </c>
      <c r="AV6">
        <v>0</v>
      </c>
      <c r="AW6">
        <v>17114</v>
      </c>
      <c r="AX6">
        <v>17114</v>
      </c>
      <c r="AY6">
        <v>0</v>
      </c>
      <c r="AZ6" s="4">
        <v>76410.350000000006</v>
      </c>
      <c r="BA6">
        <v>0</v>
      </c>
      <c r="BB6">
        <v>0</v>
      </c>
      <c r="BC6" s="4">
        <f>VLOOKUP(F6,'[1]SALARY WORKING'!$F$12:$CA$66,74,0)</f>
        <v>3733.85</v>
      </c>
      <c r="BD6">
        <v>1.5</v>
      </c>
      <c r="BE6">
        <v>0</v>
      </c>
      <c r="BF6">
        <v>0</v>
      </c>
      <c r="BG6">
        <f>VLOOKUP(F6,'[1]SALARY WORKING'!$F$12:$DL$66,111,0)</f>
        <v>0.5</v>
      </c>
      <c r="BH6">
        <v>0.57999999999999996</v>
      </c>
      <c r="BI6">
        <v>0.58000000000000007</v>
      </c>
      <c r="BJ6">
        <v>0.5</v>
      </c>
      <c r="BK6">
        <v>103</v>
      </c>
      <c r="BL6">
        <v>1.25</v>
      </c>
      <c r="BM6">
        <v>103.25</v>
      </c>
      <c r="BN6">
        <v>1</v>
      </c>
      <c r="BO6">
        <v>0</v>
      </c>
      <c r="BP6">
        <v>0</v>
      </c>
      <c r="BQ6">
        <v>0</v>
      </c>
      <c r="BR6">
        <v>0</v>
      </c>
      <c r="BS6" s="4">
        <v>0</v>
      </c>
      <c r="BT6" s="4">
        <v>0</v>
      </c>
      <c r="BU6" s="4">
        <v>0</v>
      </c>
      <c r="BV6" s="4">
        <v>1800</v>
      </c>
      <c r="BW6">
        <v>1950</v>
      </c>
      <c r="BX6" s="4">
        <f t="shared" si="1"/>
        <v>3750</v>
      </c>
      <c r="BY6">
        <v>200</v>
      </c>
      <c r="BZ6">
        <f>VLOOKUP(F6,'[1]SALARY WORKING'!$F$12:$CR$66,91,0)</f>
        <v>0</v>
      </c>
      <c r="CA6" s="4">
        <f t="shared" si="2"/>
        <v>2000.5</v>
      </c>
      <c r="CB6">
        <v>30</v>
      </c>
    </row>
    <row r="7" spans="1:80" x14ac:dyDescent="0.35">
      <c r="B7" s="1" t="s">
        <v>99</v>
      </c>
      <c r="D7" t="s">
        <v>100</v>
      </c>
      <c r="E7" t="s">
        <v>101</v>
      </c>
      <c r="F7" t="s">
        <v>106</v>
      </c>
      <c r="G7" t="s">
        <v>160</v>
      </c>
      <c r="H7" t="s">
        <v>225</v>
      </c>
      <c r="I7" t="s">
        <v>226</v>
      </c>
      <c r="J7">
        <v>30</v>
      </c>
      <c r="K7">
        <v>0</v>
      </c>
      <c r="L7">
        <v>4</v>
      </c>
      <c r="M7">
        <v>3</v>
      </c>
      <c r="N7">
        <v>21</v>
      </c>
      <c r="O7">
        <v>0</v>
      </c>
      <c r="P7">
        <v>3</v>
      </c>
      <c r="Q7">
        <v>0</v>
      </c>
      <c r="R7">
        <v>2</v>
      </c>
      <c r="S7">
        <v>0</v>
      </c>
      <c r="T7" s="3">
        <v>0.5</v>
      </c>
      <c r="U7">
        <f t="shared" si="0"/>
        <v>0</v>
      </c>
      <c r="V7" s="4">
        <v>0</v>
      </c>
      <c r="W7">
        <v>33</v>
      </c>
      <c r="X7">
        <v>36654</v>
      </c>
      <c r="Y7">
        <v>0</v>
      </c>
      <c r="Z7">
        <v>36654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s="4">
        <v>15509</v>
      </c>
      <c r="AL7">
        <v>15509</v>
      </c>
      <c r="AM7">
        <v>0</v>
      </c>
      <c r="AN7">
        <v>0</v>
      </c>
      <c r="AO7">
        <v>0</v>
      </c>
      <c r="AP7">
        <v>0</v>
      </c>
      <c r="AQ7">
        <f>VLOOKUP(F7,'[1]SALARY WORKING'!$F$12:$CG$66,80,0)</f>
        <v>67671</v>
      </c>
      <c r="AR7">
        <f>VLOOKUP(F7,'[1]SALARY WORKING'!$F$12:$CF$66,79,0)</f>
        <v>67671</v>
      </c>
      <c r="AS7">
        <v>0</v>
      </c>
      <c r="AT7">
        <v>0</v>
      </c>
      <c r="AU7">
        <v>0</v>
      </c>
      <c r="AV7">
        <v>0</v>
      </c>
      <c r="AW7">
        <v>15508</v>
      </c>
      <c r="AX7">
        <v>15508</v>
      </c>
      <c r="AY7">
        <v>0</v>
      </c>
      <c r="AZ7" s="4">
        <v>65670.5</v>
      </c>
      <c r="BA7">
        <v>0</v>
      </c>
      <c r="BB7">
        <v>0</v>
      </c>
      <c r="BC7" s="4">
        <f>VLOOKUP(F7,'[1]SALARY WORKING'!$F$12:$CA$66,74,0)</f>
        <v>0</v>
      </c>
      <c r="BD7">
        <v>0</v>
      </c>
      <c r="BE7">
        <v>0</v>
      </c>
      <c r="BF7">
        <v>0</v>
      </c>
      <c r="BG7">
        <f>VLOOKUP(F7,'[1]SALARY WORKING'!$F$12:$DL$66,111,0)</f>
        <v>1</v>
      </c>
      <c r="BH7">
        <v>0.57999999999999996</v>
      </c>
      <c r="BI7">
        <v>0.58000000000000007</v>
      </c>
      <c r="BJ7">
        <v>1</v>
      </c>
      <c r="BK7">
        <v>2.5</v>
      </c>
      <c r="BL7">
        <v>1.25</v>
      </c>
      <c r="BM7">
        <v>2.75</v>
      </c>
      <c r="BN7">
        <v>1</v>
      </c>
      <c r="BO7">
        <v>0</v>
      </c>
      <c r="BP7">
        <v>0</v>
      </c>
      <c r="BQ7">
        <v>0</v>
      </c>
      <c r="BR7">
        <v>0</v>
      </c>
      <c r="BS7" s="4">
        <v>0</v>
      </c>
      <c r="BT7" s="4">
        <v>0</v>
      </c>
      <c r="BU7" s="4">
        <v>0</v>
      </c>
      <c r="BV7" s="4">
        <v>1800</v>
      </c>
      <c r="BW7">
        <v>1950</v>
      </c>
      <c r="BX7" s="4">
        <f t="shared" si="1"/>
        <v>3750</v>
      </c>
      <c r="BY7">
        <v>200</v>
      </c>
      <c r="BZ7">
        <f>VLOOKUP(F7,'[1]SALARY WORKING'!$F$12:$CR$66,91,0)</f>
        <v>0</v>
      </c>
      <c r="CA7" s="4">
        <f t="shared" si="2"/>
        <v>2000.5</v>
      </c>
      <c r="CB7">
        <v>30</v>
      </c>
    </row>
    <row r="8" spans="1:80" x14ac:dyDescent="0.35">
      <c r="B8" s="1" t="s">
        <v>99</v>
      </c>
      <c r="D8" t="s">
        <v>100</v>
      </c>
      <c r="E8" t="s">
        <v>101</v>
      </c>
      <c r="F8" t="s">
        <v>107</v>
      </c>
      <c r="G8" t="s">
        <v>161</v>
      </c>
      <c r="H8" t="s">
        <v>227</v>
      </c>
      <c r="I8" t="s">
        <v>87</v>
      </c>
      <c r="J8">
        <v>30</v>
      </c>
      <c r="K8">
        <v>0</v>
      </c>
      <c r="L8">
        <v>4</v>
      </c>
      <c r="M8">
        <v>0</v>
      </c>
      <c r="N8">
        <v>27.5</v>
      </c>
      <c r="O8">
        <v>0</v>
      </c>
      <c r="P8">
        <v>3</v>
      </c>
      <c r="Q8">
        <v>0</v>
      </c>
      <c r="R8">
        <v>0</v>
      </c>
      <c r="S8">
        <v>0</v>
      </c>
      <c r="T8" s="3">
        <v>0.5</v>
      </c>
      <c r="U8">
        <f t="shared" si="0"/>
        <v>0</v>
      </c>
      <c r="V8" s="4">
        <v>0</v>
      </c>
      <c r="W8">
        <v>32</v>
      </c>
      <c r="X8">
        <v>29791</v>
      </c>
      <c r="Y8">
        <v>0</v>
      </c>
      <c r="Z8">
        <v>29791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s="4">
        <v>12605</v>
      </c>
      <c r="AL8">
        <v>12605</v>
      </c>
      <c r="AM8">
        <v>0</v>
      </c>
      <c r="AN8">
        <v>0</v>
      </c>
      <c r="AO8">
        <v>0</v>
      </c>
      <c r="AP8">
        <v>0</v>
      </c>
      <c r="AQ8">
        <f>VLOOKUP(F8,'[1]SALARY WORKING'!$F$12:$CG$66,80,0)</f>
        <v>55000</v>
      </c>
      <c r="AR8">
        <f>VLOOKUP(F8,'[1]SALARY WORKING'!$F$12:$CF$66,79,0)</f>
        <v>55000</v>
      </c>
      <c r="AS8">
        <v>0</v>
      </c>
      <c r="AT8">
        <v>0</v>
      </c>
      <c r="AU8">
        <v>0</v>
      </c>
      <c r="AV8">
        <v>0</v>
      </c>
      <c r="AW8">
        <v>12604</v>
      </c>
      <c r="AX8">
        <v>12604</v>
      </c>
      <c r="AY8">
        <v>0</v>
      </c>
      <c r="AZ8" s="4">
        <v>61249.5</v>
      </c>
      <c r="BA8">
        <v>0</v>
      </c>
      <c r="BB8">
        <v>0</v>
      </c>
      <c r="BC8" s="4">
        <f>VLOOKUP(F8,'[1]SALARY WORKING'!$F$12:$CA$66,74,0)</f>
        <v>8250</v>
      </c>
      <c r="BD8">
        <v>4.5</v>
      </c>
      <c r="BE8">
        <v>0</v>
      </c>
      <c r="BF8">
        <v>0</v>
      </c>
      <c r="BG8">
        <f>VLOOKUP(F8,'[1]SALARY WORKING'!$F$12:$DL$66,111,0)</f>
        <v>1</v>
      </c>
      <c r="BH8">
        <v>0.57999999999999996</v>
      </c>
      <c r="BI8">
        <v>1.58</v>
      </c>
      <c r="BJ8">
        <v>0</v>
      </c>
      <c r="BK8">
        <v>19.5</v>
      </c>
      <c r="BL8">
        <v>1.25</v>
      </c>
      <c r="BM8">
        <v>20.75</v>
      </c>
      <c r="BN8">
        <v>0</v>
      </c>
      <c r="BO8">
        <v>0</v>
      </c>
      <c r="BP8">
        <v>0</v>
      </c>
      <c r="BQ8">
        <v>0</v>
      </c>
      <c r="BR8">
        <v>0</v>
      </c>
      <c r="BS8" s="4">
        <v>0</v>
      </c>
      <c r="BT8" s="4">
        <v>0</v>
      </c>
      <c r="BU8" s="4">
        <v>0</v>
      </c>
      <c r="BV8" s="4">
        <v>1800</v>
      </c>
      <c r="BW8">
        <v>1950</v>
      </c>
      <c r="BX8" s="4">
        <f t="shared" si="1"/>
        <v>3750</v>
      </c>
      <c r="BY8">
        <v>200</v>
      </c>
      <c r="BZ8">
        <f>VLOOKUP(F8,'[1]SALARY WORKING'!$F$12:$CR$66,91,0)</f>
        <v>0</v>
      </c>
      <c r="CA8" s="4">
        <f t="shared" si="2"/>
        <v>2000.5</v>
      </c>
      <c r="CB8">
        <v>30</v>
      </c>
    </row>
    <row r="9" spans="1:80" x14ac:dyDescent="0.35">
      <c r="B9" s="1" t="s">
        <v>99</v>
      </c>
      <c r="D9" t="s">
        <v>100</v>
      </c>
      <c r="E9" t="s">
        <v>101</v>
      </c>
      <c r="F9" t="s">
        <v>108</v>
      </c>
      <c r="G9" t="s">
        <v>162</v>
      </c>
      <c r="H9" t="s">
        <v>98</v>
      </c>
      <c r="I9" t="s">
        <v>88</v>
      </c>
      <c r="J9">
        <v>30</v>
      </c>
      <c r="K9">
        <v>0</v>
      </c>
      <c r="L9">
        <v>4</v>
      </c>
      <c r="M9">
        <v>3</v>
      </c>
      <c r="N9">
        <v>21</v>
      </c>
      <c r="O9">
        <v>0</v>
      </c>
      <c r="P9">
        <v>3</v>
      </c>
      <c r="Q9">
        <v>0</v>
      </c>
      <c r="R9">
        <v>6</v>
      </c>
      <c r="S9">
        <v>0</v>
      </c>
      <c r="T9" s="3">
        <v>0.5</v>
      </c>
      <c r="U9">
        <f t="shared" si="0"/>
        <v>0</v>
      </c>
      <c r="V9" s="4">
        <v>0</v>
      </c>
      <c r="W9">
        <v>32</v>
      </c>
      <c r="X9">
        <v>26967</v>
      </c>
      <c r="Y9">
        <v>0</v>
      </c>
      <c r="Z9">
        <v>26967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s="4">
        <v>11410</v>
      </c>
      <c r="AL9">
        <v>11410</v>
      </c>
      <c r="AM9">
        <v>0</v>
      </c>
      <c r="AN9">
        <v>0</v>
      </c>
      <c r="AO9">
        <v>0</v>
      </c>
      <c r="AP9">
        <v>0</v>
      </c>
      <c r="AQ9">
        <f>VLOOKUP(F9,'[1]SALARY WORKING'!$F$12:$CG$66,80,0)</f>
        <v>49787</v>
      </c>
      <c r="AR9">
        <f>VLOOKUP(F9,'[1]SALARY WORKING'!$F$12:$CF$66,79,0)</f>
        <v>49787</v>
      </c>
      <c r="AS9">
        <v>0</v>
      </c>
      <c r="AT9">
        <v>0</v>
      </c>
      <c r="AU9">
        <v>0</v>
      </c>
      <c r="AV9">
        <v>0</v>
      </c>
      <c r="AW9">
        <v>11410</v>
      </c>
      <c r="AX9">
        <v>11410</v>
      </c>
      <c r="AY9">
        <v>0</v>
      </c>
      <c r="AZ9" s="4">
        <v>47786.5</v>
      </c>
      <c r="BA9">
        <v>0</v>
      </c>
      <c r="BB9">
        <v>0</v>
      </c>
      <c r="BC9" s="4">
        <f>VLOOKUP(F9,'[1]SALARY WORKING'!$F$12:$CA$66,74,0)</f>
        <v>0</v>
      </c>
      <c r="BD9">
        <v>0</v>
      </c>
      <c r="BE9">
        <v>0</v>
      </c>
      <c r="BF9">
        <v>0</v>
      </c>
      <c r="BG9">
        <f>VLOOKUP(F9,'[1]SALARY WORKING'!$F$12:$DL$66,111,0)</f>
        <v>1.5</v>
      </c>
      <c r="BH9">
        <v>0.57999999999999996</v>
      </c>
      <c r="BI9">
        <v>1.08</v>
      </c>
      <c r="BJ9">
        <v>1</v>
      </c>
      <c r="BK9">
        <v>132</v>
      </c>
      <c r="BL9">
        <v>1.25</v>
      </c>
      <c r="BM9">
        <v>128.25</v>
      </c>
      <c r="BN9">
        <v>5</v>
      </c>
      <c r="BO9">
        <v>0</v>
      </c>
      <c r="BP9">
        <v>0</v>
      </c>
      <c r="BQ9">
        <v>0</v>
      </c>
      <c r="BR9">
        <v>0</v>
      </c>
      <c r="BS9" s="4">
        <v>0</v>
      </c>
      <c r="BT9" s="4">
        <v>0</v>
      </c>
      <c r="BU9" s="4">
        <v>0</v>
      </c>
      <c r="BV9" s="4">
        <v>1800</v>
      </c>
      <c r="BW9">
        <v>1950</v>
      </c>
      <c r="BX9" s="4">
        <f t="shared" si="1"/>
        <v>3750</v>
      </c>
      <c r="BY9">
        <v>200</v>
      </c>
      <c r="BZ9">
        <f>VLOOKUP(F9,'[1]SALARY WORKING'!$F$12:$CR$66,91,0)</f>
        <v>0</v>
      </c>
      <c r="CA9" s="4">
        <f t="shared" si="2"/>
        <v>2000.5</v>
      </c>
      <c r="CB9">
        <v>30</v>
      </c>
    </row>
    <row r="10" spans="1:80" x14ac:dyDescent="0.35">
      <c r="B10" s="1" t="s">
        <v>99</v>
      </c>
      <c r="D10" t="s">
        <v>100</v>
      </c>
      <c r="E10" t="s">
        <v>101</v>
      </c>
      <c r="F10" t="s">
        <v>109</v>
      </c>
      <c r="G10" t="s">
        <v>163</v>
      </c>
      <c r="H10" t="s">
        <v>93</v>
      </c>
      <c r="I10" t="s">
        <v>89</v>
      </c>
      <c r="J10">
        <v>30</v>
      </c>
      <c r="K10">
        <v>0</v>
      </c>
      <c r="L10">
        <v>4</v>
      </c>
      <c r="M10">
        <v>0</v>
      </c>
      <c r="N10">
        <v>25</v>
      </c>
      <c r="O10">
        <v>0</v>
      </c>
      <c r="P10">
        <v>3</v>
      </c>
      <c r="Q10">
        <v>0</v>
      </c>
      <c r="R10">
        <v>1</v>
      </c>
      <c r="S10">
        <v>0</v>
      </c>
      <c r="T10" s="3">
        <v>0.5</v>
      </c>
      <c r="U10">
        <f t="shared" si="0"/>
        <v>0</v>
      </c>
      <c r="V10" s="4">
        <v>0</v>
      </c>
      <c r="W10">
        <v>32</v>
      </c>
      <c r="X10">
        <v>24000</v>
      </c>
      <c r="Y10">
        <v>0</v>
      </c>
      <c r="Z10">
        <v>24000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s="4">
        <v>10155</v>
      </c>
      <c r="AL10">
        <v>10155</v>
      </c>
      <c r="AM10">
        <v>0</v>
      </c>
      <c r="AN10">
        <v>0</v>
      </c>
      <c r="AO10">
        <v>0</v>
      </c>
      <c r="AP10">
        <v>0</v>
      </c>
      <c r="AQ10">
        <f>VLOOKUP(F10,'[1]SALARY WORKING'!$F$12:$CG$66,80,0)</f>
        <v>44309</v>
      </c>
      <c r="AR10">
        <f>VLOOKUP(F10,'[1]SALARY WORKING'!$F$12:$CF$66,79,0)</f>
        <v>44309</v>
      </c>
      <c r="AS10">
        <v>0</v>
      </c>
      <c r="AT10">
        <v>0</v>
      </c>
      <c r="AU10">
        <v>0</v>
      </c>
      <c r="AV10">
        <v>0</v>
      </c>
      <c r="AW10">
        <v>10154</v>
      </c>
      <c r="AX10">
        <v>10154</v>
      </c>
      <c r="AY10">
        <v>0</v>
      </c>
      <c r="AZ10" s="4">
        <v>47062.43</v>
      </c>
      <c r="BA10">
        <v>0</v>
      </c>
      <c r="BB10">
        <v>0</v>
      </c>
      <c r="BC10" s="4">
        <f>VLOOKUP(F10,'[1]SALARY WORKING'!$F$12:$CA$66,74,0)</f>
        <v>2953.93</v>
      </c>
      <c r="BD10">
        <v>2</v>
      </c>
      <c r="BE10">
        <v>0</v>
      </c>
      <c r="BF10">
        <v>0</v>
      </c>
      <c r="BG10">
        <f>VLOOKUP(F10,'[1]SALARY WORKING'!$F$12:$DL$66,111,0)</f>
        <v>1.5</v>
      </c>
      <c r="BH10">
        <v>0.57999999999999996</v>
      </c>
      <c r="BI10">
        <v>1.08</v>
      </c>
      <c r="BJ10">
        <v>1</v>
      </c>
      <c r="BK10">
        <v>72</v>
      </c>
      <c r="BL10">
        <v>1.25</v>
      </c>
      <c r="BM10">
        <v>73.25</v>
      </c>
      <c r="BN10">
        <v>0</v>
      </c>
      <c r="BO10">
        <v>0</v>
      </c>
      <c r="BP10">
        <v>0</v>
      </c>
      <c r="BQ10">
        <v>0</v>
      </c>
      <c r="BR10">
        <v>0</v>
      </c>
      <c r="BS10" s="4">
        <v>0</v>
      </c>
      <c r="BT10" s="4">
        <v>0</v>
      </c>
      <c r="BU10" s="4">
        <v>0</v>
      </c>
      <c r="BV10" s="4">
        <v>0</v>
      </c>
      <c r="BW10">
        <v>0</v>
      </c>
      <c r="BX10" s="4">
        <f t="shared" si="1"/>
        <v>0</v>
      </c>
      <c r="BY10">
        <v>200</v>
      </c>
      <c r="BZ10">
        <f>VLOOKUP(F10,'[1]SALARY WORKING'!$F$12:$CR$66,91,0)</f>
        <v>0</v>
      </c>
      <c r="CA10" s="4">
        <f t="shared" si="2"/>
        <v>200.5</v>
      </c>
      <c r="CB10">
        <v>30</v>
      </c>
    </row>
    <row r="11" spans="1:80" x14ac:dyDescent="0.35">
      <c r="B11" s="1" t="s">
        <v>99</v>
      </c>
      <c r="D11" t="s">
        <v>100</v>
      </c>
      <c r="E11" t="s">
        <v>101</v>
      </c>
      <c r="F11" t="s">
        <v>110</v>
      </c>
      <c r="G11" t="s">
        <v>164</v>
      </c>
      <c r="H11" t="s">
        <v>224</v>
      </c>
      <c r="I11" t="s">
        <v>96</v>
      </c>
      <c r="J11">
        <v>10</v>
      </c>
      <c r="K11">
        <v>0</v>
      </c>
      <c r="L11">
        <v>1</v>
      </c>
      <c r="M11">
        <v>20</v>
      </c>
      <c r="N11">
        <v>6</v>
      </c>
      <c r="O11">
        <v>0</v>
      </c>
      <c r="P11">
        <v>3</v>
      </c>
      <c r="Q11">
        <v>0</v>
      </c>
      <c r="R11">
        <v>0</v>
      </c>
      <c r="S11">
        <v>0</v>
      </c>
      <c r="T11" s="3">
        <v>0.5</v>
      </c>
      <c r="U11">
        <f t="shared" si="0"/>
        <v>20</v>
      </c>
      <c r="V11" s="4">
        <v>0</v>
      </c>
      <c r="W11">
        <v>0</v>
      </c>
      <c r="X11">
        <v>9954</v>
      </c>
      <c r="Y11">
        <v>0</v>
      </c>
      <c r="Z11">
        <v>29862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s="4">
        <v>4211.67</v>
      </c>
      <c r="AL11">
        <v>12635</v>
      </c>
      <c r="AM11">
        <v>0</v>
      </c>
      <c r="AN11">
        <v>0</v>
      </c>
      <c r="AO11">
        <v>0</v>
      </c>
      <c r="AP11">
        <v>0</v>
      </c>
      <c r="AQ11">
        <f>VLOOKUP(F11,'[1]SALARY WORKING'!$F$12:$CG$66,80,0)</f>
        <v>18377.34</v>
      </c>
      <c r="AR11">
        <f>VLOOKUP(F11,'[1]SALARY WORKING'!$F$12:$CF$66,79,0)</f>
        <v>55132</v>
      </c>
      <c r="AS11">
        <v>0</v>
      </c>
      <c r="AT11">
        <v>0</v>
      </c>
      <c r="AU11">
        <v>0</v>
      </c>
      <c r="AV11">
        <v>0</v>
      </c>
      <c r="AW11">
        <v>4211.67</v>
      </c>
      <c r="AX11">
        <v>4211.67</v>
      </c>
      <c r="AY11">
        <v>0</v>
      </c>
      <c r="AZ11" s="4">
        <v>17052.36</v>
      </c>
      <c r="BA11">
        <v>0</v>
      </c>
      <c r="BB11">
        <v>0</v>
      </c>
      <c r="BC11" s="4">
        <f>VLOOKUP(F11,'[1]SALARY WORKING'!$F$12:$CA$66,74,0)</f>
        <v>0</v>
      </c>
      <c r="BD11">
        <v>0</v>
      </c>
      <c r="BE11">
        <v>0</v>
      </c>
      <c r="BF11">
        <v>0</v>
      </c>
      <c r="BG11">
        <f>VLOOKUP(F11,'[1]SALARY WORKING'!$F$12:$DL$66,111,0)</f>
        <v>0.5</v>
      </c>
      <c r="BH11">
        <v>0.19</v>
      </c>
      <c r="BI11">
        <v>0.69</v>
      </c>
      <c r="BJ11">
        <v>0</v>
      </c>
      <c r="BK11">
        <v>3</v>
      </c>
      <c r="BL11">
        <v>0.42</v>
      </c>
      <c r="BM11">
        <v>3.42</v>
      </c>
      <c r="BN11">
        <v>0</v>
      </c>
      <c r="BO11">
        <v>0</v>
      </c>
      <c r="BP11">
        <v>0</v>
      </c>
      <c r="BQ11">
        <v>0</v>
      </c>
      <c r="BR11">
        <v>0</v>
      </c>
      <c r="BS11" s="4">
        <v>0</v>
      </c>
      <c r="BT11" s="4">
        <v>0</v>
      </c>
      <c r="BU11" s="4">
        <v>0</v>
      </c>
      <c r="BV11" s="4">
        <v>1194.48</v>
      </c>
      <c r="BW11">
        <v>1294.02</v>
      </c>
      <c r="BX11" s="4">
        <f t="shared" si="1"/>
        <v>2488.5</v>
      </c>
      <c r="BY11">
        <v>130</v>
      </c>
      <c r="BZ11">
        <f>VLOOKUP(F11,'[1]SALARY WORKING'!$F$12:$CR$66,91,0)</f>
        <v>0</v>
      </c>
      <c r="CA11" s="4">
        <f t="shared" si="2"/>
        <v>1324.98</v>
      </c>
      <c r="CB11">
        <v>30</v>
      </c>
    </row>
    <row r="12" spans="1:80" x14ac:dyDescent="0.35">
      <c r="B12" s="1" t="s">
        <v>99</v>
      </c>
      <c r="D12" t="s">
        <v>100</v>
      </c>
      <c r="E12" t="s">
        <v>101</v>
      </c>
      <c r="F12" t="s">
        <v>111</v>
      </c>
      <c r="G12" t="s">
        <v>165</v>
      </c>
      <c r="H12" t="s">
        <v>224</v>
      </c>
      <c r="I12" t="s">
        <v>88</v>
      </c>
      <c r="J12">
        <v>30</v>
      </c>
      <c r="K12">
        <v>0</v>
      </c>
      <c r="L12">
        <v>4</v>
      </c>
      <c r="M12">
        <v>0</v>
      </c>
      <c r="N12">
        <v>24</v>
      </c>
      <c r="O12">
        <v>0</v>
      </c>
      <c r="P12">
        <v>3</v>
      </c>
      <c r="Q12">
        <v>0</v>
      </c>
      <c r="R12">
        <v>2</v>
      </c>
      <c r="S12">
        <v>0</v>
      </c>
      <c r="T12" s="3">
        <v>0.5</v>
      </c>
      <c r="U12">
        <f t="shared" si="0"/>
        <v>0</v>
      </c>
      <c r="V12" s="4">
        <v>0</v>
      </c>
      <c r="W12">
        <v>32</v>
      </c>
      <c r="X12">
        <v>17874</v>
      </c>
      <c r="Y12">
        <v>0</v>
      </c>
      <c r="Z12">
        <v>17874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s="4">
        <v>7563</v>
      </c>
      <c r="AL12">
        <v>7563</v>
      </c>
      <c r="AM12">
        <v>0</v>
      </c>
      <c r="AN12">
        <v>0</v>
      </c>
      <c r="AO12">
        <v>0</v>
      </c>
      <c r="AP12">
        <v>0</v>
      </c>
      <c r="AQ12">
        <f>VLOOKUP(F12,'[1]SALARY WORKING'!$F$12:$CG$66,80,0)</f>
        <v>30000</v>
      </c>
      <c r="AR12">
        <f>VLOOKUP(F12,'[1]SALARY WORKING'!$F$12:$CF$66,79,0)</f>
        <v>30000</v>
      </c>
      <c r="AS12">
        <v>0</v>
      </c>
      <c r="AT12">
        <v>0</v>
      </c>
      <c r="AU12">
        <v>0</v>
      </c>
      <c r="AV12">
        <v>0</v>
      </c>
      <c r="AW12">
        <v>4563</v>
      </c>
      <c r="AX12">
        <v>4563</v>
      </c>
      <c r="AY12">
        <v>0</v>
      </c>
      <c r="AZ12" s="4">
        <v>29049.5</v>
      </c>
      <c r="BA12">
        <v>0</v>
      </c>
      <c r="BB12">
        <v>0</v>
      </c>
      <c r="BC12" s="4">
        <f>VLOOKUP(F12,'[1]SALARY WORKING'!$F$12:$CA$66,74,0)</f>
        <v>1000</v>
      </c>
      <c r="BD12">
        <v>1</v>
      </c>
      <c r="BE12">
        <v>0</v>
      </c>
      <c r="BF12">
        <v>0</v>
      </c>
      <c r="BG12">
        <f>VLOOKUP(F12,'[1]SALARY WORKING'!$F$12:$DL$66,111,0)</f>
        <v>1</v>
      </c>
      <c r="BH12">
        <v>0.57999999999999996</v>
      </c>
      <c r="BI12">
        <v>0.58000000000000007</v>
      </c>
      <c r="BJ12">
        <v>1</v>
      </c>
      <c r="BK12">
        <v>2</v>
      </c>
      <c r="BL12">
        <v>1.25</v>
      </c>
      <c r="BM12">
        <v>2.25</v>
      </c>
      <c r="BN12">
        <v>1</v>
      </c>
      <c r="BO12">
        <v>0</v>
      </c>
      <c r="BP12">
        <v>0</v>
      </c>
      <c r="BQ12">
        <v>0</v>
      </c>
      <c r="BR12">
        <v>0</v>
      </c>
      <c r="BS12" s="4">
        <v>0</v>
      </c>
      <c r="BT12" s="4">
        <v>0</v>
      </c>
      <c r="BU12" s="4">
        <v>0</v>
      </c>
      <c r="BV12" s="4">
        <v>1800</v>
      </c>
      <c r="BW12">
        <v>1950</v>
      </c>
      <c r="BX12" s="4">
        <f t="shared" si="1"/>
        <v>3750</v>
      </c>
      <c r="BY12">
        <v>150</v>
      </c>
      <c r="BZ12">
        <f>VLOOKUP(F12,'[1]SALARY WORKING'!$F$12:$CR$66,91,0)</f>
        <v>0</v>
      </c>
      <c r="CA12" s="4">
        <f t="shared" si="2"/>
        <v>1950.5</v>
      </c>
      <c r="CB12">
        <v>30</v>
      </c>
    </row>
    <row r="13" spans="1:80" x14ac:dyDescent="0.35">
      <c r="B13" s="1" t="s">
        <v>99</v>
      </c>
      <c r="D13" t="s">
        <v>100</v>
      </c>
      <c r="E13" t="s">
        <v>101</v>
      </c>
      <c r="F13" t="s">
        <v>112</v>
      </c>
      <c r="G13" t="s">
        <v>166</v>
      </c>
      <c r="H13" t="s">
        <v>209</v>
      </c>
      <c r="I13" t="s">
        <v>90</v>
      </c>
      <c r="J13">
        <v>30</v>
      </c>
      <c r="K13">
        <v>0</v>
      </c>
      <c r="L13">
        <v>4</v>
      </c>
      <c r="M13">
        <v>0</v>
      </c>
      <c r="N13">
        <v>26</v>
      </c>
      <c r="O13">
        <v>0</v>
      </c>
      <c r="P13">
        <v>3</v>
      </c>
      <c r="Q13">
        <v>0</v>
      </c>
      <c r="R13">
        <v>0</v>
      </c>
      <c r="S13">
        <v>0</v>
      </c>
      <c r="T13" s="3">
        <v>0.5</v>
      </c>
      <c r="U13">
        <f t="shared" si="0"/>
        <v>0</v>
      </c>
      <c r="V13" s="4">
        <v>5432.53</v>
      </c>
      <c r="W13">
        <v>33</v>
      </c>
      <c r="X13">
        <v>15000</v>
      </c>
      <c r="Y13">
        <v>0</v>
      </c>
      <c r="Z13">
        <v>15000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s="4">
        <v>5372</v>
      </c>
      <c r="AL13">
        <v>5372</v>
      </c>
      <c r="AM13">
        <v>0</v>
      </c>
      <c r="AN13">
        <v>0</v>
      </c>
      <c r="AO13">
        <v>0</v>
      </c>
      <c r="AP13">
        <v>0</v>
      </c>
      <c r="AQ13">
        <f>VLOOKUP(F13,'[1]SALARY WORKING'!$F$12:$CG$66,80,0)</f>
        <v>20372</v>
      </c>
      <c r="AR13">
        <f>VLOOKUP(F13,'[1]SALARY WORKING'!$F$12:$CF$66,79,0)</f>
        <v>20372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s="4">
        <v>25998.44</v>
      </c>
      <c r="BA13">
        <v>0</v>
      </c>
      <c r="BB13">
        <v>0</v>
      </c>
      <c r="BC13" s="4">
        <f>VLOOKUP(F13,'[1]SALARY WORKING'!$F$12:$CA$66,74,0)</f>
        <v>2037.2</v>
      </c>
      <c r="BD13">
        <v>3</v>
      </c>
      <c r="BE13">
        <v>240</v>
      </c>
      <c r="BF13">
        <v>0</v>
      </c>
      <c r="BG13">
        <f>VLOOKUP(F13,'[1]SALARY WORKING'!$F$12:$DL$66,111,0)</f>
        <v>1.5</v>
      </c>
      <c r="BH13">
        <v>0.57999999999999996</v>
      </c>
      <c r="BI13">
        <v>2.08</v>
      </c>
      <c r="BJ13">
        <v>0</v>
      </c>
      <c r="BK13">
        <v>3.5</v>
      </c>
      <c r="BL13">
        <v>1.25</v>
      </c>
      <c r="BM13">
        <v>4.75</v>
      </c>
      <c r="BN13">
        <v>0</v>
      </c>
      <c r="BO13">
        <v>0</v>
      </c>
      <c r="BP13">
        <v>0</v>
      </c>
      <c r="BQ13">
        <v>0</v>
      </c>
      <c r="BR13">
        <v>0</v>
      </c>
      <c r="BS13" s="4">
        <v>152.79</v>
      </c>
      <c r="BT13" s="4">
        <v>662.09</v>
      </c>
      <c r="BU13" s="4">
        <v>814.88</v>
      </c>
      <c r="BV13" s="4">
        <v>1800</v>
      </c>
      <c r="BW13">
        <v>1950</v>
      </c>
      <c r="BX13" s="4">
        <f t="shared" si="1"/>
        <v>3750</v>
      </c>
      <c r="BY13">
        <v>130</v>
      </c>
      <c r="BZ13">
        <f>VLOOKUP(F13,'[1]SALARY WORKING'!$F$12:$CR$66,91,0)</f>
        <v>0</v>
      </c>
      <c r="CA13" s="4">
        <f t="shared" si="2"/>
        <v>2083.29</v>
      </c>
      <c r="CB13">
        <v>30</v>
      </c>
    </row>
    <row r="14" spans="1:80" x14ac:dyDescent="0.35">
      <c r="B14" s="1" t="s">
        <v>99</v>
      </c>
      <c r="D14" t="s">
        <v>100</v>
      </c>
      <c r="E14" t="s">
        <v>101</v>
      </c>
      <c r="F14" t="s">
        <v>113</v>
      </c>
      <c r="G14" t="s">
        <v>167</v>
      </c>
      <c r="H14" t="s">
        <v>210</v>
      </c>
      <c r="I14" t="s">
        <v>211</v>
      </c>
      <c r="J14">
        <v>30</v>
      </c>
      <c r="K14">
        <v>0</v>
      </c>
      <c r="L14">
        <v>5</v>
      </c>
      <c r="M14">
        <v>1</v>
      </c>
      <c r="N14">
        <v>23</v>
      </c>
      <c r="O14">
        <v>0</v>
      </c>
      <c r="P14">
        <v>3</v>
      </c>
      <c r="Q14">
        <v>0</v>
      </c>
      <c r="R14">
        <v>2</v>
      </c>
      <c r="S14">
        <v>0</v>
      </c>
      <c r="T14" s="3">
        <v>0.5</v>
      </c>
      <c r="U14">
        <f t="shared" si="0"/>
        <v>0</v>
      </c>
      <c r="V14" s="4">
        <v>0</v>
      </c>
      <c r="W14">
        <v>32</v>
      </c>
      <c r="X14">
        <v>15000</v>
      </c>
      <c r="Y14">
        <v>0</v>
      </c>
      <c r="Z14">
        <v>15000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s="4">
        <v>6097</v>
      </c>
      <c r="AL14">
        <v>6097</v>
      </c>
      <c r="AM14">
        <v>0</v>
      </c>
      <c r="AN14">
        <v>0</v>
      </c>
      <c r="AO14">
        <v>0</v>
      </c>
      <c r="AP14">
        <v>0</v>
      </c>
      <c r="AQ14">
        <f>VLOOKUP(F14,'[1]SALARY WORKING'!$F$12:$CG$66,80,0)</f>
        <v>21097</v>
      </c>
      <c r="AR14">
        <f>VLOOKUP(F14,'[1]SALARY WORKING'!$F$12:$CF$66,79,0)</f>
        <v>21097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 s="4">
        <v>19326.5</v>
      </c>
      <c r="BA14">
        <v>0</v>
      </c>
      <c r="BB14">
        <v>0</v>
      </c>
      <c r="BC14" s="4">
        <f>VLOOKUP(F14,'[1]SALARY WORKING'!$F$12:$CA$66,74,0)</f>
        <v>0</v>
      </c>
      <c r="BD14">
        <v>1</v>
      </c>
      <c r="BE14">
        <v>160</v>
      </c>
      <c r="BF14">
        <v>0</v>
      </c>
      <c r="BG14">
        <f>VLOOKUP(F14,'[1]SALARY WORKING'!$F$12:$DL$66,111,0)</f>
        <v>1</v>
      </c>
      <c r="BH14">
        <v>0.57999999999999996</v>
      </c>
      <c r="BI14">
        <v>0.58000000000000007</v>
      </c>
      <c r="BJ14">
        <v>1</v>
      </c>
      <c r="BK14">
        <v>1.5</v>
      </c>
      <c r="BL14">
        <v>1.25</v>
      </c>
      <c r="BM14">
        <v>1.75</v>
      </c>
      <c r="BN14">
        <v>1</v>
      </c>
      <c r="BO14">
        <v>0</v>
      </c>
      <c r="BP14">
        <v>0</v>
      </c>
      <c r="BQ14">
        <v>0</v>
      </c>
      <c r="BR14">
        <v>0</v>
      </c>
      <c r="BS14" s="4">
        <v>0</v>
      </c>
      <c r="BT14" s="4">
        <v>0</v>
      </c>
      <c r="BU14" s="4">
        <v>0</v>
      </c>
      <c r="BV14" s="4">
        <v>1800</v>
      </c>
      <c r="BW14">
        <v>1950</v>
      </c>
      <c r="BX14" s="4">
        <f t="shared" si="1"/>
        <v>3750</v>
      </c>
      <c r="BY14">
        <v>130</v>
      </c>
      <c r="BZ14">
        <f>VLOOKUP(F14,'[1]SALARY WORKING'!$F$12:$CR$66,91,0)</f>
        <v>0</v>
      </c>
      <c r="CA14" s="4">
        <f t="shared" si="2"/>
        <v>1930.5</v>
      </c>
      <c r="CB14">
        <v>30</v>
      </c>
    </row>
    <row r="15" spans="1:80" x14ac:dyDescent="0.35">
      <c r="B15" s="1" t="s">
        <v>99</v>
      </c>
      <c r="D15" t="s">
        <v>100</v>
      </c>
      <c r="E15" t="s">
        <v>101</v>
      </c>
      <c r="F15" t="s">
        <v>114</v>
      </c>
      <c r="G15" t="s">
        <v>168</v>
      </c>
      <c r="H15" t="s">
        <v>209</v>
      </c>
      <c r="I15" t="s">
        <v>212</v>
      </c>
      <c r="J15">
        <v>30</v>
      </c>
      <c r="K15">
        <v>0</v>
      </c>
      <c r="L15">
        <v>4</v>
      </c>
      <c r="M15">
        <v>0</v>
      </c>
      <c r="N15">
        <v>26</v>
      </c>
      <c r="O15">
        <v>0</v>
      </c>
      <c r="P15">
        <v>3</v>
      </c>
      <c r="Q15">
        <v>0</v>
      </c>
      <c r="R15">
        <v>0</v>
      </c>
      <c r="S15">
        <v>0</v>
      </c>
      <c r="T15" s="3">
        <v>0.5</v>
      </c>
      <c r="U15">
        <f t="shared" si="0"/>
        <v>0</v>
      </c>
      <c r="V15" s="4">
        <v>0</v>
      </c>
      <c r="W15">
        <v>31</v>
      </c>
      <c r="X15">
        <v>15000</v>
      </c>
      <c r="Y15">
        <v>0</v>
      </c>
      <c r="Z15">
        <v>15000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s="4">
        <v>7472</v>
      </c>
      <c r="AL15">
        <v>7472</v>
      </c>
      <c r="AM15">
        <v>0</v>
      </c>
      <c r="AN15">
        <v>0</v>
      </c>
      <c r="AO15">
        <v>0</v>
      </c>
      <c r="AP15">
        <v>0</v>
      </c>
      <c r="AQ15">
        <f>VLOOKUP(F15,'[1]SALARY WORKING'!$F$12:$CG$66,80,0)</f>
        <v>22472</v>
      </c>
      <c r="AR15">
        <f>VLOOKUP(F15,'[1]SALARY WORKING'!$F$12:$CF$66,79,0)</f>
        <v>22472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 s="4">
        <v>22868.7</v>
      </c>
      <c r="BA15">
        <v>0</v>
      </c>
      <c r="BB15">
        <v>0</v>
      </c>
      <c r="BC15" s="4">
        <f>VLOOKUP(F15,'[1]SALARY WORKING'!$F$12:$CA$66,74,0)</f>
        <v>2247.1999999999998</v>
      </c>
      <c r="BD15">
        <v>3</v>
      </c>
      <c r="BE15">
        <v>80</v>
      </c>
      <c r="BF15">
        <v>0</v>
      </c>
      <c r="BG15">
        <f>VLOOKUP(F15,'[1]SALARY WORKING'!$F$12:$DL$66,111,0)</f>
        <v>1.5</v>
      </c>
      <c r="BH15">
        <v>0.57999999999999996</v>
      </c>
      <c r="BI15">
        <v>2.08</v>
      </c>
      <c r="BJ15">
        <v>0</v>
      </c>
      <c r="BK15">
        <v>3.5</v>
      </c>
      <c r="BL15">
        <v>1.25</v>
      </c>
      <c r="BM15">
        <v>4.75</v>
      </c>
      <c r="BN15">
        <v>0</v>
      </c>
      <c r="BO15">
        <v>0</v>
      </c>
      <c r="BP15">
        <v>0</v>
      </c>
      <c r="BQ15">
        <v>0</v>
      </c>
      <c r="BR15">
        <v>0</v>
      </c>
      <c r="BS15" s="4">
        <v>0</v>
      </c>
      <c r="BT15" s="4">
        <v>0</v>
      </c>
      <c r="BU15" s="4">
        <v>0</v>
      </c>
      <c r="BV15" s="4">
        <v>1800</v>
      </c>
      <c r="BW15">
        <v>1950</v>
      </c>
      <c r="BX15" s="4">
        <f t="shared" si="1"/>
        <v>3750</v>
      </c>
      <c r="BY15">
        <v>130</v>
      </c>
      <c r="BZ15">
        <f>VLOOKUP(F15,'[1]SALARY WORKING'!$F$12:$CR$66,91,0)</f>
        <v>0</v>
      </c>
      <c r="CA15" s="4">
        <f t="shared" si="2"/>
        <v>1930.5</v>
      </c>
      <c r="CB15">
        <v>30</v>
      </c>
    </row>
    <row r="16" spans="1:80" x14ac:dyDescent="0.35">
      <c r="B16" s="1" t="s">
        <v>99</v>
      </c>
      <c r="D16" t="s">
        <v>100</v>
      </c>
      <c r="E16" t="s">
        <v>101</v>
      </c>
      <c r="F16" t="s">
        <v>115</v>
      </c>
      <c r="G16" t="s">
        <v>169</v>
      </c>
      <c r="H16" t="s">
        <v>209</v>
      </c>
      <c r="I16" t="s">
        <v>213</v>
      </c>
      <c r="J16">
        <v>30</v>
      </c>
      <c r="K16">
        <v>0</v>
      </c>
      <c r="L16">
        <v>4</v>
      </c>
      <c r="M16">
        <v>0</v>
      </c>
      <c r="N16">
        <v>26</v>
      </c>
      <c r="O16">
        <v>0</v>
      </c>
      <c r="P16">
        <v>3</v>
      </c>
      <c r="Q16">
        <v>0</v>
      </c>
      <c r="R16">
        <v>0</v>
      </c>
      <c r="S16">
        <v>0</v>
      </c>
      <c r="T16" s="3">
        <v>0.5</v>
      </c>
      <c r="U16">
        <f t="shared" si="0"/>
        <v>0</v>
      </c>
      <c r="V16" s="4">
        <v>0</v>
      </c>
      <c r="W16">
        <v>33</v>
      </c>
      <c r="X16">
        <v>15000</v>
      </c>
      <c r="Y16">
        <v>0</v>
      </c>
      <c r="Z16">
        <v>15000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s="4">
        <v>6087</v>
      </c>
      <c r="AL16">
        <v>6087</v>
      </c>
      <c r="AM16">
        <v>0</v>
      </c>
      <c r="AN16">
        <v>0</v>
      </c>
      <c r="AO16">
        <v>0</v>
      </c>
      <c r="AP16">
        <v>0</v>
      </c>
      <c r="AQ16">
        <f>VLOOKUP(F16,'[1]SALARY WORKING'!$F$12:$CG$66,80,0)</f>
        <v>21087</v>
      </c>
      <c r="AR16">
        <f>VLOOKUP(F16,'[1]SALARY WORKING'!$F$12:$CF$66,79,0)</f>
        <v>21087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s="4">
        <v>21505.200000000001</v>
      </c>
      <c r="BA16">
        <v>0</v>
      </c>
      <c r="BB16">
        <v>0</v>
      </c>
      <c r="BC16" s="4">
        <f>VLOOKUP(F16,'[1]SALARY WORKING'!$F$12:$CA$66,74,0)</f>
        <v>2108.6999999999998</v>
      </c>
      <c r="BD16">
        <v>3</v>
      </c>
      <c r="BE16">
        <v>240</v>
      </c>
      <c r="BF16">
        <v>0</v>
      </c>
      <c r="BG16">
        <f>VLOOKUP(F16,'[1]SALARY WORKING'!$F$12:$DL$66,111,0)</f>
        <v>1.5</v>
      </c>
      <c r="BH16">
        <v>0.57999999999999996</v>
      </c>
      <c r="BI16">
        <v>2.08</v>
      </c>
      <c r="BJ16">
        <v>0</v>
      </c>
      <c r="BK16">
        <v>3.5</v>
      </c>
      <c r="BL16">
        <v>1.25</v>
      </c>
      <c r="BM16">
        <v>4.75</v>
      </c>
      <c r="BN16">
        <v>0</v>
      </c>
      <c r="BO16">
        <v>0</v>
      </c>
      <c r="BP16">
        <v>0</v>
      </c>
      <c r="BQ16">
        <v>0</v>
      </c>
      <c r="BR16">
        <v>0</v>
      </c>
      <c r="BS16" s="4">
        <v>0</v>
      </c>
      <c r="BT16" s="4">
        <v>0</v>
      </c>
      <c r="BU16" s="4">
        <v>0</v>
      </c>
      <c r="BV16" s="4">
        <v>1800</v>
      </c>
      <c r="BW16">
        <v>1950</v>
      </c>
      <c r="BX16" s="4">
        <f t="shared" si="1"/>
        <v>3750</v>
      </c>
      <c r="BY16">
        <v>130</v>
      </c>
      <c r="BZ16">
        <f>VLOOKUP(F16,'[1]SALARY WORKING'!$F$12:$CR$66,91,0)</f>
        <v>0</v>
      </c>
      <c r="CA16" s="4">
        <f t="shared" si="2"/>
        <v>1930.5</v>
      </c>
      <c r="CB16">
        <v>30</v>
      </c>
    </row>
    <row r="17" spans="2:80" x14ac:dyDescent="0.35">
      <c r="B17" s="1" t="s">
        <v>99</v>
      </c>
      <c r="D17" t="s">
        <v>100</v>
      </c>
      <c r="E17" t="s">
        <v>101</v>
      </c>
      <c r="F17" t="s">
        <v>116</v>
      </c>
      <c r="G17" t="s">
        <v>170</v>
      </c>
      <c r="H17" t="s">
        <v>209</v>
      </c>
      <c r="I17" t="s">
        <v>214</v>
      </c>
      <c r="J17">
        <v>30</v>
      </c>
      <c r="K17">
        <v>0</v>
      </c>
      <c r="L17">
        <v>5</v>
      </c>
      <c r="M17">
        <v>0</v>
      </c>
      <c r="N17">
        <v>25</v>
      </c>
      <c r="O17">
        <v>0</v>
      </c>
      <c r="P17">
        <v>3</v>
      </c>
      <c r="Q17">
        <v>0</v>
      </c>
      <c r="R17">
        <v>0</v>
      </c>
      <c r="S17">
        <v>0</v>
      </c>
      <c r="T17" s="3">
        <v>0.5</v>
      </c>
      <c r="U17">
        <f t="shared" si="0"/>
        <v>0</v>
      </c>
      <c r="V17" s="4">
        <v>702.9</v>
      </c>
      <c r="W17">
        <v>33</v>
      </c>
      <c r="X17">
        <v>15000</v>
      </c>
      <c r="Y17">
        <v>0</v>
      </c>
      <c r="Z17">
        <v>15000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s="4">
        <v>6087</v>
      </c>
      <c r="AL17">
        <v>6087</v>
      </c>
      <c r="AM17">
        <v>0</v>
      </c>
      <c r="AN17">
        <v>0</v>
      </c>
      <c r="AO17">
        <v>0</v>
      </c>
      <c r="AP17">
        <v>0</v>
      </c>
      <c r="AQ17">
        <f>VLOOKUP(F17,'[1]SALARY WORKING'!$F$12:$CG$66,80,0)</f>
        <v>21087</v>
      </c>
      <c r="AR17">
        <f>VLOOKUP(F17,'[1]SALARY WORKING'!$F$12:$CF$66,79,0)</f>
        <v>21087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s="4">
        <v>21505.200000000001</v>
      </c>
      <c r="BA17">
        <v>0</v>
      </c>
      <c r="BB17">
        <v>0</v>
      </c>
      <c r="BC17" s="4">
        <f>VLOOKUP(F17,'[1]SALARY WORKING'!$F$12:$CA$66,74,0)</f>
        <v>1405.8</v>
      </c>
      <c r="BD17">
        <v>3</v>
      </c>
      <c r="BE17">
        <v>240</v>
      </c>
      <c r="BF17">
        <v>0</v>
      </c>
      <c r="BG17">
        <f>VLOOKUP(F17,'[1]SALARY WORKING'!$F$12:$DL$66,111,0)</f>
        <v>0.5</v>
      </c>
      <c r="BH17">
        <v>0.57999999999999996</v>
      </c>
      <c r="BI17">
        <v>1.08</v>
      </c>
      <c r="BJ17">
        <v>0</v>
      </c>
      <c r="BK17">
        <v>1.5</v>
      </c>
      <c r="BL17">
        <v>1.25</v>
      </c>
      <c r="BM17">
        <v>2.75</v>
      </c>
      <c r="BN17">
        <v>0</v>
      </c>
      <c r="BO17">
        <v>0</v>
      </c>
      <c r="BP17">
        <v>0</v>
      </c>
      <c r="BQ17">
        <v>0</v>
      </c>
      <c r="BR17">
        <v>0</v>
      </c>
      <c r="BS17" s="4">
        <v>0</v>
      </c>
      <c r="BT17" s="4">
        <v>0</v>
      </c>
      <c r="BU17" s="4">
        <v>0</v>
      </c>
      <c r="BV17" s="4">
        <v>1800</v>
      </c>
      <c r="BW17">
        <v>1950</v>
      </c>
      <c r="BX17" s="4">
        <f t="shared" si="1"/>
        <v>3750</v>
      </c>
      <c r="BY17">
        <v>130</v>
      </c>
      <c r="BZ17">
        <f>VLOOKUP(F17,'[1]SALARY WORKING'!$F$12:$CR$66,91,0)</f>
        <v>0</v>
      </c>
      <c r="CA17" s="4">
        <f t="shared" si="2"/>
        <v>1930.5</v>
      </c>
      <c r="CB17">
        <v>30</v>
      </c>
    </row>
    <row r="18" spans="2:80" x14ac:dyDescent="0.35">
      <c r="B18" s="1" t="s">
        <v>99</v>
      </c>
      <c r="D18" t="s">
        <v>100</v>
      </c>
      <c r="E18" t="s">
        <v>101</v>
      </c>
      <c r="F18" t="s">
        <v>117</v>
      </c>
      <c r="G18" t="s">
        <v>171</v>
      </c>
      <c r="H18" t="s">
        <v>209</v>
      </c>
      <c r="I18" t="s">
        <v>213</v>
      </c>
      <c r="J18">
        <v>30</v>
      </c>
      <c r="K18">
        <v>0</v>
      </c>
      <c r="L18">
        <v>4</v>
      </c>
      <c r="M18">
        <v>0</v>
      </c>
      <c r="N18">
        <v>26</v>
      </c>
      <c r="O18">
        <v>0</v>
      </c>
      <c r="P18">
        <v>3</v>
      </c>
      <c r="Q18">
        <v>0</v>
      </c>
      <c r="R18">
        <v>0</v>
      </c>
      <c r="S18">
        <v>0</v>
      </c>
      <c r="T18" s="3">
        <v>0.5</v>
      </c>
      <c r="U18">
        <f t="shared" si="0"/>
        <v>0</v>
      </c>
      <c r="V18" s="4">
        <v>0</v>
      </c>
      <c r="W18">
        <v>33</v>
      </c>
      <c r="X18">
        <v>15000</v>
      </c>
      <c r="Y18">
        <v>0</v>
      </c>
      <c r="Z18">
        <v>15000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s="4">
        <v>6087</v>
      </c>
      <c r="AL18">
        <v>6087</v>
      </c>
      <c r="AM18">
        <v>0</v>
      </c>
      <c r="AN18">
        <v>0</v>
      </c>
      <c r="AO18">
        <v>0</v>
      </c>
      <c r="AP18">
        <v>0</v>
      </c>
      <c r="AQ18">
        <f>VLOOKUP(F18,'[1]SALARY WORKING'!$F$12:$CG$66,80,0)</f>
        <v>21087</v>
      </c>
      <c r="AR18">
        <f>VLOOKUP(F18,'[1]SALARY WORKING'!$F$12:$CF$66,79,0)</f>
        <v>21087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 s="4">
        <v>21505.200000000001</v>
      </c>
      <c r="BA18">
        <v>0</v>
      </c>
      <c r="BB18">
        <v>0</v>
      </c>
      <c r="BC18" s="4">
        <f>VLOOKUP(F18,'[1]SALARY WORKING'!$F$12:$CA$66,74,0)</f>
        <v>2108.6999999999998</v>
      </c>
      <c r="BD18">
        <v>3</v>
      </c>
      <c r="BE18">
        <v>240</v>
      </c>
      <c r="BF18">
        <v>0</v>
      </c>
      <c r="BG18">
        <f>VLOOKUP(F18,'[1]SALARY WORKING'!$F$12:$DL$66,111,0)</f>
        <v>1.5</v>
      </c>
      <c r="BH18">
        <v>0.57999999999999996</v>
      </c>
      <c r="BI18">
        <v>2.08</v>
      </c>
      <c r="BJ18">
        <v>0</v>
      </c>
      <c r="BK18">
        <v>3.5</v>
      </c>
      <c r="BL18">
        <v>1.25</v>
      </c>
      <c r="BM18">
        <v>4.75</v>
      </c>
      <c r="BN18">
        <v>0</v>
      </c>
      <c r="BO18">
        <v>0</v>
      </c>
      <c r="BP18">
        <v>0</v>
      </c>
      <c r="BQ18">
        <v>0</v>
      </c>
      <c r="BR18">
        <v>0</v>
      </c>
      <c r="BS18" s="4">
        <v>0</v>
      </c>
      <c r="BT18" s="4">
        <v>0</v>
      </c>
      <c r="BU18" s="4">
        <v>0</v>
      </c>
      <c r="BV18" s="4">
        <v>1800</v>
      </c>
      <c r="BW18">
        <v>1950</v>
      </c>
      <c r="BX18" s="4">
        <f t="shared" si="1"/>
        <v>3750</v>
      </c>
      <c r="BY18">
        <v>130</v>
      </c>
      <c r="BZ18">
        <f>VLOOKUP(F18,'[1]SALARY WORKING'!$F$12:$CR$66,91,0)</f>
        <v>0</v>
      </c>
      <c r="CA18" s="4">
        <f t="shared" si="2"/>
        <v>1930.5</v>
      </c>
      <c r="CB18">
        <v>30</v>
      </c>
    </row>
    <row r="19" spans="2:80" x14ac:dyDescent="0.35">
      <c r="B19" s="1" t="s">
        <v>99</v>
      </c>
      <c r="D19" t="s">
        <v>100</v>
      </c>
      <c r="E19" t="s">
        <v>101</v>
      </c>
      <c r="F19" t="s">
        <v>118</v>
      </c>
      <c r="G19" t="s">
        <v>172</v>
      </c>
      <c r="H19" t="s">
        <v>209</v>
      </c>
      <c r="I19" t="s">
        <v>213</v>
      </c>
      <c r="J19">
        <v>30</v>
      </c>
      <c r="K19">
        <v>0</v>
      </c>
      <c r="L19">
        <v>5</v>
      </c>
      <c r="M19">
        <v>0</v>
      </c>
      <c r="N19">
        <v>25</v>
      </c>
      <c r="O19">
        <v>0</v>
      </c>
      <c r="P19">
        <v>3</v>
      </c>
      <c r="Q19">
        <v>0</v>
      </c>
      <c r="R19">
        <v>0</v>
      </c>
      <c r="S19">
        <v>0</v>
      </c>
      <c r="T19" s="3">
        <v>0.5</v>
      </c>
      <c r="U19">
        <f t="shared" si="0"/>
        <v>0</v>
      </c>
      <c r="V19" s="4">
        <v>0</v>
      </c>
      <c r="W19">
        <v>33</v>
      </c>
      <c r="X19">
        <v>15000</v>
      </c>
      <c r="Y19">
        <v>0</v>
      </c>
      <c r="Z19">
        <v>15000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s="4">
        <v>6087</v>
      </c>
      <c r="AL19">
        <v>6087</v>
      </c>
      <c r="AM19">
        <v>0</v>
      </c>
      <c r="AN19">
        <v>0</v>
      </c>
      <c r="AO19">
        <v>0</v>
      </c>
      <c r="AP19">
        <v>0</v>
      </c>
      <c r="AQ19">
        <f>VLOOKUP(F19,'[1]SALARY WORKING'!$F$12:$CG$66,80,0)</f>
        <v>21087</v>
      </c>
      <c r="AR19">
        <f>VLOOKUP(F19,'[1]SALARY WORKING'!$F$12:$CF$66,79,0)</f>
        <v>21087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s="4">
        <v>20802.3</v>
      </c>
      <c r="BA19">
        <v>0</v>
      </c>
      <c r="BB19">
        <v>0</v>
      </c>
      <c r="BC19" s="4">
        <f>VLOOKUP(F19,'[1]SALARY WORKING'!$F$12:$CA$66,74,0)</f>
        <v>1405.8</v>
      </c>
      <c r="BD19">
        <v>3</v>
      </c>
      <c r="BE19">
        <v>240</v>
      </c>
      <c r="BF19">
        <v>0</v>
      </c>
      <c r="BG19">
        <f>VLOOKUP(F19,'[1]SALARY WORKING'!$F$12:$DL$66,111,0)</f>
        <v>0.5</v>
      </c>
      <c r="BH19">
        <v>0.57999999999999996</v>
      </c>
      <c r="BI19">
        <v>1.08</v>
      </c>
      <c r="BJ19">
        <v>0</v>
      </c>
      <c r="BK19">
        <v>1</v>
      </c>
      <c r="BL19">
        <v>1.25</v>
      </c>
      <c r="BM19">
        <v>2.25</v>
      </c>
      <c r="BN19">
        <v>0</v>
      </c>
      <c r="BO19">
        <v>0</v>
      </c>
      <c r="BP19">
        <v>0</v>
      </c>
      <c r="BQ19">
        <v>0</v>
      </c>
      <c r="BR19">
        <v>0</v>
      </c>
      <c r="BS19" s="4">
        <v>0</v>
      </c>
      <c r="BT19" s="4">
        <v>0</v>
      </c>
      <c r="BU19" s="4">
        <v>0</v>
      </c>
      <c r="BV19" s="4">
        <v>1800</v>
      </c>
      <c r="BW19">
        <v>1950</v>
      </c>
      <c r="BX19" s="4">
        <f t="shared" si="1"/>
        <v>3750</v>
      </c>
      <c r="BY19">
        <v>130</v>
      </c>
      <c r="BZ19">
        <f>VLOOKUP(F19,'[1]SALARY WORKING'!$F$12:$CR$66,91,0)</f>
        <v>0</v>
      </c>
      <c r="CA19" s="4">
        <f t="shared" si="2"/>
        <v>1930.5</v>
      </c>
      <c r="CB19">
        <v>30</v>
      </c>
    </row>
    <row r="20" spans="2:80" x14ac:dyDescent="0.35">
      <c r="B20" s="1" t="s">
        <v>99</v>
      </c>
      <c r="D20" t="s">
        <v>100</v>
      </c>
      <c r="E20" t="s">
        <v>101</v>
      </c>
      <c r="F20" t="s">
        <v>119</v>
      </c>
      <c r="G20" t="s">
        <v>173</v>
      </c>
      <c r="H20" t="s">
        <v>209</v>
      </c>
      <c r="I20" t="s">
        <v>213</v>
      </c>
      <c r="J20">
        <v>30</v>
      </c>
      <c r="K20">
        <v>0</v>
      </c>
      <c r="L20">
        <v>5</v>
      </c>
      <c r="M20">
        <v>0</v>
      </c>
      <c r="N20">
        <v>24.5</v>
      </c>
      <c r="O20">
        <v>0</v>
      </c>
      <c r="P20">
        <v>3</v>
      </c>
      <c r="Q20">
        <v>0</v>
      </c>
      <c r="R20">
        <v>0.5</v>
      </c>
      <c r="S20">
        <v>0</v>
      </c>
      <c r="T20" s="3">
        <v>0.5</v>
      </c>
      <c r="U20">
        <f t="shared" si="0"/>
        <v>0</v>
      </c>
      <c r="V20" s="4">
        <v>0</v>
      </c>
      <c r="W20">
        <v>32</v>
      </c>
      <c r="X20">
        <v>15000</v>
      </c>
      <c r="Y20">
        <v>0</v>
      </c>
      <c r="Z20">
        <v>15000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s="4">
        <v>6087</v>
      </c>
      <c r="AL20">
        <v>6087</v>
      </c>
      <c r="AM20">
        <v>0</v>
      </c>
      <c r="AN20">
        <v>0</v>
      </c>
      <c r="AO20">
        <v>0</v>
      </c>
      <c r="AP20">
        <v>0</v>
      </c>
      <c r="AQ20">
        <f>VLOOKUP(F20,'[1]SALARY WORKING'!$F$12:$CG$66,80,0)</f>
        <v>21087</v>
      </c>
      <c r="AR20">
        <f>VLOOKUP(F20,'[1]SALARY WORKING'!$F$12:$CF$66,79,0)</f>
        <v>21087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 s="4">
        <v>20370.849999999999</v>
      </c>
      <c r="BA20">
        <v>0</v>
      </c>
      <c r="BB20">
        <v>0</v>
      </c>
      <c r="BC20" s="4">
        <f>VLOOKUP(F20,'[1]SALARY WORKING'!$F$12:$CA$66,74,0)</f>
        <v>1054.3499999999999</v>
      </c>
      <c r="BD20">
        <v>2.5</v>
      </c>
      <c r="BE20">
        <v>160</v>
      </c>
      <c r="BF20">
        <v>0</v>
      </c>
      <c r="BG20">
        <f>VLOOKUP(F20,'[1]SALARY WORKING'!$F$12:$DL$66,111,0)</f>
        <v>1.5</v>
      </c>
      <c r="BH20">
        <v>0.57999999999999996</v>
      </c>
      <c r="BI20">
        <v>1.58</v>
      </c>
      <c r="BJ20">
        <v>0.5</v>
      </c>
      <c r="BK20">
        <v>3.5</v>
      </c>
      <c r="BL20">
        <v>1.25</v>
      </c>
      <c r="BM20">
        <v>4.75</v>
      </c>
      <c r="BN20">
        <v>0</v>
      </c>
      <c r="BO20">
        <v>0</v>
      </c>
      <c r="BP20">
        <v>0</v>
      </c>
      <c r="BQ20">
        <v>0</v>
      </c>
      <c r="BR20">
        <v>0</v>
      </c>
      <c r="BS20" s="4">
        <v>0</v>
      </c>
      <c r="BT20" s="4">
        <v>0</v>
      </c>
      <c r="BU20" s="4">
        <v>0</v>
      </c>
      <c r="BV20" s="4">
        <v>1800</v>
      </c>
      <c r="BW20">
        <v>1950</v>
      </c>
      <c r="BX20" s="4">
        <f t="shared" si="1"/>
        <v>3750</v>
      </c>
      <c r="BY20">
        <v>130</v>
      </c>
      <c r="BZ20">
        <f>VLOOKUP(F20,'[1]SALARY WORKING'!$F$12:$CR$66,91,0)</f>
        <v>0</v>
      </c>
      <c r="CA20" s="4">
        <f t="shared" si="2"/>
        <v>1930.5</v>
      </c>
      <c r="CB20">
        <v>30</v>
      </c>
    </row>
    <row r="21" spans="2:80" x14ac:dyDescent="0.35">
      <c r="B21" s="1" t="s">
        <v>99</v>
      </c>
      <c r="D21" t="s">
        <v>100</v>
      </c>
      <c r="E21" t="s">
        <v>101</v>
      </c>
      <c r="F21" t="s">
        <v>120</v>
      </c>
      <c r="G21" t="s">
        <v>174</v>
      </c>
      <c r="H21" t="s">
        <v>209</v>
      </c>
      <c r="I21" t="s">
        <v>215</v>
      </c>
      <c r="J21">
        <v>30</v>
      </c>
      <c r="K21">
        <v>0</v>
      </c>
      <c r="L21">
        <v>4</v>
      </c>
      <c r="M21">
        <v>0</v>
      </c>
      <c r="N21">
        <v>24.5</v>
      </c>
      <c r="O21">
        <v>0</v>
      </c>
      <c r="P21">
        <v>3</v>
      </c>
      <c r="Q21">
        <v>0</v>
      </c>
      <c r="R21">
        <v>1.5</v>
      </c>
      <c r="S21">
        <v>0</v>
      </c>
      <c r="T21" s="3">
        <v>0.5</v>
      </c>
      <c r="U21">
        <f t="shared" si="0"/>
        <v>0</v>
      </c>
      <c r="V21" s="4">
        <v>0</v>
      </c>
      <c r="W21">
        <v>32</v>
      </c>
      <c r="X21">
        <v>15000</v>
      </c>
      <c r="Y21">
        <v>0</v>
      </c>
      <c r="Z21">
        <v>15000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s="4">
        <v>6310</v>
      </c>
      <c r="AL21">
        <v>6310</v>
      </c>
      <c r="AM21">
        <v>0</v>
      </c>
      <c r="AN21">
        <v>0</v>
      </c>
      <c r="AO21">
        <v>0</v>
      </c>
      <c r="AP21">
        <v>0</v>
      </c>
      <c r="AQ21">
        <f>VLOOKUP(F21,'[1]SALARY WORKING'!$F$12:$CG$66,80,0)</f>
        <v>21310</v>
      </c>
      <c r="AR21">
        <f>VLOOKUP(F21,'[1]SALARY WORKING'!$F$12:$CF$66,79,0)</f>
        <v>21310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s="4">
        <v>20605</v>
      </c>
      <c r="BA21">
        <v>0</v>
      </c>
      <c r="BB21">
        <v>0</v>
      </c>
      <c r="BC21" s="4">
        <f>VLOOKUP(F21,'[1]SALARY WORKING'!$F$12:$CA$66,74,0)</f>
        <v>1065.5</v>
      </c>
      <c r="BD21">
        <v>1.5</v>
      </c>
      <c r="BE21">
        <v>160</v>
      </c>
      <c r="BF21">
        <v>0</v>
      </c>
      <c r="BG21">
        <f>VLOOKUP(F21,'[1]SALARY WORKING'!$F$12:$DL$66,111,0)</f>
        <v>0.5</v>
      </c>
      <c r="BH21">
        <v>0.57999999999999996</v>
      </c>
      <c r="BI21">
        <v>0.58000000000000007</v>
      </c>
      <c r="BJ21">
        <v>0.5</v>
      </c>
      <c r="BK21">
        <v>3</v>
      </c>
      <c r="BL21">
        <v>1.25</v>
      </c>
      <c r="BM21">
        <v>3.25</v>
      </c>
      <c r="BN21">
        <v>1</v>
      </c>
      <c r="BO21">
        <v>0</v>
      </c>
      <c r="BP21">
        <v>0</v>
      </c>
      <c r="BQ21">
        <v>0</v>
      </c>
      <c r="BR21">
        <v>0</v>
      </c>
      <c r="BS21" s="4">
        <v>0</v>
      </c>
      <c r="BT21" s="4">
        <v>0</v>
      </c>
      <c r="BU21" s="4">
        <v>0</v>
      </c>
      <c r="BV21" s="4">
        <v>1800</v>
      </c>
      <c r="BW21">
        <v>1950</v>
      </c>
      <c r="BX21" s="4">
        <f t="shared" si="1"/>
        <v>3750</v>
      </c>
      <c r="BY21">
        <v>130</v>
      </c>
      <c r="BZ21">
        <f>VLOOKUP(F21,'[1]SALARY WORKING'!$F$12:$CR$66,91,0)</f>
        <v>0</v>
      </c>
      <c r="CA21" s="4">
        <f t="shared" si="2"/>
        <v>1930.5</v>
      </c>
      <c r="CB21">
        <v>30</v>
      </c>
    </row>
    <row r="22" spans="2:80" x14ac:dyDescent="0.35">
      <c r="B22" s="1" t="s">
        <v>99</v>
      </c>
      <c r="D22" t="s">
        <v>100</v>
      </c>
      <c r="E22" t="s">
        <v>101</v>
      </c>
      <c r="F22" t="s">
        <v>121</v>
      </c>
      <c r="G22" t="s">
        <v>175</v>
      </c>
      <c r="H22" t="s">
        <v>209</v>
      </c>
      <c r="I22" t="s">
        <v>216</v>
      </c>
      <c r="J22">
        <v>30</v>
      </c>
      <c r="K22">
        <v>0</v>
      </c>
      <c r="L22">
        <v>4</v>
      </c>
      <c r="M22">
        <v>0</v>
      </c>
      <c r="N22">
        <v>26</v>
      </c>
      <c r="O22">
        <v>0</v>
      </c>
      <c r="P22">
        <v>3</v>
      </c>
      <c r="Q22">
        <v>0</v>
      </c>
      <c r="R22">
        <v>0</v>
      </c>
      <c r="S22">
        <v>0</v>
      </c>
      <c r="T22" s="3">
        <v>0.5</v>
      </c>
      <c r="U22">
        <f t="shared" si="0"/>
        <v>0</v>
      </c>
      <c r="V22" s="4">
        <v>0</v>
      </c>
      <c r="W22">
        <v>33</v>
      </c>
      <c r="X22">
        <v>15000</v>
      </c>
      <c r="Y22">
        <v>0</v>
      </c>
      <c r="Z22">
        <v>15000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s="4">
        <v>5372</v>
      </c>
      <c r="AL22">
        <v>5372</v>
      </c>
      <c r="AM22">
        <v>0</v>
      </c>
      <c r="AN22">
        <v>0</v>
      </c>
      <c r="AO22">
        <v>0</v>
      </c>
      <c r="AP22">
        <v>0</v>
      </c>
      <c r="AQ22">
        <f>VLOOKUP(F22,'[1]SALARY WORKING'!$F$12:$CG$66,80,0)</f>
        <v>20372</v>
      </c>
      <c r="AR22">
        <f>VLOOKUP(F22,'[1]SALARY WORKING'!$F$12:$CF$66,79,0)</f>
        <v>20372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s="4">
        <v>20565.91</v>
      </c>
      <c r="BA22">
        <v>0</v>
      </c>
      <c r="BB22">
        <v>0</v>
      </c>
      <c r="BC22" s="4">
        <f>VLOOKUP(F22,'[1]SALARY WORKING'!$F$12:$CA$66,74,0)</f>
        <v>2037.2</v>
      </c>
      <c r="BD22">
        <v>3</v>
      </c>
      <c r="BE22">
        <v>240</v>
      </c>
      <c r="BF22">
        <v>0</v>
      </c>
      <c r="BG22">
        <f>VLOOKUP(F22,'[1]SALARY WORKING'!$F$12:$DL$66,111,0)</f>
        <v>0.5</v>
      </c>
      <c r="BH22">
        <v>0.57999999999999996</v>
      </c>
      <c r="BI22">
        <v>1.08</v>
      </c>
      <c r="BJ22">
        <v>0</v>
      </c>
      <c r="BK22">
        <v>2.5</v>
      </c>
      <c r="BL22">
        <v>1.25</v>
      </c>
      <c r="BM22">
        <v>3.75</v>
      </c>
      <c r="BN22">
        <v>0</v>
      </c>
      <c r="BO22">
        <v>0</v>
      </c>
      <c r="BP22">
        <v>0</v>
      </c>
      <c r="BQ22">
        <v>0</v>
      </c>
      <c r="BR22">
        <v>0</v>
      </c>
      <c r="BS22" s="4">
        <v>152.79</v>
      </c>
      <c r="BT22" s="4">
        <v>662.09</v>
      </c>
      <c r="BU22" s="4">
        <v>814.88</v>
      </c>
      <c r="BV22" s="4">
        <v>1800</v>
      </c>
      <c r="BW22">
        <v>1950</v>
      </c>
      <c r="BX22" s="4">
        <f t="shared" si="1"/>
        <v>3750</v>
      </c>
      <c r="BY22">
        <v>130</v>
      </c>
      <c r="BZ22">
        <f>VLOOKUP(F22,'[1]SALARY WORKING'!$F$12:$CR$66,91,0)</f>
        <v>0</v>
      </c>
      <c r="CA22" s="4">
        <f t="shared" si="2"/>
        <v>2083.29</v>
      </c>
      <c r="CB22">
        <v>30</v>
      </c>
    </row>
    <row r="23" spans="2:80" x14ac:dyDescent="0.35">
      <c r="B23" s="1" t="s">
        <v>99</v>
      </c>
      <c r="D23" t="s">
        <v>100</v>
      </c>
      <c r="E23" t="s">
        <v>101</v>
      </c>
      <c r="F23" t="s">
        <v>122</v>
      </c>
      <c r="G23" t="s">
        <v>176</v>
      </c>
      <c r="H23" t="s">
        <v>209</v>
      </c>
      <c r="I23" t="s">
        <v>213</v>
      </c>
      <c r="J23">
        <v>30</v>
      </c>
      <c r="K23">
        <v>0</v>
      </c>
      <c r="L23">
        <v>4</v>
      </c>
      <c r="M23">
        <v>0</v>
      </c>
      <c r="N23">
        <v>26</v>
      </c>
      <c r="O23">
        <v>0</v>
      </c>
      <c r="P23">
        <v>3</v>
      </c>
      <c r="Q23">
        <v>0</v>
      </c>
      <c r="R23">
        <v>0</v>
      </c>
      <c r="S23">
        <v>0</v>
      </c>
      <c r="T23" s="3">
        <v>0.5</v>
      </c>
      <c r="U23">
        <f t="shared" si="0"/>
        <v>0</v>
      </c>
      <c r="V23" s="4">
        <v>0</v>
      </c>
      <c r="W23">
        <v>33</v>
      </c>
      <c r="X23">
        <v>15000</v>
      </c>
      <c r="Y23">
        <v>0</v>
      </c>
      <c r="Z23">
        <v>15000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s="4">
        <v>5372</v>
      </c>
      <c r="AL23">
        <v>5372</v>
      </c>
      <c r="AM23">
        <v>0</v>
      </c>
      <c r="AN23">
        <v>0</v>
      </c>
      <c r="AO23">
        <v>0</v>
      </c>
      <c r="AP23">
        <v>0</v>
      </c>
      <c r="AQ23">
        <f>VLOOKUP(F23,'[1]SALARY WORKING'!$F$12:$CG$66,80,0)</f>
        <v>20372</v>
      </c>
      <c r="AR23">
        <f>VLOOKUP(F23,'[1]SALARY WORKING'!$F$12:$CF$66,79,0)</f>
        <v>20372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 s="4">
        <v>20565.91</v>
      </c>
      <c r="BA23">
        <v>0</v>
      </c>
      <c r="BB23">
        <v>0</v>
      </c>
      <c r="BC23" s="4">
        <f>VLOOKUP(F23,'[1]SALARY WORKING'!$F$12:$CA$66,74,0)</f>
        <v>2037.2</v>
      </c>
      <c r="BD23">
        <v>3</v>
      </c>
      <c r="BE23">
        <v>240</v>
      </c>
      <c r="BF23">
        <v>0</v>
      </c>
      <c r="BG23">
        <f>VLOOKUP(F23,'[1]SALARY WORKING'!$F$12:$DL$66,111,0)</f>
        <v>1</v>
      </c>
      <c r="BH23">
        <v>0.57999999999999996</v>
      </c>
      <c r="BI23">
        <v>1.58</v>
      </c>
      <c r="BJ23">
        <v>0</v>
      </c>
      <c r="BK23">
        <v>3.5</v>
      </c>
      <c r="BL23">
        <v>1.25</v>
      </c>
      <c r="BM23">
        <v>4.75</v>
      </c>
      <c r="BN23">
        <v>0</v>
      </c>
      <c r="BO23">
        <v>0</v>
      </c>
      <c r="BP23">
        <v>0</v>
      </c>
      <c r="BQ23">
        <v>0</v>
      </c>
      <c r="BR23">
        <v>0</v>
      </c>
      <c r="BS23" s="4">
        <v>152.79</v>
      </c>
      <c r="BT23" s="4">
        <v>662.09</v>
      </c>
      <c r="BU23" s="4">
        <v>814.88</v>
      </c>
      <c r="BV23" s="4">
        <v>1800</v>
      </c>
      <c r="BW23">
        <v>1950</v>
      </c>
      <c r="BX23" s="4">
        <f t="shared" si="1"/>
        <v>3750</v>
      </c>
      <c r="BY23">
        <v>130</v>
      </c>
      <c r="BZ23">
        <f>VLOOKUP(F23,'[1]SALARY WORKING'!$F$12:$CR$66,91,0)</f>
        <v>0</v>
      </c>
      <c r="CA23" s="4">
        <f t="shared" si="2"/>
        <v>2083.29</v>
      </c>
      <c r="CB23">
        <v>30</v>
      </c>
    </row>
    <row r="24" spans="2:80" x14ac:dyDescent="0.35">
      <c r="B24" s="1" t="s">
        <v>99</v>
      </c>
      <c r="D24" t="s">
        <v>100</v>
      </c>
      <c r="E24" t="s">
        <v>101</v>
      </c>
      <c r="F24" t="s">
        <v>123</v>
      </c>
      <c r="G24" t="s">
        <v>177</v>
      </c>
      <c r="H24" t="s">
        <v>209</v>
      </c>
      <c r="I24" t="s">
        <v>216</v>
      </c>
      <c r="J24">
        <v>30</v>
      </c>
      <c r="K24">
        <v>0</v>
      </c>
      <c r="L24">
        <v>4</v>
      </c>
      <c r="M24">
        <v>0</v>
      </c>
      <c r="N24">
        <v>26</v>
      </c>
      <c r="O24">
        <v>0</v>
      </c>
      <c r="P24">
        <v>3</v>
      </c>
      <c r="Q24">
        <v>0</v>
      </c>
      <c r="R24">
        <v>0</v>
      </c>
      <c r="S24">
        <v>0</v>
      </c>
      <c r="T24" s="3">
        <v>0.5</v>
      </c>
      <c r="U24">
        <f t="shared" si="0"/>
        <v>0</v>
      </c>
      <c r="V24" s="4">
        <v>0</v>
      </c>
      <c r="W24">
        <v>33</v>
      </c>
      <c r="X24">
        <v>15000</v>
      </c>
      <c r="Y24">
        <v>0</v>
      </c>
      <c r="Z24">
        <v>15000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s="4">
        <v>5372</v>
      </c>
      <c r="AL24">
        <v>5372</v>
      </c>
      <c r="AM24">
        <v>0</v>
      </c>
      <c r="AN24">
        <v>0</v>
      </c>
      <c r="AO24">
        <v>0</v>
      </c>
      <c r="AP24">
        <v>0</v>
      </c>
      <c r="AQ24">
        <f>VLOOKUP(F24,'[1]SALARY WORKING'!$F$12:$CG$66,80,0)</f>
        <v>20372</v>
      </c>
      <c r="AR24">
        <f>VLOOKUP(F24,'[1]SALARY WORKING'!$F$12:$CF$66,79,0)</f>
        <v>20372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 s="4">
        <v>20565.91</v>
      </c>
      <c r="BA24">
        <v>0</v>
      </c>
      <c r="BB24">
        <v>0</v>
      </c>
      <c r="BC24" s="4">
        <f>VLOOKUP(F24,'[1]SALARY WORKING'!$F$12:$CA$66,74,0)</f>
        <v>2037.2</v>
      </c>
      <c r="BD24">
        <v>3</v>
      </c>
      <c r="BE24">
        <v>240</v>
      </c>
      <c r="BF24">
        <v>0</v>
      </c>
      <c r="BG24">
        <f>VLOOKUP(F24,'[1]SALARY WORKING'!$F$12:$DL$66,111,0)</f>
        <v>1</v>
      </c>
      <c r="BH24">
        <v>0.57999999999999996</v>
      </c>
      <c r="BI24">
        <v>1.58</v>
      </c>
      <c r="BJ24">
        <v>0</v>
      </c>
      <c r="BK24">
        <v>1.5</v>
      </c>
      <c r="BL24">
        <v>1.25</v>
      </c>
      <c r="BM24">
        <v>2.75</v>
      </c>
      <c r="BN24">
        <v>0</v>
      </c>
      <c r="BO24">
        <v>0</v>
      </c>
      <c r="BP24">
        <v>0</v>
      </c>
      <c r="BQ24">
        <v>0</v>
      </c>
      <c r="BR24">
        <v>0</v>
      </c>
      <c r="BS24" s="4">
        <v>152.79</v>
      </c>
      <c r="BT24" s="4">
        <v>662.09</v>
      </c>
      <c r="BU24" s="4">
        <v>814.88</v>
      </c>
      <c r="BV24" s="4">
        <v>1800</v>
      </c>
      <c r="BW24">
        <v>1950</v>
      </c>
      <c r="BX24" s="4">
        <f t="shared" si="1"/>
        <v>3750</v>
      </c>
      <c r="BY24">
        <v>130</v>
      </c>
      <c r="BZ24">
        <f>VLOOKUP(F24,'[1]SALARY WORKING'!$F$12:$CR$66,91,0)</f>
        <v>0</v>
      </c>
      <c r="CA24" s="4">
        <f t="shared" si="2"/>
        <v>2083.29</v>
      </c>
      <c r="CB24">
        <v>30</v>
      </c>
    </row>
    <row r="25" spans="2:80" x14ac:dyDescent="0.35">
      <c r="B25" s="1" t="s">
        <v>99</v>
      </c>
      <c r="D25" t="s">
        <v>100</v>
      </c>
      <c r="E25" t="s">
        <v>101</v>
      </c>
      <c r="F25" t="s">
        <v>124</v>
      </c>
      <c r="G25" t="s">
        <v>178</v>
      </c>
      <c r="H25" t="s">
        <v>209</v>
      </c>
      <c r="I25" t="s">
        <v>213</v>
      </c>
      <c r="J25">
        <v>30</v>
      </c>
      <c r="K25">
        <v>0</v>
      </c>
      <c r="L25">
        <v>4</v>
      </c>
      <c r="M25">
        <v>0</v>
      </c>
      <c r="N25">
        <v>26</v>
      </c>
      <c r="O25">
        <v>0</v>
      </c>
      <c r="P25">
        <v>3</v>
      </c>
      <c r="Q25">
        <v>0</v>
      </c>
      <c r="R25">
        <v>0</v>
      </c>
      <c r="S25">
        <v>0</v>
      </c>
      <c r="T25" s="3">
        <v>0.5</v>
      </c>
      <c r="U25">
        <f t="shared" si="0"/>
        <v>0</v>
      </c>
      <c r="V25" s="4">
        <v>0</v>
      </c>
      <c r="W25">
        <v>33</v>
      </c>
      <c r="X25">
        <v>15000</v>
      </c>
      <c r="Y25">
        <v>0</v>
      </c>
      <c r="Z25">
        <v>15000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s="4">
        <v>5372</v>
      </c>
      <c r="AL25">
        <v>5372</v>
      </c>
      <c r="AM25">
        <v>0</v>
      </c>
      <c r="AN25">
        <v>0</v>
      </c>
      <c r="AO25">
        <v>0</v>
      </c>
      <c r="AP25">
        <v>0</v>
      </c>
      <c r="AQ25">
        <f>VLOOKUP(F25,'[1]SALARY WORKING'!$F$12:$CG$66,80,0)</f>
        <v>20372</v>
      </c>
      <c r="AR25">
        <f>VLOOKUP(F25,'[1]SALARY WORKING'!$F$12:$CF$66,79,0)</f>
        <v>20372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s="4">
        <v>20565.91</v>
      </c>
      <c r="BA25">
        <v>0</v>
      </c>
      <c r="BB25">
        <v>0</v>
      </c>
      <c r="BC25" s="4">
        <f>VLOOKUP(F25,'[1]SALARY WORKING'!$F$12:$CA$66,74,0)</f>
        <v>2037.2</v>
      </c>
      <c r="BD25">
        <v>3</v>
      </c>
      <c r="BE25">
        <v>240</v>
      </c>
      <c r="BF25">
        <v>0</v>
      </c>
      <c r="BG25">
        <f>VLOOKUP(F25,'[1]SALARY WORKING'!$F$12:$DL$66,111,0)</f>
        <v>1.5</v>
      </c>
      <c r="BH25">
        <v>0.57999999999999996</v>
      </c>
      <c r="BI25">
        <v>2.08</v>
      </c>
      <c r="BJ25">
        <v>0</v>
      </c>
      <c r="BK25">
        <v>3.5</v>
      </c>
      <c r="BL25">
        <v>1.25</v>
      </c>
      <c r="BM25">
        <v>4.75</v>
      </c>
      <c r="BN25">
        <v>0</v>
      </c>
      <c r="BO25">
        <v>0</v>
      </c>
      <c r="BP25">
        <v>0</v>
      </c>
      <c r="BQ25">
        <v>0</v>
      </c>
      <c r="BR25">
        <v>0</v>
      </c>
      <c r="BS25" s="4">
        <v>152.79</v>
      </c>
      <c r="BT25" s="4">
        <v>662.09</v>
      </c>
      <c r="BU25" s="4">
        <v>814.88</v>
      </c>
      <c r="BV25" s="4">
        <v>1800</v>
      </c>
      <c r="BW25">
        <v>1950</v>
      </c>
      <c r="BX25" s="4">
        <f t="shared" si="1"/>
        <v>3750</v>
      </c>
      <c r="BY25">
        <v>130</v>
      </c>
      <c r="BZ25">
        <f>VLOOKUP(F25,'[1]SALARY WORKING'!$F$12:$CR$66,91,0)</f>
        <v>0</v>
      </c>
      <c r="CA25" s="4">
        <f t="shared" si="2"/>
        <v>2083.29</v>
      </c>
      <c r="CB25">
        <v>30</v>
      </c>
    </row>
    <row r="26" spans="2:80" x14ac:dyDescent="0.35">
      <c r="B26" s="1" t="s">
        <v>99</v>
      </c>
      <c r="D26" t="s">
        <v>100</v>
      </c>
      <c r="E26" t="s">
        <v>101</v>
      </c>
      <c r="F26" t="s">
        <v>125</v>
      </c>
      <c r="G26" t="s">
        <v>179</v>
      </c>
      <c r="H26" t="s">
        <v>209</v>
      </c>
      <c r="I26" t="s">
        <v>217</v>
      </c>
      <c r="J26">
        <v>30</v>
      </c>
      <c r="K26">
        <v>0</v>
      </c>
      <c r="L26">
        <v>4</v>
      </c>
      <c r="M26">
        <v>0</v>
      </c>
      <c r="N26">
        <v>26</v>
      </c>
      <c r="O26">
        <v>0</v>
      </c>
      <c r="P26">
        <v>3</v>
      </c>
      <c r="Q26">
        <v>0</v>
      </c>
      <c r="R26">
        <v>0</v>
      </c>
      <c r="S26">
        <v>0</v>
      </c>
      <c r="T26" s="3">
        <v>0.5</v>
      </c>
      <c r="U26">
        <f t="shared" si="0"/>
        <v>0</v>
      </c>
      <c r="V26" s="4">
        <v>0</v>
      </c>
      <c r="W26">
        <v>32</v>
      </c>
      <c r="X26">
        <v>15000</v>
      </c>
      <c r="Y26">
        <v>0</v>
      </c>
      <c r="Z26">
        <v>15000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s="4">
        <v>5372</v>
      </c>
      <c r="AL26">
        <v>5372</v>
      </c>
      <c r="AM26">
        <v>0</v>
      </c>
      <c r="AN26">
        <v>0</v>
      </c>
      <c r="AO26">
        <v>0</v>
      </c>
      <c r="AP26">
        <v>0</v>
      </c>
      <c r="AQ26">
        <f>VLOOKUP(F26,'[1]SALARY WORKING'!$F$12:$CG$66,80,0)</f>
        <v>20372</v>
      </c>
      <c r="AR26">
        <f>VLOOKUP(F26,'[1]SALARY WORKING'!$F$12:$CF$66,79,0)</f>
        <v>20372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 s="4">
        <v>20485.91</v>
      </c>
      <c r="BA26">
        <v>0</v>
      </c>
      <c r="BB26">
        <v>0</v>
      </c>
      <c r="BC26" s="4">
        <f>VLOOKUP(F26,'[1]SALARY WORKING'!$F$12:$CA$66,74,0)</f>
        <v>2037.2</v>
      </c>
      <c r="BD26">
        <v>3</v>
      </c>
      <c r="BE26">
        <v>160</v>
      </c>
      <c r="BF26">
        <v>0</v>
      </c>
      <c r="BG26">
        <f>VLOOKUP(F26,'[1]SALARY WORKING'!$F$12:$DL$66,111,0)</f>
        <v>1</v>
      </c>
      <c r="BH26">
        <v>0.57999999999999996</v>
      </c>
      <c r="BI26">
        <v>1.58</v>
      </c>
      <c r="BJ26">
        <v>0</v>
      </c>
      <c r="BK26">
        <v>2</v>
      </c>
      <c r="BL26">
        <v>1.25</v>
      </c>
      <c r="BM26">
        <v>3.25</v>
      </c>
      <c r="BN26">
        <v>0</v>
      </c>
      <c r="BO26">
        <v>0</v>
      </c>
      <c r="BP26">
        <v>0</v>
      </c>
      <c r="BQ26">
        <v>0</v>
      </c>
      <c r="BR26">
        <v>0</v>
      </c>
      <c r="BS26" s="4">
        <v>152.79</v>
      </c>
      <c r="BT26" s="4">
        <v>662.09</v>
      </c>
      <c r="BU26" s="4">
        <v>814.88</v>
      </c>
      <c r="BV26" s="4">
        <v>1800</v>
      </c>
      <c r="BW26">
        <v>1950</v>
      </c>
      <c r="BX26" s="4">
        <f t="shared" si="1"/>
        <v>3750</v>
      </c>
      <c r="BY26">
        <v>130</v>
      </c>
      <c r="BZ26">
        <f>VLOOKUP(F26,'[1]SALARY WORKING'!$F$12:$CR$66,91,0)</f>
        <v>0</v>
      </c>
      <c r="CA26" s="4">
        <f t="shared" si="2"/>
        <v>2083.29</v>
      </c>
      <c r="CB26">
        <v>30</v>
      </c>
    </row>
    <row r="27" spans="2:80" x14ac:dyDescent="0.35">
      <c r="B27" s="1" t="s">
        <v>99</v>
      </c>
      <c r="D27" t="s">
        <v>100</v>
      </c>
      <c r="E27" t="s">
        <v>101</v>
      </c>
      <c r="F27" t="s">
        <v>126</v>
      </c>
      <c r="G27" t="s">
        <v>180</v>
      </c>
      <c r="H27" t="s">
        <v>209</v>
      </c>
      <c r="I27" t="s">
        <v>90</v>
      </c>
      <c r="J27">
        <v>30</v>
      </c>
      <c r="K27">
        <v>0</v>
      </c>
      <c r="L27">
        <v>5</v>
      </c>
      <c r="M27">
        <v>0</v>
      </c>
      <c r="N27">
        <v>25</v>
      </c>
      <c r="O27">
        <v>0</v>
      </c>
      <c r="P27">
        <v>3</v>
      </c>
      <c r="Q27">
        <v>0</v>
      </c>
      <c r="R27">
        <v>0</v>
      </c>
      <c r="S27">
        <v>0</v>
      </c>
      <c r="T27" s="3">
        <v>0.5</v>
      </c>
      <c r="U27">
        <f t="shared" si="0"/>
        <v>0</v>
      </c>
      <c r="V27" s="4">
        <v>4753.47</v>
      </c>
      <c r="W27">
        <v>31</v>
      </c>
      <c r="X27">
        <v>15000</v>
      </c>
      <c r="Y27">
        <v>0</v>
      </c>
      <c r="Z27">
        <v>15000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s="4">
        <v>5372</v>
      </c>
      <c r="AL27">
        <v>5372</v>
      </c>
      <c r="AM27">
        <v>0</v>
      </c>
      <c r="AN27">
        <v>0</v>
      </c>
      <c r="AO27">
        <v>0</v>
      </c>
      <c r="AP27">
        <v>0</v>
      </c>
      <c r="AQ27">
        <f>VLOOKUP(F27,'[1]SALARY WORKING'!$F$12:$CG$66,80,0)</f>
        <v>20372</v>
      </c>
      <c r="AR27">
        <f>VLOOKUP(F27,'[1]SALARY WORKING'!$F$12:$CF$66,79,0)</f>
        <v>20372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 s="4">
        <v>24480.309999999998</v>
      </c>
      <c r="BA27">
        <v>0</v>
      </c>
      <c r="BB27">
        <v>0</v>
      </c>
      <c r="BC27" s="4">
        <f>VLOOKUP(F27,'[1]SALARY WORKING'!$F$12:$CA$66,74,0)</f>
        <v>1358.13</v>
      </c>
      <c r="BD27">
        <v>3</v>
      </c>
      <c r="BE27">
        <v>80</v>
      </c>
      <c r="BF27">
        <v>0</v>
      </c>
      <c r="BG27">
        <f>VLOOKUP(F27,'[1]SALARY WORKING'!$F$12:$DL$66,111,0)</f>
        <v>0.5</v>
      </c>
      <c r="BH27">
        <v>0.57999999999999996</v>
      </c>
      <c r="BI27">
        <v>1.08</v>
      </c>
      <c r="BJ27">
        <v>0</v>
      </c>
      <c r="BK27">
        <v>1.5</v>
      </c>
      <c r="BL27">
        <v>1.25</v>
      </c>
      <c r="BM27">
        <v>2.75</v>
      </c>
      <c r="BN27">
        <v>0</v>
      </c>
      <c r="BO27">
        <v>0</v>
      </c>
      <c r="BP27">
        <v>0</v>
      </c>
      <c r="BQ27">
        <v>0</v>
      </c>
      <c r="BR27">
        <v>0</v>
      </c>
      <c r="BS27" s="4">
        <v>152.79</v>
      </c>
      <c r="BT27" s="4">
        <v>662.09</v>
      </c>
      <c r="BU27" s="4">
        <v>814.88</v>
      </c>
      <c r="BV27" s="4">
        <v>1800</v>
      </c>
      <c r="BW27">
        <v>1950</v>
      </c>
      <c r="BX27" s="4">
        <f t="shared" si="1"/>
        <v>3750</v>
      </c>
      <c r="BY27">
        <v>130</v>
      </c>
      <c r="BZ27">
        <f>VLOOKUP(F27,'[1]SALARY WORKING'!$F$12:$CR$66,91,0)</f>
        <v>0</v>
      </c>
      <c r="CA27" s="4">
        <f t="shared" si="2"/>
        <v>2083.29</v>
      </c>
      <c r="CB27">
        <v>30</v>
      </c>
    </row>
    <row r="28" spans="2:80" x14ac:dyDescent="0.35">
      <c r="B28" s="1" t="s">
        <v>99</v>
      </c>
      <c r="D28" t="s">
        <v>100</v>
      </c>
      <c r="E28" t="s">
        <v>101</v>
      </c>
      <c r="F28" t="s">
        <v>127</v>
      </c>
      <c r="G28" t="s">
        <v>181</v>
      </c>
      <c r="H28" t="s">
        <v>209</v>
      </c>
      <c r="I28" t="s">
        <v>215</v>
      </c>
      <c r="J28">
        <v>30</v>
      </c>
      <c r="K28">
        <v>0</v>
      </c>
      <c r="L28">
        <v>4</v>
      </c>
      <c r="M28">
        <v>0</v>
      </c>
      <c r="N28">
        <v>26</v>
      </c>
      <c r="O28">
        <v>0</v>
      </c>
      <c r="P28">
        <v>3</v>
      </c>
      <c r="Q28">
        <v>0</v>
      </c>
      <c r="R28">
        <v>0</v>
      </c>
      <c r="S28">
        <v>0</v>
      </c>
      <c r="T28" s="3">
        <v>0.5</v>
      </c>
      <c r="U28">
        <f t="shared" si="0"/>
        <v>0</v>
      </c>
      <c r="V28" s="4">
        <v>0</v>
      </c>
      <c r="W28">
        <v>31</v>
      </c>
      <c r="X28">
        <v>15000</v>
      </c>
      <c r="Y28">
        <v>0</v>
      </c>
      <c r="Z28">
        <v>15000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s="4">
        <v>5372</v>
      </c>
      <c r="AL28">
        <v>5372</v>
      </c>
      <c r="AM28">
        <v>0</v>
      </c>
      <c r="AN28">
        <v>0</v>
      </c>
      <c r="AO28">
        <v>0</v>
      </c>
      <c r="AP28">
        <v>0</v>
      </c>
      <c r="AQ28">
        <f>VLOOKUP(F28,'[1]SALARY WORKING'!$F$12:$CG$66,80,0)</f>
        <v>20372</v>
      </c>
      <c r="AR28">
        <f>VLOOKUP(F28,'[1]SALARY WORKING'!$F$12:$CF$66,79,0)</f>
        <v>20372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 s="4">
        <v>20405.91</v>
      </c>
      <c r="BA28">
        <v>0</v>
      </c>
      <c r="BB28">
        <v>0</v>
      </c>
      <c r="BC28" s="4">
        <f>VLOOKUP(F28,'[1]SALARY WORKING'!$F$12:$CA$66,74,0)</f>
        <v>2037.2</v>
      </c>
      <c r="BD28">
        <v>3</v>
      </c>
      <c r="BE28">
        <v>80</v>
      </c>
      <c r="BF28">
        <v>0</v>
      </c>
      <c r="BG28">
        <f>VLOOKUP(F28,'[1]SALARY WORKING'!$F$12:$DL$66,111,0)</f>
        <v>1.5</v>
      </c>
      <c r="BH28">
        <v>0.57999999999999996</v>
      </c>
      <c r="BI28">
        <v>2.08</v>
      </c>
      <c r="BJ28">
        <v>0</v>
      </c>
      <c r="BK28">
        <v>3.5</v>
      </c>
      <c r="BL28">
        <v>1.25</v>
      </c>
      <c r="BM28">
        <v>4.75</v>
      </c>
      <c r="BN28">
        <v>0</v>
      </c>
      <c r="BO28">
        <v>0</v>
      </c>
      <c r="BP28">
        <v>0</v>
      </c>
      <c r="BQ28">
        <v>0</v>
      </c>
      <c r="BR28">
        <v>0</v>
      </c>
      <c r="BS28" s="4">
        <v>152.79</v>
      </c>
      <c r="BT28" s="4">
        <v>662.09</v>
      </c>
      <c r="BU28" s="4">
        <v>814.88</v>
      </c>
      <c r="BV28" s="4">
        <v>1800</v>
      </c>
      <c r="BW28">
        <v>1950</v>
      </c>
      <c r="BX28" s="4">
        <f t="shared" si="1"/>
        <v>3750</v>
      </c>
      <c r="BY28">
        <v>130</v>
      </c>
      <c r="BZ28">
        <f>VLOOKUP(F28,'[1]SALARY WORKING'!$F$12:$CR$66,91,0)</f>
        <v>0</v>
      </c>
      <c r="CA28" s="4">
        <f t="shared" si="2"/>
        <v>2083.29</v>
      </c>
      <c r="CB28">
        <v>30</v>
      </c>
    </row>
    <row r="29" spans="2:80" x14ac:dyDescent="0.35">
      <c r="B29" s="1" t="s">
        <v>99</v>
      </c>
      <c r="D29" t="s">
        <v>100</v>
      </c>
      <c r="E29" t="s">
        <v>101</v>
      </c>
      <c r="F29" t="s">
        <v>128</v>
      </c>
      <c r="G29" t="s">
        <v>182</v>
      </c>
      <c r="H29" t="s">
        <v>209</v>
      </c>
      <c r="I29" t="s">
        <v>218</v>
      </c>
      <c r="J29">
        <v>30</v>
      </c>
      <c r="K29">
        <v>0</v>
      </c>
      <c r="L29">
        <v>5</v>
      </c>
      <c r="M29">
        <v>0</v>
      </c>
      <c r="N29">
        <v>25</v>
      </c>
      <c r="O29">
        <v>0</v>
      </c>
      <c r="P29">
        <v>3</v>
      </c>
      <c r="Q29">
        <v>0</v>
      </c>
      <c r="R29">
        <v>0</v>
      </c>
      <c r="S29">
        <v>0</v>
      </c>
      <c r="T29" s="3">
        <v>0.5</v>
      </c>
      <c r="U29">
        <f t="shared" si="0"/>
        <v>0</v>
      </c>
      <c r="V29" s="4">
        <v>0</v>
      </c>
      <c r="W29">
        <v>33</v>
      </c>
      <c r="X29">
        <v>15000</v>
      </c>
      <c r="Y29">
        <v>0</v>
      </c>
      <c r="Z29">
        <v>15000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s="4">
        <v>5372</v>
      </c>
      <c r="AL29">
        <v>5372</v>
      </c>
      <c r="AM29">
        <v>0</v>
      </c>
      <c r="AN29">
        <v>0</v>
      </c>
      <c r="AO29">
        <v>0</v>
      </c>
      <c r="AP29">
        <v>0</v>
      </c>
      <c r="AQ29">
        <f>VLOOKUP(F29,'[1]SALARY WORKING'!$F$12:$CG$66,80,0)</f>
        <v>20372</v>
      </c>
      <c r="AR29">
        <f>VLOOKUP(F29,'[1]SALARY WORKING'!$F$12:$CF$66,79,0)</f>
        <v>20372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 s="4">
        <v>19886.84</v>
      </c>
      <c r="BA29">
        <v>0</v>
      </c>
      <c r="BB29">
        <v>0</v>
      </c>
      <c r="BC29" s="4">
        <f>VLOOKUP(F29,'[1]SALARY WORKING'!$F$12:$CA$66,74,0)</f>
        <v>1358.13</v>
      </c>
      <c r="BD29">
        <v>3</v>
      </c>
      <c r="BE29">
        <v>240</v>
      </c>
      <c r="BF29">
        <v>0</v>
      </c>
      <c r="BG29">
        <f>VLOOKUP(F29,'[1]SALARY WORKING'!$F$12:$DL$66,111,0)</f>
        <v>0.5</v>
      </c>
      <c r="BH29">
        <v>0.57999999999999996</v>
      </c>
      <c r="BI29">
        <v>1.08</v>
      </c>
      <c r="BJ29">
        <v>0</v>
      </c>
      <c r="BK29">
        <v>2.5</v>
      </c>
      <c r="BL29">
        <v>1.25</v>
      </c>
      <c r="BM29">
        <v>3.75</v>
      </c>
      <c r="BN29">
        <v>0</v>
      </c>
      <c r="BO29">
        <v>0</v>
      </c>
      <c r="BP29">
        <v>0</v>
      </c>
      <c r="BQ29">
        <v>0</v>
      </c>
      <c r="BR29">
        <v>0</v>
      </c>
      <c r="BS29" s="4">
        <v>152.79</v>
      </c>
      <c r="BT29" s="4">
        <v>662.09</v>
      </c>
      <c r="BU29" s="4">
        <v>814.88</v>
      </c>
      <c r="BV29" s="4">
        <v>1800</v>
      </c>
      <c r="BW29">
        <v>1950</v>
      </c>
      <c r="BX29" s="4">
        <f t="shared" si="1"/>
        <v>3750</v>
      </c>
      <c r="BY29">
        <v>130</v>
      </c>
      <c r="BZ29">
        <f>VLOOKUP(F29,'[1]SALARY WORKING'!$F$12:$CR$66,91,0)</f>
        <v>0</v>
      </c>
      <c r="CA29" s="4">
        <f t="shared" si="2"/>
        <v>2083.29</v>
      </c>
      <c r="CB29">
        <v>30</v>
      </c>
    </row>
    <row r="30" spans="2:80" x14ac:dyDescent="0.35">
      <c r="B30" s="1" t="s">
        <v>99</v>
      </c>
      <c r="D30" t="s">
        <v>100</v>
      </c>
      <c r="E30" t="s">
        <v>101</v>
      </c>
      <c r="F30" t="s">
        <v>129</v>
      </c>
      <c r="G30" t="s">
        <v>183</v>
      </c>
      <c r="H30" t="s">
        <v>209</v>
      </c>
      <c r="I30" t="s">
        <v>219</v>
      </c>
      <c r="J30">
        <v>30</v>
      </c>
      <c r="K30">
        <v>0</v>
      </c>
      <c r="L30">
        <v>4</v>
      </c>
      <c r="M30">
        <v>0</v>
      </c>
      <c r="N30">
        <v>25</v>
      </c>
      <c r="O30">
        <v>0</v>
      </c>
      <c r="P30">
        <v>3</v>
      </c>
      <c r="Q30">
        <v>0</v>
      </c>
      <c r="R30">
        <v>1</v>
      </c>
      <c r="S30">
        <v>0</v>
      </c>
      <c r="T30" s="3">
        <v>0.5</v>
      </c>
      <c r="U30">
        <f t="shared" si="0"/>
        <v>0</v>
      </c>
      <c r="V30" s="4">
        <v>0</v>
      </c>
      <c r="W30">
        <v>33</v>
      </c>
      <c r="X30">
        <v>15000</v>
      </c>
      <c r="Y30">
        <v>0</v>
      </c>
      <c r="Z30">
        <v>15000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s="4">
        <v>5372</v>
      </c>
      <c r="AL30">
        <v>5372</v>
      </c>
      <c r="AM30">
        <v>0</v>
      </c>
      <c r="AN30">
        <v>0</v>
      </c>
      <c r="AO30">
        <v>0</v>
      </c>
      <c r="AP30">
        <v>0</v>
      </c>
      <c r="AQ30">
        <f>VLOOKUP(F30,'[1]SALARY WORKING'!$F$12:$CG$66,80,0)</f>
        <v>20372</v>
      </c>
      <c r="AR30">
        <f>VLOOKUP(F30,'[1]SALARY WORKING'!$F$12:$CF$66,79,0)</f>
        <v>20372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 s="4">
        <v>19886.84</v>
      </c>
      <c r="BA30">
        <v>0</v>
      </c>
      <c r="BB30">
        <v>0</v>
      </c>
      <c r="BC30" s="4">
        <f>VLOOKUP(F30,'[1]SALARY WORKING'!$F$12:$CA$66,74,0)</f>
        <v>1358.13</v>
      </c>
      <c r="BD30">
        <v>2</v>
      </c>
      <c r="BE30">
        <v>240</v>
      </c>
      <c r="BF30">
        <v>0</v>
      </c>
      <c r="BG30">
        <f>VLOOKUP(F30,'[1]SALARY WORKING'!$F$12:$DL$66,111,0)</f>
        <v>1.5</v>
      </c>
      <c r="BH30">
        <v>0.57999999999999996</v>
      </c>
      <c r="BI30">
        <v>1.08</v>
      </c>
      <c r="BJ30">
        <v>1</v>
      </c>
      <c r="BK30">
        <v>3.5</v>
      </c>
      <c r="BL30">
        <v>1.25</v>
      </c>
      <c r="BM30">
        <v>4.75</v>
      </c>
      <c r="BN30">
        <v>0</v>
      </c>
      <c r="BO30">
        <v>0</v>
      </c>
      <c r="BP30">
        <v>0</v>
      </c>
      <c r="BQ30">
        <v>0</v>
      </c>
      <c r="BR30">
        <v>0</v>
      </c>
      <c r="BS30" s="4">
        <v>152.79</v>
      </c>
      <c r="BT30" s="4">
        <v>662.09</v>
      </c>
      <c r="BU30" s="4">
        <v>814.88</v>
      </c>
      <c r="BV30" s="4">
        <v>1800</v>
      </c>
      <c r="BW30">
        <v>1950</v>
      </c>
      <c r="BX30" s="4">
        <f t="shared" si="1"/>
        <v>3750</v>
      </c>
      <c r="BY30">
        <v>130</v>
      </c>
      <c r="BZ30">
        <f>VLOOKUP(F30,'[1]SALARY WORKING'!$F$12:$CR$66,91,0)</f>
        <v>0</v>
      </c>
      <c r="CA30" s="4">
        <f t="shared" si="2"/>
        <v>2083.29</v>
      </c>
      <c r="CB30">
        <v>30</v>
      </c>
    </row>
    <row r="31" spans="2:80" x14ac:dyDescent="0.35">
      <c r="B31" s="1" t="s">
        <v>99</v>
      </c>
      <c r="D31" t="s">
        <v>100</v>
      </c>
      <c r="E31" t="s">
        <v>101</v>
      </c>
      <c r="F31" t="s">
        <v>130</v>
      </c>
      <c r="G31" t="s">
        <v>184</v>
      </c>
      <c r="H31" t="s">
        <v>209</v>
      </c>
      <c r="I31" t="s">
        <v>213</v>
      </c>
      <c r="J31">
        <v>30</v>
      </c>
      <c r="K31">
        <v>0</v>
      </c>
      <c r="L31">
        <v>5</v>
      </c>
      <c r="M31">
        <v>0</v>
      </c>
      <c r="N31">
        <v>25</v>
      </c>
      <c r="O31">
        <v>0</v>
      </c>
      <c r="P31">
        <v>3</v>
      </c>
      <c r="Q31">
        <v>0</v>
      </c>
      <c r="R31">
        <v>0</v>
      </c>
      <c r="S31">
        <v>0</v>
      </c>
      <c r="T31" s="3">
        <v>0.5</v>
      </c>
      <c r="U31">
        <f t="shared" si="0"/>
        <v>0</v>
      </c>
      <c r="V31" s="4">
        <v>0</v>
      </c>
      <c r="W31">
        <v>32</v>
      </c>
      <c r="X31">
        <v>15000</v>
      </c>
      <c r="Y31">
        <v>0</v>
      </c>
      <c r="Z31">
        <v>15000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s="4">
        <v>5372</v>
      </c>
      <c r="AL31">
        <v>5372</v>
      </c>
      <c r="AM31">
        <v>0</v>
      </c>
      <c r="AN31">
        <v>0</v>
      </c>
      <c r="AO31">
        <v>0</v>
      </c>
      <c r="AP31">
        <v>0</v>
      </c>
      <c r="AQ31">
        <f>VLOOKUP(F31,'[1]SALARY WORKING'!$F$12:$CG$66,80,0)</f>
        <v>20372</v>
      </c>
      <c r="AR31">
        <f>VLOOKUP(F31,'[1]SALARY WORKING'!$F$12:$CF$66,79,0)</f>
        <v>20372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 s="4">
        <v>19806.84</v>
      </c>
      <c r="BA31">
        <v>0</v>
      </c>
      <c r="BB31">
        <v>0</v>
      </c>
      <c r="BC31" s="4">
        <f>VLOOKUP(F31,'[1]SALARY WORKING'!$F$12:$CA$66,74,0)</f>
        <v>1358.13</v>
      </c>
      <c r="BD31">
        <v>3</v>
      </c>
      <c r="BE31">
        <v>160</v>
      </c>
      <c r="BF31">
        <v>0</v>
      </c>
      <c r="BG31">
        <f>VLOOKUP(F31,'[1]SALARY WORKING'!$F$12:$DL$66,111,0)</f>
        <v>1.5</v>
      </c>
      <c r="BH31">
        <v>0.57999999999999996</v>
      </c>
      <c r="BI31">
        <v>2.08</v>
      </c>
      <c r="BJ31">
        <v>0</v>
      </c>
      <c r="BK31">
        <v>2</v>
      </c>
      <c r="BL31">
        <v>1.25</v>
      </c>
      <c r="BM31">
        <v>3.25</v>
      </c>
      <c r="BN31">
        <v>0</v>
      </c>
      <c r="BO31">
        <v>0</v>
      </c>
      <c r="BP31">
        <v>0</v>
      </c>
      <c r="BQ31">
        <v>0</v>
      </c>
      <c r="BR31">
        <v>0</v>
      </c>
      <c r="BS31" s="4">
        <v>152.79</v>
      </c>
      <c r="BT31" s="4">
        <v>662.09</v>
      </c>
      <c r="BU31" s="4">
        <v>814.88</v>
      </c>
      <c r="BV31" s="4">
        <v>1800</v>
      </c>
      <c r="BW31">
        <v>1950</v>
      </c>
      <c r="BX31" s="4">
        <f t="shared" si="1"/>
        <v>3750</v>
      </c>
      <c r="BY31">
        <v>130</v>
      </c>
      <c r="BZ31">
        <f>VLOOKUP(F31,'[1]SALARY WORKING'!$F$12:$CR$66,91,0)</f>
        <v>0</v>
      </c>
      <c r="CA31" s="4">
        <f t="shared" si="2"/>
        <v>2083.29</v>
      </c>
      <c r="CB31">
        <v>30</v>
      </c>
    </row>
    <row r="32" spans="2:80" x14ac:dyDescent="0.35">
      <c r="B32" s="1" t="s">
        <v>99</v>
      </c>
      <c r="D32" t="s">
        <v>100</v>
      </c>
      <c r="E32" t="s">
        <v>101</v>
      </c>
      <c r="F32" t="s">
        <v>131</v>
      </c>
      <c r="G32" t="s">
        <v>185</v>
      </c>
      <c r="H32" t="s">
        <v>209</v>
      </c>
      <c r="I32" t="s">
        <v>216</v>
      </c>
      <c r="J32">
        <v>30</v>
      </c>
      <c r="K32">
        <v>0</v>
      </c>
      <c r="L32">
        <v>4</v>
      </c>
      <c r="M32">
        <v>0</v>
      </c>
      <c r="N32">
        <v>25</v>
      </c>
      <c r="O32">
        <v>0</v>
      </c>
      <c r="P32">
        <v>3</v>
      </c>
      <c r="Q32">
        <v>0</v>
      </c>
      <c r="R32">
        <v>1</v>
      </c>
      <c r="S32">
        <v>0</v>
      </c>
      <c r="T32" s="3">
        <v>0.5</v>
      </c>
      <c r="U32">
        <f t="shared" si="0"/>
        <v>0</v>
      </c>
      <c r="V32" s="4">
        <v>0</v>
      </c>
      <c r="W32">
        <v>33</v>
      </c>
      <c r="X32">
        <v>15000</v>
      </c>
      <c r="Y32">
        <v>0</v>
      </c>
      <c r="Z32">
        <v>15000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s="4">
        <v>5372</v>
      </c>
      <c r="AL32">
        <v>5372</v>
      </c>
      <c r="AM32">
        <v>0</v>
      </c>
      <c r="AN32">
        <v>0</v>
      </c>
      <c r="AO32">
        <v>0</v>
      </c>
      <c r="AP32">
        <v>0</v>
      </c>
      <c r="AQ32">
        <f>VLOOKUP(F32,'[1]SALARY WORKING'!$F$12:$CG$66,80,0)</f>
        <v>20372</v>
      </c>
      <c r="AR32">
        <f>VLOOKUP(F32,'[1]SALARY WORKING'!$F$12:$CF$66,79,0)</f>
        <v>20372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 s="4">
        <v>19886.84</v>
      </c>
      <c r="BA32">
        <v>0</v>
      </c>
      <c r="BB32">
        <v>0</v>
      </c>
      <c r="BC32" s="4">
        <f>VLOOKUP(F32,'[1]SALARY WORKING'!$F$12:$CA$66,74,0)</f>
        <v>1358.13</v>
      </c>
      <c r="BD32">
        <v>2</v>
      </c>
      <c r="BE32">
        <v>240</v>
      </c>
      <c r="BF32">
        <v>0</v>
      </c>
      <c r="BG32">
        <f>VLOOKUP(F32,'[1]SALARY WORKING'!$F$12:$DL$66,111,0)</f>
        <v>1.5</v>
      </c>
      <c r="BH32">
        <v>0.57999999999999996</v>
      </c>
      <c r="BI32">
        <v>1.08</v>
      </c>
      <c r="BJ32">
        <v>1</v>
      </c>
      <c r="BK32">
        <v>3.5</v>
      </c>
      <c r="BL32">
        <v>1.25</v>
      </c>
      <c r="BM32">
        <v>4.75</v>
      </c>
      <c r="BN32">
        <v>0</v>
      </c>
      <c r="BO32">
        <v>0</v>
      </c>
      <c r="BP32">
        <v>0</v>
      </c>
      <c r="BQ32">
        <v>0</v>
      </c>
      <c r="BR32">
        <v>0</v>
      </c>
      <c r="BS32" s="4">
        <v>152.79</v>
      </c>
      <c r="BT32" s="4">
        <v>662.09</v>
      </c>
      <c r="BU32" s="4">
        <v>814.88</v>
      </c>
      <c r="BV32" s="4">
        <v>1800</v>
      </c>
      <c r="BW32">
        <v>1950</v>
      </c>
      <c r="BX32" s="4">
        <f t="shared" si="1"/>
        <v>3750</v>
      </c>
      <c r="BY32">
        <v>130</v>
      </c>
      <c r="BZ32">
        <f>VLOOKUP(F32,'[1]SALARY WORKING'!$F$12:$CR$66,91,0)</f>
        <v>0</v>
      </c>
      <c r="CA32" s="4">
        <f t="shared" si="2"/>
        <v>2083.29</v>
      </c>
      <c r="CB32">
        <v>30</v>
      </c>
    </row>
    <row r="33" spans="2:80" x14ac:dyDescent="0.35">
      <c r="B33" s="1" t="s">
        <v>99</v>
      </c>
      <c r="D33" t="s">
        <v>100</v>
      </c>
      <c r="E33" t="s">
        <v>101</v>
      </c>
      <c r="F33" t="s">
        <v>132</v>
      </c>
      <c r="G33" t="s">
        <v>186</v>
      </c>
      <c r="H33" t="s">
        <v>209</v>
      </c>
      <c r="I33" t="s">
        <v>220</v>
      </c>
      <c r="J33">
        <v>30</v>
      </c>
      <c r="K33">
        <v>0</v>
      </c>
      <c r="L33">
        <v>5</v>
      </c>
      <c r="M33">
        <v>0</v>
      </c>
      <c r="N33">
        <v>25</v>
      </c>
      <c r="O33">
        <v>0</v>
      </c>
      <c r="P33">
        <v>3</v>
      </c>
      <c r="Q33">
        <v>0</v>
      </c>
      <c r="R33">
        <v>0</v>
      </c>
      <c r="S33">
        <v>0</v>
      </c>
      <c r="T33" s="3">
        <v>0.5</v>
      </c>
      <c r="U33">
        <f t="shared" si="0"/>
        <v>0</v>
      </c>
      <c r="V33" s="4">
        <v>0</v>
      </c>
      <c r="W33">
        <v>31</v>
      </c>
      <c r="X33">
        <v>15000</v>
      </c>
      <c r="Y33">
        <v>0</v>
      </c>
      <c r="Z33">
        <v>15000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s="4">
        <v>5372</v>
      </c>
      <c r="AL33">
        <v>5372</v>
      </c>
      <c r="AM33">
        <v>0</v>
      </c>
      <c r="AN33">
        <v>0</v>
      </c>
      <c r="AO33">
        <v>0</v>
      </c>
      <c r="AP33">
        <v>0</v>
      </c>
      <c r="AQ33">
        <f>VLOOKUP(F33,'[1]SALARY WORKING'!$F$12:$CG$66,80,0)</f>
        <v>20372</v>
      </c>
      <c r="AR33">
        <f>VLOOKUP(F33,'[1]SALARY WORKING'!$F$12:$CF$66,79,0)</f>
        <v>20372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 s="4">
        <v>19726.84</v>
      </c>
      <c r="BA33">
        <v>0</v>
      </c>
      <c r="BB33">
        <v>0</v>
      </c>
      <c r="BC33" s="4">
        <f>VLOOKUP(F33,'[1]SALARY WORKING'!$F$12:$CA$66,74,0)</f>
        <v>1358.13</v>
      </c>
      <c r="BD33">
        <v>3</v>
      </c>
      <c r="BE33">
        <v>80</v>
      </c>
      <c r="BF33">
        <v>0</v>
      </c>
      <c r="BG33">
        <f>VLOOKUP(F33,'[1]SALARY WORKING'!$F$12:$DL$66,111,0)</f>
        <v>1.5</v>
      </c>
      <c r="BH33">
        <v>0.57999999999999996</v>
      </c>
      <c r="BI33">
        <v>2.08</v>
      </c>
      <c r="BJ33">
        <v>0</v>
      </c>
      <c r="BK33">
        <v>3</v>
      </c>
      <c r="BL33">
        <v>1.25</v>
      </c>
      <c r="BM33">
        <v>4.25</v>
      </c>
      <c r="BN33">
        <v>0</v>
      </c>
      <c r="BO33">
        <v>0</v>
      </c>
      <c r="BP33">
        <v>0</v>
      </c>
      <c r="BQ33">
        <v>0</v>
      </c>
      <c r="BR33">
        <v>0</v>
      </c>
      <c r="BS33" s="4">
        <v>152.79</v>
      </c>
      <c r="BT33" s="4">
        <v>662.09</v>
      </c>
      <c r="BU33" s="4">
        <v>814.88</v>
      </c>
      <c r="BV33" s="4">
        <v>1800</v>
      </c>
      <c r="BW33">
        <v>1950</v>
      </c>
      <c r="BX33" s="4">
        <f t="shared" si="1"/>
        <v>3750</v>
      </c>
      <c r="BY33">
        <v>130</v>
      </c>
      <c r="BZ33">
        <f>VLOOKUP(F33,'[1]SALARY WORKING'!$F$12:$CR$66,91,0)</f>
        <v>0</v>
      </c>
      <c r="CA33" s="4">
        <f t="shared" si="2"/>
        <v>2083.29</v>
      </c>
      <c r="CB33">
        <v>30</v>
      </c>
    </row>
    <row r="34" spans="2:80" x14ac:dyDescent="0.35">
      <c r="B34" s="1" t="s">
        <v>99</v>
      </c>
      <c r="D34" t="s">
        <v>100</v>
      </c>
      <c r="E34" t="s">
        <v>101</v>
      </c>
      <c r="F34" t="s">
        <v>133</v>
      </c>
      <c r="G34" t="s">
        <v>187</v>
      </c>
      <c r="H34" t="s">
        <v>209</v>
      </c>
      <c r="I34" t="s">
        <v>216</v>
      </c>
      <c r="J34">
        <v>30</v>
      </c>
      <c r="K34">
        <v>0</v>
      </c>
      <c r="L34">
        <v>4</v>
      </c>
      <c r="M34">
        <v>0</v>
      </c>
      <c r="N34">
        <v>25</v>
      </c>
      <c r="O34">
        <v>0</v>
      </c>
      <c r="P34">
        <v>3</v>
      </c>
      <c r="Q34">
        <v>0</v>
      </c>
      <c r="R34">
        <v>1</v>
      </c>
      <c r="S34">
        <v>0</v>
      </c>
      <c r="T34" s="3">
        <v>0.5</v>
      </c>
      <c r="U34">
        <f t="shared" si="0"/>
        <v>0</v>
      </c>
      <c r="V34" s="4">
        <v>0</v>
      </c>
      <c r="W34">
        <v>32</v>
      </c>
      <c r="X34">
        <v>15000</v>
      </c>
      <c r="Y34">
        <v>0</v>
      </c>
      <c r="Z34">
        <v>15000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s="4">
        <v>5372</v>
      </c>
      <c r="AL34">
        <v>5372</v>
      </c>
      <c r="AM34">
        <v>0</v>
      </c>
      <c r="AN34">
        <v>0</v>
      </c>
      <c r="AO34">
        <v>0</v>
      </c>
      <c r="AP34">
        <v>0</v>
      </c>
      <c r="AQ34">
        <f>VLOOKUP(F34,'[1]SALARY WORKING'!$F$12:$CG$66,80,0)</f>
        <v>20372</v>
      </c>
      <c r="AR34">
        <f>VLOOKUP(F34,'[1]SALARY WORKING'!$F$12:$CF$66,79,0)</f>
        <v>20372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 s="4">
        <v>19806.84</v>
      </c>
      <c r="BA34">
        <v>0</v>
      </c>
      <c r="BB34">
        <v>0</v>
      </c>
      <c r="BC34" s="4">
        <f>VLOOKUP(F34,'[1]SALARY WORKING'!$F$12:$CA$66,74,0)</f>
        <v>1358.13</v>
      </c>
      <c r="BD34">
        <v>2</v>
      </c>
      <c r="BE34">
        <v>160</v>
      </c>
      <c r="BF34">
        <v>0</v>
      </c>
      <c r="BG34">
        <f>VLOOKUP(F34,'[1]SALARY WORKING'!$F$12:$DL$66,111,0)</f>
        <v>1</v>
      </c>
      <c r="BH34">
        <v>0.57999999999999996</v>
      </c>
      <c r="BI34">
        <v>0.58000000000000007</v>
      </c>
      <c r="BJ34">
        <v>1</v>
      </c>
      <c r="BK34">
        <v>3.5</v>
      </c>
      <c r="BL34">
        <v>1.25</v>
      </c>
      <c r="BM34">
        <v>4.75</v>
      </c>
      <c r="BN34">
        <v>0</v>
      </c>
      <c r="BO34">
        <v>0</v>
      </c>
      <c r="BP34">
        <v>0</v>
      </c>
      <c r="BQ34">
        <v>0</v>
      </c>
      <c r="BR34">
        <v>0</v>
      </c>
      <c r="BS34" s="4">
        <v>152.79</v>
      </c>
      <c r="BT34" s="4">
        <v>662.09</v>
      </c>
      <c r="BU34" s="4">
        <v>814.88</v>
      </c>
      <c r="BV34" s="4">
        <v>1800</v>
      </c>
      <c r="BW34">
        <v>1950</v>
      </c>
      <c r="BX34" s="4">
        <f t="shared" si="1"/>
        <v>3750</v>
      </c>
      <c r="BY34">
        <v>130</v>
      </c>
      <c r="BZ34">
        <f>VLOOKUP(F34,'[1]SALARY WORKING'!$F$12:$CR$66,91,0)</f>
        <v>0</v>
      </c>
      <c r="CA34" s="4">
        <f t="shared" si="2"/>
        <v>2083.29</v>
      </c>
      <c r="CB34">
        <v>30</v>
      </c>
    </row>
    <row r="35" spans="2:80" x14ac:dyDescent="0.35">
      <c r="B35" s="1" t="s">
        <v>99</v>
      </c>
      <c r="D35" t="s">
        <v>100</v>
      </c>
      <c r="E35" t="s">
        <v>101</v>
      </c>
      <c r="F35" t="s">
        <v>134</v>
      </c>
      <c r="G35" t="s">
        <v>188</v>
      </c>
      <c r="H35" t="s">
        <v>209</v>
      </c>
      <c r="I35" t="s">
        <v>216</v>
      </c>
      <c r="J35">
        <v>28</v>
      </c>
      <c r="K35">
        <v>0</v>
      </c>
      <c r="L35">
        <v>4</v>
      </c>
      <c r="M35">
        <v>4</v>
      </c>
      <c r="N35">
        <v>20</v>
      </c>
      <c r="O35">
        <v>0</v>
      </c>
      <c r="P35">
        <v>3</v>
      </c>
      <c r="Q35">
        <v>0</v>
      </c>
      <c r="R35">
        <v>1</v>
      </c>
      <c r="S35">
        <v>0</v>
      </c>
      <c r="T35" s="3">
        <v>0.5</v>
      </c>
      <c r="U35">
        <f t="shared" si="0"/>
        <v>2</v>
      </c>
      <c r="V35" s="4">
        <v>0</v>
      </c>
      <c r="W35">
        <v>27</v>
      </c>
      <c r="X35">
        <v>14000</v>
      </c>
      <c r="Y35">
        <v>0</v>
      </c>
      <c r="Z35">
        <v>15000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s="4">
        <v>4924.33</v>
      </c>
      <c r="AL35">
        <v>5372</v>
      </c>
      <c r="AM35">
        <v>0</v>
      </c>
      <c r="AN35">
        <v>0</v>
      </c>
      <c r="AO35">
        <v>0</v>
      </c>
      <c r="AP35">
        <v>0</v>
      </c>
      <c r="AQ35">
        <f>VLOOKUP(F35,'[1]SALARY WORKING'!$F$12:$CG$66,80,0)</f>
        <v>18924.330000000002</v>
      </c>
      <c r="AR35">
        <f>VLOOKUP(F35,'[1]SALARY WORKING'!$F$12:$CF$66,79,0)</f>
        <v>20372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 s="4">
        <v>17131.897525</v>
      </c>
      <c r="BA35">
        <v>0</v>
      </c>
      <c r="BB35">
        <v>0</v>
      </c>
      <c r="BC35" s="4">
        <f>VLOOKUP(F35,'[1]SALARY WORKING'!$F$12:$CA$66,74,0)</f>
        <v>0</v>
      </c>
      <c r="BD35">
        <v>0</v>
      </c>
      <c r="BE35">
        <v>160</v>
      </c>
      <c r="BF35">
        <v>0</v>
      </c>
      <c r="BG35">
        <f>VLOOKUP(F35,'[1]SALARY WORKING'!$F$12:$DL$66,111,0)</f>
        <v>0.5</v>
      </c>
      <c r="BH35">
        <v>0.53</v>
      </c>
      <c r="BI35">
        <v>1.03</v>
      </c>
      <c r="BJ35">
        <v>0</v>
      </c>
      <c r="BK35">
        <v>1</v>
      </c>
      <c r="BL35">
        <v>1.1499999999999999</v>
      </c>
      <c r="BM35">
        <v>1.1499999999999999</v>
      </c>
      <c r="BN35">
        <v>1</v>
      </c>
      <c r="BO35">
        <v>0</v>
      </c>
      <c r="BP35">
        <v>0</v>
      </c>
      <c r="BQ35">
        <v>0</v>
      </c>
      <c r="BR35">
        <v>0</v>
      </c>
      <c r="BS35" s="4">
        <v>141.93247500000001</v>
      </c>
      <c r="BT35" s="4">
        <v>615.04072500000007</v>
      </c>
      <c r="BU35" s="4">
        <v>756.97320000000013</v>
      </c>
      <c r="BV35" s="4">
        <v>1680</v>
      </c>
      <c r="BW35">
        <v>1820</v>
      </c>
      <c r="BX35" s="4">
        <f t="shared" si="1"/>
        <v>3500</v>
      </c>
      <c r="BY35">
        <v>130</v>
      </c>
      <c r="BZ35">
        <f>VLOOKUP(F35,'[1]SALARY WORKING'!$F$12:$CR$66,91,0)</f>
        <v>0</v>
      </c>
      <c r="CA35" s="4">
        <f t="shared" si="2"/>
        <v>1952.4324750000001</v>
      </c>
      <c r="CB35">
        <v>30</v>
      </c>
    </row>
    <row r="36" spans="2:80" x14ac:dyDescent="0.35">
      <c r="B36" s="1" t="s">
        <v>99</v>
      </c>
      <c r="D36" t="s">
        <v>100</v>
      </c>
      <c r="E36" t="s">
        <v>101</v>
      </c>
      <c r="F36" t="s">
        <v>135</v>
      </c>
      <c r="G36" t="s">
        <v>189</v>
      </c>
      <c r="H36" t="s">
        <v>209</v>
      </c>
      <c r="I36" t="s">
        <v>216</v>
      </c>
      <c r="J36">
        <v>30</v>
      </c>
      <c r="K36">
        <v>0</v>
      </c>
      <c r="L36">
        <v>4</v>
      </c>
      <c r="M36">
        <v>0</v>
      </c>
      <c r="N36">
        <v>24.5</v>
      </c>
      <c r="O36">
        <v>0</v>
      </c>
      <c r="P36">
        <v>3</v>
      </c>
      <c r="Q36">
        <v>0</v>
      </c>
      <c r="R36">
        <v>1.5</v>
      </c>
      <c r="S36">
        <v>0</v>
      </c>
      <c r="T36" s="3">
        <v>0.5</v>
      </c>
      <c r="U36">
        <f t="shared" si="0"/>
        <v>0</v>
      </c>
      <c r="V36" s="4">
        <v>0</v>
      </c>
      <c r="W36">
        <v>32.5</v>
      </c>
      <c r="X36">
        <v>15000</v>
      </c>
      <c r="Y36">
        <v>0</v>
      </c>
      <c r="Z36">
        <v>15000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s="4">
        <v>5372</v>
      </c>
      <c r="AL36">
        <v>5372</v>
      </c>
      <c r="AM36">
        <v>0</v>
      </c>
      <c r="AN36">
        <v>0</v>
      </c>
      <c r="AO36">
        <v>0</v>
      </c>
      <c r="AP36">
        <v>0</v>
      </c>
      <c r="AQ36">
        <f>VLOOKUP(F36,'[1]SALARY WORKING'!$F$12:$CG$66,80,0)</f>
        <v>20372</v>
      </c>
      <c r="AR36">
        <f>VLOOKUP(F36,'[1]SALARY WORKING'!$F$12:$CF$66,79,0)</f>
        <v>20372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 s="4">
        <v>19507.309999999998</v>
      </c>
      <c r="BA36">
        <v>0</v>
      </c>
      <c r="BB36">
        <v>0</v>
      </c>
      <c r="BC36" s="4">
        <f>VLOOKUP(F36,'[1]SALARY WORKING'!$F$12:$CA$66,74,0)</f>
        <v>1018.6</v>
      </c>
      <c r="BD36">
        <v>1.5</v>
      </c>
      <c r="BE36">
        <v>200</v>
      </c>
      <c r="BF36">
        <v>0</v>
      </c>
      <c r="BG36">
        <f>VLOOKUP(F36,'[1]SALARY WORKING'!$F$12:$DL$66,111,0)</f>
        <v>0.5</v>
      </c>
      <c r="BH36">
        <v>0.57999999999999996</v>
      </c>
      <c r="BI36">
        <v>0.58000000000000007</v>
      </c>
      <c r="BJ36">
        <v>0.5</v>
      </c>
      <c r="BK36">
        <v>2</v>
      </c>
      <c r="BL36">
        <v>1.25</v>
      </c>
      <c r="BM36">
        <v>2.25</v>
      </c>
      <c r="BN36">
        <v>1</v>
      </c>
      <c r="BO36">
        <v>0</v>
      </c>
      <c r="BP36">
        <v>0</v>
      </c>
      <c r="BQ36">
        <v>0</v>
      </c>
      <c r="BR36">
        <v>0</v>
      </c>
      <c r="BS36" s="4">
        <v>152.79</v>
      </c>
      <c r="BT36" s="4">
        <v>662.09</v>
      </c>
      <c r="BU36" s="4">
        <v>814.88</v>
      </c>
      <c r="BV36" s="4">
        <v>1800</v>
      </c>
      <c r="BW36">
        <v>1950</v>
      </c>
      <c r="BX36" s="4">
        <f t="shared" si="1"/>
        <v>3750</v>
      </c>
      <c r="BY36">
        <v>130</v>
      </c>
      <c r="BZ36">
        <f>VLOOKUP(F36,'[1]SALARY WORKING'!$F$12:$CR$66,91,0)</f>
        <v>0</v>
      </c>
      <c r="CA36" s="4">
        <f t="shared" si="2"/>
        <v>2083.29</v>
      </c>
      <c r="CB36">
        <v>30</v>
      </c>
    </row>
    <row r="37" spans="2:80" x14ac:dyDescent="0.35">
      <c r="B37" s="1" t="s">
        <v>99</v>
      </c>
      <c r="D37" t="s">
        <v>100</v>
      </c>
      <c r="E37" t="s">
        <v>101</v>
      </c>
      <c r="F37" t="s">
        <v>136</v>
      </c>
      <c r="G37" t="s">
        <v>190</v>
      </c>
      <c r="H37" t="s">
        <v>209</v>
      </c>
      <c r="I37" t="s">
        <v>213</v>
      </c>
      <c r="J37">
        <v>30</v>
      </c>
      <c r="K37">
        <v>0</v>
      </c>
      <c r="L37">
        <v>5</v>
      </c>
      <c r="M37">
        <v>0</v>
      </c>
      <c r="N37">
        <v>26</v>
      </c>
      <c r="O37">
        <v>0</v>
      </c>
      <c r="P37">
        <v>3</v>
      </c>
      <c r="Q37">
        <v>0</v>
      </c>
      <c r="R37">
        <v>0</v>
      </c>
      <c r="S37">
        <v>0</v>
      </c>
      <c r="T37" s="3">
        <v>0.5</v>
      </c>
      <c r="U37">
        <f t="shared" si="0"/>
        <v>0</v>
      </c>
      <c r="V37" s="4">
        <v>0</v>
      </c>
      <c r="W37">
        <v>32</v>
      </c>
      <c r="X37">
        <v>15000</v>
      </c>
      <c r="Y37">
        <v>0</v>
      </c>
      <c r="Z37">
        <v>15000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s="4">
        <v>5372</v>
      </c>
      <c r="AL37">
        <v>5372</v>
      </c>
      <c r="AM37">
        <v>0</v>
      </c>
      <c r="AN37">
        <v>0</v>
      </c>
      <c r="AO37">
        <v>0</v>
      </c>
      <c r="AP37">
        <v>0</v>
      </c>
      <c r="AQ37">
        <f>VLOOKUP(F37,'[1]SALARY WORKING'!$F$12:$CG$66,80,0)</f>
        <v>20372</v>
      </c>
      <c r="AR37">
        <f>VLOOKUP(F37,'[1]SALARY WORKING'!$F$12:$CF$66,79,0)</f>
        <v>20372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 s="4">
        <v>20485.91</v>
      </c>
      <c r="BA37">
        <v>0</v>
      </c>
      <c r="BB37">
        <v>0</v>
      </c>
      <c r="BC37" s="4">
        <f>VLOOKUP(F37,'[1]SALARY WORKING'!$F$12:$CA$66,74,0)</f>
        <v>2037.2</v>
      </c>
      <c r="BD37">
        <v>4</v>
      </c>
      <c r="BE37">
        <v>160</v>
      </c>
      <c r="BF37">
        <v>0</v>
      </c>
      <c r="BG37">
        <f>VLOOKUP(F37,'[1]SALARY WORKING'!$F$12:$DL$66,111,0)</f>
        <v>1.5</v>
      </c>
      <c r="BH37">
        <v>0.57999999999999996</v>
      </c>
      <c r="BI37">
        <v>2.08</v>
      </c>
      <c r="BJ37">
        <v>0</v>
      </c>
      <c r="BK37">
        <v>3.5</v>
      </c>
      <c r="BL37">
        <v>1.25</v>
      </c>
      <c r="BM37">
        <v>4.75</v>
      </c>
      <c r="BN37">
        <v>0</v>
      </c>
      <c r="BO37">
        <v>0</v>
      </c>
      <c r="BP37">
        <v>0</v>
      </c>
      <c r="BQ37">
        <v>0</v>
      </c>
      <c r="BR37">
        <v>0</v>
      </c>
      <c r="BS37" s="4">
        <v>152.79</v>
      </c>
      <c r="BT37" s="4">
        <v>662.09</v>
      </c>
      <c r="BU37" s="4">
        <v>814.88</v>
      </c>
      <c r="BV37" s="4">
        <v>1800</v>
      </c>
      <c r="BW37">
        <v>1950</v>
      </c>
      <c r="BX37" s="4">
        <f t="shared" si="1"/>
        <v>3750</v>
      </c>
      <c r="BY37">
        <v>130</v>
      </c>
      <c r="BZ37">
        <f>VLOOKUP(F37,'[1]SALARY WORKING'!$F$12:$CR$66,91,0)</f>
        <v>0</v>
      </c>
      <c r="CA37" s="4">
        <f t="shared" si="2"/>
        <v>2083.29</v>
      </c>
      <c r="CB37">
        <v>30</v>
      </c>
    </row>
    <row r="38" spans="2:80" x14ac:dyDescent="0.35">
      <c r="B38" s="1" t="s">
        <v>99</v>
      </c>
      <c r="D38" t="s">
        <v>100</v>
      </c>
      <c r="E38" t="s">
        <v>101</v>
      </c>
      <c r="F38" t="s">
        <v>137</v>
      </c>
      <c r="G38" t="s">
        <v>191</v>
      </c>
      <c r="H38" t="s">
        <v>209</v>
      </c>
      <c r="I38" t="s">
        <v>213</v>
      </c>
      <c r="J38">
        <v>30</v>
      </c>
      <c r="K38">
        <v>0</v>
      </c>
      <c r="L38">
        <v>5</v>
      </c>
      <c r="M38">
        <v>0</v>
      </c>
      <c r="N38">
        <v>24.5</v>
      </c>
      <c r="O38">
        <v>0</v>
      </c>
      <c r="P38">
        <v>3</v>
      </c>
      <c r="Q38">
        <v>0</v>
      </c>
      <c r="R38">
        <v>0.5</v>
      </c>
      <c r="S38">
        <v>0</v>
      </c>
      <c r="T38" s="3">
        <v>0.5</v>
      </c>
      <c r="U38">
        <f t="shared" si="0"/>
        <v>0</v>
      </c>
      <c r="V38" s="4">
        <v>0</v>
      </c>
      <c r="W38">
        <v>32</v>
      </c>
      <c r="X38">
        <v>15000</v>
      </c>
      <c r="Y38">
        <v>0</v>
      </c>
      <c r="Z38">
        <v>15000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s="4">
        <v>5372</v>
      </c>
      <c r="AL38">
        <v>5372</v>
      </c>
      <c r="AM38">
        <v>0</v>
      </c>
      <c r="AN38">
        <v>0</v>
      </c>
      <c r="AO38">
        <v>0</v>
      </c>
      <c r="AP38">
        <v>0</v>
      </c>
      <c r="AQ38">
        <f>VLOOKUP(F38,'[1]SALARY WORKING'!$F$12:$CG$66,80,0)</f>
        <v>20372</v>
      </c>
      <c r="AR38">
        <f>VLOOKUP(F38,'[1]SALARY WORKING'!$F$12:$CF$66,79,0)</f>
        <v>20372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s="4">
        <v>19467.309999999998</v>
      </c>
      <c r="BA38">
        <v>0</v>
      </c>
      <c r="BB38">
        <v>0</v>
      </c>
      <c r="BC38" s="4">
        <f>VLOOKUP(F38,'[1]SALARY WORKING'!$F$12:$CA$66,74,0)</f>
        <v>1018.6</v>
      </c>
      <c r="BD38">
        <v>2.5</v>
      </c>
      <c r="BE38">
        <v>160</v>
      </c>
      <c r="BF38">
        <v>0</v>
      </c>
      <c r="BG38">
        <f>VLOOKUP(F38,'[1]SALARY WORKING'!$F$12:$DL$66,111,0)</f>
        <v>1.5</v>
      </c>
      <c r="BH38">
        <v>0.57999999999999996</v>
      </c>
      <c r="BI38">
        <v>1.58</v>
      </c>
      <c r="BJ38">
        <v>0.5</v>
      </c>
      <c r="BK38">
        <v>3.5</v>
      </c>
      <c r="BL38">
        <v>1.25</v>
      </c>
      <c r="BM38">
        <v>4.75</v>
      </c>
      <c r="BN38">
        <v>0</v>
      </c>
      <c r="BO38">
        <v>0</v>
      </c>
      <c r="BP38">
        <v>0</v>
      </c>
      <c r="BQ38">
        <v>0</v>
      </c>
      <c r="BR38">
        <v>0</v>
      </c>
      <c r="BS38" s="4">
        <v>152.79</v>
      </c>
      <c r="BT38" s="4">
        <v>662.09</v>
      </c>
      <c r="BU38" s="4">
        <v>814.88</v>
      </c>
      <c r="BV38" s="4">
        <v>1800</v>
      </c>
      <c r="BW38">
        <v>1950</v>
      </c>
      <c r="BX38" s="4">
        <f t="shared" si="1"/>
        <v>3750</v>
      </c>
      <c r="BY38">
        <v>130</v>
      </c>
      <c r="BZ38">
        <f>VLOOKUP(F38,'[1]SALARY WORKING'!$F$12:$CR$66,91,0)</f>
        <v>0</v>
      </c>
      <c r="CA38" s="4">
        <f t="shared" si="2"/>
        <v>2083.29</v>
      </c>
      <c r="CB38">
        <v>30</v>
      </c>
    </row>
    <row r="39" spans="2:80" x14ac:dyDescent="0.35">
      <c r="B39" s="1" t="s">
        <v>99</v>
      </c>
      <c r="D39" t="s">
        <v>100</v>
      </c>
      <c r="E39" t="s">
        <v>101</v>
      </c>
      <c r="F39" t="s">
        <v>138</v>
      </c>
      <c r="G39" t="s">
        <v>192</v>
      </c>
      <c r="H39" t="s">
        <v>82</v>
      </c>
      <c r="I39" t="s">
        <v>80</v>
      </c>
      <c r="J39">
        <v>30</v>
      </c>
      <c r="K39">
        <v>0</v>
      </c>
      <c r="L39">
        <v>4</v>
      </c>
      <c r="M39">
        <v>0</v>
      </c>
      <c r="N39">
        <v>26</v>
      </c>
      <c r="O39">
        <v>0</v>
      </c>
      <c r="P39">
        <v>3</v>
      </c>
      <c r="Q39">
        <v>0</v>
      </c>
      <c r="R39">
        <v>0</v>
      </c>
      <c r="S39">
        <v>0</v>
      </c>
      <c r="T39" s="3">
        <v>0.5</v>
      </c>
      <c r="U39">
        <f t="shared" si="0"/>
        <v>0</v>
      </c>
      <c r="V39" s="4">
        <v>0</v>
      </c>
      <c r="W39">
        <v>32</v>
      </c>
      <c r="X39">
        <v>15000</v>
      </c>
      <c r="Y39">
        <v>0</v>
      </c>
      <c r="Z39">
        <v>15000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s="4">
        <v>4316</v>
      </c>
      <c r="AL39">
        <v>4316</v>
      </c>
      <c r="AM39">
        <v>0</v>
      </c>
      <c r="AN39">
        <v>0</v>
      </c>
      <c r="AO39">
        <v>0</v>
      </c>
      <c r="AP39">
        <v>0</v>
      </c>
      <c r="AQ39">
        <f>VLOOKUP(F39,'[1]SALARY WORKING'!$F$12:$CG$66,80,0)</f>
        <v>19316</v>
      </c>
      <c r="AR39">
        <f>VLOOKUP(F39,'[1]SALARY WORKING'!$F$12:$CF$66,79,0)</f>
        <v>19316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 s="4">
        <v>19332.23</v>
      </c>
      <c r="BA39">
        <v>0</v>
      </c>
      <c r="BB39">
        <v>0</v>
      </c>
      <c r="BC39" s="4">
        <f>VLOOKUP(F39,'[1]SALARY WORKING'!$F$12:$CA$66,74,0)</f>
        <v>1931.6</v>
      </c>
      <c r="BD39">
        <v>3</v>
      </c>
      <c r="BE39">
        <v>160</v>
      </c>
      <c r="BF39">
        <v>0</v>
      </c>
      <c r="BG39">
        <f>VLOOKUP(F39,'[1]SALARY WORKING'!$F$12:$DL$66,111,0)</f>
        <v>0.5</v>
      </c>
      <c r="BH39">
        <v>0.57999999999999996</v>
      </c>
      <c r="BI39">
        <v>1.08</v>
      </c>
      <c r="BJ39">
        <v>0</v>
      </c>
      <c r="BK39">
        <v>2.5</v>
      </c>
      <c r="BL39">
        <v>1.25</v>
      </c>
      <c r="BM39">
        <v>3.75</v>
      </c>
      <c r="BN39">
        <v>0</v>
      </c>
      <c r="BO39">
        <v>0</v>
      </c>
      <c r="BP39">
        <v>0</v>
      </c>
      <c r="BQ39">
        <v>0</v>
      </c>
      <c r="BR39">
        <v>0</v>
      </c>
      <c r="BS39" s="4">
        <v>144.87</v>
      </c>
      <c r="BT39" s="4">
        <v>627.77</v>
      </c>
      <c r="BU39" s="4">
        <v>772.64</v>
      </c>
      <c r="BV39" s="4">
        <v>1800</v>
      </c>
      <c r="BW39">
        <v>1950</v>
      </c>
      <c r="BX39" s="4">
        <f t="shared" si="1"/>
        <v>3750</v>
      </c>
      <c r="BY39">
        <v>130</v>
      </c>
      <c r="BZ39">
        <f>VLOOKUP(F39,'[1]SALARY WORKING'!$F$12:$CR$66,91,0)</f>
        <v>0</v>
      </c>
      <c r="CA39" s="4">
        <f t="shared" si="2"/>
        <v>2075.37</v>
      </c>
      <c r="CB39">
        <v>30</v>
      </c>
    </row>
    <row r="40" spans="2:80" x14ac:dyDescent="0.35">
      <c r="B40" s="1" t="s">
        <v>99</v>
      </c>
      <c r="D40" t="s">
        <v>100</v>
      </c>
      <c r="E40" t="s">
        <v>101</v>
      </c>
      <c r="F40" t="s">
        <v>139</v>
      </c>
      <c r="G40" t="s">
        <v>193</v>
      </c>
      <c r="H40" t="s">
        <v>209</v>
      </c>
      <c r="I40" t="s">
        <v>218</v>
      </c>
      <c r="J40">
        <v>30</v>
      </c>
      <c r="K40">
        <v>0</v>
      </c>
      <c r="L40">
        <v>5</v>
      </c>
      <c r="M40">
        <v>0</v>
      </c>
      <c r="N40">
        <v>24.5</v>
      </c>
      <c r="O40">
        <v>0</v>
      </c>
      <c r="P40">
        <v>3</v>
      </c>
      <c r="Q40">
        <v>0</v>
      </c>
      <c r="R40">
        <v>0.5</v>
      </c>
      <c r="S40">
        <v>0</v>
      </c>
      <c r="T40" s="3">
        <v>0.5</v>
      </c>
      <c r="U40">
        <f t="shared" si="0"/>
        <v>0</v>
      </c>
      <c r="V40" s="4">
        <v>0</v>
      </c>
      <c r="W40">
        <v>31</v>
      </c>
      <c r="X40">
        <v>15000</v>
      </c>
      <c r="Y40">
        <v>0</v>
      </c>
      <c r="Z40">
        <v>15000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s="4">
        <v>5372</v>
      </c>
      <c r="AL40">
        <v>5372</v>
      </c>
      <c r="AM40">
        <v>0</v>
      </c>
      <c r="AN40">
        <v>0</v>
      </c>
      <c r="AO40">
        <v>0</v>
      </c>
      <c r="AP40">
        <v>0</v>
      </c>
      <c r="AQ40">
        <f>VLOOKUP(F40,'[1]SALARY WORKING'!$F$12:$CG$66,80,0)</f>
        <v>20372</v>
      </c>
      <c r="AR40">
        <f>VLOOKUP(F40,'[1]SALARY WORKING'!$F$12:$CF$66,79,0)</f>
        <v>20372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 s="4">
        <v>19387.309999999998</v>
      </c>
      <c r="BA40">
        <v>0</v>
      </c>
      <c r="BB40">
        <v>0</v>
      </c>
      <c r="BC40" s="4">
        <f>VLOOKUP(F40,'[1]SALARY WORKING'!$F$12:$CA$66,74,0)</f>
        <v>1018.6</v>
      </c>
      <c r="BD40">
        <v>2.5</v>
      </c>
      <c r="BE40">
        <v>80</v>
      </c>
      <c r="BF40">
        <v>0</v>
      </c>
      <c r="BG40">
        <f>VLOOKUP(F40,'[1]SALARY WORKING'!$F$12:$DL$66,111,0)</f>
        <v>1.5</v>
      </c>
      <c r="BH40">
        <v>0.57999999999999996</v>
      </c>
      <c r="BI40">
        <v>1.58</v>
      </c>
      <c r="BJ40">
        <v>0.5</v>
      </c>
      <c r="BK40">
        <v>3.5</v>
      </c>
      <c r="BL40">
        <v>1.25</v>
      </c>
      <c r="BM40">
        <v>4.75</v>
      </c>
      <c r="BN40">
        <v>0</v>
      </c>
      <c r="BO40">
        <v>0</v>
      </c>
      <c r="BP40">
        <v>0</v>
      </c>
      <c r="BQ40">
        <v>0</v>
      </c>
      <c r="BR40">
        <v>0</v>
      </c>
      <c r="BS40" s="4">
        <v>152.79</v>
      </c>
      <c r="BT40" s="4">
        <v>662.09</v>
      </c>
      <c r="BU40" s="4">
        <v>814.88</v>
      </c>
      <c r="BV40" s="4">
        <v>1800</v>
      </c>
      <c r="BW40">
        <v>1950</v>
      </c>
      <c r="BX40" s="4">
        <f t="shared" si="1"/>
        <v>3750</v>
      </c>
      <c r="BY40">
        <v>130</v>
      </c>
      <c r="BZ40">
        <f>VLOOKUP(F40,'[1]SALARY WORKING'!$F$12:$CR$66,91,0)</f>
        <v>0</v>
      </c>
      <c r="CA40" s="4">
        <f t="shared" si="2"/>
        <v>2083.29</v>
      </c>
      <c r="CB40">
        <v>30</v>
      </c>
    </row>
    <row r="41" spans="2:80" x14ac:dyDescent="0.35">
      <c r="B41" s="1" t="s">
        <v>99</v>
      </c>
      <c r="D41" t="s">
        <v>100</v>
      </c>
      <c r="E41" t="s">
        <v>101</v>
      </c>
      <c r="F41" t="s">
        <v>140</v>
      </c>
      <c r="G41" t="s">
        <v>194</v>
      </c>
      <c r="H41" t="s">
        <v>209</v>
      </c>
      <c r="I41" t="s">
        <v>218</v>
      </c>
      <c r="J41">
        <v>23</v>
      </c>
      <c r="K41">
        <v>0</v>
      </c>
      <c r="L41">
        <v>3</v>
      </c>
      <c r="M41">
        <v>9</v>
      </c>
      <c r="N41">
        <v>16</v>
      </c>
      <c r="O41">
        <v>0</v>
      </c>
      <c r="P41">
        <v>3</v>
      </c>
      <c r="Q41">
        <v>0</v>
      </c>
      <c r="R41">
        <v>1</v>
      </c>
      <c r="S41">
        <v>0</v>
      </c>
      <c r="T41" s="3">
        <v>0.5</v>
      </c>
      <c r="U41">
        <f t="shared" si="0"/>
        <v>7</v>
      </c>
      <c r="V41" s="4">
        <v>0</v>
      </c>
      <c r="W41">
        <v>22</v>
      </c>
      <c r="X41">
        <v>11500</v>
      </c>
      <c r="Y41">
        <v>0</v>
      </c>
      <c r="Z41">
        <v>15000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s="4">
        <v>4029</v>
      </c>
      <c r="AL41">
        <v>5372</v>
      </c>
      <c r="AM41">
        <v>0</v>
      </c>
      <c r="AN41">
        <v>0</v>
      </c>
      <c r="AO41">
        <v>0</v>
      </c>
      <c r="AP41">
        <v>0</v>
      </c>
      <c r="AQ41">
        <f>VLOOKUP(F41,'[1]SALARY WORKING'!$F$12:$CG$66,80,0)</f>
        <v>15529</v>
      </c>
      <c r="AR41">
        <f>VLOOKUP(F41,'[1]SALARY WORKING'!$F$12:$CF$66,79,0)</f>
        <v>20372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 s="4">
        <v>14062.032499999999</v>
      </c>
      <c r="BA41">
        <v>0</v>
      </c>
      <c r="BB41">
        <v>0</v>
      </c>
      <c r="BC41" s="4">
        <f>VLOOKUP(F41,'[1]SALARY WORKING'!$F$12:$CA$66,74,0)</f>
        <v>0</v>
      </c>
      <c r="BD41">
        <v>0</v>
      </c>
      <c r="BE41">
        <v>160</v>
      </c>
      <c r="BF41">
        <v>0</v>
      </c>
      <c r="BG41">
        <f>VLOOKUP(F41,'[1]SALARY WORKING'!$F$12:$DL$66,111,0)</f>
        <v>0.5</v>
      </c>
      <c r="BH41">
        <v>0.44</v>
      </c>
      <c r="BI41">
        <v>0.94</v>
      </c>
      <c r="BJ41">
        <v>0</v>
      </c>
      <c r="BK41">
        <v>1</v>
      </c>
      <c r="BL41">
        <v>0.94</v>
      </c>
      <c r="BM41">
        <v>0.94</v>
      </c>
      <c r="BN41">
        <v>1</v>
      </c>
      <c r="BO41">
        <v>0</v>
      </c>
      <c r="BP41">
        <v>0</v>
      </c>
      <c r="BQ41">
        <v>0</v>
      </c>
      <c r="BR41">
        <v>0</v>
      </c>
      <c r="BS41" s="4">
        <v>116.4675</v>
      </c>
      <c r="BT41" s="4">
        <v>504.6925</v>
      </c>
      <c r="BU41" s="4">
        <v>621.16</v>
      </c>
      <c r="BV41" s="4">
        <v>1380</v>
      </c>
      <c r="BW41">
        <v>1495</v>
      </c>
      <c r="BX41" s="4">
        <f t="shared" si="1"/>
        <v>2875</v>
      </c>
      <c r="BY41">
        <v>130</v>
      </c>
      <c r="BZ41">
        <f>VLOOKUP(F41,'[1]SALARY WORKING'!$F$12:$CR$66,91,0)</f>
        <v>0</v>
      </c>
      <c r="CA41" s="4">
        <f t="shared" si="2"/>
        <v>1626.9675</v>
      </c>
      <c r="CB41">
        <v>30</v>
      </c>
    </row>
    <row r="42" spans="2:80" x14ac:dyDescent="0.35">
      <c r="B42" s="1" t="s">
        <v>99</v>
      </c>
      <c r="D42" t="s">
        <v>100</v>
      </c>
      <c r="E42" t="s">
        <v>101</v>
      </c>
      <c r="F42" t="s">
        <v>141</v>
      </c>
      <c r="G42" t="s">
        <v>195</v>
      </c>
      <c r="H42" t="s">
        <v>209</v>
      </c>
      <c r="I42" t="s">
        <v>217</v>
      </c>
      <c r="J42">
        <v>27</v>
      </c>
      <c r="K42">
        <v>0</v>
      </c>
      <c r="L42">
        <v>4</v>
      </c>
      <c r="M42">
        <v>4</v>
      </c>
      <c r="N42">
        <v>20</v>
      </c>
      <c r="O42">
        <v>0</v>
      </c>
      <c r="P42">
        <v>3</v>
      </c>
      <c r="Q42">
        <v>0</v>
      </c>
      <c r="R42">
        <v>0</v>
      </c>
      <c r="S42">
        <v>0</v>
      </c>
      <c r="T42" s="3">
        <v>0.5</v>
      </c>
      <c r="U42">
        <f t="shared" si="0"/>
        <v>3</v>
      </c>
      <c r="V42" s="4">
        <v>0</v>
      </c>
      <c r="W42">
        <v>33</v>
      </c>
      <c r="X42">
        <v>13500</v>
      </c>
      <c r="Y42">
        <v>0</v>
      </c>
      <c r="Z42">
        <v>15000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s="4">
        <v>5506</v>
      </c>
      <c r="AL42">
        <v>5506</v>
      </c>
      <c r="AM42">
        <v>0</v>
      </c>
      <c r="AN42">
        <v>0</v>
      </c>
      <c r="AO42">
        <v>0</v>
      </c>
      <c r="AP42">
        <v>0</v>
      </c>
      <c r="AQ42">
        <f>VLOOKUP(F42,'[1]SALARY WORKING'!$F$12:$CG$66,80,0)</f>
        <v>19006</v>
      </c>
      <c r="AR42">
        <f>VLOOKUP(F42,'[1]SALARY WORKING'!$F$12:$CF$66,79,0)</f>
        <v>20506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 s="4">
        <v>17092.955000000002</v>
      </c>
      <c r="BA42">
        <v>0</v>
      </c>
      <c r="BB42">
        <v>0</v>
      </c>
      <c r="BC42" s="4">
        <f>VLOOKUP(F42,'[1]SALARY WORKING'!$F$12:$CA$66,74,0)</f>
        <v>0</v>
      </c>
      <c r="BD42">
        <v>0</v>
      </c>
      <c r="BE42">
        <v>160</v>
      </c>
      <c r="BF42">
        <v>0</v>
      </c>
      <c r="BG42">
        <f>VLOOKUP(F42,'[1]SALARY WORKING'!$F$12:$DL$66,111,0)</f>
        <v>1.5</v>
      </c>
      <c r="BH42">
        <v>0.57999999999999996</v>
      </c>
      <c r="BI42">
        <v>2.08</v>
      </c>
      <c r="BJ42">
        <v>0</v>
      </c>
      <c r="BK42">
        <v>3.5</v>
      </c>
      <c r="BL42">
        <v>1.25</v>
      </c>
      <c r="BM42">
        <v>4.75</v>
      </c>
      <c r="BN42">
        <v>0</v>
      </c>
      <c r="BO42">
        <v>0</v>
      </c>
      <c r="BP42">
        <v>0</v>
      </c>
      <c r="BQ42">
        <v>0</v>
      </c>
      <c r="BR42">
        <v>0</v>
      </c>
      <c r="BS42" s="4">
        <v>142.54499999999999</v>
      </c>
      <c r="BT42" s="4">
        <v>617.69500000000005</v>
      </c>
      <c r="BU42" s="4">
        <v>760.24</v>
      </c>
      <c r="BV42" s="4">
        <v>1800</v>
      </c>
      <c r="BW42">
        <v>1950</v>
      </c>
      <c r="BX42" s="4">
        <f t="shared" si="1"/>
        <v>3750</v>
      </c>
      <c r="BY42">
        <v>130</v>
      </c>
      <c r="BZ42">
        <f>VLOOKUP(F42,'[1]SALARY WORKING'!$F$12:$CR$66,91,0)</f>
        <v>0</v>
      </c>
      <c r="CA42" s="4">
        <f t="shared" si="2"/>
        <v>2073.0450000000001</v>
      </c>
      <c r="CB42">
        <v>30</v>
      </c>
    </row>
    <row r="43" spans="2:80" x14ac:dyDescent="0.35">
      <c r="B43" s="1" t="s">
        <v>99</v>
      </c>
      <c r="D43" t="s">
        <v>100</v>
      </c>
      <c r="E43" t="s">
        <v>101</v>
      </c>
      <c r="F43" t="s">
        <v>142</v>
      </c>
      <c r="G43" t="s">
        <v>196</v>
      </c>
      <c r="H43" t="s">
        <v>82</v>
      </c>
      <c r="I43" t="s">
        <v>80</v>
      </c>
      <c r="J43">
        <v>30</v>
      </c>
      <c r="K43">
        <v>0</v>
      </c>
      <c r="L43">
        <v>5</v>
      </c>
      <c r="M43">
        <v>0</v>
      </c>
      <c r="N43">
        <v>27</v>
      </c>
      <c r="O43">
        <v>0</v>
      </c>
      <c r="P43">
        <v>3</v>
      </c>
      <c r="Q43">
        <v>0</v>
      </c>
      <c r="R43">
        <v>0</v>
      </c>
      <c r="S43">
        <v>0</v>
      </c>
      <c r="T43" s="3">
        <v>0.5</v>
      </c>
      <c r="U43">
        <f t="shared" si="0"/>
        <v>0</v>
      </c>
      <c r="V43" s="4">
        <v>0</v>
      </c>
      <c r="W43">
        <v>32</v>
      </c>
      <c r="X43">
        <v>15000</v>
      </c>
      <c r="Y43">
        <v>0</v>
      </c>
      <c r="Z43">
        <v>15000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s="4">
        <v>5372</v>
      </c>
      <c r="AL43">
        <v>5372</v>
      </c>
      <c r="AM43">
        <v>0</v>
      </c>
      <c r="AN43">
        <v>0</v>
      </c>
      <c r="AO43">
        <v>0</v>
      </c>
      <c r="AP43">
        <v>0</v>
      </c>
      <c r="AQ43">
        <f>VLOOKUP(F43,'[1]SALARY WORKING'!$F$12:$CG$66,80,0)</f>
        <v>20372</v>
      </c>
      <c r="AR43">
        <f>VLOOKUP(F43,'[1]SALARY WORKING'!$F$12:$CF$66,79,0)</f>
        <v>20372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 s="4">
        <v>21164.98</v>
      </c>
      <c r="BA43">
        <v>0</v>
      </c>
      <c r="BB43">
        <v>0</v>
      </c>
      <c r="BC43" s="4">
        <f>VLOOKUP(F43,'[1]SALARY WORKING'!$F$12:$CA$66,74,0)</f>
        <v>2716.27</v>
      </c>
      <c r="BD43">
        <v>5</v>
      </c>
      <c r="BE43">
        <v>160</v>
      </c>
      <c r="BF43">
        <v>0</v>
      </c>
      <c r="BG43">
        <f>VLOOKUP(F43,'[1]SALARY WORKING'!$F$12:$DL$66,111,0)</f>
        <v>1.5</v>
      </c>
      <c r="BH43">
        <v>0.57999999999999996</v>
      </c>
      <c r="BI43">
        <v>2.08</v>
      </c>
      <c r="BJ43">
        <v>0</v>
      </c>
      <c r="BK43">
        <v>3.5</v>
      </c>
      <c r="BL43">
        <v>1.25</v>
      </c>
      <c r="BM43">
        <v>4.75</v>
      </c>
      <c r="BN43">
        <v>0</v>
      </c>
      <c r="BO43">
        <v>0</v>
      </c>
      <c r="BP43">
        <v>0</v>
      </c>
      <c r="BQ43">
        <v>0</v>
      </c>
      <c r="BR43">
        <v>0</v>
      </c>
      <c r="BS43" s="4">
        <v>152.79</v>
      </c>
      <c r="BT43" s="4">
        <v>662.09</v>
      </c>
      <c r="BU43" s="4">
        <v>814.88</v>
      </c>
      <c r="BV43" s="4">
        <v>1800</v>
      </c>
      <c r="BW43">
        <v>1950</v>
      </c>
      <c r="BX43" s="4">
        <f t="shared" si="1"/>
        <v>3750</v>
      </c>
      <c r="BY43">
        <v>130</v>
      </c>
      <c r="BZ43">
        <f>VLOOKUP(F43,'[1]SALARY WORKING'!$F$12:$CR$66,91,0)</f>
        <v>0</v>
      </c>
      <c r="CA43" s="4">
        <f t="shared" si="2"/>
        <v>2083.29</v>
      </c>
      <c r="CB43">
        <v>30</v>
      </c>
    </row>
    <row r="44" spans="2:80" x14ac:dyDescent="0.35">
      <c r="B44" s="1" t="s">
        <v>99</v>
      </c>
      <c r="D44" t="s">
        <v>100</v>
      </c>
      <c r="E44" t="s">
        <v>101</v>
      </c>
      <c r="F44" t="s">
        <v>143</v>
      </c>
      <c r="G44" t="s">
        <v>197</v>
      </c>
      <c r="H44" t="s">
        <v>209</v>
      </c>
      <c r="I44" t="s">
        <v>216</v>
      </c>
      <c r="J44">
        <v>29</v>
      </c>
      <c r="K44">
        <v>0</v>
      </c>
      <c r="L44">
        <v>4</v>
      </c>
      <c r="M44">
        <v>4</v>
      </c>
      <c r="N44">
        <v>20</v>
      </c>
      <c r="O44">
        <v>0</v>
      </c>
      <c r="P44">
        <v>3</v>
      </c>
      <c r="Q44">
        <v>0</v>
      </c>
      <c r="R44">
        <v>2</v>
      </c>
      <c r="S44">
        <v>0</v>
      </c>
      <c r="T44" s="3">
        <v>0.5</v>
      </c>
      <c r="U44">
        <f t="shared" si="0"/>
        <v>1</v>
      </c>
      <c r="V44" s="4">
        <v>0</v>
      </c>
      <c r="W44">
        <v>33</v>
      </c>
      <c r="X44">
        <v>14500</v>
      </c>
      <c r="Y44">
        <v>0</v>
      </c>
      <c r="Z44">
        <v>15000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s="4">
        <v>5372</v>
      </c>
      <c r="AL44">
        <v>5372</v>
      </c>
      <c r="AM44">
        <v>0</v>
      </c>
      <c r="AN44">
        <v>0</v>
      </c>
      <c r="AO44">
        <v>0</v>
      </c>
      <c r="AP44">
        <v>0</v>
      </c>
      <c r="AQ44">
        <f>VLOOKUP(F44,'[1]SALARY WORKING'!$F$12:$CG$66,80,0)</f>
        <v>19872</v>
      </c>
      <c r="AR44">
        <f>VLOOKUP(F44,'[1]SALARY WORKING'!$F$12:$CF$66,79,0)</f>
        <v>20372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 s="4">
        <v>18032.46</v>
      </c>
      <c r="BA44">
        <v>0</v>
      </c>
      <c r="BB44">
        <v>0</v>
      </c>
      <c r="BC44" s="4">
        <f>VLOOKUP(F44,'[1]SALARY WORKING'!$F$12:$CA$66,74,0)</f>
        <v>0</v>
      </c>
      <c r="BD44">
        <v>0</v>
      </c>
      <c r="BE44">
        <v>240</v>
      </c>
      <c r="BF44">
        <v>0</v>
      </c>
      <c r="BG44">
        <f>VLOOKUP(F44,'[1]SALARY WORKING'!$F$12:$DL$66,111,0)</f>
        <v>1</v>
      </c>
      <c r="BH44">
        <v>0.57999999999999996</v>
      </c>
      <c r="BI44">
        <v>0.58000000000000007</v>
      </c>
      <c r="BJ44">
        <v>1</v>
      </c>
      <c r="BK44">
        <v>3.5</v>
      </c>
      <c r="BL44">
        <v>1.25</v>
      </c>
      <c r="BM44">
        <v>3.75</v>
      </c>
      <c r="BN44">
        <v>1</v>
      </c>
      <c r="BO44">
        <v>0</v>
      </c>
      <c r="BP44">
        <v>0</v>
      </c>
      <c r="BQ44">
        <v>0</v>
      </c>
      <c r="BR44">
        <v>0</v>
      </c>
      <c r="BS44" s="4">
        <v>149.04</v>
      </c>
      <c r="BT44" s="4">
        <v>645.84</v>
      </c>
      <c r="BU44" s="4">
        <v>794.88</v>
      </c>
      <c r="BV44" s="4">
        <v>1800</v>
      </c>
      <c r="BW44">
        <v>1950</v>
      </c>
      <c r="BX44" s="4">
        <f t="shared" si="1"/>
        <v>3750</v>
      </c>
      <c r="BY44">
        <v>130</v>
      </c>
      <c r="BZ44">
        <f>VLOOKUP(F44,'[1]SALARY WORKING'!$F$12:$CR$66,91,0)</f>
        <v>0</v>
      </c>
      <c r="CA44" s="4">
        <f t="shared" si="2"/>
        <v>2079.54</v>
      </c>
      <c r="CB44">
        <v>30</v>
      </c>
    </row>
    <row r="45" spans="2:80" x14ac:dyDescent="0.35">
      <c r="B45" s="1" t="s">
        <v>99</v>
      </c>
      <c r="D45" t="s">
        <v>100</v>
      </c>
      <c r="E45" t="s">
        <v>101</v>
      </c>
      <c r="F45" t="s">
        <v>144</v>
      </c>
      <c r="G45" t="s">
        <v>198</v>
      </c>
      <c r="H45" t="s">
        <v>209</v>
      </c>
      <c r="I45" t="s">
        <v>218</v>
      </c>
      <c r="J45">
        <v>30</v>
      </c>
      <c r="K45">
        <v>0</v>
      </c>
      <c r="L45">
        <v>5</v>
      </c>
      <c r="M45">
        <v>0</v>
      </c>
      <c r="N45">
        <v>24</v>
      </c>
      <c r="O45">
        <v>0</v>
      </c>
      <c r="P45">
        <v>3</v>
      </c>
      <c r="Q45">
        <v>0</v>
      </c>
      <c r="R45">
        <v>1</v>
      </c>
      <c r="S45">
        <v>0</v>
      </c>
      <c r="T45" s="3">
        <v>0.5</v>
      </c>
      <c r="U45">
        <f t="shared" si="0"/>
        <v>0</v>
      </c>
      <c r="V45" s="4">
        <v>0</v>
      </c>
      <c r="W45">
        <v>31</v>
      </c>
      <c r="X45">
        <v>15000</v>
      </c>
      <c r="Y45">
        <v>0</v>
      </c>
      <c r="Z45">
        <v>15000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s="4">
        <v>5372</v>
      </c>
      <c r="AL45">
        <v>5372</v>
      </c>
      <c r="AM45">
        <v>0</v>
      </c>
      <c r="AN45">
        <v>0</v>
      </c>
      <c r="AO45">
        <v>0</v>
      </c>
      <c r="AP45">
        <v>0</v>
      </c>
      <c r="AQ45">
        <f>VLOOKUP(F45,'[1]SALARY WORKING'!$F$12:$CG$66,80,0)</f>
        <v>20372</v>
      </c>
      <c r="AR45">
        <f>VLOOKUP(F45,'[1]SALARY WORKING'!$F$12:$CF$66,79,0)</f>
        <v>20372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 s="4">
        <v>19047.78</v>
      </c>
      <c r="BA45">
        <v>0</v>
      </c>
      <c r="BB45">
        <v>0</v>
      </c>
      <c r="BC45" s="4">
        <f>VLOOKUP(F45,'[1]SALARY WORKING'!$F$12:$CA$66,74,0)</f>
        <v>679.07</v>
      </c>
      <c r="BD45">
        <v>2</v>
      </c>
      <c r="BE45">
        <v>80</v>
      </c>
      <c r="BF45">
        <v>0</v>
      </c>
      <c r="BG45">
        <f>VLOOKUP(F45,'[1]SALARY WORKING'!$F$12:$DL$66,111,0)</f>
        <v>1.5</v>
      </c>
      <c r="BH45">
        <v>0.57999999999999996</v>
      </c>
      <c r="BI45">
        <v>1.08</v>
      </c>
      <c r="BJ45">
        <v>1</v>
      </c>
      <c r="BK45">
        <v>3.5</v>
      </c>
      <c r="BL45">
        <v>1.25</v>
      </c>
      <c r="BM45">
        <v>4.75</v>
      </c>
      <c r="BN45">
        <v>0</v>
      </c>
      <c r="BO45">
        <v>0</v>
      </c>
      <c r="BP45">
        <v>0</v>
      </c>
      <c r="BQ45">
        <v>0</v>
      </c>
      <c r="BR45">
        <v>0</v>
      </c>
      <c r="BS45" s="4">
        <v>152.79</v>
      </c>
      <c r="BT45" s="4">
        <v>662.09</v>
      </c>
      <c r="BU45" s="4">
        <v>814.88</v>
      </c>
      <c r="BV45" s="4">
        <v>1800</v>
      </c>
      <c r="BW45">
        <v>1950</v>
      </c>
      <c r="BX45" s="4">
        <f t="shared" si="1"/>
        <v>3750</v>
      </c>
      <c r="BY45">
        <v>130</v>
      </c>
      <c r="BZ45">
        <f>VLOOKUP(F45,'[1]SALARY WORKING'!$F$12:$CR$66,91,0)</f>
        <v>0</v>
      </c>
      <c r="CA45" s="4">
        <f t="shared" si="2"/>
        <v>2083.29</v>
      </c>
      <c r="CB45">
        <v>30</v>
      </c>
    </row>
    <row r="46" spans="2:80" x14ac:dyDescent="0.35">
      <c r="B46" s="1" t="s">
        <v>99</v>
      </c>
      <c r="D46" t="s">
        <v>100</v>
      </c>
      <c r="E46" t="s">
        <v>101</v>
      </c>
      <c r="F46" t="s">
        <v>145</v>
      </c>
      <c r="G46" t="s">
        <v>199</v>
      </c>
      <c r="H46" t="s">
        <v>82</v>
      </c>
      <c r="I46" t="s">
        <v>80</v>
      </c>
      <c r="J46">
        <v>30</v>
      </c>
      <c r="K46">
        <v>0</v>
      </c>
      <c r="L46">
        <v>4</v>
      </c>
      <c r="M46">
        <v>1.5</v>
      </c>
      <c r="N46">
        <v>22.5</v>
      </c>
      <c r="O46">
        <v>0</v>
      </c>
      <c r="P46">
        <v>3</v>
      </c>
      <c r="Q46">
        <v>0</v>
      </c>
      <c r="R46">
        <v>3.5</v>
      </c>
      <c r="S46">
        <v>0</v>
      </c>
      <c r="T46" s="3">
        <v>0.5</v>
      </c>
      <c r="U46">
        <f t="shared" si="0"/>
        <v>0</v>
      </c>
      <c r="V46" s="4">
        <v>0</v>
      </c>
      <c r="W46">
        <v>32</v>
      </c>
      <c r="X46">
        <v>15000</v>
      </c>
      <c r="Y46">
        <v>0</v>
      </c>
      <c r="Z46">
        <v>15000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s="4">
        <v>5372</v>
      </c>
      <c r="AL46">
        <v>5372</v>
      </c>
      <c r="AM46">
        <v>0</v>
      </c>
      <c r="AN46">
        <v>0</v>
      </c>
      <c r="AO46">
        <v>0</v>
      </c>
      <c r="AP46">
        <v>0</v>
      </c>
      <c r="AQ46">
        <f>VLOOKUP(F46,'[1]SALARY WORKING'!$F$12:$CG$66,80,0)</f>
        <v>20372</v>
      </c>
      <c r="AR46">
        <f>VLOOKUP(F46,'[1]SALARY WORKING'!$F$12:$CF$66,79,0)</f>
        <v>20372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 s="4">
        <v>18448.71</v>
      </c>
      <c r="BA46">
        <v>0</v>
      </c>
      <c r="BB46">
        <v>0</v>
      </c>
      <c r="BC46" s="4">
        <f>VLOOKUP(F46,'[1]SALARY WORKING'!$F$12:$CA$66,74,0)</f>
        <v>0</v>
      </c>
      <c r="BD46">
        <v>0</v>
      </c>
      <c r="BE46">
        <v>160</v>
      </c>
      <c r="BF46">
        <v>0</v>
      </c>
      <c r="BG46">
        <f>VLOOKUP(F46,'[1]SALARY WORKING'!$F$12:$DL$66,111,0)</f>
        <v>0.5</v>
      </c>
      <c r="BH46">
        <v>0.57999999999999996</v>
      </c>
      <c r="BI46">
        <v>0.58000000000000007</v>
      </c>
      <c r="BJ46">
        <v>0.5</v>
      </c>
      <c r="BK46">
        <v>3.5</v>
      </c>
      <c r="BL46">
        <v>1.25</v>
      </c>
      <c r="BM46">
        <v>1.75</v>
      </c>
      <c r="BN46">
        <v>3</v>
      </c>
      <c r="BO46">
        <v>0</v>
      </c>
      <c r="BP46">
        <v>0</v>
      </c>
      <c r="BQ46">
        <v>0</v>
      </c>
      <c r="BR46">
        <v>0</v>
      </c>
      <c r="BS46" s="4">
        <v>152.79</v>
      </c>
      <c r="BT46" s="4">
        <v>662.09</v>
      </c>
      <c r="BU46" s="4">
        <v>814.88</v>
      </c>
      <c r="BV46" s="4">
        <v>1800</v>
      </c>
      <c r="BW46">
        <v>1950</v>
      </c>
      <c r="BX46" s="4">
        <f t="shared" si="1"/>
        <v>3750</v>
      </c>
      <c r="BY46">
        <v>130</v>
      </c>
      <c r="BZ46">
        <f>VLOOKUP(F46,'[1]SALARY WORKING'!$F$12:$CR$66,91,0)</f>
        <v>0</v>
      </c>
      <c r="CA46" s="4">
        <f t="shared" si="2"/>
        <v>2083.29</v>
      </c>
      <c r="CB46">
        <v>30</v>
      </c>
    </row>
    <row r="47" spans="2:80" x14ac:dyDescent="0.35">
      <c r="B47" s="1" t="s">
        <v>99</v>
      </c>
      <c r="D47" t="s">
        <v>100</v>
      </c>
      <c r="E47" t="s">
        <v>101</v>
      </c>
      <c r="F47" t="s">
        <v>146</v>
      </c>
      <c r="G47" t="s">
        <v>97</v>
      </c>
      <c r="H47" t="s">
        <v>209</v>
      </c>
      <c r="I47" t="s">
        <v>218</v>
      </c>
      <c r="J47">
        <v>30</v>
      </c>
      <c r="K47">
        <v>0</v>
      </c>
      <c r="L47">
        <v>4</v>
      </c>
      <c r="M47">
        <v>1</v>
      </c>
      <c r="N47">
        <v>23</v>
      </c>
      <c r="O47">
        <v>0</v>
      </c>
      <c r="P47">
        <v>3</v>
      </c>
      <c r="Q47">
        <v>0</v>
      </c>
      <c r="R47">
        <v>1</v>
      </c>
      <c r="S47">
        <v>0</v>
      </c>
      <c r="T47" s="3">
        <v>0.5</v>
      </c>
      <c r="U47">
        <f t="shared" si="0"/>
        <v>0</v>
      </c>
      <c r="V47" s="4">
        <v>0</v>
      </c>
      <c r="W47">
        <v>29</v>
      </c>
      <c r="X47">
        <v>15000</v>
      </c>
      <c r="Y47">
        <v>0</v>
      </c>
      <c r="Z47">
        <v>15000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s="4">
        <v>5376</v>
      </c>
      <c r="AL47">
        <v>5376</v>
      </c>
      <c r="AM47">
        <v>0</v>
      </c>
      <c r="AN47">
        <v>0</v>
      </c>
      <c r="AO47">
        <v>0</v>
      </c>
      <c r="AP47">
        <v>0</v>
      </c>
      <c r="AQ47">
        <f>VLOOKUP(F47,'[1]SALARY WORKING'!$F$12:$CG$66,80,0)</f>
        <v>20376</v>
      </c>
      <c r="AR47">
        <f>VLOOKUP(F47,'[1]SALARY WORKING'!$F$12:$CF$66,79,0)</f>
        <v>20376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 s="4">
        <v>18372.68</v>
      </c>
      <c r="BA47">
        <v>0</v>
      </c>
      <c r="BB47">
        <v>0</v>
      </c>
      <c r="BC47" s="4">
        <f>VLOOKUP(F47,'[1]SALARY WORKING'!$F$12:$CA$66,74,0)</f>
        <v>0</v>
      </c>
      <c r="BD47">
        <v>0</v>
      </c>
      <c r="BE47">
        <v>80</v>
      </c>
      <c r="BF47">
        <v>0</v>
      </c>
      <c r="BG47">
        <f>VLOOKUP(F47,'[1]SALARY WORKING'!$F$12:$DL$66,111,0)</f>
        <v>0.5</v>
      </c>
      <c r="BH47">
        <v>0.57999999999999996</v>
      </c>
      <c r="BI47">
        <v>1.08</v>
      </c>
      <c r="BJ47">
        <v>0</v>
      </c>
      <c r="BK47">
        <v>1.5</v>
      </c>
      <c r="BL47">
        <v>1.25</v>
      </c>
      <c r="BM47">
        <v>1.75</v>
      </c>
      <c r="BN47">
        <v>1</v>
      </c>
      <c r="BO47">
        <v>0</v>
      </c>
      <c r="BP47">
        <v>0</v>
      </c>
      <c r="BQ47">
        <v>0</v>
      </c>
      <c r="BR47">
        <v>0</v>
      </c>
      <c r="BS47" s="4">
        <v>152.82</v>
      </c>
      <c r="BT47" s="4">
        <v>662.22</v>
      </c>
      <c r="BU47" s="4">
        <v>815.04</v>
      </c>
      <c r="BV47" s="4">
        <v>1800</v>
      </c>
      <c r="BW47">
        <v>1950</v>
      </c>
      <c r="BX47" s="4">
        <f t="shared" si="1"/>
        <v>3750</v>
      </c>
      <c r="BY47">
        <v>130</v>
      </c>
      <c r="BZ47">
        <f>VLOOKUP(F47,'[1]SALARY WORKING'!$F$12:$CR$66,91,0)</f>
        <v>0</v>
      </c>
      <c r="CA47" s="4">
        <f t="shared" si="2"/>
        <v>2083.3199999999997</v>
      </c>
      <c r="CB47">
        <v>30</v>
      </c>
    </row>
    <row r="48" spans="2:80" x14ac:dyDescent="0.35">
      <c r="B48" s="1" t="s">
        <v>99</v>
      </c>
      <c r="D48" t="s">
        <v>100</v>
      </c>
      <c r="E48" t="s">
        <v>101</v>
      </c>
      <c r="F48" t="s">
        <v>147</v>
      </c>
      <c r="G48" t="s">
        <v>200</v>
      </c>
      <c r="H48" t="s">
        <v>209</v>
      </c>
      <c r="I48" t="s">
        <v>216</v>
      </c>
      <c r="J48">
        <v>30</v>
      </c>
      <c r="K48">
        <v>0</v>
      </c>
      <c r="L48">
        <v>4</v>
      </c>
      <c r="M48">
        <v>2</v>
      </c>
      <c r="N48">
        <v>22</v>
      </c>
      <c r="O48">
        <v>0</v>
      </c>
      <c r="P48">
        <v>3</v>
      </c>
      <c r="Q48">
        <v>0</v>
      </c>
      <c r="R48">
        <v>1</v>
      </c>
      <c r="S48">
        <v>0</v>
      </c>
      <c r="T48" s="3">
        <v>0.5</v>
      </c>
      <c r="U48">
        <f t="shared" si="0"/>
        <v>0</v>
      </c>
      <c r="V48" s="4">
        <v>0</v>
      </c>
      <c r="W48">
        <v>28</v>
      </c>
      <c r="X48">
        <v>15000</v>
      </c>
      <c r="Y48">
        <v>0</v>
      </c>
      <c r="Z48">
        <v>15000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s="4">
        <v>5372</v>
      </c>
      <c r="AL48">
        <v>5372</v>
      </c>
      <c r="AM48">
        <v>0</v>
      </c>
      <c r="AN48">
        <v>0</v>
      </c>
      <c r="AO48">
        <v>0</v>
      </c>
      <c r="AP48">
        <v>0</v>
      </c>
      <c r="AQ48">
        <f>VLOOKUP(F48,'[1]SALARY WORKING'!$F$12:$CG$66,80,0)</f>
        <v>20372</v>
      </c>
      <c r="AR48">
        <f>VLOOKUP(F48,'[1]SALARY WORKING'!$F$12:$CF$66,79,0)</f>
        <v>20372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 s="4">
        <v>18368.71</v>
      </c>
      <c r="BA48">
        <v>0</v>
      </c>
      <c r="BB48">
        <v>0</v>
      </c>
      <c r="BC48" s="4">
        <f>VLOOKUP(F48,'[1]SALARY WORKING'!$F$12:$CA$66,74,0)</f>
        <v>0</v>
      </c>
      <c r="BD48">
        <v>0</v>
      </c>
      <c r="BE48">
        <v>80</v>
      </c>
      <c r="BF48">
        <v>0</v>
      </c>
      <c r="BG48">
        <f>VLOOKUP(F48,'[1]SALARY WORKING'!$F$12:$DL$66,111,0)</f>
        <v>0.5</v>
      </c>
      <c r="BH48">
        <v>0.57999999999999996</v>
      </c>
      <c r="BI48">
        <v>1.08</v>
      </c>
      <c r="BJ48">
        <v>0</v>
      </c>
      <c r="BK48">
        <v>1.5</v>
      </c>
      <c r="BL48">
        <v>1.25</v>
      </c>
      <c r="BM48">
        <v>1.75</v>
      </c>
      <c r="BN48">
        <v>1</v>
      </c>
      <c r="BO48">
        <v>0</v>
      </c>
      <c r="BP48">
        <v>0</v>
      </c>
      <c r="BQ48">
        <v>0</v>
      </c>
      <c r="BR48">
        <v>0</v>
      </c>
      <c r="BS48" s="4">
        <v>152.79</v>
      </c>
      <c r="BT48" s="4">
        <v>662.09</v>
      </c>
      <c r="BU48" s="4">
        <v>814.88</v>
      </c>
      <c r="BV48" s="4">
        <v>1800</v>
      </c>
      <c r="BW48">
        <v>1950</v>
      </c>
      <c r="BX48" s="4">
        <f t="shared" si="1"/>
        <v>3750</v>
      </c>
      <c r="BY48">
        <v>130</v>
      </c>
      <c r="BZ48">
        <f>VLOOKUP(F48,'[1]SALARY WORKING'!$F$12:$CR$66,91,0)</f>
        <v>0</v>
      </c>
      <c r="CA48" s="4">
        <f t="shared" si="2"/>
        <v>2083.29</v>
      </c>
      <c r="CB48">
        <v>30</v>
      </c>
    </row>
    <row r="49" spans="2:80" x14ac:dyDescent="0.35">
      <c r="B49" s="1" t="s">
        <v>99</v>
      </c>
      <c r="D49" t="s">
        <v>100</v>
      </c>
      <c r="E49" t="s">
        <v>101</v>
      </c>
      <c r="F49" t="s">
        <v>148</v>
      </c>
      <c r="G49" t="s">
        <v>201</v>
      </c>
      <c r="H49" t="s">
        <v>209</v>
      </c>
      <c r="I49" t="s">
        <v>216</v>
      </c>
      <c r="J49">
        <v>30</v>
      </c>
      <c r="K49">
        <v>0</v>
      </c>
      <c r="L49">
        <v>5</v>
      </c>
      <c r="M49">
        <v>2</v>
      </c>
      <c r="N49">
        <v>22</v>
      </c>
      <c r="O49">
        <v>0</v>
      </c>
      <c r="P49">
        <v>3</v>
      </c>
      <c r="Q49">
        <v>0</v>
      </c>
      <c r="R49">
        <v>2</v>
      </c>
      <c r="S49">
        <v>0</v>
      </c>
      <c r="T49" s="3">
        <v>0.5</v>
      </c>
      <c r="U49">
        <f t="shared" si="0"/>
        <v>0</v>
      </c>
      <c r="V49" s="4">
        <v>0</v>
      </c>
      <c r="W49">
        <v>30</v>
      </c>
      <c r="X49">
        <v>15000</v>
      </c>
      <c r="Y49">
        <v>0</v>
      </c>
      <c r="Z49">
        <v>15000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s="4">
        <v>5372</v>
      </c>
      <c r="AL49">
        <v>5372</v>
      </c>
      <c r="AM49">
        <v>0</v>
      </c>
      <c r="AN49">
        <v>0</v>
      </c>
      <c r="AO49">
        <v>0</v>
      </c>
      <c r="AP49">
        <v>0</v>
      </c>
      <c r="AQ49">
        <f>VLOOKUP(F49,'[1]SALARY WORKING'!$F$12:$CG$66,80,0)</f>
        <v>20372</v>
      </c>
      <c r="AR49">
        <f>VLOOKUP(F49,'[1]SALARY WORKING'!$F$12:$CF$66,79,0)</f>
        <v>20372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 s="4">
        <v>18368.71</v>
      </c>
      <c r="BA49">
        <v>0</v>
      </c>
      <c r="BB49">
        <v>0</v>
      </c>
      <c r="BC49" s="4">
        <f>VLOOKUP(F49,'[1]SALARY WORKING'!$F$12:$CA$66,74,0)</f>
        <v>0</v>
      </c>
      <c r="BD49">
        <v>0</v>
      </c>
      <c r="BE49">
        <v>80</v>
      </c>
      <c r="BF49">
        <v>0</v>
      </c>
      <c r="BG49">
        <f>VLOOKUP(F49,'[1]SALARY WORKING'!$F$12:$DL$66,111,0)</f>
        <v>1.5</v>
      </c>
      <c r="BH49">
        <v>0.57999999999999996</v>
      </c>
      <c r="BI49">
        <v>1.08</v>
      </c>
      <c r="BJ49">
        <v>1</v>
      </c>
      <c r="BK49">
        <v>1</v>
      </c>
      <c r="BL49">
        <v>1.25</v>
      </c>
      <c r="BM49">
        <v>1.25</v>
      </c>
      <c r="BN49">
        <v>1</v>
      </c>
      <c r="BO49">
        <v>0</v>
      </c>
      <c r="BP49">
        <v>0</v>
      </c>
      <c r="BQ49">
        <v>0</v>
      </c>
      <c r="BR49">
        <v>0</v>
      </c>
      <c r="BS49" s="4">
        <v>152.79</v>
      </c>
      <c r="BT49" s="4">
        <v>662.09</v>
      </c>
      <c r="BU49" s="4">
        <v>814.88</v>
      </c>
      <c r="BV49" s="4">
        <v>1800</v>
      </c>
      <c r="BW49">
        <v>1950</v>
      </c>
      <c r="BX49" s="4">
        <f t="shared" si="1"/>
        <v>3750</v>
      </c>
      <c r="BY49">
        <v>130</v>
      </c>
      <c r="BZ49">
        <f>VLOOKUP(F49,'[1]SALARY WORKING'!$F$12:$CR$66,91,0)</f>
        <v>0</v>
      </c>
      <c r="CA49" s="4">
        <f t="shared" si="2"/>
        <v>2083.29</v>
      </c>
      <c r="CB49">
        <v>30</v>
      </c>
    </row>
    <row r="50" spans="2:80" x14ac:dyDescent="0.35">
      <c r="B50" s="1" t="s">
        <v>99</v>
      </c>
      <c r="D50" t="s">
        <v>100</v>
      </c>
      <c r="E50" t="s">
        <v>101</v>
      </c>
      <c r="F50" t="s">
        <v>149</v>
      </c>
      <c r="G50" t="s">
        <v>202</v>
      </c>
      <c r="H50" t="s">
        <v>209</v>
      </c>
      <c r="I50" t="s">
        <v>213</v>
      </c>
      <c r="J50">
        <v>30</v>
      </c>
      <c r="K50">
        <v>0</v>
      </c>
      <c r="L50">
        <v>4</v>
      </c>
      <c r="M50">
        <v>0.5</v>
      </c>
      <c r="N50">
        <v>23.5</v>
      </c>
      <c r="O50">
        <v>0</v>
      </c>
      <c r="P50">
        <v>3</v>
      </c>
      <c r="Q50">
        <v>0</v>
      </c>
      <c r="R50">
        <v>2.5</v>
      </c>
      <c r="S50">
        <v>0</v>
      </c>
      <c r="T50" s="3">
        <v>0.5</v>
      </c>
      <c r="U50">
        <f t="shared" si="0"/>
        <v>0</v>
      </c>
      <c r="V50" s="4">
        <v>0</v>
      </c>
      <c r="W50">
        <v>33</v>
      </c>
      <c r="X50">
        <v>15000</v>
      </c>
      <c r="Y50">
        <v>0</v>
      </c>
      <c r="Z50">
        <v>15000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s="4">
        <v>5372</v>
      </c>
      <c r="AL50">
        <v>5372</v>
      </c>
      <c r="AM50">
        <v>0</v>
      </c>
      <c r="AN50">
        <v>0</v>
      </c>
      <c r="AO50">
        <v>0</v>
      </c>
      <c r="AP50">
        <v>0</v>
      </c>
      <c r="AQ50">
        <f>VLOOKUP(F50,'[1]SALARY WORKING'!$F$12:$CG$66,80,0)</f>
        <v>20372</v>
      </c>
      <c r="AR50">
        <f>VLOOKUP(F50,'[1]SALARY WORKING'!$F$12:$CF$66,79,0)</f>
        <v>20372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 s="4">
        <v>18528.71</v>
      </c>
      <c r="BA50">
        <v>0</v>
      </c>
      <c r="BB50">
        <v>0</v>
      </c>
      <c r="BC50" s="4">
        <f>VLOOKUP(F50,'[1]SALARY WORKING'!$F$12:$CA$66,74,0)</f>
        <v>0</v>
      </c>
      <c r="BD50">
        <v>0.5</v>
      </c>
      <c r="BE50">
        <v>240</v>
      </c>
      <c r="BF50">
        <v>0</v>
      </c>
      <c r="BG50">
        <f>VLOOKUP(F50,'[1]SALARY WORKING'!$F$12:$DL$66,111,0)</f>
        <v>0.5</v>
      </c>
      <c r="BH50">
        <v>0.57999999999999996</v>
      </c>
      <c r="BI50">
        <v>0.58000000000000007</v>
      </c>
      <c r="BJ50">
        <v>0.5</v>
      </c>
      <c r="BK50">
        <v>3</v>
      </c>
      <c r="BL50">
        <v>1.25</v>
      </c>
      <c r="BM50">
        <v>2.25</v>
      </c>
      <c r="BN50">
        <v>2</v>
      </c>
      <c r="BO50">
        <v>0</v>
      </c>
      <c r="BP50">
        <v>0</v>
      </c>
      <c r="BQ50">
        <v>0</v>
      </c>
      <c r="BR50">
        <v>0</v>
      </c>
      <c r="BS50" s="4">
        <v>152.79</v>
      </c>
      <c r="BT50" s="4">
        <v>662.09</v>
      </c>
      <c r="BU50" s="4">
        <v>814.88</v>
      </c>
      <c r="BV50" s="4">
        <v>1800</v>
      </c>
      <c r="BW50">
        <v>1950</v>
      </c>
      <c r="BX50" s="4">
        <f t="shared" si="1"/>
        <v>3750</v>
      </c>
      <c r="BY50">
        <v>130</v>
      </c>
      <c r="BZ50">
        <f>VLOOKUP(F50,'[1]SALARY WORKING'!$F$12:$CR$66,91,0)</f>
        <v>0</v>
      </c>
      <c r="CA50" s="4">
        <f t="shared" si="2"/>
        <v>2083.29</v>
      </c>
      <c r="CB50">
        <v>30</v>
      </c>
    </row>
    <row r="51" spans="2:80" x14ac:dyDescent="0.35">
      <c r="B51" s="1" t="s">
        <v>99</v>
      </c>
      <c r="D51" t="s">
        <v>100</v>
      </c>
      <c r="E51" t="s">
        <v>101</v>
      </c>
      <c r="F51" t="s">
        <v>150</v>
      </c>
      <c r="G51" t="s">
        <v>203</v>
      </c>
      <c r="H51" t="s">
        <v>209</v>
      </c>
      <c r="I51" t="s">
        <v>213</v>
      </c>
      <c r="J51">
        <v>28</v>
      </c>
      <c r="K51">
        <v>0</v>
      </c>
      <c r="L51">
        <v>3</v>
      </c>
      <c r="M51">
        <v>4.5</v>
      </c>
      <c r="N51">
        <v>19.5</v>
      </c>
      <c r="O51">
        <v>0</v>
      </c>
      <c r="P51">
        <v>3</v>
      </c>
      <c r="Q51">
        <v>0</v>
      </c>
      <c r="R51">
        <v>2.5</v>
      </c>
      <c r="S51">
        <v>0</v>
      </c>
      <c r="T51" s="3">
        <v>0.5</v>
      </c>
      <c r="U51">
        <f t="shared" si="0"/>
        <v>2</v>
      </c>
      <c r="V51" s="4">
        <v>0</v>
      </c>
      <c r="W51">
        <v>26.5</v>
      </c>
      <c r="X51">
        <v>14000</v>
      </c>
      <c r="Y51">
        <v>0</v>
      </c>
      <c r="Z51">
        <v>15000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s="4">
        <v>5013.87</v>
      </c>
      <c r="AL51">
        <v>5372</v>
      </c>
      <c r="AM51">
        <v>0</v>
      </c>
      <c r="AN51">
        <v>0</v>
      </c>
      <c r="AO51">
        <v>0</v>
      </c>
      <c r="AP51">
        <v>0</v>
      </c>
      <c r="AQ51">
        <f>VLOOKUP(F51,'[1]SALARY WORKING'!$F$12:$CG$66,80,0)</f>
        <v>19013.87</v>
      </c>
      <c r="AR51">
        <f>VLOOKUP(F51,'[1]SALARY WORKING'!$F$12:$CF$66,79,0)</f>
        <v>20372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 s="4">
        <v>17180.765974999998</v>
      </c>
      <c r="BA51">
        <v>0</v>
      </c>
      <c r="BB51">
        <v>0</v>
      </c>
      <c r="BC51" s="4">
        <f>VLOOKUP(F51,'[1]SALARY WORKING'!$F$12:$CA$66,74,0)</f>
        <v>0</v>
      </c>
      <c r="BD51">
        <v>0</v>
      </c>
      <c r="BE51">
        <v>120</v>
      </c>
      <c r="BF51">
        <v>0</v>
      </c>
      <c r="BG51">
        <f>VLOOKUP(F51,'[1]SALARY WORKING'!$F$12:$DL$66,111,0)</f>
        <v>0.5</v>
      </c>
      <c r="BH51">
        <v>0.54</v>
      </c>
      <c r="BI51">
        <v>0.54</v>
      </c>
      <c r="BJ51">
        <v>0.5</v>
      </c>
      <c r="BK51">
        <v>2</v>
      </c>
      <c r="BL51">
        <v>1.17</v>
      </c>
      <c r="BM51">
        <v>1.17</v>
      </c>
      <c r="BN51">
        <v>2</v>
      </c>
      <c r="BO51">
        <v>0</v>
      </c>
      <c r="BP51">
        <v>0</v>
      </c>
      <c r="BQ51">
        <v>0</v>
      </c>
      <c r="BR51">
        <v>0</v>
      </c>
      <c r="BS51" s="4">
        <v>142.60402499999998</v>
      </c>
      <c r="BT51" s="4">
        <v>617.95077500000002</v>
      </c>
      <c r="BU51" s="4">
        <v>760.5548</v>
      </c>
      <c r="BV51" s="4">
        <v>1680</v>
      </c>
      <c r="BW51">
        <v>1820</v>
      </c>
      <c r="BX51" s="4">
        <f t="shared" si="1"/>
        <v>3500</v>
      </c>
      <c r="BY51">
        <v>130</v>
      </c>
      <c r="BZ51">
        <f>VLOOKUP(F51,'[1]SALARY WORKING'!$F$12:$CR$66,91,0)</f>
        <v>0</v>
      </c>
      <c r="CA51" s="4">
        <f t="shared" si="2"/>
        <v>1953.1040250000001</v>
      </c>
      <c r="CB51">
        <v>30</v>
      </c>
    </row>
    <row r="52" spans="2:80" x14ac:dyDescent="0.35">
      <c r="B52" s="1" t="s">
        <v>99</v>
      </c>
      <c r="D52" t="s">
        <v>100</v>
      </c>
      <c r="E52" t="s">
        <v>101</v>
      </c>
      <c r="F52" t="s">
        <v>151</v>
      </c>
      <c r="G52" t="s">
        <v>204</v>
      </c>
      <c r="H52" t="s">
        <v>209</v>
      </c>
      <c r="I52" t="s">
        <v>213</v>
      </c>
      <c r="J52">
        <v>30</v>
      </c>
      <c r="K52">
        <v>0</v>
      </c>
      <c r="L52">
        <v>4</v>
      </c>
      <c r="M52">
        <v>0.5</v>
      </c>
      <c r="N52">
        <v>23.5</v>
      </c>
      <c r="O52">
        <v>0</v>
      </c>
      <c r="P52">
        <v>3</v>
      </c>
      <c r="Q52">
        <v>0</v>
      </c>
      <c r="R52">
        <v>2.5</v>
      </c>
      <c r="S52">
        <v>0</v>
      </c>
      <c r="T52" s="3">
        <v>0.5</v>
      </c>
      <c r="U52">
        <f t="shared" si="0"/>
        <v>0</v>
      </c>
      <c r="V52" s="4">
        <v>0</v>
      </c>
      <c r="W52">
        <v>32.5</v>
      </c>
      <c r="X52">
        <v>15000</v>
      </c>
      <c r="Y52">
        <v>0</v>
      </c>
      <c r="Z52">
        <v>15000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s="4">
        <v>5372</v>
      </c>
      <c r="AL52">
        <v>5372</v>
      </c>
      <c r="AM52">
        <v>0</v>
      </c>
      <c r="AN52">
        <v>0</v>
      </c>
      <c r="AO52">
        <v>0</v>
      </c>
      <c r="AP52">
        <v>0</v>
      </c>
      <c r="AQ52">
        <f>VLOOKUP(F52,'[1]SALARY WORKING'!$F$12:$CG$66,80,0)</f>
        <v>20372</v>
      </c>
      <c r="AR52">
        <f>VLOOKUP(F52,'[1]SALARY WORKING'!$F$12:$CF$66,79,0)</f>
        <v>20372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 s="4">
        <v>18488.71</v>
      </c>
      <c r="BA52">
        <v>0</v>
      </c>
      <c r="BB52">
        <v>0</v>
      </c>
      <c r="BC52" s="4">
        <f>VLOOKUP(F52,'[1]SALARY WORKING'!$F$12:$CA$66,74,0)</f>
        <v>0</v>
      </c>
      <c r="BD52">
        <v>0.5</v>
      </c>
      <c r="BE52">
        <v>200</v>
      </c>
      <c r="BF52">
        <v>0</v>
      </c>
      <c r="BG52">
        <f>VLOOKUP(F52,'[1]SALARY WORKING'!$F$12:$DL$66,111,0)</f>
        <v>0.5</v>
      </c>
      <c r="BH52">
        <v>0.57999999999999996</v>
      </c>
      <c r="BI52">
        <v>0.58000000000000007</v>
      </c>
      <c r="BJ52">
        <v>0.5</v>
      </c>
      <c r="BK52">
        <v>2.5</v>
      </c>
      <c r="BL52">
        <v>1.25</v>
      </c>
      <c r="BM52">
        <v>1.75</v>
      </c>
      <c r="BN52">
        <v>2</v>
      </c>
      <c r="BO52">
        <v>0</v>
      </c>
      <c r="BP52">
        <v>0</v>
      </c>
      <c r="BQ52">
        <v>0</v>
      </c>
      <c r="BR52">
        <v>0</v>
      </c>
      <c r="BS52" s="4">
        <v>152.79</v>
      </c>
      <c r="BT52" s="4">
        <v>662.09</v>
      </c>
      <c r="BU52" s="4">
        <v>814.88</v>
      </c>
      <c r="BV52" s="4">
        <v>1800</v>
      </c>
      <c r="BW52">
        <v>1950</v>
      </c>
      <c r="BX52" s="4">
        <f t="shared" si="1"/>
        <v>3750</v>
      </c>
      <c r="BY52">
        <v>130</v>
      </c>
      <c r="BZ52">
        <f>VLOOKUP(F52,'[1]SALARY WORKING'!$F$12:$CR$66,91,0)</f>
        <v>0</v>
      </c>
      <c r="CA52" s="4">
        <f t="shared" si="2"/>
        <v>2083.29</v>
      </c>
      <c r="CB52">
        <v>30</v>
      </c>
    </row>
    <row r="53" spans="2:80" x14ac:dyDescent="0.35">
      <c r="B53" s="1" t="s">
        <v>99</v>
      </c>
      <c r="D53" t="s">
        <v>100</v>
      </c>
      <c r="E53" t="s">
        <v>101</v>
      </c>
      <c r="F53" t="s">
        <v>152</v>
      </c>
      <c r="G53" t="s">
        <v>205</v>
      </c>
      <c r="H53" t="s">
        <v>209</v>
      </c>
      <c r="I53" t="s">
        <v>218</v>
      </c>
      <c r="J53">
        <v>30</v>
      </c>
      <c r="K53">
        <v>0</v>
      </c>
      <c r="L53">
        <v>4</v>
      </c>
      <c r="M53">
        <v>3</v>
      </c>
      <c r="N53">
        <v>21</v>
      </c>
      <c r="O53">
        <v>0</v>
      </c>
      <c r="P53">
        <v>3</v>
      </c>
      <c r="Q53">
        <v>0</v>
      </c>
      <c r="R53">
        <v>2</v>
      </c>
      <c r="S53">
        <v>0</v>
      </c>
      <c r="T53" s="3">
        <v>0.5</v>
      </c>
      <c r="U53">
        <f t="shared" si="0"/>
        <v>0</v>
      </c>
      <c r="V53" s="4">
        <v>0</v>
      </c>
      <c r="W53">
        <v>29</v>
      </c>
      <c r="X53">
        <v>15000</v>
      </c>
      <c r="Y53">
        <v>0</v>
      </c>
      <c r="Z53">
        <v>15000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s="4">
        <v>5282.47</v>
      </c>
      <c r="AL53">
        <v>5372</v>
      </c>
      <c r="AM53">
        <v>0</v>
      </c>
      <c r="AN53">
        <v>0</v>
      </c>
      <c r="AO53">
        <v>0</v>
      </c>
      <c r="AP53">
        <v>0</v>
      </c>
      <c r="AQ53">
        <f>VLOOKUP(F53,'[1]SALARY WORKING'!$F$12:$CG$66,80,0)</f>
        <v>20282.47</v>
      </c>
      <c r="AR53">
        <f>VLOOKUP(F53,'[1]SALARY WORKING'!$F$12:$CF$66,79,0)</f>
        <v>20372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 s="4">
        <v>18359.851475000003</v>
      </c>
      <c r="BA53">
        <v>0</v>
      </c>
      <c r="BB53">
        <v>0</v>
      </c>
      <c r="BC53" s="4">
        <f>VLOOKUP(F53,'[1]SALARY WORKING'!$F$12:$CA$66,74,0)</f>
        <v>0</v>
      </c>
      <c r="BD53">
        <v>0</v>
      </c>
      <c r="BE53">
        <v>160</v>
      </c>
      <c r="BF53">
        <v>0</v>
      </c>
      <c r="BG53">
        <f>VLOOKUP(F53,'[1]SALARY WORKING'!$F$12:$DL$66,111,0)</f>
        <v>1</v>
      </c>
      <c r="BH53">
        <v>0.56999999999999995</v>
      </c>
      <c r="BI53">
        <v>0.56999999999999984</v>
      </c>
      <c r="BJ53">
        <v>1</v>
      </c>
      <c r="BK53">
        <v>1.5</v>
      </c>
      <c r="BL53">
        <v>1.23</v>
      </c>
      <c r="BM53">
        <v>1.73</v>
      </c>
      <c r="BN53">
        <v>1</v>
      </c>
      <c r="BO53">
        <v>0</v>
      </c>
      <c r="BP53">
        <v>0</v>
      </c>
      <c r="BQ53">
        <v>0</v>
      </c>
      <c r="BR53">
        <v>0</v>
      </c>
      <c r="BS53" s="4">
        <v>152.11852500000001</v>
      </c>
      <c r="BT53" s="4">
        <v>659.18027500000005</v>
      </c>
      <c r="BU53" s="4">
        <v>811.29880000000003</v>
      </c>
      <c r="BV53" s="4">
        <v>1800</v>
      </c>
      <c r="BW53">
        <v>1950</v>
      </c>
      <c r="BX53" s="4">
        <f t="shared" si="1"/>
        <v>3750</v>
      </c>
      <c r="BY53">
        <v>130</v>
      </c>
      <c r="BZ53">
        <f>VLOOKUP(F53,'[1]SALARY WORKING'!$F$12:$CR$66,91,0)</f>
        <v>0</v>
      </c>
      <c r="CA53" s="4">
        <f t="shared" si="2"/>
        <v>2082.6185249999999</v>
      </c>
      <c r="CB53">
        <v>30</v>
      </c>
    </row>
    <row r="54" spans="2:80" x14ac:dyDescent="0.35">
      <c r="B54" s="1" t="s">
        <v>99</v>
      </c>
      <c r="D54" t="s">
        <v>100</v>
      </c>
      <c r="E54" t="s">
        <v>101</v>
      </c>
      <c r="F54" t="s">
        <v>153</v>
      </c>
      <c r="G54" t="s">
        <v>206</v>
      </c>
      <c r="H54" t="s">
        <v>94</v>
      </c>
      <c r="I54" t="s">
        <v>95</v>
      </c>
      <c r="J54">
        <v>30</v>
      </c>
      <c r="K54">
        <v>0</v>
      </c>
      <c r="L54">
        <v>4</v>
      </c>
      <c r="M54">
        <v>1</v>
      </c>
      <c r="N54">
        <v>23</v>
      </c>
      <c r="O54">
        <v>0</v>
      </c>
      <c r="P54">
        <v>3</v>
      </c>
      <c r="Q54">
        <v>0</v>
      </c>
      <c r="R54">
        <v>2.5</v>
      </c>
      <c r="S54">
        <v>0</v>
      </c>
      <c r="T54" s="3">
        <v>0.5</v>
      </c>
      <c r="U54">
        <f t="shared" si="0"/>
        <v>0</v>
      </c>
      <c r="V54" s="4">
        <v>0</v>
      </c>
      <c r="W54">
        <v>32</v>
      </c>
      <c r="X54">
        <v>15000</v>
      </c>
      <c r="Y54">
        <v>0</v>
      </c>
      <c r="Z54">
        <v>15000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s="4">
        <v>3480</v>
      </c>
      <c r="AL54">
        <v>3480</v>
      </c>
      <c r="AM54">
        <v>0</v>
      </c>
      <c r="AN54">
        <v>0</v>
      </c>
      <c r="AO54">
        <v>0</v>
      </c>
      <c r="AP54">
        <v>0</v>
      </c>
      <c r="AQ54">
        <f>VLOOKUP(F54,'[1]SALARY WORKING'!$F$12:$CG$66,80,0)</f>
        <v>18480</v>
      </c>
      <c r="AR54">
        <f>VLOOKUP(F54,'[1]SALARY WORKING'!$F$12:$CF$66,79,0)</f>
        <v>18480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 s="4">
        <v>16410.900000000001</v>
      </c>
      <c r="BA54">
        <v>0</v>
      </c>
      <c r="BB54">
        <v>0</v>
      </c>
      <c r="BC54" s="4">
        <f>VLOOKUP(F54,'[1]SALARY WORKING'!$F$12:$CA$66,74,0)</f>
        <v>0</v>
      </c>
      <c r="BD54">
        <v>0</v>
      </c>
      <c r="BE54">
        <v>0</v>
      </c>
      <c r="BF54">
        <v>0</v>
      </c>
      <c r="BG54">
        <f>VLOOKUP(F54,'[1]SALARY WORKING'!$F$12:$DL$66,111,0)</f>
        <v>1</v>
      </c>
      <c r="BH54">
        <v>0.57999999999999996</v>
      </c>
      <c r="BI54">
        <v>8.0000000000000071E-2</v>
      </c>
      <c r="BJ54">
        <v>1.5</v>
      </c>
      <c r="BK54">
        <v>1.5</v>
      </c>
      <c r="BL54">
        <v>1.25</v>
      </c>
      <c r="BM54">
        <v>1.75</v>
      </c>
      <c r="BN54">
        <v>1</v>
      </c>
      <c r="BO54">
        <v>0</v>
      </c>
      <c r="BP54">
        <v>0</v>
      </c>
      <c r="BQ54">
        <v>0</v>
      </c>
      <c r="BR54">
        <v>0</v>
      </c>
      <c r="BS54" s="4">
        <v>138.6</v>
      </c>
      <c r="BT54" s="4">
        <v>600.6</v>
      </c>
      <c r="BU54" s="4">
        <v>739.2</v>
      </c>
      <c r="BV54" s="4">
        <v>1800</v>
      </c>
      <c r="BW54">
        <v>1950</v>
      </c>
      <c r="BX54" s="4">
        <f t="shared" si="1"/>
        <v>3750</v>
      </c>
      <c r="BY54">
        <v>130</v>
      </c>
      <c r="BZ54">
        <f>VLOOKUP(F54,'[1]SALARY WORKING'!$F$12:$CR$66,91,0)</f>
        <v>0</v>
      </c>
      <c r="CA54" s="4">
        <f t="shared" si="2"/>
        <v>2069.1</v>
      </c>
      <c r="CB54">
        <v>30</v>
      </c>
    </row>
    <row r="55" spans="2:80" x14ac:dyDescent="0.35">
      <c r="B55" s="1" t="s">
        <v>99</v>
      </c>
      <c r="D55" t="s">
        <v>100</v>
      </c>
      <c r="E55" t="s">
        <v>101</v>
      </c>
      <c r="F55" t="s">
        <v>154</v>
      </c>
      <c r="G55" t="s">
        <v>207</v>
      </c>
      <c r="H55" t="s">
        <v>221</v>
      </c>
      <c r="I55" t="s">
        <v>212</v>
      </c>
      <c r="J55">
        <v>30</v>
      </c>
      <c r="K55">
        <v>0</v>
      </c>
      <c r="L55">
        <v>4</v>
      </c>
      <c r="M55">
        <v>1</v>
      </c>
      <c r="N55">
        <v>23</v>
      </c>
      <c r="O55">
        <v>0</v>
      </c>
      <c r="P55">
        <v>3</v>
      </c>
      <c r="Q55">
        <v>0</v>
      </c>
      <c r="R55">
        <v>1</v>
      </c>
      <c r="S55">
        <v>0</v>
      </c>
      <c r="T55" s="3">
        <v>0.5</v>
      </c>
      <c r="U55">
        <f t="shared" si="0"/>
        <v>0</v>
      </c>
      <c r="V55" s="4">
        <v>0</v>
      </c>
      <c r="W55">
        <v>33</v>
      </c>
      <c r="X55">
        <v>22641</v>
      </c>
      <c r="Y55">
        <v>0</v>
      </c>
      <c r="Z55">
        <v>22641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s="4">
        <v>9580</v>
      </c>
      <c r="AL55">
        <v>9580</v>
      </c>
      <c r="AM55">
        <v>0</v>
      </c>
      <c r="AN55">
        <v>0</v>
      </c>
      <c r="AO55">
        <v>0</v>
      </c>
      <c r="AP55">
        <v>0</v>
      </c>
      <c r="AQ55">
        <f>VLOOKUP(F55,'[1]SALARY WORKING'!$F$12:$CG$66,80,0)</f>
        <v>38000</v>
      </c>
      <c r="AR55">
        <f>VLOOKUP(F55,'[1]SALARY WORKING'!$F$12:$CF$66,79,0)</f>
        <v>38000</v>
      </c>
      <c r="AS55">
        <v>0</v>
      </c>
      <c r="AT55">
        <v>0</v>
      </c>
      <c r="AU55">
        <v>0</v>
      </c>
      <c r="AV55">
        <v>0</v>
      </c>
      <c r="AW55">
        <v>5779</v>
      </c>
      <c r="AX55">
        <v>5779</v>
      </c>
      <c r="AY55">
        <v>0</v>
      </c>
      <c r="AZ55" s="4">
        <v>36049.5</v>
      </c>
      <c r="BA55">
        <v>0</v>
      </c>
      <c r="BB55">
        <v>0</v>
      </c>
      <c r="BC55" s="4">
        <f>VLOOKUP(F55,'[1]SALARY WORKING'!$F$12:$CA$66,74,0)</f>
        <v>0</v>
      </c>
      <c r="BD55">
        <v>0</v>
      </c>
      <c r="BE55">
        <v>0</v>
      </c>
      <c r="BF55">
        <v>0</v>
      </c>
      <c r="BG55">
        <f>VLOOKUP(F55,'[1]SALARY WORKING'!$F$12:$DL$66,111,0)</f>
        <v>1</v>
      </c>
      <c r="BH55">
        <v>0.57999999999999996</v>
      </c>
      <c r="BI55">
        <v>0.58000000000000007</v>
      </c>
      <c r="BJ55">
        <v>1</v>
      </c>
      <c r="BK55">
        <v>2</v>
      </c>
      <c r="BL55">
        <v>1.25</v>
      </c>
      <c r="BM55">
        <v>3.25</v>
      </c>
      <c r="BN55">
        <v>0</v>
      </c>
      <c r="BO55">
        <v>0</v>
      </c>
      <c r="BP55">
        <v>0</v>
      </c>
      <c r="BQ55">
        <v>0</v>
      </c>
      <c r="BR55">
        <v>0</v>
      </c>
      <c r="BS55" s="4">
        <v>0</v>
      </c>
      <c r="BT55" s="4">
        <v>0</v>
      </c>
      <c r="BU55" s="4">
        <v>0</v>
      </c>
      <c r="BV55" s="4">
        <v>1800</v>
      </c>
      <c r="BW55">
        <v>1950</v>
      </c>
      <c r="BX55" s="4">
        <f t="shared" si="1"/>
        <v>3750</v>
      </c>
      <c r="BY55">
        <v>150</v>
      </c>
      <c r="BZ55">
        <f>VLOOKUP(F55,'[1]SALARY WORKING'!$F$12:$CR$66,91,0)</f>
        <v>0</v>
      </c>
      <c r="CA55" s="4">
        <f t="shared" si="2"/>
        <v>1950.5</v>
      </c>
      <c r="CB55">
        <v>30</v>
      </c>
    </row>
    <row r="56" spans="2:80" x14ac:dyDescent="0.35">
      <c r="B56" s="1" t="s">
        <v>99</v>
      </c>
      <c r="D56" t="s">
        <v>100</v>
      </c>
      <c r="E56" t="s">
        <v>101</v>
      </c>
      <c r="F56" t="s">
        <v>155</v>
      </c>
      <c r="G56" t="s">
        <v>208</v>
      </c>
      <c r="H56" t="s">
        <v>82</v>
      </c>
      <c r="I56" t="s">
        <v>80</v>
      </c>
      <c r="J56">
        <v>20</v>
      </c>
      <c r="K56">
        <v>0</v>
      </c>
      <c r="L56">
        <v>2</v>
      </c>
      <c r="M56">
        <v>12</v>
      </c>
      <c r="N56">
        <v>13</v>
      </c>
      <c r="O56">
        <v>0</v>
      </c>
      <c r="P56">
        <v>3</v>
      </c>
      <c r="Q56">
        <v>0</v>
      </c>
      <c r="R56">
        <v>2</v>
      </c>
      <c r="S56">
        <v>0</v>
      </c>
      <c r="T56" s="3">
        <v>0.5</v>
      </c>
      <c r="U56">
        <f t="shared" si="0"/>
        <v>10</v>
      </c>
      <c r="V56" s="4">
        <v>0</v>
      </c>
      <c r="W56">
        <v>18</v>
      </c>
      <c r="X56">
        <v>10000</v>
      </c>
      <c r="Y56">
        <v>0</v>
      </c>
      <c r="Z56">
        <v>15000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s="4">
        <v>2877.33</v>
      </c>
      <c r="AL56">
        <v>4316</v>
      </c>
      <c r="AM56">
        <v>0</v>
      </c>
      <c r="AN56">
        <v>0</v>
      </c>
      <c r="AO56">
        <v>0</v>
      </c>
      <c r="AP56">
        <v>0</v>
      </c>
      <c r="AQ56">
        <f>VLOOKUP(F56,'[1]SALARY WORKING'!$F$12:$CG$66,80,0)</f>
        <v>12877.33</v>
      </c>
      <c r="AR56">
        <f>VLOOKUP(F56,'[1]SALARY WORKING'!$F$12:$CF$66,79,0)</f>
        <v>19316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 s="4">
        <v>11550.250024999999</v>
      </c>
      <c r="BA56">
        <v>0</v>
      </c>
      <c r="BB56">
        <v>0</v>
      </c>
      <c r="BC56" s="4">
        <f>VLOOKUP(F56,'[1]SALARY WORKING'!$F$12:$CA$66,74,0)</f>
        <v>0</v>
      </c>
      <c r="BD56">
        <v>0</v>
      </c>
      <c r="BE56">
        <v>80</v>
      </c>
      <c r="BF56">
        <v>0</v>
      </c>
      <c r="BG56">
        <f>VLOOKUP(F56,'[1]SALARY WORKING'!$F$12:$DL$66,111,0)</f>
        <v>1</v>
      </c>
      <c r="BH56">
        <v>0.39</v>
      </c>
      <c r="BI56">
        <v>0.39000000000000012</v>
      </c>
      <c r="BJ56">
        <v>1</v>
      </c>
      <c r="BK56">
        <v>1</v>
      </c>
      <c r="BL56">
        <v>0.83</v>
      </c>
      <c r="BM56">
        <v>0.83000000000000007</v>
      </c>
      <c r="BN56">
        <v>1</v>
      </c>
      <c r="BO56">
        <v>0</v>
      </c>
      <c r="BP56">
        <v>0</v>
      </c>
      <c r="BQ56">
        <v>0</v>
      </c>
      <c r="BR56">
        <v>0</v>
      </c>
      <c r="BS56" s="4">
        <v>96.57997499999999</v>
      </c>
      <c r="BT56" s="4">
        <v>418.51322500000003</v>
      </c>
      <c r="BU56" s="4">
        <v>515.09320000000002</v>
      </c>
      <c r="BV56" s="4">
        <v>1200</v>
      </c>
      <c r="BW56">
        <v>1300</v>
      </c>
      <c r="BX56" s="4">
        <f t="shared" si="1"/>
        <v>2500</v>
      </c>
      <c r="BY56">
        <v>110</v>
      </c>
      <c r="BZ56">
        <f>VLOOKUP(F56,'[1]SALARY WORKING'!$F$12:$CR$66,91,0)</f>
        <v>0</v>
      </c>
      <c r="CA56" s="4">
        <f t="shared" si="2"/>
        <v>1407.0799750000001</v>
      </c>
      <c r="CB56">
        <v>30</v>
      </c>
    </row>
  </sheetData>
  <pageMargins left="0.7" right="0.7" top="0.75" bottom="0.75" header="0.3" footer="0.3"/>
  <ignoredErrors>
    <ignoredError sqref="A1:C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JHA</dc:creator>
  <cp:lastModifiedBy>PULKIT1</cp:lastModifiedBy>
  <dcterms:created xsi:type="dcterms:W3CDTF">2026-05-21T09:42:34Z</dcterms:created>
  <dcterms:modified xsi:type="dcterms:W3CDTF">2026-05-22T05:38:32Z</dcterms:modified>
</cp:coreProperties>
</file>