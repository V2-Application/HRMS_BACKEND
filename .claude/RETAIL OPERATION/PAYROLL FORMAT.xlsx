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file\0-V2\04-DEPARTMENT\05-HR\12-REPORTING-STRUCTURE\00-REPORT FORMAT\02-SALARY\"/>
    </mc:Choice>
  </mc:AlternateContent>
  <xr:revisionPtr revIDLastSave="0" documentId="13_ncr:1_{99C8F542-2E33-495C-BCE1-967E6D9E4E9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3" sheetId="4" r:id="rId1"/>
    <sheet name="Sheet2" sheetId="3" r:id="rId2"/>
    <sheet name="SALARY WORKING-FINAL" sheetId="2" r:id="rId3"/>
    <sheet name="Sheet1" sheetId="1" r:id="rId4"/>
  </sheets>
  <externalReferences>
    <externalReference r:id="rId5"/>
  </externalReferences>
  <definedNames>
    <definedName name="_xlnm._FilterDatabase" localSheetId="2" hidden="1">'SALARY WORKING-FINAL'!$A$11:$EQ$13</definedName>
    <definedName name="_xlnm._FilterDatabase" localSheetId="1" hidden="1">Sheet2!$A$11:$I$443</definedName>
    <definedName name="_xlnm._FilterDatabase" localSheetId="0" hidden="1">Sheet3!$A$2:$L$10789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3" i="2" l="1"/>
  <c r="AG13" i="2" s="1"/>
  <c r="AH12" i="2"/>
  <c r="AG12" i="2" s="1"/>
  <c r="AG11" i="2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DY1" i="2" l="1"/>
  <c r="DY2" i="2"/>
  <c r="A3" i="2"/>
  <c r="B3" i="2"/>
  <c r="C3" i="2"/>
  <c r="E3" i="2"/>
  <c r="F3" i="2"/>
  <c r="G3" i="2"/>
  <c r="H3" i="2"/>
  <c r="I3" i="2"/>
  <c r="J3" i="2"/>
  <c r="K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F3" i="2"/>
  <c r="AG3" i="2"/>
  <c r="AJ3" i="2"/>
  <c r="AM3" i="2"/>
  <c r="AN3" i="2"/>
  <c r="AO3" i="2"/>
  <c r="AP3" i="2"/>
  <c r="AQ3" i="2"/>
  <c r="AR3" i="2"/>
  <c r="AS3" i="2"/>
  <c r="AT3" i="2"/>
  <c r="AU3" i="2"/>
  <c r="AV3" i="2"/>
  <c r="AW3" i="2"/>
  <c r="AX3" i="2"/>
  <c r="BA3" i="2"/>
  <c r="BB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W3" i="2"/>
  <c r="BX3" i="2"/>
  <c r="BY3" i="2"/>
  <c r="BZ3" i="2"/>
  <c r="CA3" i="2"/>
  <c r="CB3" i="2"/>
  <c r="CC3" i="2"/>
  <c r="CH3" i="2"/>
  <c r="CI3" i="2"/>
  <c r="CJ3" i="2"/>
  <c r="CK3" i="2"/>
  <c r="CL3" i="2"/>
  <c r="CM3" i="2"/>
  <c r="CN3" i="2"/>
  <c r="CO3" i="2"/>
  <c r="CP3" i="2"/>
  <c r="CQ3" i="2"/>
  <c r="CR3" i="2"/>
  <c r="CT3" i="2"/>
  <c r="CU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S3" i="2"/>
  <c r="DT3" i="2"/>
  <c r="DU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L3" i="2"/>
  <c r="EO3" i="2"/>
  <c r="EP3" i="2"/>
  <c r="EQ3" i="2"/>
  <c r="AM8" i="2"/>
  <c r="AN8" i="2"/>
  <c r="AO8" i="2"/>
  <c r="AP8" i="2"/>
  <c r="AQ8" i="2"/>
  <c r="AR8" i="2"/>
  <c r="AS8" i="2"/>
  <c r="AT8" i="2"/>
  <c r="AU8" i="2"/>
  <c r="AV8" i="2"/>
  <c r="AW8" i="2"/>
  <c r="AX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CI8" i="2"/>
  <c r="CJ8" i="2"/>
  <c r="CK8" i="2"/>
  <c r="CL8" i="2"/>
  <c r="CM8" i="2"/>
  <c r="CN8" i="2"/>
  <c r="CO8" i="2"/>
  <c r="CP8" i="2"/>
  <c r="CQ8" i="2"/>
  <c r="CR8" i="2"/>
  <c r="CT8" i="2"/>
  <c r="CU8" i="2"/>
  <c r="CV8" i="2"/>
  <c r="DT8" i="2"/>
  <c r="DU8" i="2"/>
  <c r="DV8" i="2"/>
  <c r="DW8" i="2"/>
  <c r="DX8" i="2"/>
  <c r="EB8" i="2"/>
  <c r="EC8" i="2"/>
  <c r="ED8" i="2"/>
  <c r="EE8" i="2"/>
  <c r="EF8" i="2"/>
  <c r="EL8" i="2"/>
  <c r="EM8" i="2"/>
  <c r="EN8" i="2"/>
  <c r="EO8" i="2"/>
  <c r="AM9" i="2"/>
  <c r="AN9" i="2"/>
  <c r="AO9" i="2"/>
  <c r="AP9" i="2"/>
  <c r="AQ9" i="2"/>
  <c r="AR9" i="2"/>
  <c r="AS9" i="2"/>
  <c r="AT9" i="2"/>
  <c r="AU9" i="2"/>
  <c r="AV9" i="2"/>
  <c r="AW9" i="2"/>
  <c r="AX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CI9" i="2"/>
  <c r="CJ9" i="2"/>
  <c r="CK9" i="2"/>
  <c r="CL9" i="2"/>
  <c r="CM9" i="2"/>
  <c r="CN9" i="2"/>
  <c r="CO9" i="2"/>
  <c r="CP9" i="2"/>
  <c r="CQ9" i="2"/>
  <c r="CR9" i="2"/>
  <c r="CT9" i="2"/>
  <c r="CU9" i="2"/>
  <c r="CV9" i="2"/>
  <c r="DT9" i="2"/>
  <c r="DU9" i="2"/>
  <c r="DV9" i="2"/>
  <c r="DW9" i="2"/>
  <c r="DX9" i="2"/>
  <c r="EB9" i="2"/>
  <c r="EC9" i="2"/>
  <c r="ED9" i="2"/>
  <c r="EE9" i="2"/>
  <c r="EF9" i="2"/>
  <c r="EL9" i="2"/>
  <c r="EM9" i="2"/>
  <c r="EN9" i="2"/>
  <c r="EO9" i="2"/>
  <c r="A11" i="2"/>
  <c r="AD11" i="2"/>
  <c r="AE11" i="2"/>
  <c r="AY11" i="2" s="1"/>
  <c r="AH11" i="2"/>
  <c r="BA11" i="2"/>
  <c r="BB11" i="2"/>
  <c r="BC11" i="2"/>
  <c r="BD11" i="2"/>
  <c r="CB11" i="2"/>
  <c r="CC11" i="2"/>
  <c r="CD11" i="2"/>
  <c r="CH11" i="2"/>
  <c r="CF11" i="2" s="1"/>
  <c r="CE11" i="2" s="1"/>
  <c r="CX11" i="2"/>
  <c r="DA11" i="2"/>
  <c r="DD11" i="2"/>
  <c r="DH11" i="2"/>
  <c r="DG11" i="2" s="1"/>
  <c r="CY11" i="2" s="1"/>
  <c r="DS11" i="2"/>
  <c r="DZ11" i="2"/>
  <c r="EG11" i="2"/>
  <c r="EH11" i="2"/>
  <c r="EI11" i="2"/>
  <c r="EJ11" i="2"/>
  <c r="EP11" i="2"/>
  <c r="EQ11" i="2"/>
  <c r="A12" i="2"/>
  <c r="AD12" i="2"/>
  <c r="AE12" i="2"/>
  <c r="AY12" i="2" s="1"/>
  <c r="AJ12" i="2"/>
  <c r="BA12" i="2"/>
  <c r="BB12" i="2"/>
  <c r="BC12" i="2"/>
  <c r="BD12" i="2"/>
  <c r="CB12" i="2"/>
  <c r="CC12" i="2"/>
  <c r="CD12" i="2"/>
  <c r="CH12" i="2"/>
  <c r="CF12" i="2" s="1"/>
  <c r="CE12" i="2" s="1"/>
  <c r="CX12" i="2"/>
  <c r="CZ12" i="2"/>
  <c r="DA12" i="2"/>
  <c r="DG12" i="2"/>
  <c r="CY12" i="2" s="1"/>
  <c r="DS12" i="2"/>
  <c r="DY12" i="2" s="1"/>
  <c r="EA12" i="2" s="1"/>
  <c r="EG12" i="2"/>
  <c r="EH12" i="2"/>
  <c r="EI12" i="2"/>
  <c r="EJ12" i="2"/>
  <c r="EP12" i="2"/>
  <c r="EQ12" i="2"/>
  <c r="A13" i="2"/>
  <c r="AD13" i="2"/>
  <c r="AE13" i="2"/>
  <c r="AZ13" i="2" s="1"/>
  <c r="AJ13" i="2"/>
  <c r="BA13" i="2"/>
  <c r="BB13" i="2"/>
  <c r="BC13" i="2"/>
  <c r="BD13" i="2"/>
  <c r="CB13" i="2"/>
  <c r="CC13" i="2"/>
  <c r="CD13" i="2"/>
  <c r="CH13" i="2"/>
  <c r="CF13" i="2" s="1"/>
  <c r="CE13" i="2" s="1"/>
  <c r="CX13" i="2"/>
  <c r="CZ13" i="2"/>
  <c r="DA13" i="2"/>
  <c r="DG13" i="2"/>
  <c r="CY13" i="2" s="1"/>
  <c r="DS13" i="2"/>
  <c r="DY13" i="2" s="1"/>
  <c r="EA13" i="2" s="1"/>
  <c r="EG13" i="2"/>
  <c r="EH13" i="2"/>
  <c r="EI13" i="2"/>
  <c r="EJ13" i="2"/>
  <c r="EP13" i="2"/>
  <c r="EQ13" i="2"/>
  <c r="BY12" i="2" l="1"/>
  <c r="BY11" i="2"/>
  <c r="BE12" i="2"/>
  <c r="AU1" i="2"/>
  <c r="BE13" i="2"/>
  <c r="BF12" i="2"/>
  <c r="AZ12" i="2"/>
  <c r="BZ12" i="2" s="1"/>
  <c r="AY13" i="2"/>
  <c r="BY13" i="2" s="1"/>
  <c r="BZ13" i="2"/>
  <c r="AO1" i="2"/>
  <c r="BE11" i="2"/>
  <c r="DZ13" i="2"/>
  <c r="CZ11" i="2"/>
  <c r="AZ11" i="2"/>
  <c r="BZ11" i="2" s="1"/>
  <c r="BF11" i="2"/>
  <c r="DZ12" i="2"/>
  <c r="DY11" i="2"/>
  <c r="EA11" i="2" s="1"/>
  <c r="BF13" i="2"/>
  <c r="EI9" i="2"/>
  <c r="CH8" i="2"/>
  <c r="CB9" i="2"/>
  <c r="BB9" i="2"/>
  <c r="EP8" i="2"/>
  <c r="DS9" i="2"/>
  <c r="CB8" i="2"/>
  <c r="EH9" i="2"/>
  <c r="EG9" i="2"/>
  <c r="BA9" i="2"/>
  <c r="EJ9" i="2"/>
  <c r="CD9" i="2"/>
  <c r="BE9" i="2"/>
  <c r="EP9" i="2"/>
  <c r="EA9" i="2"/>
  <c r="CC9" i="2"/>
  <c r="DZ9" i="2"/>
  <c r="EQ9" i="2"/>
  <c r="CH9" i="2"/>
  <c r="CD8" i="2"/>
  <c r="CC8" i="2"/>
  <c r="EJ8" i="2"/>
  <c r="BB8" i="2"/>
  <c r="BF9" i="2"/>
  <c r="DZ8" i="2"/>
  <c r="EI8" i="2"/>
  <c r="BA8" i="2"/>
  <c r="EH8" i="2"/>
  <c r="EG8" i="2"/>
  <c r="CE8" i="2"/>
  <c r="DS8" i="2"/>
  <c r="EQ8" i="2"/>
  <c r="CA12" i="2" l="1"/>
  <c r="CA11" i="2"/>
  <c r="CA13" i="2"/>
  <c r="CA8" i="2" s="1"/>
  <c r="BY8" i="2"/>
  <c r="AM1" i="2" s="1"/>
  <c r="CF8" i="2"/>
  <c r="BE8" i="2"/>
  <c r="AZ9" i="2"/>
  <c r="BY9" i="2"/>
  <c r="AZ8" i="2"/>
  <c r="BF8" i="2"/>
  <c r="BZ9" i="2"/>
  <c r="EA8" i="2"/>
  <c r="BZ8" i="2"/>
  <c r="CF9" i="2"/>
  <c r="CE9" i="2"/>
  <c r="DY8" i="2"/>
  <c r="DY9" i="2"/>
  <c r="AY8" i="2"/>
  <c r="AY9" i="2"/>
  <c r="CA9" i="2" l="1"/>
</calcChain>
</file>

<file path=xl/sharedStrings.xml><?xml version="1.0" encoding="utf-8"?>
<sst xmlns="http://schemas.openxmlformats.org/spreadsheetml/2006/main" count="56624" uniqueCount="21461">
  <si>
    <t/>
  </si>
  <si>
    <t>FALSE</t>
  </si>
  <si>
    <t>TRUE</t>
  </si>
  <si>
    <t>NA</t>
  </si>
  <si>
    <t>HDFC BANK</t>
  </si>
  <si>
    <t>ACTIVE</t>
  </si>
  <si>
    <t>SM</t>
  </si>
  <si>
    <t>Male</t>
  </si>
  <si>
    <t>AMIT  VERMA</t>
  </si>
  <si>
    <t>CASHIER</t>
  </si>
  <si>
    <t>HK</t>
  </si>
  <si>
    <t>FM</t>
  </si>
  <si>
    <t>LOBM</t>
  </si>
  <si>
    <t>Saksham  Sharma</t>
  </si>
  <si>
    <t>V53038</t>
  </si>
  <si>
    <t>INTERNAL</t>
  </si>
  <si>
    <t>Nitin  Pathak</t>
  </si>
  <si>
    <t>V53036</t>
  </si>
  <si>
    <t>Brijendra  Kumar</t>
  </si>
  <si>
    <t>V52694</t>
  </si>
  <si>
    <t>Mayank  Raikwar</t>
  </si>
  <si>
    <t>V52693</t>
  </si>
  <si>
    <t>Akash  Verma</t>
  </si>
  <si>
    <t>V52516</t>
  </si>
  <si>
    <t>Shivam</t>
  </si>
  <si>
    <t>Arjun  Ahirwar</t>
  </si>
  <si>
    <t>V52429</t>
  </si>
  <si>
    <t>Sonu</t>
  </si>
  <si>
    <t>V52376</t>
  </si>
  <si>
    <t>Alok Kumar Chaurasia</t>
  </si>
  <si>
    <t>V52295</t>
  </si>
  <si>
    <t>Simran ahirwar</t>
  </si>
  <si>
    <t>V52289</t>
  </si>
  <si>
    <t>Rajani  Vanbikar</t>
  </si>
  <si>
    <t>V52286</t>
  </si>
  <si>
    <t>BANK OF BARODA</t>
  </si>
  <si>
    <t>Mohit  Gautam</t>
  </si>
  <si>
    <t>V52273</t>
  </si>
  <si>
    <t>Pradhumn Kumar Singh</t>
  </si>
  <si>
    <t>V52271</t>
  </si>
  <si>
    <t>Vinita</t>
  </si>
  <si>
    <t>V52269</t>
  </si>
  <si>
    <t>Doli  Devi</t>
  </si>
  <si>
    <t>V52241</t>
  </si>
  <si>
    <t>Neeraj  Kushwaha</t>
  </si>
  <si>
    <t>V52229</t>
  </si>
  <si>
    <t>Nisha</t>
  </si>
  <si>
    <t>V52173</t>
  </si>
  <si>
    <t>Manish Kumar Verma</t>
  </si>
  <si>
    <t>V52172</t>
  </si>
  <si>
    <t>Manish  Prajapati</t>
  </si>
  <si>
    <t>V52009</t>
  </si>
  <si>
    <t>ROSHNI  YADAV</t>
  </si>
  <si>
    <t>V51919</t>
  </si>
  <si>
    <t>SAKSHAM  SONI</t>
  </si>
  <si>
    <t>V51917</t>
  </si>
  <si>
    <t>ANUJ KUMAR SONI</t>
  </si>
  <si>
    <t>V51873</t>
  </si>
  <si>
    <t>Pinki</t>
  </si>
  <si>
    <t>V51304</t>
  </si>
  <si>
    <t>Rahul Kumar Singh</t>
  </si>
  <si>
    <t>V50757</t>
  </si>
  <si>
    <t>Dal  Chand</t>
  </si>
  <si>
    <t>V48548</t>
  </si>
  <si>
    <t>Mamta</t>
  </si>
  <si>
    <t>Roobi</t>
  </si>
  <si>
    <t>V53925</t>
  </si>
  <si>
    <t>Ansh  Gupta</t>
  </si>
  <si>
    <t>V53921</t>
  </si>
  <si>
    <t>Sagun  Rajput</t>
  </si>
  <si>
    <t>V53549</t>
  </si>
  <si>
    <t>Sachin Kumar Gupta</t>
  </si>
  <si>
    <t>V53547</t>
  </si>
  <si>
    <t>Sunil  Saini</t>
  </si>
  <si>
    <t>V53545</t>
  </si>
  <si>
    <t>Kiran  Saini</t>
  </si>
  <si>
    <t>V53543</t>
  </si>
  <si>
    <t>Gautam sagar</t>
  </si>
  <si>
    <t>V53518</t>
  </si>
  <si>
    <t>Dolly  Yadav</t>
  </si>
  <si>
    <t>V53188</t>
  </si>
  <si>
    <t>Sunny  Saxena</t>
  </si>
  <si>
    <t>V53184</t>
  </si>
  <si>
    <t>Kumari  Shweta</t>
  </si>
  <si>
    <t>V53183</t>
  </si>
  <si>
    <t>Jatin</t>
  </si>
  <si>
    <t>V53182</t>
  </si>
  <si>
    <t>Anshu</t>
  </si>
  <si>
    <t>V53177</t>
  </si>
  <si>
    <t>Ayush</t>
  </si>
  <si>
    <t>V53176</t>
  </si>
  <si>
    <t>Sheetal</t>
  </si>
  <si>
    <t>V53175</t>
  </si>
  <si>
    <t>Mohit  Pal</t>
  </si>
  <si>
    <t>V53122</t>
  </si>
  <si>
    <t>Deepanshu  Verma</t>
  </si>
  <si>
    <t>V53120</t>
  </si>
  <si>
    <t>Bittu  Singh</t>
  </si>
  <si>
    <t>V53117</t>
  </si>
  <si>
    <t>V53115</t>
  </si>
  <si>
    <t>Raju  Thakur</t>
  </si>
  <si>
    <t>V52616</t>
  </si>
  <si>
    <t>Rajupal</t>
  </si>
  <si>
    <t>V52573</t>
  </si>
  <si>
    <t>Neha</t>
  </si>
  <si>
    <t>Nikhil  Kumar</t>
  </si>
  <si>
    <t>Keshav  Kumar</t>
  </si>
  <si>
    <t>Aakash</t>
  </si>
  <si>
    <t>Sagar</t>
  </si>
  <si>
    <t>Vansh</t>
  </si>
  <si>
    <t>Ravi  Kashyap</t>
  </si>
  <si>
    <t>V54040</t>
  </si>
  <si>
    <t>Aryan  Mishra</t>
  </si>
  <si>
    <t>V53830</t>
  </si>
  <si>
    <t>Tarun  Kumar</t>
  </si>
  <si>
    <t>V53782</t>
  </si>
  <si>
    <t>PRAVESH  KUMAR</t>
  </si>
  <si>
    <t>V53363</t>
  </si>
  <si>
    <t>Pravesh  Kumar</t>
  </si>
  <si>
    <t>V51693</t>
  </si>
  <si>
    <t>Mayank  Kumar</t>
  </si>
  <si>
    <t>Sanjeev</t>
  </si>
  <si>
    <t>Ankit  Kumar</t>
  </si>
  <si>
    <t>Rahul  Kumar</t>
  </si>
  <si>
    <t>Kusumvir</t>
  </si>
  <si>
    <t>V54156</t>
  </si>
  <si>
    <t>Gaurav  Kumar</t>
  </si>
  <si>
    <t>V44814</t>
  </si>
  <si>
    <t>Vikas</t>
  </si>
  <si>
    <t>SANGEETA VERMA</t>
  </si>
  <si>
    <t>V54540</t>
  </si>
  <si>
    <t>Naveen  Dwivedi</t>
  </si>
  <si>
    <t>V54424</t>
  </si>
  <si>
    <t>Nikhil  TIWARI</t>
  </si>
  <si>
    <t>V54380</t>
  </si>
  <si>
    <t>V53101</t>
  </si>
  <si>
    <t>Vishal  Verma</t>
  </si>
  <si>
    <t>V53099</t>
  </si>
  <si>
    <t>ARYAN  SAVITA</t>
  </si>
  <si>
    <t>V53098</t>
  </si>
  <si>
    <t>Ankush  Sharma</t>
  </si>
  <si>
    <t>V53097</t>
  </si>
  <si>
    <t>Dheeraj</t>
  </si>
  <si>
    <t>V52769</t>
  </si>
  <si>
    <t>Anuj Kumar Masih</t>
  </si>
  <si>
    <t>V52767</t>
  </si>
  <si>
    <t>Ramdev  Yadav</t>
  </si>
  <si>
    <t>V51994</t>
  </si>
  <si>
    <t>Arpan  Chandra</t>
  </si>
  <si>
    <t>V51989</t>
  </si>
  <si>
    <t>Himanshu</t>
  </si>
  <si>
    <t>Ajay Pratap Singh</t>
  </si>
  <si>
    <t>V51829</t>
  </si>
  <si>
    <t>Priyanshu  Pal</t>
  </si>
  <si>
    <t>V51827</t>
  </si>
  <si>
    <t>Anshu  Sonker</t>
  </si>
  <si>
    <t>V51826</t>
  </si>
  <si>
    <t>Sakir  Husain</t>
  </si>
  <si>
    <t>V51723</t>
  </si>
  <si>
    <t>PRIYA</t>
  </si>
  <si>
    <t>V51549</t>
  </si>
  <si>
    <t>Asif  Ansari</t>
  </si>
  <si>
    <t>V51508</t>
  </si>
  <si>
    <t>Mahek  Kumari</t>
  </si>
  <si>
    <t>V51415</t>
  </si>
  <si>
    <t>Diskha  Rajput</t>
  </si>
  <si>
    <t>V51331</t>
  </si>
  <si>
    <t>Pragya  Bharti</t>
  </si>
  <si>
    <t>V51125</t>
  </si>
  <si>
    <t>Ritika  Gupta</t>
  </si>
  <si>
    <t>V51124</t>
  </si>
  <si>
    <t>SURAJ PAL PAL SINGH</t>
  </si>
  <si>
    <t>V50885</t>
  </si>
  <si>
    <t>Aniket  Pal</t>
  </si>
  <si>
    <t>V44024</t>
  </si>
  <si>
    <t>TUSHAR KUMAR</t>
  </si>
  <si>
    <t>V37093</t>
  </si>
  <si>
    <t>ANTHONY SINGH</t>
  </si>
  <si>
    <t>V36307</t>
  </si>
  <si>
    <t>JAI  VERMA</t>
  </si>
  <si>
    <t>V21405</t>
  </si>
  <si>
    <t>SANTOSH  KUMAR</t>
  </si>
  <si>
    <t>V53606</t>
  </si>
  <si>
    <t>PRASHANT  KUMAR</t>
  </si>
  <si>
    <t>V52970</t>
  </si>
  <si>
    <t>Alok  Kumar</t>
  </si>
  <si>
    <t>V52546</t>
  </si>
  <si>
    <t>SHYAMOO  JAISWAL</t>
  </si>
  <si>
    <t>V38789</t>
  </si>
  <si>
    <t>Anil  Kumar</t>
  </si>
  <si>
    <t>Dipu Patel Patel</t>
  </si>
  <si>
    <t>V54213</t>
  </si>
  <si>
    <t>Harish  Kumar</t>
  </si>
  <si>
    <t>V54630</t>
  </si>
  <si>
    <t>Pankaj Singh Tomar</t>
  </si>
  <si>
    <t>V54333</t>
  </si>
  <si>
    <t>VIRESH</t>
  </si>
  <si>
    <t>V53436</t>
  </si>
  <si>
    <t>Sanjay</t>
  </si>
  <si>
    <t>V52929</t>
  </si>
  <si>
    <t>Rahul</t>
  </si>
  <si>
    <t>V52928</t>
  </si>
  <si>
    <t>Yash</t>
  </si>
  <si>
    <t>V52927</t>
  </si>
  <si>
    <t>Prince  Gupta</t>
  </si>
  <si>
    <t>V52912</t>
  </si>
  <si>
    <t>Nageena</t>
  </si>
  <si>
    <t>V52731</t>
  </si>
  <si>
    <t>Sanjana</t>
  </si>
  <si>
    <t>V52730</t>
  </si>
  <si>
    <t>Akshya  Rana</t>
  </si>
  <si>
    <t>V52583</t>
  </si>
  <si>
    <t>Khushi  Singh</t>
  </si>
  <si>
    <t>V52425</t>
  </si>
  <si>
    <t>Raja</t>
  </si>
  <si>
    <t>V52327</t>
  </si>
  <si>
    <t>Ankush  Rana</t>
  </si>
  <si>
    <t>V52249</t>
  </si>
  <si>
    <t>Dhruv  Yadav</t>
  </si>
  <si>
    <t>V52120</t>
  </si>
  <si>
    <t>Hamendra  Kumar</t>
  </si>
  <si>
    <t>V52011</t>
  </si>
  <si>
    <t>SACHIN  SHARMA</t>
  </si>
  <si>
    <t>V51964</t>
  </si>
  <si>
    <t>NIKITA  SINGH</t>
  </si>
  <si>
    <t>V51959</t>
  </si>
  <si>
    <t>PARMILA  SHAKYA</t>
  </si>
  <si>
    <t>V51653</t>
  </si>
  <si>
    <t>KAJAL</t>
  </si>
  <si>
    <t>ARJUN  KUMAR</t>
  </si>
  <si>
    <t>V51599</t>
  </si>
  <si>
    <t>KHUSHI  DEVI</t>
  </si>
  <si>
    <t>V51511</t>
  </si>
  <si>
    <t>VIPIN KUMAR SINGH</t>
  </si>
  <si>
    <t>V51505</t>
  </si>
  <si>
    <t>RAJKUMAR</t>
  </si>
  <si>
    <t>V51432</t>
  </si>
  <si>
    <t>Mohit  Kumar</t>
  </si>
  <si>
    <t>V51300</t>
  </si>
  <si>
    <t>SHALINI  SINGH</t>
  </si>
  <si>
    <t>V51299</t>
  </si>
  <si>
    <t>MOHIT  RAGHAV</t>
  </si>
  <si>
    <t>V51297</t>
  </si>
  <si>
    <t>SUMIT</t>
  </si>
  <si>
    <t>V51281</t>
  </si>
  <si>
    <t>Shivnandan</t>
  </si>
  <si>
    <t>V51151</t>
  </si>
  <si>
    <t>Vivek  Tomar</t>
  </si>
  <si>
    <t>V42873</t>
  </si>
  <si>
    <t>HARISH  CHANDRA</t>
  </si>
  <si>
    <t>V26149</t>
  </si>
  <si>
    <t>Abhay  Singh</t>
  </si>
  <si>
    <t>V54171</t>
  </si>
  <si>
    <t>Akhilesh Kumar Thakur</t>
  </si>
  <si>
    <t>V53636</t>
  </si>
  <si>
    <t>Adarsh  Mishra</t>
  </si>
  <si>
    <t>V53624</t>
  </si>
  <si>
    <t>Dipanshu  Pandey</t>
  </si>
  <si>
    <t>V52820</t>
  </si>
  <si>
    <t>KUSUM  CHAUDHARY</t>
  </si>
  <si>
    <t>V52677</t>
  </si>
  <si>
    <t>Amit  Kumar</t>
  </si>
  <si>
    <t>Arman  Ansari</t>
  </si>
  <si>
    <t>V52103</t>
  </si>
  <si>
    <t>Pawan  Jaiswal</t>
  </si>
  <si>
    <t>V52102</t>
  </si>
  <si>
    <t>Sudhir Kumar Yadav</t>
  </si>
  <si>
    <t>V52096</t>
  </si>
  <si>
    <t>Sanjay Kumar Sahani</t>
  </si>
  <si>
    <t>V51707</t>
  </si>
  <si>
    <t>Ashutosh  Singh</t>
  </si>
  <si>
    <t>SAVITA  PANDAY</t>
  </si>
  <si>
    <t>V51504</t>
  </si>
  <si>
    <t>AKHTAR  ALI</t>
  </si>
  <si>
    <t>V51503</t>
  </si>
  <si>
    <t>Vivek Kapoor Jaiswal</t>
  </si>
  <si>
    <t>V51318</t>
  </si>
  <si>
    <t>Meraj Ahmad Ansari</t>
  </si>
  <si>
    <t>V51314</t>
  </si>
  <si>
    <t>RINKU</t>
  </si>
  <si>
    <t>V51313</t>
  </si>
  <si>
    <t>Ridhi Suresh Vishwakarma</t>
  </si>
  <si>
    <t>V51247</t>
  </si>
  <si>
    <t>KHUSHBOO  GAUTAM</t>
  </si>
  <si>
    <t>V51246</t>
  </si>
  <si>
    <t>Surya Pratap Singh</t>
  </si>
  <si>
    <t>V51245</t>
  </si>
  <si>
    <t>Anita  Kumari</t>
  </si>
  <si>
    <t>V51013</t>
  </si>
  <si>
    <t>IRFAN  IDRISHI</t>
  </si>
  <si>
    <t>V51011</t>
  </si>
  <si>
    <t>ABDURRAHMAN</t>
  </si>
  <si>
    <t>V50883</t>
  </si>
  <si>
    <t>saiyad kamar aftab</t>
  </si>
  <si>
    <t>V50829</t>
  </si>
  <si>
    <t>PAVAN  KUMAR</t>
  </si>
  <si>
    <t>V53623</t>
  </si>
  <si>
    <t>SURAJ  PRAJAPATI</t>
  </si>
  <si>
    <t>V51798</t>
  </si>
  <si>
    <t>VISHAL  AJENERIA</t>
  </si>
  <si>
    <t>V51778</t>
  </si>
  <si>
    <t>MANISH</t>
  </si>
  <si>
    <t>V51643</t>
  </si>
  <si>
    <t>RAHUL  YADAV</t>
  </si>
  <si>
    <t>V51642</t>
  </si>
  <si>
    <t>AVSAR  PAL</t>
  </si>
  <si>
    <t>V51420</t>
  </si>
  <si>
    <t>RAJ</t>
  </si>
  <si>
    <t>Pooja  Prajapati</t>
  </si>
  <si>
    <t>V50915</t>
  </si>
  <si>
    <t>Yogendra Pratap Chauhan</t>
  </si>
  <si>
    <t>V50914</t>
  </si>
  <si>
    <t>KRISHNA  GAICHAR</t>
  </si>
  <si>
    <t>V50910</t>
  </si>
  <si>
    <t>Mayank  Rajpoot</t>
  </si>
  <si>
    <t>V50536</t>
  </si>
  <si>
    <t>Sahil</t>
  </si>
  <si>
    <t>V50468</t>
  </si>
  <si>
    <t>Jogendra</t>
  </si>
  <si>
    <t>V50467</t>
  </si>
  <si>
    <t>V50465</t>
  </si>
  <si>
    <t>Krishan  Verma</t>
  </si>
  <si>
    <t>V50463</t>
  </si>
  <si>
    <t>Pooran Lal Prajapati</t>
  </si>
  <si>
    <t>V50238</t>
  </si>
  <si>
    <t>Khushi  Raikwar</t>
  </si>
  <si>
    <t>V50217</t>
  </si>
  <si>
    <t>MR. RAHUL</t>
  </si>
  <si>
    <t>V34762</t>
  </si>
  <si>
    <t>Arvind Nath Sharma</t>
  </si>
  <si>
    <t>V50713</t>
  </si>
  <si>
    <t>Pankaj  Kumar</t>
  </si>
  <si>
    <t>V49600</t>
  </si>
  <si>
    <t>Soorya  Pratap</t>
  </si>
  <si>
    <t>V47839</t>
  </si>
  <si>
    <t>Prabhat  Kumar</t>
  </si>
  <si>
    <t>V52685</t>
  </si>
  <si>
    <t>Rohit  Ydava</t>
  </si>
  <si>
    <t>V51324</t>
  </si>
  <si>
    <t>SANI  BATHAM</t>
  </si>
  <si>
    <t>V51323</t>
  </si>
  <si>
    <t>Vishal Kumar Rajouriya</t>
  </si>
  <si>
    <t>V51269</t>
  </si>
  <si>
    <t>V50295</t>
  </si>
  <si>
    <t>Jagesh  Kumar</t>
  </si>
  <si>
    <t>V48226</t>
  </si>
  <si>
    <t>Prince  Kumar</t>
  </si>
  <si>
    <t>V47924</t>
  </si>
  <si>
    <t>Shekhar  Dubey</t>
  </si>
  <si>
    <t>V47920</t>
  </si>
  <si>
    <t>Shivam  Kumar</t>
  </si>
  <si>
    <t>V47765</t>
  </si>
  <si>
    <t>Man  Pal</t>
  </si>
  <si>
    <t>V47764</t>
  </si>
  <si>
    <t>V47763</t>
  </si>
  <si>
    <t>Satendra  Kumar</t>
  </si>
  <si>
    <t>V47759</t>
  </si>
  <si>
    <t>Vikram  Chauhan</t>
  </si>
  <si>
    <t>V47758</t>
  </si>
  <si>
    <t>Shalini</t>
  </si>
  <si>
    <t>V47633</t>
  </si>
  <si>
    <t>Roshani  Yadav</t>
  </si>
  <si>
    <t>V47632</t>
  </si>
  <si>
    <t>Aman  Kumar</t>
  </si>
  <si>
    <t>V47591</t>
  </si>
  <si>
    <t>V47588</t>
  </si>
  <si>
    <t>Varsha Sharma</t>
  </si>
  <si>
    <t>V47587</t>
  </si>
  <si>
    <t>Shyamveer  Singh</t>
  </si>
  <si>
    <t>V47583</t>
  </si>
  <si>
    <t>Pooja</t>
  </si>
  <si>
    <t>V47580</t>
  </si>
  <si>
    <t>Sachin  Yadav</t>
  </si>
  <si>
    <t>V47579</t>
  </si>
  <si>
    <t>Netra</t>
  </si>
  <si>
    <t>V47542</t>
  </si>
  <si>
    <t>Arun</t>
  </si>
  <si>
    <t>V47541</t>
  </si>
  <si>
    <t>Omkar</t>
  </si>
  <si>
    <t>V47540</t>
  </si>
  <si>
    <t>Saurabh  Sharma</t>
  </si>
  <si>
    <t>V47264</t>
  </si>
  <si>
    <t>Nitin  Shukla</t>
  </si>
  <si>
    <t>V45196</t>
  </si>
  <si>
    <t>SHUBHAM  VERMA</t>
  </si>
  <si>
    <t>V43608</t>
  </si>
  <si>
    <t>HIMANSHU  TIWARI</t>
  </si>
  <si>
    <t>V38398</t>
  </si>
  <si>
    <t>AYODHYA</t>
  </si>
  <si>
    <t>INDRA  JEET</t>
  </si>
  <si>
    <t>V53844</t>
  </si>
  <si>
    <t>MUSKAN  GUPTA</t>
  </si>
  <si>
    <t>V53737</t>
  </si>
  <si>
    <t>ALOK  GUPTA</t>
  </si>
  <si>
    <t>V53731</t>
  </si>
  <si>
    <t>PRATIBHA  PANDEY</t>
  </si>
  <si>
    <t>V52984</t>
  </si>
  <si>
    <t>AYUSHI  Yadav</t>
  </si>
  <si>
    <t>V52821</t>
  </si>
  <si>
    <t>KUSUM  DEVI</t>
  </si>
  <si>
    <t>V52256</t>
  </si>
  <si>
    <t>NITIN  KUMAR</t>
  </si>
  <si>
    <t>V52255</t>
  </si>
  <si>
    <t>Shashibala</t>
  </si>
  <si>
    <t>V52033</t>
  </si>
  <si>
    <t>AMIT  KUMAR</t>
  </si>
  <si>
    <t>V51252</t>
  </si>
  <si>
    <t>SWATI  Yadav</t>
  </si>
  <si>
    <t>V50059</t>
  </si>
  <si>
    <t>Meena</t>
  </si>
  <si>
    <t>V49605</t>
  </si>
  <si>
    <t>Shreyansh Chaudhary</t>
  </si>
  <si>
    <t>V45524</t>
  </si>
  <si>
    <t>Rajesh  Vishvakarma</t>
  </si>
  <si>
    <t>V45089</t>
  </si>
  <si>
    <t>Alok Kumar Verma</t>
  </si>
  <si>
    <t>V44880</t>
  </si>
  <si>
    <t>Balwant  Singh</t>
  </si>
  <si>
    <t>V44878</t>
  </si>
  <si>
    <t>Arjun  Dubey</t>
  </si>
  <si>
    <t>V44409</t>
  </si>
  <si>
    <t>Shishu  Kumari</t>
  </si>
  <si>
    <t>V44182</t>
  </si>
  <si>
    <t>MADHAV RAJ DWIVEDI</t>
  </si>
  <si>
    <t>V44056</t>
  </si>
  <si>
    <t>ANKIT KUMAR</t>
  </si>
  <si>
    <t>V36683</t>
  </si>
  <si>
    <t>HARIKESH KUMAR SHARMA</t>
  </si>
  <si>
    <t>V15066</t>
  </si>
  <si>
    <t>NEERAJ KUMAR TIWARI</t>
  </si>
  <si>
    <t>V11410</t>
  </si>
  <si>
    <t>HANUMAN PRASAD SHUKLA</t>
  </si>
  <si>
    <t>V09991</t>
  </si>
  <si>
    <t>Sakshi  Bharti</t>
  </si>
  <si>
    <t>V54320</t>
  </si>
  <si>
    <t>V53860</t>
  </si>
  <si>
    <t>Vishwa  Pratap</t>
  </si>
  <si>
    <t>V53463</t>
  </si>
  <si>
    <t>Abhishek  Kanaujia</t>
  </si>
  <si>
    <t>V53462</t>
  </si>
  <si>
    <t>ANKIT  KUMAR</t>
  </si>
  <si>
    <t>V53460</t>
  </si>
  <si>
    <t>SAMEER  MATHUR</t>
  </si>
  <si>
    <t>V53418</t>
  </si>
  <si>
    <t>AMAN</t>
  </si>
  <si>
    <t>V52496</t>
  </si>
  <si>
    <t>ANSHU  SHRIVASTAVA</t>
  </si>
  <si>
    <t>V52022</t>
  </si>
  <si>
    <t>SURENDRA KUMAR PAL</t>
  </si>
  <si>
    <t>V52021</t>
  </si>
  <si>
    <t>RAHUL KUMAR KASHYAP</t>
  </si>
  <si>
    <t>V51697</t>
  </si>
  <si>
    <t>Shashank  Kumar</t>
  </si>
  <si>
    <t>V51177</t>
  </si>
  <si>
    <t>V50843</t>
  </si>
  <si>
    <t>Bajrangi</t>
  </si>
  <si>
    <t>V50583</t>
  </si>
  <si>
    <t>Karan  Kumar</t>
  </si>
  <si>
    <t>V50356</t>
  </si>
  <si>
    <t>RAVI</t>
  </si>
  <si>
    <t>V49217</t>
  </si>
  <si>
    <t>Sooraj  Pal</t>
  </si>
  <si>
    <t>V48917</t>
  </si>
  <si>
    <t>Neeraj</t>
  </si>
  <si>
    <t>V48543</t>
  </si>
  <si>
    <t>ALOK KUMAR</t>
  </si>
  <si>
    <t>V48341</t>
  </si>
  <si>
    <t>PANKAJ KUMAR SHARMA</t>
  </si>
  <si>
    <t>V48325</t>
  </si>
  <si>
    <t>VIPIN KUMAR</t>
  </si>
  <si>
    <t>V48322</t>
  </si>
  <si>
    <t>SANDHYA</t>
  </si>
  <si>
    <t>V48070</t>
  </si>
  <si>
    <t>Himanshu  Kashyap</t>
  </si>
  <si>
    <t>V45198</t>
  </si>
  <si>
    <t>Ravi  Kumar</t>
  </si>
  <si>
    <t>V45128</t>
  </si>
  <si>
    <t>Sharvan  Awasthi</t>
  </si>
  <si>
    <t>V45039</t>
  </si>
  <si>
    <t>Prince Prashant Singh</t>
  </si>
  <si>
    <t>V44950</t>
  </si>
  <si>
    <t>JYOTI SINGH</t>
  </si>
  <si>
    <t>V44947</t>
  </si>
  <si>
    <t>Vipin  Giri</t>
  </si>
  <si>
    <t>V44827</t>
  </si>
  <si>
    <t>Dharam Pal  Pal</t>
  </si>
  <si>
    <t>V44705</t>
  </si>
  <si>
    <t>SHIVAM  MOURYA</t>
  </si>
  <si>
    <t>V44674</t>
  </si>
  <si>
    <t>V44625</t>
  </si>
  <si>
    <t>SHIVANI  GANGWAR</t>
  </si>
  <si>
    <t>V44424</t>
  </si>
  <si>
    <t>AJAY KUMAR MOURYA</t>
  </si>
  <si>
    <t>V44312</t>
  </si>
  <si>
    <t>Rohit Kumar Bharti</t>
  </si>
  <si>
    <t>V44258</t>
  </si>
  <si>
    <t>GYNAWATI</t>
  </si>
  <si>
    <t>V44150</t>
  </si>
  <si>
    <t>Harsh  Awasthi</t>
  </si>
  <si>
    <t>V44149</t>
  </si>
  <si>
    <t>KHUSHI</t>
  </si>
  <si>
    <t>V44143</t>
  </si>
  <si>
    <t>Mukesh</t>
  </si>
  <si>
    <t>V44010</t>
  </si>
  <si>
    <t>ASHISH KUMAR GIRI</t>
  </si>
  <si>
    <t>V24274</t>
  </si>
  <si>
    <t>Khushi  Kumari</t>
  </si>
  <si>
    <t>V54435</t>
  </si>
  <si>
    <t>Murlidhar  Sharma</t>
  </si>
  <si>
    <t>V54393</t>
  </si>
  <si>
    <t>Subhash  Kumar</t>
  </si>
  <si>
    <t>V52704</t>
  </si>
  <si>
    <t>Ajay  Bharati</t>
  </si>
  <si>
    <t>V52703</t>
  </si>
  <si>
    <t>Harshita  Phartyal</t>
  </si>
  <si>
    <t>V50173</t>
  </si>
  <si>
    <t>SADHNA  SHARMA</t>
  </si>
  <si>
    <t>V50169</t>
  </si>
  <si>
    <t>Shani Singh Patel</t>
  </si>
  <si>
    <t>V47451</t>
  </si>
  <si>
    <t>Mutun  Devi</t>
  </si>
  <si>
    <t>V47410</t>
  </si>
  <si>
    <t>Puja  Devi</t>
  </si>
  <si>
    <t>V46024</t>
  </si>
  <si>
    <t>Upendra  Kumar</t>
  </si>
  <si>
    <t>V45805</t>
  </si>
  <si>
    <t>SANTU  KUMAR</t>
  </si>
  <si>
    <t>V45019</t>
  </si>
  <si>
    <t>DEEPANSHU</t>
  </si>
  <si>
    <t>V44345</t>
  </si>
  <si>
    <t>MOHIT KUMAR KAIN</t>
  </si>
  <si>
    <t>V43709</t>
  </si>
  <si>
    <t>GYANDEEP SARASWAT</t>
  </si>
  <si>
    <t>V43240</t>
  </si>
  <si>
    <t>ABHINAV TYAGI</t>
  </si>
  <si>
    <t>V36061</t>
  </si>
  <si>
    <t>SHIVAM KUMAR</t>
  </si>
  <si>
    <t>V36057</t>
  </si>
  <si>
    <t>AKASH</t>
  </si>
  <si>
    <t>V30366</t>
  </si>
  <si>
    <t>SHOVIT  KUMAR</t>
  </si>
  <si>
    <t>V28835</t>
  </si>
  <si>
    <t>SURAJ  KUMAR</t>
  </si>
  <si>
    <t>V21152</t>
  </si>
  <si>
    <t>ARVIND KUMAR YADAV</t>
  </si>
  <si>
    <t>SACHIN</t>
  </si>
  <si>
    <t>Akhilesh  Tiwari</t>
  </si>
  <si>
    <t>V54599</t>
  </si>
  <si>
    <t>suraj  bhaskar</t>
  </si>
  <si>
    <t>V52364</t>
  </si>
  <si>
    <t>DHARMENDRA  KUMAR</t>
  </si>
  <si>
    <t>V52091</t>
  </si>
  <si>
    <t>Vipin  Kumar</t>
  </si>
  <si>
    <t>V50755</t>
  </si>
  <si>
    <t>Shivendra</t>
  </si>
  <si>
    <t>V49106</t>
  </si>
  <si>
    <t>Satendra Pratap Singh</t>
  </si>
  <si>
    <t>V48850</t>
  </si>
  <si>
    <t>Reena</t>
  </si>
  <si>
    <t>V48345</t>
  </si>
  <si>
    <t>SRIKANT  GUPTA</t>
  </si>
  <si>
    <t>V46860</t>
  </si>
  <si>
    <t>PRIYANKA  CHAUDHARI</t>
  </si>
  <si>
    <t>V46655</t>
  </si>
  <si>
    <t>Lilawati</t>
  </si>
  <si>
    <t>V45957</t>
  </si>
  <si>
    <t>Reetesh Ranjan Vishwakarma</t>
  </si>
  <si>
    <t>V44040</t>
  </si>
  <si>
    <t>Nikki  Kushwaha</t>
  </si>
  <si>
    <t>V42988</t>
  </si>
  <si>
    <t>NIKHIL KUMAR SHRIVASTVA</t>
  </si>
  <si>
    <t>V42556</t>
  </si>
  <si>
    <t>ABHINASH KUMAR YADAV</t>
  </si>
  <si>
    <t>V39648</t>
  </si>
  <si>
    <t>KM Babli  kannojiya</t>
  </si>
  <si>
    <t>V37915</t>
  </si>
  <si>
    <t>Seema  gaur</t>
  </si>
  <si>
    <t>V37910</t>
  </si>
  <si>
    <t>Pooja  Chauhan</t>
  </si>
  <si>
    <t>V37857</t>
  </si>
  <si>
    <t>PAVAN KUMAR TRIPATHI</t>
  </si>
  <si>
    <t>V37841</t>
  </si>
  <si>
    <t>SHRADDHA</t>
  </si>
  <si>
    <t>V37821</t>
  </si>
  <si>
    <t>Sony  singh</t>
  </si>
  <si>
    <t>V37819</t>
  </si>
  <si>
    <t>BANDANA  SONKAR</t>
  </si>
  <si>
    <t>V37818</t>
  </si>
  <si>
    <t>SANDEEP  KUMAR</t>
  </si>
  <si>
    <t>V37338</t>
  </si>
  <si>
    <t>ASHUTOSH  DUBEY</t>
  </si>
  <si>
    <t>V24719</t>
  </si>
  <si>
    <t>VISHAL  SINGH</t>
  </si>
  <si>
    <t>V04141</t>
  </si>
  <si>
    <t>KISHAN</t>
  </si>
  <si>
    <t>V54318</t>
  </si>
  <si>
    <t>ISHA</t>
  </si>
  <si>
    <t>V54257</t>
  </si>
  <si>
    <t>Deep  Chandra</t>
  </si>
  <si>
    <t>V54233</t>
  </si>
  <si>
    <t>Kunal</t>
  </si>
  <si>
    <t>V52620</t>
  </si>
  <si>
    <t>ASHEESH  KUMAR</t>
  </si>
  <si>
    <t>V52146</t>
  </si>
  <si>
    <t>Somesh  Kumar</t>
  </si>
  <si>
    <t>V48907</t>
  </si>
  <si>
    <t>Rinkesh</t>
  </si>
  <si>
    <t>V46190</t>
  </si>
  <si>
    <t>Suyev  Warsi</t>
  </si>
  <si>
    <t>V46189</t>
  </si>
  <si>
    <t>RAVI  KUMAR</t>
  </si>
  <si>
    <t>V44166</t>
  </si>
  <si>
    <t>NIKHIL</t>
  </si>
  <si>
    <t>V44147</t>
  </si>
  <si>
    <t>KAUSHALAINDRA</t>
  </si>
  <si>
    <t>V44073</t>
  </si>
  <si>
    <t>Neetesh Kumar Kashyap</t>
  </si>
  <si>
    <t>V44023</t>
  </si>
  <si>
    <t>V43837</t>
  </si>
  <si>
    <t>PAWAN  YADAV</t>
  </si>
  <si>
    <t>V43833</t>
  </si>
  <si>
    <t>ALOK  KUMAR</t>
  </si>
  <si>
    <t>V43827</t>
  </si>
  <si>
    <t>VIKAL  YADAV</t>
  </si>
  <si>
    <t>V43669</t>
  </si>
  <si>
    <t>SATYA PRAKASH</t>
  </si>
  <si>
    <t>V43643</t>
  </si>
  <si>
    <t>KM SHALINI GOSWAMI</t>
  </si>
  <si>
    <t>V43610</t>
  </si>
  <si>
    <t>SHIVANSHU</t>
  </si>
  <si>
    <t>V43546</t>
  </si>
  <si>
    <t>V43542</t>
  </si>
  <si>
    <t>AJAY  KUMAR</t>
  </si>
  <si>
    <t>V43540</t>
  </si>
  <si>
    <t>MOHINI</t>
  </si>
  <si>
    <t>V43515</t>
  </si>
  <si>
    <t>KM PRIYA PRIYA</t>
  </si>
  <si>
    <t>V43485</t>
  </si>
  <si>
    <t>MAN KUMAR KUMAR</t>
  </si>
  <si>
    <t>V43464</t>
  </si>
  <si>
    <t>SAURBH KUMAR KUMAR</t>
  </si>
  <si>
    <t>V43463</t>
  </si>
  <si>
    <t>ARUNADITYA PRATAP SINGH</t>
  </si>
  <si>
    <t>V43442</t>
  </si>
  <si>
    <t>YOGRAJ  SINGH</t>
  </si>
  <si>
    <t>V31922</t>
  </si>
  <si>
    <t>Rahul  Sharma</t>
  </si>
  <si>
    <t>Lucky  Mehrol</t>
  </si>
  <si>
    <t>V54357</t>
  </si>
  <si>
    <t>Chirag  Raj</t>
  </si>
  <si>
    <t>V54356</t>
  </si>
  <si>
    <t>Mohd Maroof Chauhan</t>
  </si>
  <si>
    <t>V54355</t>
  </si>
  <si>
    <t>Ankur  Deep</t>
  </si>
  <si>
    <t>V54354</t>
  </si>
  <si>
    <t>V54353</t>
  </si>
  <si>
    <t>Harsh  Kumar</t>
  </si>
  <si>
    <t>V54352</t>
  </si>
  <si>
    <t>Gulshan  Kumar</t>
  </si>
  <si>
    <t>V54255</t>
  </si>
  <si>
    <t>AYUSH</t>
  </si>
  <si>
    <t>V51526</t>
  </si>
  <si>
    <t>TANISHQ</t>
  </si>
  <si>
    <t>V51328</t>
  </si>
  <si>
    <t>KARTIK</t>
  </si>
  <si>
    <t>Anuj  Kumar</t>
  </si>
  <si>
    <t>V49970</t>
  </si>
  <si>
    <t>Babita</t>
  </si>
  <si>
    <t>V46044</t>
  </si>
  <si>
    <t>Pravindra</t>
  </si>
  <si>
    <t>V46042</t>
  </si>
  <si>
    <t>Himanshu  Kumar</t>
  </si>
  <si>
    <t>V45433</t>
  </si>
  <si>
    <t>V45248</t>
  </si>
  <si>
    <t>Parshant</t>
  </si>
  <si>
    <t>V44671</t>
  </si>
  <si>
    <t>PAYAL</t>
  </si>
  <si>
    <t>V42183</t>
  </si>
  <si>
    <t>V42033</t>
  </si>
  <si>
    <t>MANSI</t>
  </si>
  <si>
    <t>V41925</t>
  </si>
  <si>
    <t>RAUNAK</t>
  </si>
  <si>
    <t>V41683</t>
  </si>
  <si>
    <t>SHIVANI</t>
  </si>
  <si>
    <t>V41578</t>
  </si>
  <si>
    <t>SANJAY  KUMAR</t>
  </si>
  <si>
    <t>V40613</t>
  </si>
  <si>
    <t>HARSH  DHIMAN</t>
  </si>
  <si>
    <t>V40612</t>
  </si>
  <si>
    <t>RAJUL  JANGID</t>
  </si>
  <si>
    <t>V40595</t>
  </si>
  <si>
    <t>LUCKY</t>
  </si>
  <si>
    <t>V40593</t>
  </si>
  <si>
    <t>AMAR  KANT</t>
  </si>
  <si>
    <t>V37506</t>
  </si>
  <si>
    <t>RAJVEER  SINGH</t>
  </si>
  <si>
    <t>V53399</t>
  </si>
  <si>
    <t>MOHIT</t>
  </si>
  <si>
    <t>V53398</t>
  </si>
  <si>
    <t>V53008</t>
  </si>
  <si>
    <t>DEEPAK</t>
  </si>
  <si>
    <t>V52395</t>
  </si>
  <si>
    <t>Varsha</t>
  </si>
  <si>
    <t>V49625</t>
  </si>
  <si>
    <t>Sonam  Nayak</t>
  </si>
  <si>
    <t>V49624</t>
  </si>
  <si>
    <t>GULSHAN  KUMAR</t>
  </si>
  <si>
    <t>V47129</t>
  </si>
  <si>
    <t>Sawan</t>
  </si>
  <si>
    <t>V46954</t>
  </si>
  <si>
    <t>Anita  Devi</t>
  </si>
  <si>
    <t>V46952</t>
  </si>
  <si>
    <t>Akshay  Kumar</t>
  </si>
  <si>
    <t>NEETU</t>
  </si>
  <si>
    <t>V43912</t>
  </si>
  <si>
    <t>V41695</t>
  </si>
  <si>
    <t>ABHISHEK</t>
  </si>
  <si>
    <t>V39122</t>
  </si>
  <si>
    <t>SONIYA</t>
  </si>
  <si>
    <t>V39032</t>
  </si>
  <si>
    <t>NAVEEN PRAKASH SINGH</t>
  </si>
  <si>
    <t>V38579</t>
  </si>
  <si>
    <t>ABBAS  ZAIDI</t>
  </si>
  <si>
    <t>V38577</t>
  </si>
  <si>
    <t>HARSH</t>
  </si>
  <si>
    <t>V38567</t>
  </si>
  <si>
    <t>SAYYAD ALI HAIDER NAQVI</t>
  </si>
  <si>
    <t>V38561</t>
  </si>
  <si>
    <t>JYOTI</t>
  </si>
  <si>
    <t>V38462</t>
  </si>
  <si>
    <t>TUSHAR  YADAV</t>
  </si>
  <si>
    <t>V38406</t>
  </si>
  <si>
    <t>ANKIT  SIWACH</t>
  </si>
  <si>
    <t>V38391</t>
  </si>
  <si>
    <t>Fulendra  Kumar</t>
  </si>
  <si>
    <t>V50916</t>
  </si>
  <si>
    <t>Saurabh  Srivastav</t>
  </si>
  <si>
    <t>V49528</t>
  </si>
  <si>
    <t>Vijay  Ray</t>
  </si>
  <si>
    <t>V48173</t>
  </si>
  <si>
    <t>Pallavi  Chaudhari</t>
  </si>
  <si>
    <t>V47716</t>
  </si>
  <si>
    <t>ATUL  KUMAR</t>
  </si>
  <si>
    <t>V47711</t>
  </si>
  <si>
    <t>Ratna</t>
  </si>
  <si>
    <t>V46167</t>
  </si>
  <si>
    <t>Manish  Mishra</t>
  </si>
  <si>
    <t>V42871</t>
  </si>
  <si>
    <t>VANISH KUMAR NISHAD</t>
  </si>
  <si>
    <t>V38591</t>
  </si>
  <si>
    <t>HARSHITA  KUSHWAHA</t>
  </si>
  <si>
    <t>V37655</t>
  </si>
  <si>
    <t>NIKHIL  TIWARI</t>
  </si>
  <si>
    <t>V37647</t>
  </si>
  <si>
    <t>ARBIND KUMAR TRIPATHI</t>
  </si>
  <si>
    <t>V37630</t>
  </si>
  <si>
    <t>ANAMIKA  VISHWAKARMA</t>
  </si>
  <si>
    <t>V37618</t>
  </si>
  <si>
    <t>DEEPAK  KUMAR</t>
  </si>
  <si>
    <t>V37617</t>
  </si>
  <si>
    <t>ARTI  GOND</t>
  </si>
  <si>
    <t>V37606</t>
  </si>
  <si>
    <t>PRINS  SHARMA</t>
  </si>
  <si>
    <t>V37605</t>
  </si>
  <si>
    <t>ATUL  JAISWAL</t>
  </si>
  <si>
    <t>V37603</t>
  </si>
  <si>
    <t>SHIV SHANKAR PRAJAPATI</t>
  </si>
  <si>
    <t>V35010</t>
  </si>
  <si>
    <t>ANURAG  BHARTIYA</t>
  </si>
  <si>
    <t>V32375</t>
  </si>
  <si>
    <t>MOHIT KUMAR PAL</t>
  </si>
  <si>
    <t>V27534</t>
  </si>
  <si>
    <t>UMESH  CHAND</t>
  </si>
  <si>
    <t>V27420</t>
  </si>
  <si>
    <t>ANKUR  KUMAR</t>
  </si>
  <si>
    <t>V21811</t>
  </si>
  <si>
    <t>RAHUL  SINGH</t>
  </si>
  <si>
    <t>Shivani</t>
  </si>
  <si>
    <t>V50304</t>
  </si>
  <si>
    <t>Shekhar</t>
  </si>
  <si>
    <t>V48446</t>
  </si>
  <si>
    <t>Kamini</t>
  </si>
  <si>
    <t>V47530</t>
  </si>
  <si>
    <t>Ankit Kumar Pathak</t>
  </si>
  <si>
    <t>V46850</t>
  </si>
  <si>
    <t>Ajit  Kumar</t>
  </si>
  <si>
    <t>V46086</t>
  </si>
  <si>
    <t>Chandra  Shekhar</t>
  </si>
  <si>
    <t>V43466</t>
  </si>
  <si>
    <t>BHOOP  SINGH</t>
  </si>
  <si>
    <t>V42538</t>
  </si>
  <si>
    <t>HEMANT  KUMAR</t>
  </si>
  <si>
    <t>V37430</t>
  </si>
  <si>
    <t>HARI  OM</t>
  </si>
  <si>
    <t>V37391</t>
  </si>
  <si>
    <t>GAURAV  KUMAR</t>
  </si>
  <si>
    <t>V37390</t>
  </si>
  <si>
    <t>V37386</t>
  </si>
  <si>
    <t>RAMU  PAL</t>
  </si>
  <si>
    <t>V37383</t>
  </si>
  <si>
    <t>SATEESH  CHANDRA</t>
  </si>
  <si>
    <t>V37275</t>
  </si>
  <si>
    <t>PREM  KISHORE</t>
  </si>
  <si>
    <t>V37193</t>
  </si>
  <si>
    <t>ROHIT KUMAR</t>
  </si>
  <si>
    <t>V37085</t>
  </si>
  <si>
    <t>ABADH PAL SINGH</t>
  </si>
  <si>
    <t>V37060</t>
  </si>
  <si>
    <t>VIKASH KUMAR</t>
  </si>
  <si>
    <t>V37058</t>
  </si>
  <si>
    <t>AKHILESH</t>
  </si>
  <si>
    <t>V37049</t>
  </si>
  <si>
    <t>RAJ KAMAL YADAV</t>
  </si>
  <si>
    <t>V37048</t>
  </si>
  <si>
    <t>VIJAYA VEER SINGH</t>
  </si>
  <si>
    <t>V36975</t>
  </si>
  <si>
    <t>VIKASH</t>
  </si>
  <si>
    <t>V36968</t>
  </si>
  <si>
    <t>V36967</t>
  </si>
  <si>
    <t>DHRUV AGRAWAL</t>
  </si>
  <si>
    <t>V36960</t>
  </si>
  <si>
    <t>RAVIT KUMAR</t>
  </si>
  <si>
    <t>V36955</t>
  </si>
  <si>
    <t>SUMIT  KUMAR</t>
  </si>
  <si>
    <t>Deepak  Kumar</t>
  </si>
  <si>
    <t>V52608</t>
  </si>
  <si>
    <t>Suraj</t>
  </si>
  <si>
    <t>V50844</t>
  </si>
  <si>
    <t>Abhishek  Yadav</t>
  </si>
  <si>
    <t>V47567</t>
  </si>
  <si>
    <t>LATA</t>
  </si>
  <si>
    <t>V45932</t>
  </si>
  <si>
    <t>POOJA</t>
  </si>
  <si>
    <t>V45929</t>
  </si>
  <si>
    <t>V42400</t>
  </si>
  <si>
    <t>BHAVANA  KUMARI</t>
  </si>
  <si>
    <t>V40011</t>
  </si>
  <si>
    <t>V40009</t>
  </si>
  <si>
    <t>MANJEET  SINGH</t>
  </si>
  <si>
    <t>V39600</t>
  </si>
  <si>
    <t>SATISH  KASHYAP</t>
  </si>
  <si>
    <t>V39594</t>
  </si>
  <si>
    <t>SACHIN  KUMAR</t>
  </si>
  <si>
    <t>V39522</t>
  </si>
  <si>
    <t>ANJALI</t>
  </si>
  <si>
    <t>V39517</t>
  </si>
  <si>
    <t>ANJALI  KUMARI</t>
  </si>
  <si>
    <t>V39515</t>
  </si>
  <si>
    <t>V39502</t>
  </si>
  <si>
    <t>DUSHANT  SHARMA</t>
  </si>
  <si>
    <t>V38766</t>
  </si>
  <si>
    <t>SAURAV  KUMAR</t>
  </si>
  <si>
    <t>V38655</t>
  </si>
  <si>
    <t>RAHUL  UPADHYAY</t>
  </si>
  <si>
    <t>V37325</t>
  </si>
  <si>
    <t>Ranjeet  Kumar</t>
  </si>
  <si>
    <t>V51407</t>
  </si>
  <si>
    <t>SURAJ  MISHRA</t>
  </si>
  <si>
    <t>V50439</t>
  </si>
  <si>
    <t>Ravi</t>
  </si>
  <si>
    <t>V49969</t>
  </si>
  <si>
    <t>Abhishek  Kumar</t>
  </si>
  <si>
    <t>V48704</t>
  </si>
  <si>
    <t>Ankit  Mishra</t>
  </si>
  <si>
    <t>V48702</t>
  </si>
  <si>
    <t>KM Saloni Kashyap</t>
  </si>
  <si>
    <t>V45676</t>
  </si>
  <si>
    <t>Abhishek  sharma</t>
  </si>
  <si>
    <t>V43644</t>
  </si>
  <si>
    <t>ATUL  DEVAL</t>
  </si>
  <si>
    <t>V43462</t>
  </si>
  <si>
    <t>Arun Kumar Thakur</t>
  </si>
  <si>
    <t>V43358</t>
  </si>
  <si>
    <t>Sukhdev</t>
  </si>
  <si>
    <t>V42855</t>
  </si>
  <si>
    <t>Nihal  Kumar</t>
  </si>
  <si>
    <t>V42853</t>
  </si>
  <si>
    <t>VIPIN</t>
  </si>
  <si>
    <t>V38377</t>
  </si>
  <si>
    <t>ADITYA KUMAR</t>
  </si>
  <si>
    <t>V38097</t>
  </si>
  <si>
    <t>V38075</t>
  </si>
  <si>
    <t>VIMAL  VERMA</t>
  </si>
  <si>
    <t>V38027</t>
  </si>
  <si>
    <t>MANOJ  KUMAR</t>
  </si>
  <si>
    <t>V37754</t>
  </si>
  <si>
    <t>MANAS  VAJPAI</t>
  </si>
  <si>
    <t>V37751</t>
  </si>
  <si>
    <t>NISHA  RATHOUR</t>
  </si>
  <si>
    <t>V37719</t>
  </si>
  <si>
    <t>PRIYANKA  MITRA</t>
  </si>
  <si>
    <t>V37718</t>
  </si>
  <si>
    <t>ADARSH  KUMAR</t>
  </si>
  <si>
    <t>V37703</t>
  </si>
  <si>
    <t>ANKUL  KUMAR</t>
  </si>
  <si>
    <t>V37696</t>
  </si>
  <si>
    <t>SANJANA  MITRA</t>
  </si>
  <si>
    <t>V37693</t>
  </si>
  <si>
    <t>SAURABH  KUMAR</t>
  </si>
  <si>
    <t>V37120</t>
  </si>
  <si>
    <t>AMIT  SHARMA</t>
  </si>
  <si>
    <t>V17629</t>
  </si>
  <si>
    <t>VINAY</t>
  </si>
  <si>
    <t>VIRENDRA  KUMAR</t>
  </si>
  <si>
    <t>NISHA</t>
  </si>
  <si>
    <t>Jeetendra  Ahirwar</t>
  </si>
  <si>
    <t>V54188</t>
  </si>
  <si>
    <t>Nitin  Kumar</t>
  </si>
  <si>
    <t>V54187</t>
  </si>
  <si>
    <t>mamta  batham</t>
  </si>
  <si>
    <t>V53467</t>
  </si>
  <si>
    <t>Pooja  Chaturvedi</t>
  </si>
  <si>
    <t>V50982</t>
  </si>
  <si>
    <t>Vikash  Rawat</t>
  </si>
  <si>
    <t>V49243</t>
  </si>
  <si>
    <t>MADHU</t>
  </si>
  <si>
    <t>V48679</t>
  </si>
  <si>
    <t>Govind Kumar Poddar</t>
  </si>
  <si>
    <t>V48582</t>
  </si>
  <si>
    <t>Km Neha Kumari</t>
  </si>
  <si>
    <t>V48580</t>
  </si>
  <si>
    <t>Shajanh</t>
  </si>
  <si>
    <t>V48032</t>
  </si>
  <si>
    <t>HIMANSHU  ASWAL</t>
  </si>
  <si>
    <t>V46565</t>
  </si>
  <si>
    <t>Monu  Kumar</t>
  </si>
  <si>
    <t>V43241</t>
  </si>
  <si>
    <t>V43141</t>
  </si>
  <si>
    <t>PANKAJ  KUMAR</t>
  </si>
  <si>
    <t>V41381</t>
  </si>
  <si>
    <t>KUNDAN  DUBEY</t>
  </si>
  <si>
    <t>V41000</t>
  </si>
  <si>
    <t>PANKAJ</t>
  </si>
  <si>
    <t>V38538</t>
  </si>
  <si>
    <t>MANISH  KUMAR</t>
  </si>
  <si>
    <t>V37686</t>
  </si>
  <si>
    <t>KESHAV</t>
  </si>
  <si>
    <t>V37209</t>
  </si>
  <si>
    <t>102020957010</t>
  </si>
  <si>
    <t>AMIT KUMAR SARASWAT</t>
  </si>
  <si>
    <t>V21215</t>
  </si>
  <si>
    <t>SONU  KUMAR</t>
  </si>
  <si>
    <t>V21151</t>
  </si>
  <si>
    <t>Sani</t>
  </si>
  <si>
    <t>V48498</t>
  </si>
  <si>
    <t>SAVITRI  DEVI</t>
  </si>
  <si>
    <t>V40354</t>
  </si>
  <si>
    <t>VIPIN KUMAR PANDEY</t>
  </si>
  <si>
    <t>V37165</t>
  </si>
  <si>
    <t>shivam mishra</t>
  </si>
  <si>
    <t>V36891</t>
  </si>
  <si>
    <t>SHUBHAM SAROJ</t>
  </si>
  <si>
    <t>V36779</t>
  </si>
  <si>
    <t>JAI PRAKASH SAROJ</t>
  </si>
  <si>
    <t>V36702</t>
  </si>
  <si>
    <t>sanjay KUMAR KUMAR</t>
  </si>
  <si>
    <t>V36688</t>
  </si>
  <si>
    <t>ADARSH BHARTI</t>
  </si>
  <si>
    <t>V36500</t>
  </si>
  <si>
    <t>ATUL KUMAR SHARMA</t>
  </si>
  <si>
    <t>V36432</t>
  </si>
  <si>
    <t>V36395</t>
  </si>
  <si>
    <t>PRINSHU SAROJ</t>
  </si>
  <si>
    <t>V36208</t>
  </si>
  <si>
    <t>NILAKSHI</t>
  </si>
  <si>
    <t>V36196</t>
  </si>
  <si>
    <t>VIKRANT TIWARI</t>
  </si>
  <si>
    <t>V36194</t>
  </si>
  <si>
    <t>NEHA</t>
  </si>
  <si>
    <t>V36191</t>
  </si>
  <si>
    <t>RAHUL  KUMAR</t>
  </si>
  <si>
    <t>V30662</t>
  </si>
  <si>
    <t>MAHENDRA  YADAV</t>
  </si>
  <si>
    <t>V22023</t>
  </si>
  <si>
    <t>RAHUL  PAL</t>
  </si>
  <si>
    <t>V21718</t>
  </si>
  <si>
    <t>ILU  YADAV</t>
  </si>
  <si>
    <t>V20935</t>
  </si>
  <si>
    <t>ASHISH  SHARMA</t>
  </si>
  <si>
    <t>V16990</t>
  </si>
  <si>
    <t>ANJANI  KUMAR</t>
  </si>
  <si>
    <t>V15421</t>
  </si>
  <si>
    <t>SUDHEER KUMAR SAROJ</t>
  </si>
  <si>
    <t>V12693</t>
  </si>
  <si>
    <t>RAJAT</t>
  </si>
  <si>
    <t>V53479</t>
  </si>
  <si>
    <t>V49367</t>
  </si>
  <si>
    <t>Shyam  Rajora</t>
  </si>
  <si>
    <t>V48294</t>
  </si>
  <si>
    <t>Kela</t>
  </si>
  <si>
    <t>V46108</t>
  </si>
  <si>
    <t>SURESH  SHARMA</t>
  </si>
  <si>
    <t>V46106</t>
  </si>
  <si>
    <t>Rohit  Shukla</t>
  </si>
  <si>
    <t>V45718</t>
  </si>
  <si>
    <t>Abhishaek  Chauhan</t>
  </si>
  <si>
    <t>V45451</t>
  </si>
  <si>
    <t>PUSHPENDRA KUMAR</t>
  </si>
  <si>
    <t>V39637</t>
  </si>
  <si>
    <t>RAVIKANT</t>
  </si>
  <si>
    <t>V37225</t>
  </si>
  <si>
    <t>RAHUL  BAURA</t>
  </si>
  <si>
    <t>V37138</t>
  </si>
  <si>
    <t>SHRIKANT  CHAUHAN</t>
  </si>
  <si>
    <t>V37126</t>
  </si>
  <si>
    <t>SUDHIR SHARMA</t>
  </si>
  <si>
    <t>V36949</t>
  </si>
  <si>
    <t>VIKAS PANDAY</t>
  </si>
  <si>
    <t>V36930</t>
  </si>
  <si>
    <t>YASH KUMAR</t>
  </si>
  <si>
    <t>V35643</t>
  </si>
  <si>
    <t>PINTU  BHATI</t>
  </si>
  <si>
    <t>V29279</t>
  </si>
  <si>
    <t>Aham Bharadwaj</t>
  </si>
  <si>
    <t>V52510</t>
  </si>
  <si>
    <t>ajay kumar singh</t>
  </si>
  <si>
    <t>V52167</t>
  </si>
  <si>
    <t>Shiv  Shankar</t>
  </si>
  <si>
    <t>V51165</t>
  </si>
  <si>
    <t>Kritika  Sharma</t>
  </si>
  <si>
    <t>V50472</t>
  </si>
  <si>
    <t>menika  kushwah</t>
  </si>
  <si>
    <t>V50471</t>
  </si>
  <si>
    <t>Khushi</t>
  </si>
  <si>
    <t>V50345</t>
  </si>
  <si>
    <t>Rinki</t>
  </si>
  <si>
    <t>V50228</t>
  </si>
  <si>
    <t>Pratyush  Pandey</t>
  </si>
  <si>
    <t>V47806</t>
  </si>
  <si>
    <t>Ravindra . .</t>
  </si>
  <si>
    <t>V46597</t>
  </si>
  <si>
    <t>Sumit</t>
  </si>
  <si>
    <t>V46585</t>
  </si>
  <si>
    <t>Neelam</t>
  </si>
  <si>
    <t>V45081</t>
  </si>
  <si>
    <t>Sudheer  Kumar</t>
  </si>
  <si>
    <t>V45021</t>
  </si>
  <si>
    <t>SIVHAM  TIWARI</t>
  </si>
  <si>
    <t>V41251</t>
  </si>
  <si>
    <t>SEETU</t>
  </si>
  <si>
    <t>V40859</t>
  </si>
  <si>
    <t>VANDANA</t>
  </si>
  <si>
    <t>V40858</t>
  </si>
  <si>
    <t>ADRASH MISHRA</t>
  </si>
  <si>
    <t>V35676</t>
  </si>
  <si>
    <t>MANISH SEXENA</t>
  </si>
  <si>
    <t>V35350</t>
  </si>
  <si>
    <t>MOHD  SHAHNAWAZ</t>
  </si>
  <si>
    <t>V53752</t>
  </si>
  <si>
    <t>Atul  Vashisht</t>
  </si>
  <si>
    <t>V52135</t>
  </si>
  <si>
    <t>Mohd  Usman</t>
  </si>
  <si>
    <t>V51975</t>
  </si>
  <si>
    <t>SCM</t>
  </si>
  <si>
    <t>Vishwajit  Jha</t>
  </si>
  <si>
    <t>V50895</t>
  </si>
  <si>
    <t>Prem  Sagar</t>
  </si>
  <si>
    <t>V50887</t>
  </si>
  <si>
    <t>Ijajahamad SHAUKATALI Jalali</t>
  </si>
  <si>
    <t>V50055</t>
  </si>
  <si>
    <t>Ramesh  Kumar</t>
  </si>
  <si>
    <t>V48330</t>
  </si>
  <si>
    <t>Vinod Kumar Maurya</t>
  </si>
  <si>
    <t>V48132</t>
  </si>
  <si>
    <t>Virendra Kumar Ray</t>
  </si>
  <si>
    <t>V47978</t>
  </si>
  <si>
    <t>Pankaj  Verma</t>
  </si>
  <si>
    <t>V47859</t>
  </si>
  <si>
    <t>Murali  Sharma</t>
  </si>
  <si>
    <t>V47856</t>
  </si>
  <si>
    <t>Anil Singh</t>
  </si>
  <si>
    <t>V47816</t>
  </si>
  <si>
    <t>Mannoo  Yadav</t>
  </si>
  <si>
    <t>V47813</t>
  </si>
  <si>
    <t>Vidhyottam Kumar Nittam</t>
  </si>
  <si>
    <t>V47578</t>
  </si>
  <si>
    <t>Akash Kumar Sahoo</t>
  </si>
  <si>
    <t>V46387</t>
  </si>
  <si>
    <t>DARSHAN SHAMBU MADAPUR</t>
  </si>
  <si>
    <t>V45594</t>
  </si>
  <si>
    <t>SATYENDRA  KUMAR</t>
  </si>
  <si>
    <t>V44936</t>
  </si>
  <si>
    <t>NITISH DUBEY</t>
  </si>
  <si>
    <t>V43854</t>
  </si>
  <si>
    <t>VIKAS</t>
  </si>
  <si>
    <t>V43725</t>
  </si>
  <si>
    <t>Sonu  Sahani</t>
  </si>
  <si>
    <t>V42789</t>
  </si>
  <si>
    <t>ASHVENDRA  KUMAR</t>
  </si>
  <si>
    <t>V42433</t>
  </si>
  <si>
    <t>KRISHNA NAND KUMAR</t>
  </si>
  <si>
    <t>V42061</t>
  </si>
  <si>
    <t>AJIT BHUSAN PANDA</t>
  </si>
  <si>
    <t>V41920</t>
  </si>
  <si>
    <t>Pradip  Dutta</t>
  </si>
  <si>
    <t>V41855</t>
  </si>
  <si>
    <t>UPENDRA  YADAV</t>
  </si>
  <si>
    <t>V41516</t>
  </si>
  <si>
    <t>ABHAYRAJ SINGH CHAUHAN</t>
  </si>
  <si>
    <t>V39889</t>
  </si>
  <si>
    <t>sanjeet kumar singh</t>
  </si>
  <si>
    <t>V39786</t>
  </si>
  <si>
    <t>UMESH  SEN</t>
  </si>
  <si>
    <t>V39784</t>
  </si>
  <si>
    <t>ASHISH  KUMAWAT</t>
  </si>
  <si>
    <t>V39618</t>
  </si>
  <si>
    <t>KALANDI CHARAN  SAHOO</t>
  </si>
  <si>
    <t>V39407</t>
  </si>
  <si>
    <t>ABHISHEK  KUMAR</t>
  </si>
  <si>
    <t>V39220</t>
  </si>
  <si>
    <t>NITESH KUMAR SINGH</t>
  </si>
  <si>
    <t>V39179</t>
  </si>
  <si>
    <t>VIVEK  YADAV</t>
  </si>
  <si>
    <t>V38970</t>
  </si>
  <si>
    <t>V38870</t>
  </si>
  <si>
    <t>SHARAD RITU RAJ</t>
  </si>
  <si>
    <t>V38618</t>
  </si>
  <si>
    <t>VISHWAJEET  CHAUDHARI</t>
  </si>
  <si>
    <t>V38083</t>
  </si>
  <si>
    <t>ARBIND  KUMAR</t>
  </si>
  <si>
    <t>V37781</t>
  </si>
  <si>
    <t>SANTAN  KUMAR</t>
  </si>
  <si>
    <t>V37780</t>
  </si>
  <si>
    <t>VIKAS  KUMAR</t>
  </si>
  <si>
    <t>V37678</t>
  </si>
  <si>
    <t>APURAV  SRIVASTAVA</t>
  </si>
  <si>
    <t>V37579</t>
  </si>
  <si>
    <t>MAHESH KUMAR GAUTAM</t>
  </si>
  <si>
    <t>V37563</t>
  </si>
  <si>
    <t>KULDEEP  GUPTA</t>
  </si>
  <si>
    <t>V37552</t>
  </si>
  <si>
    <t>shreekant</t>
  </si>
  <si>
    <t>V37112</t>
  </si>
  <si>
    <t>SURAJ SAMANTA</t>
  </si>
  <si>
    <t>V36420</t>
  </si>
  <si>
    <t>102210883298</t>
  </si>
  <si>
    <t>Md Ashraf</t>
  </si>
  <si>
    <t>V36215</t>
  </si>
  <si>
    <t>RAHUL SEN</t>
  </si>
  <si>
    <t>V35996</t>
  </si>
  <si>
    <t>RAKESH GUPTA</t>
  </si>
  <si>
    <t>V35187</t>
  </si>
  <si>
    <t>MR. TUSHAR KUMAR</t>
  </si>
  <si>
    <t>V34843</t>
  </si>
  <si>
    <t>MR. MAHANTESH BHUJANNAVAR</t>
  </si>
  <si>
    <t>V34612</t>
  </si>
  <si>
    <t>HARPREET  SINGH</t>
  </si>
  <si>
    <t>V34209</t>
  </si>
  <si>
    <t>ABHAY  SINGH</t>
  </si>
  <si>
    <t>V33781</t>
  </si>
  <si>
    <t>RITESH KUMAR SINGH</t>
  </si>
  <si>
    <t>V33729</t>
  </si>
  <si>
    <t>SANJAY KUMAR DUBEY</t>
  </si>
  <si>
    <t>V33673</t>
  </si>
  <si>
    <t>PRADIP  KUMAR</t>
  </si>
  <si>
    <t>V33043</t>
  </si>
  <si>
    <t>RAJA  KUMAR</t>
  </si>
  <si>
    <t>V32924</t>
  </si>
  <si>
    <t>MANISH KUMAR NAIK</t>
  </si>
  <si>
    <t>V32059</t>
  </si>
  <si>
    <t>DEEPAK  VISHWAKARMA</t>
  </si>
  <si>
    <t>V31565</t>
  </si>
  <si>
    <t>SANJAY  JADHAV</t>
  </si>
  <si>
    <t>V31121</t>
  </si>
  <si>
    <t>V31101</t>
  </si>
  <si>
    <t>RONEY  WILSON</t>
  </si>
  <si>
    <t>V30619</t>
  </si>
  <si>
    <t>V30057</t>
  </si>
  <si>
    <t>MR. AVINASH KUMAR RAI</t>
  </si>
  <si>
    <t>V2S534</t>
  </si>
  <si>
    <t>MR. PANKAJ SINGH</t>
  </si>
  <si>
    <t>V2S267</t>
  </si>
  <si>
    <t>MR. PRAKASH CHANDRA SINGH</t>
  </si>
  <si>
    <t>V2S176</t>
  </si>
  <si>
    <t>MR. SUGRIV KUMAR</t>
  </si>
  <si>
    <t>V2S1702</t>
  </si>
  <si>
    <t>PRINCE KUMAR SHRIVASTAV</t>
  </si>
  <si>
    <t>V29189</t>
  </si>
  <si>
    <t>JITENDER</t>
  </si>
  <si>
    <t>V29161</t>
  </si>
  <si>
    <t>RAM  PRAVESH</t>
  </si>
  <si>
    <t>V27663</t>
  </si>
  <si>
    <t>AJAY  SHARMA</t>
  </si>
  <si>
    <t>V27628</t>
  </si>
  <si>
    <t>SONU KUMAR MANJHI</t>
  </si>
  <si>
    <t>V27551</t>
  </si>
  <si>
    <t>102128489759</t>
  </si>
  <si>
    <t>AKASH  SEN</t>
  </si>
  <si>
    <t>V27516</t>
  </si>
  <si>
    <t>V27510</t>
  </si>
  <si>
    <t>DIPJYOTI  BARMAN</t>
  </si>
  <si>
    <t>V27294</t>
  </si>
  <si>
    <t>AKASH  BARMAN</t>
  </si>
  <si>
    <t>V27293</t>
  </si>
  <si>
    <t>MRINMOY  MALAKAR</t>
  </si>
  <si>
    <t>V27231</t>
  </si>
  <si>
    <t>SWETAMBER  PATHAK</t>
  </si>
  <si>
    <t>V27011</t>
  </si>
  <si>
    <t>SUMIT KUMAR CHAURASIA</t>
  </si>
  <si>
    <t>V26921</t>
  </si>
  <si>
    <t>RAJEEV KUMAR TIWARI</t>
  </si>
  <si>
    <t>V26671</t>
  </si>
  <si>
    <t>RAJEEB LOCHAN NANDA</t>
  </si>
  <si>
    <t>V26367</t>
  </si>
  <si>
    <t>SUMIT KUMAR PANDEY</t>
  </si>
  <si>
    <t>V26219</t>
  </si>
  <si>
    <t>ASHUTOSH  UPADYAYA</t>
  </si>
  <si>
    <t>V25909</t>
  </si>
  <si>
    <t>ROHIT  KUMAR</t>
  </si>
  <si>
    <t>V25841</t>
  </si>
  <si>
    <t>DANVEER KUMAR SINGH</t>
  </si>
  <si>
    <t>V25809</t>
  </si>
  <si>
    <t>AMIT KUMAR</t>
  </si>
  <si>
    <t>V25768</t>
  </si>
  <si>
    <t>SURAJ KUMAR BHARTI</t>
  </si>
  <si>
    <t>V25655</t>
  </si>
  <si>
    <t>BINOD KUMAR SINGH</t>
  </si>
  <si>
    <t>V25528</t>
  </si>
  <si>
    <t>SHABAB  ANSARI</t>
  </si>
  <si>
    <t>V25384</t>
  </si>
  <si>
    <t>SAROJ  KUMAR</t>
  </si>
  <si>
    <t>V25359</t>
  </si>
  <si>
    <t>NAGARAJ SHIVAPPA NETAGAL</t>
  </si>
  <si>
    <t>V25255</t>
  </si>
  <si>
    <t>SAGAR NARAYAN SALGAONKAR</t>
  </si>
  <si>
    <t>V25093</t>
  </si>
  <si>
    <t>ANUP</t>
  </si>
  <si>
    <t>V24589</t>
  </si>
  <si>
    <t>102057888511</t>
  </si>
  <si>
    <t>MD  ZISHAN</t>
  </si>
  <si>
    <t>V24519</t>
  </si>
  <si>
    <t>101657299566</t>
  </si>
  <si>
    <t>RADHESHYAM  YADAV</t>
  </si>
  <si>
    <t>V24279</t>
  </si>
  <si>
    <t>UDAY  KUMAR</t>
  </si>
  <si>
    <t>V24152</t>
  </si>
  <si>
    <t>VISHWKARMA  BHARTI</t>
  </si>
  <si>
    <t>V24087</t>
  </si>
  <si>
    <t>CHANDRDEV  YADAV</t>
  </si>
  <si>
    <t>V23994</t>
  </si>
  <si>
    <t>AVINASH  TIWARY</t>
  </si>
  <si>
    <t>V23986</t>
  </si>
  <si>
    <t>AMIT KUMAR SINGH</t>
  </si>
  <si>
    <t>V23969</t>
  </si>
  <si>
    <t>LAKSHMAN KUMAR SINGH</t>
  </si>
  <si>
    <t>V23822</t>
  </si>
  <si>
    <t>102028876420</t>
  </si>
  <si>
    <t>PRINCE  JHA</t>
  </si>
  <si>
    <t>V23781</t>
  </si>
  <si>
    <t>SANDEEP KUMAR PANDEY</t>
  </si>
  <si>
    <t>V23706</t>
  </si>
  <si>
    <t>SOUMYA RANJAN DAS</t>
  </si>
  <si>
    <t>V22973</t>
  </si>
  <si>
    <t>BRIGESH KUMAR CHOUDHARY</t>
  </si>
  <si>
    <t>V22781</t>
  </si>
  <si>
    <t>CHANDAN KUMAR MANDAL</t>
  </si>
  <si>
    <t>V22612</t>
  </si>
  <si>
    <t>NILENDU BIKASH PANDA</t>
  </si>
  <si>
    <t>V22483</t>
  </si>
  <si>
    <t>102000224150</t>
  </si>
  <si>
    <t>JAHIDUL ALOM AHMED</t>
  </si>
  <si>
    <t>V22312</t>
  </si>
  <si>
    <t>BISWARANJAN  SAMAL</t>
  </si>
  <si>
    <t>V22307</t>
  </si>
  <si>
    <t>VIJAY  YADAV</t>
  </si>
  <si>
    <t>V22301</t>
  </si>
  <si>
    <t>SUMIT  MISHRA</t>
  </si>
  <si>
    <t>V22225</t>
  </si>
  <si>
    <t>VYAS KUMAR</t>
  </si>
  <si>
    <t>V22071</t>
  </si>
  <si>
    <t>RAHUL  VISHWKARMA</t>
  </si>
  <si>
    <t>V22021</t>
  </si>
  <si>
    <t>HIMANGSHU  DAS</t>
  </si>
  <si>
    <t>V21977</t>
  </si>
  <si>
    <t>DURGA  PATEL</t>
  </si>
  <si>
    <t>V21796</t>
  </si>
  <si>
    <t>DIPANKOR JYOTI HAZARIKA</t>
  </si>
  <si>
    <t>V21781</t>
  </si>
  <si>
    <t>VIPIN  KUMAR</t>
  </si>
  <si>
    <t>V21602</t>
  </si>
  <si>
    <t>102020955799</t>
  </si>
  <si>
    <t>SOMNATH  MAITY</t>
  </si>
  <si>
    <t>V21141</t>
  </si>
  <si>
    <t>102020956780</t>
  </si>
  <si>
    <t>V21025</t>
  </si>
  <si>
    <t>PAVAN  MISHRA</t>
  </si>
  <si>
    <t>V20856</t>
  </si>
  <si>
    <t>VIJAY  KUMAR</t>
  </si>
  <si>
    <t>V20824</t>
  </si>
  <si>
    <t>RISHAN  SHUKLA</t>
  </si>
  <si>
    <t>V20573</t>
  </si>
  <si>
    <t>KRANTI NATH</t>
  </si>
  <si>
    <t>V20337</t>
  </si>
  <si>
    <t>PARTHA SARATHI RAM</t>
  </si>
  <si>
    <t>V20298</t>
  </si>
  <si>
    <t>SUBHAM  KUMAR</t>
  </si>
  <si>
    <t>V20241</t>
  </si>
  <si>
    <t>AJAY KUMAR PAL</t>
  </si>
  <si>
    <t>V20215</t>
  </si>
  <si>
    <t>ROBIN CHANDRA DAS</t>
  </si>
  <si>
    <t>V20202</t>
  </si>
  <si>
    <t>MITU BARMAN</t>
  </si>
  <si>
    <t>V20033</t>
  </si>
  <si>
    <t>RAM ADHAR</t>
  </si>
  <si>
    <t>V19964</t>
  </si>
  <si>
    <t>102020957150</t>
  </si>
  <si>
    <t>PAWAN  KUMAR</t>
  </si>
  <si>
    <t>V19904</t>
  </si>
  <si>
    <t>ANAND SHANKAR PATTAR</t>
  </si>
  <si>
    <t>V19780</t>
  </si>
  <si>
    <t>ATUL KUMAR PANDEY</t>
  </si>
  <si>
    <t>V19661</t>
  </si>
  <si>
    <t>UMESH CHANDRA MISHRA</t>
  </si>
  <si>
    <t>V19616</t>
  </si>
  <si>
    <t>ARVIND  KUMAR</t>
  </si>
  <si>
    <t>V19491</t>
  </si>
  <si>
    <t>SUMIT KUMAR RAY</t>
  </si>
  <si>
    <t>V19277</t>
  </si>
  <si>
    <t>102021790756</t>
  </si>
  <si>
    <t>MD  ASRAF</t>
  </si>
  <si>
    <t>V18840</t>
  </si>
  <si>
    <t>ALAMSHAH NASEERSHAH HANDUR</t>
  </si>
  <si>
    <t>V18739</t>
  </si>
  <si>
    <t>TAPAN  GORAY</t>
  </si>
  <si>
    <t>V18578</t>
  </si>
  <si>
    <t>SONU  PRASAD</t>
  </si>
  <si>
    <t>V17691</t>
  </si>
  <si>
    <t>AMIT SINGH PATWAL</t>
  </si>
  <si>
    <t>V17597</t>
  </si>
  <si>
    <t>RAMAN JEE THAKUR</t>
  </si>
  <si>
    <t>V16961</t>
  </si>
  <si>
    <t>102020956751</t>
  </si>
  <si>
    <t>MADAN  KUMAR</t>
  </si>
  <si>
    <t>V16519</t>
  </si>
  <si>
    <t>V16516</t>
  </si>
  <si>
    <t>NIKUNJA  DAS</t>
  </si>
  <si>
    <t>V16463</t>
  </si>
  <si>
    <t>102020973490</t>
  </si>
  <si>
    <t>SHAZER  HUSSAIN</t>
  </si>
  <si>
    <t>V16380</t>
  </si>
  <si>
    <t>RAM TAPASYA KUMAR</t>
  </si>
  <si>
    <t>V15158</t>
  </si>
  <si>
    <t>MANU  BHARTI</t>
  </si>
  <si>
    <t>V14166</t>
  </si>
  <si>
    <t>CHANDAN  KUMAR</t>
  </si>
  <si>
    <t>V14107</t>
  </si>
  <si>
    <t>RAMJATAN  KUMAR</t>
  </si>
  <si>
    <t>V12326</t>
  </si>
  <si>
    <t>DEV PRAYAG SHUKLA</t>
  </si>
  <si>
    <t>V10088</t>
  </si>
  <si>
    <t>VIKASH  KUMAR</t>
  </si>
  <si>
    <t>V09796</t>
  </si>
  <si>
    <t>DIPAK KUMAR SINGH</t>
  </si>
  <si>
    <t>V09417</t>
  </si>
  <si>
    <t>SUNIL</t>
  </si>
  <si>
    <t>V09157</t>
  </si>
  <si>
    <t>ASHOK KUMAR SINGH</t>
  </si>
  <si>
    <t>V08814</t>
  </si>
  <si>
    <t>MD SURJAMAL HAQUE</t>
  </si>
  <si>
    <t>V08591</t>
  </si>
  <si>
    <t>RITESH KUMAR YADAV</t>
  </si>
  <si>
    <t>V08521</t>
  </si>
  <si>
    <t>102020956714</t>
  </si>
  <si>
    <t>HIMANSHU KUMAR MOHANTY</t>
  </si>
  <si>
    <t>V08381</t>
  </si>
  <si>
    <t>SUKHDEV  YADAV</t>
  </si>
  <si>
    <t>V08061</t>
  </si>
  <si>
    <t>CHANDAN  RAWAT</t>
  </si>
  <si>
    <t>V07311</t>
  </si>
  <si>
    <t>ASHUTOSH KUMAR SINGH</t>
  </si>
  <si>
    <t>V06447</t>
  </si>
  <si>
    <t>102021624846</t>
  </si>
  <si>
    <t>MD.  MAROOF</t>
  </si>
  <si>
    <t>V05884</t>
  </si>
  <si>
    <t>ASHISH  KUMAR</t>
  </si>
  <si>
    <t>V05602</t>
  </si>
  <si>
    <t>BIRBAHADUR  PRASAD</t>
  </si>
  <si>
    <t>V05470</t>
  </si>
  <si>
    <t>ARJUN  YADAV</t>
  </si>
  <si>
    <t>V05222</t>
  </si>
  <si>
    <t>SHIVSHANKAR</t>
  </si>
  <si>
    <t>V04994</t>
  </si>
  <si>
    <t>SHERU</t>
  </si>
  <si>
    <t>V03952</t>
  </si>
  <si>
    <t>102021244489</t>
  </si>
  <si>
    <t>SANJAY  SHARMA</t>
  </si>
  <si>
    <t>V03707</t>
  </si>
  <si>
    <t>AKASH  KUMAR</t>
  </si>
  <si>
    <t>V03477</t>
  </si>
  <si>
    <t>NIRAJ KUMAR GUPTA</t>
  </si>
  <si>
    <t>V01789</t>
  </si>
  <si>
    <t>RAVI SHANKAR TIWARI</t>
  </si>
  <si>
    <t>V01077</t>
  </si>
  <si>
    <t>102021016697</t>
  </si>
  <si>
    <t>LAXMI KANT MANDAL</t>
  </si>
  <si>
    <t>V00534</t>
  </si>
  <si>
    <t>PLANNING</t>
  </si>
  <si>
    <t>Harsh  Gupta</t>
  </si>
  <si>
    <t>V53807</t>
  </si>
  <si>
    <t>HARYANA</t>
  </si>
  <si>
    <t>HO-NEW</t>
  </si>
  <si>
    <t>RH01</t>
  </si>
  <si>
    <t>IT</t>
  </si>
  <si>
    <t>Mridul K K Shine</t>
  </si>
  <si>
    <t>V53805</t>
  </si>
  <si>
    <t>ROHIT  SINGH</t>
  </si>
  <si>
    <t>SAHIL</t>
  </si>
  <si>
    <t>Pushkar  Sharma</t>
  </si>
  <si>
    <t>V45211</t>
  </si>
  <si>
    <t>VINAY  KUMAR</t>
  </si>
  <si>
    <t>V45207</t>
  </si>
  <si>
    <t>Abhay  Dwivedi</t>
  </si>
  <si>
    <t>V45160</t>
  </si>
  <si>
    <t>Dhirendra  Kumar</t>
  </si>
  <si>
    <t>V44807</t>
  </si>
  <si>
    <t>SAKSHI</t>
  </si>
  <si>
    <t>V43517</t>
  </si>
  <si>
    <t>V43398</t>
  </si>
  <si>
    <t>Shiv Pratap Singh</t>
  </si>
  <si>
    <t>V41808</t>
  </si>
  <si>
    <t>ANIL KUMAR PANDEY</t>
  </si>
  <si>
    <t>V40357</t>
  </si>
  <si>
    <t>Aashish Kumar</t>
  </si>
  <si>
    <t>V36154</t>
  </si>
  <si>
    <t>SUNNY KUMAR</t>
  </si>
  <si>
    <t>V35870</t>
  </si>
  <si>
    <t>ANUSHKA MISHRA</t>
  </si>
  <si>
    <t>V35220</t>
  </si>
  <si>
    <t>RAJEEV  KANU</t>
  </si>
  <si>
    <t>V34453</t>
  </si>
  <si>
    <t>102020362056</t>
  </si>
  <si>
    <t>NOOR  MOHAMMAD</t>
  </si>
  <si>
    <t>V33596</t>
  </si>
  <si>
    <t>102177336727</t>
  </si>
  <si>
    <t>V31412</t>
  </si>
  <si>
    <t>102170015722</t>
  </si>
  <si>
    <t>SRISHTI  AGRAWAL</t>
  </si>
  <si>
    <t>V30406</t>
  </si>
  <si>
    <t>102169353582</t>
  </si>
  <si>
    <t>MAYANK  BEHL</t>
  </si>
  <si>
    <t>V30151</t>
  </si>
  <si>
    <t>MRS. MAHIMA SINGH</t>
  </si>
  <si>
    <t>V2S503</t>
  </si>
  <si>
    <t>102020362073</t>
  </si>
  <si>
    <t>MR. RAJ KUMAR KAMBOJ</t>
  </si>
  <si>
    <t>V2S168</t>
  </si>
  <si>
    <t>101835651646</t>
  </si>
  <si>
    <t>AMAN  GUPTA</t>
  </si>
  <si>
    <t>V29763</t>
  </si>
  <si>
    <t>SHIVAM  KUSHWAHA</t>
  </si>
  <si>
    <t>V27605</t>
  </si>
  <si>
    <t>PARKASH  MURMU</t>
  </si>
  <si>
    <t>V26489</t>
  </si>
  <si>
    <t>Vaishali  Rai</t>
  </si>
  <si>
    <t>V52894</t>
  </si>
  <si>
    <t>RAJINDER  KUMAR</t>
  </si>
  <si>
    <t>V25541</t>
  </si>
  <si>
    <t>102079757940</t>
  </si>
  <si>
    <t>SIDDHARTH SINGH RAJAT</t>
  </si>
  <si>
    <t>V25517</t>
  </si>
  <si>
    <t>102067809314</t>
  </si>
  <si>
    <t>AVDHESH KUMAR PANDEY</t>
  </si>
  <si>
    <t>V25158</t>
  </si>
  <si>
    <t>102038494417</t>
  </si>
  <si>
    <t>BINEESHA  JAISWAL</t>
  </si>
  <si>
    <t>V23963</t>
  </si>
  <si>
    <t>Kanika  Vats</t>
  </si>
  <si>
    <t>V51674</t>
  </si>
  <si>
    <t>Abhay  Yadav</t>
  </si>
  <si>
    <t>V51661</t>
  </si>
  <si>
    <t>MANISH KUMAR SINGH</t>
  </si>
  <si>
    <t>V23962</t>
  </si>
  <si>
    <t>SHASHI  KUMAR</t>
  </si>
  <si>
    <t>V23915</t>
  </si>
  <si>
    <t>RITIK KUMAR RAI</t>
  </si>
  <si>
    <t>V23829</t>
  </si>
  <si>
    <t>V23375</t>
  </si>
  <si>
    <t>102020956638</t>
  </si>
  <si>
    <t>V22008</t>
  </si>
  <si>
    <t>RAJESH  KUMAR</t>
  </si>
  <si>
    <t>V21704</t>
  </si>
  <si>
    <t>102020956471</t>
  </si>
  <si>
    <t>V21205</t>
  </si>
  <si>
    <t>102020956416</t>
  </si>
  <si>
    <t>AMAN  KUMAR</t>
  </si>
  <si>
    <t>V20588</t>
  </si>
  <si>
    <t>102020955706</t>
  </si>
  <si>
    <t>AMIT  SEHRAWAT</t>
  </si>
  <si>
    <t>V18204</t>
  </si>
  <si>
    <t>V18080</t>
  </si>
  <si>
    <t>AARTI  CHAND</t>
  </si>
  <si>
    <t>V17518</t>
  </si>
  <si>
    <t>RITESH KUMAR JHA</t>
  </si>
  <si>
    <t>V17484</t>
  </si>
  <si>
    <t>102020955396</t>
  </si>
  <si>
    <t>SANTOSH KUMAR NAYAK</t>
  </si>
  <si>
    <t>V17177</t>
  </si>
  <si>
    <t>DEEPAK  SINGH</t>
  </si>
  <si>
    <t>VIRENDER  SINGH</t>
  </si>
  <si>
    <t>V16619</t>
  </si>
  <si>
    <t>102020956376</t>
  </si>
  <si>
    <t>HARSH KUMAR SINGH</t>
  </si>
  <si>
    <t>V13519</t>
  </si>
  <si>
    <t>102020956369</t>
  </si>
  <si>
    <t>ASHUTOSH  KUMAR</t>
  </si>
  <si>
    <t>V10217</t>
  </si>
  <si>
    <t>Nishant  RAWAT</t>
  </si>
  <si>
    <t>V48406</t>
  </si>
  <si>
    <t>V08175</t>
  </si>
  <si>
    <t>102020957052</t>
  </si>
  <si>
    <t>KARTIK  NAYAK</t>
  </si>
  <si>
    <t>V04667</t>
  </si>
  <si>
    <t>Mrinmoy  Saha</t>
  </si>
  <si>
    <t>V49602</t>
  </si>
  <si>
    <t>Navin  Malani</t>
  </si>
  <si>
    <t>V46633</t>
  </si>
  <si>
    <t>V12823</t>
  </si>
  <si>
    <t>01/10/2025</t>
  </si>
  <si>
    <t>kripa  modi</t>
  </si>
  <si>
    <t>V47310</t>
  </si>
  <si>
    <t>Rohit  Kumar</t>
  </si>
  <si>
    <t>Shrishty Naveen  Naveen</t>
  </si>
  <si>
    <t>V47109</t>
  </si>
  <si>
    <t>Shivam  Tyagi</t>
  </si>
  <si>
    <t>V54439</t>
  </si>
  <si>
    <t>Kuldeep</t>
  </si>
  <si>
    <t>V46617</t>
  </si>
  <si>
    <t>Amandeep Deep Singh</t>
  </si>
  <si>
    <t>V52916</t>
  </si>
  <si>
    <t>Ravikant  Dwivedi</t>
  </si>
  <si>
    <t>V46116</t>
  </si>
  <si>
    <t>Jeetendra  Kumar</t>
  </si>
  <si>
    <t>V49500</t>
  </si>
  <si>
    <t>Aashish  Kataria</t>
  </si>
  <si>
    <t>V48625</t>
  </si>
  <si>
    <t>Mahesh kumar</t>
  </si>
  <si>
    <t>V48370</t>
  </si>
  <si>
    <t>Khagendra Kumar Mandal</t>
  </si>
  <si>
    <t>V48237</t>
  </si>
  <si>
    <t>Arpit  Singh</t>
  </si>
  <si>
    <t>V48106</t>
  </si>
  <si>
    <t>Sumit  Kumar</t>
  </si>
  <si>
    <t>V47831</t>
  </si>
  <si>
    <t>V45405</t>
  </si>
  <si>
    <t>PIYUSH  UPADHYAY</t>
  </si>
  <si>
    <t>V45313</t>
  </si>
  <si>
    <t>SAHIL  KUMAR</t>
  </si>
  <si>
    <t>V47810</t>
  </si>
  <si>
    <t>SOHIT SOHIT KUMAR</t>
  </si>
  <si>
    <t>V45213</t>
  </si>
  <si>
    <t>Dhyanu</t>
  </si>
  <si>
    <t>V47266</t>
  </si>
  <si>
    <t>Chandresh  Singh</t>
  </si>
  <si>
    <t>V47086</t>
  </si>
  <si>
    <t>SUDHIR  KUMAR</t>
  </si>
  <si>
    <t>Ritik  Kumar</t>
  </si>
  <si>
    <t>V45646</t>
  </si>
  <si>
    <t>Pratham  Bhatia</t>
  </si>
  <si>
    <t>V45559</t>
  </si>
  <si>
    <t>Khushboo  Kumari</t>
  </si>
  <si>
    <t>V45204</t>
  </si>
  <si>
    <t>V45214</t>
  </si>
  <si>
    <t>Adarsh  Raghuvanshi</t>
  </si>
  <si>
    <t>V45208</t>
  </si>
  <si>
    <t>ANSHUL  YADAV</t>
  </si>
  <si>
    <t>V45183</t>
  </si>
  <si>
    <t>Alok . Kumar</t>
  </si>
  <si>
    <t>V45181</t>
  </si>
  <si>
    <t>Gunzan  Banik</t>
  </si>
  <si>
    <t>V45205</t>
  </si>
  <si>
    <t>Anvee</t>
  </si>
  <si>
    <t>V45175</t>
  </si>
  <si>
    <t>Prashant  Kumar</t>
  </si>
  <si>
    <t>V45185</t>
  </si>
  <si>
    <t>Adarsh  Jha</t>
  </si>
  <si>
    <t>V45172</t>
  </si>
  <si>
    <t>Shubham kumar Jha</t>
  </si>
  <si>
    <t>V45184</t>
  </si>
  <si>
    <t>Aditya  Chaudhary</t>
  </si>
  <si>
    <t>V45173</t>
  </si>
  <si>
    <t>Ansh Bhardwaj</t>
  </si>
  <si>
    <t>V45158</t>
  </si>
  <si>
    <t>BHASKAR  KUMAR</t>
  </si>
  <si>
    <t>V44824</t>
  </si>
  <si>
    <t>Sanni  Sahu</t>
  </si>
  <si>
    <t>V44821</t>
  </si>
  <si>
    <t>Ajit  Panday</t>
  </si>
  <si>
    <t>V44792</t>
  </si>
  <si>
    <t>Suman  Kumar</t>
  </si>
  <si>
    <t>V44785</t>
  </si>
  <si>
    <t>Nikky Singh Rathore</t>
  </si>
  <si>
    <t>V44513</t>
  </si>
  <si>
    <t>Asif  Iqbal</t>
  </si>
  <si>
    <t>V44339</t>
  </si>
  <si>
    <t>Aishwarya  Singh</t>
  </si>
  <si>
    <t>V44817</t>
  </si>
  <si>
    <t>Manish Kumar Singh</t>
  </si>
  <si>
    <t>V44812</t>
  </si>
  <si>
    <t>V44110</t>
  </si>
  <si>
    <t>Hariom</t>
  </si>
  <si>
    <t>V43987</t>
  </si>
  <si>
    <t>SOURAV  CHATTERJEE</t>
  </si>
  <si>
    <t>V43726</t>
  </si>
  <si>
    <t>MAHESH</t>
  </si>
  <si>
    <t>V43561</t>
  </si>
  <si>
    <t>Vivek  Kumar</t>
  </si>
  <si>
    <t>V44788</t>
  </si>
  <si>
    <t>LUCKY  KUMAR</t>
  </si>
  <si>
    <t>V43533</t>
  </si>
  <si>
    <t>Mayank  singh</t>
  </si>
  <si>
    <t>V43518</t>
  </si>
  <si>
    <t>Rajnish  Kumar</t>
  </si>
  <si>
    <t>V43435</t>
  </si>
  <si>
    <t>NITIN KUMAR CHAUDHARY</t>
  </si>
  <si>
    <t>V44781</t>
  </si>
  <si>
    <t>Sushil  Kumar</t>
  </si>
  <si>
    <t>V43220</t>
  </si>
  <si>
    <t>SHILPI  SINGH</t>
  </si>
  <si>
    <t>V42190</t>
  </si>
  <si>
    <t>Shubham  Kushvanshi</t>
  </si>
  <si>
    <t>V41862</t>
  </si>
  <si>
    <t>Vivek</t>
  </si>
  <si>
    <t>V41812</t>
  </si>
  <si>
    <t>Yashasvi  Chauhan</t>
  </si>
  <si>
    <t>V41809</t>
  </si>
  <si>
    <t>Anurag  Gupta</t>
  </si>
  <si>
    <t>V41806</t>
  </si>
  <si>
    <t>Vishesh</t>
  </si>
  <si>
    <t>V41805</t>
  </si>
  <si>
    <t>PULKIT  GUPTA</t>
  </si>
  <si>
    <t>V41797</t>
  </si>
  <si>
    <t>Shubhanshu kashyap</t>
  </si>
  <si>
    <t>V41788</t>
  </si>
  <si>
    <t>Dwipmala  Bhowmik</t>
  </si>
  <si>
    <t>V41780</t>
  </si>
  <si>
    <t>RAJESH KUMAR RAI</t>
  </si>
  <si>
    <t>V41772</t>
  </si>
  <si>
    <t>SHASHANK KUMAR SONI</t>
  </si>
  <si>
    <t>V41689</t>
  </si>
  <si>
    <t>AJIT  KUMAR</t>
  </si>
  <si>
    <t>V41409</t>
  </si>
  <si>
    <t>V41376</t>
  </si>
  <si>
    <t>VISHAL  SHARMA</t>
  </si>
  <si>
    <t>V41094</t>
  </si>
  <si>
    <t>VIKASH KUMAR SINGH</t>
  </si>
  <si>
    <t>V41001</t>
  </si>
  <si>
    <t>Ranjan  Kumar</t>
  </si>
  <si>
    <t>V38076</t>
  </si>
  <si>
    <t>SATISH  RAWAT</t>
  </si>
  <si>
    <t>V36709</t>
  </si>
  <si>
    <t>Abhishek Yadav</t>
  </si>
  <si>
    <t>V36657</t>
  </si>
  <si>
    <t>Manmohan Gusain</t>
  </si>
  <si>
    <t>V36656</t>
  </si>
  <si>
    <t>Kuldeep Singh</t>
  </si>
  <si>
    <t>V36151</t>
  </si>
  <si>
    <t>Aaryan  Singh</t>
  </si>
  <si>
    <t>V43088</t>
  </si>
  <si>
    <t>Yogesh Jangra</t>
  </si>
  <si>
    <t>V36048</t>
  </si>
  <si>
    <t>Harsh Yadav</t>
  </si>
  <si>
    <t>V35874</t>
  </si>
  <si>
    <t>Udit  Malik</t>
  </si>
  <si>
    <t>V42845</t>
  </si>
  <si>
    <t>NEERAJ</t>
  </si>
  <si>
    <t>V35857</t>
  </si>
  <si>
    <t>SANJEET KUMAR SINGH</t>
  </si>
  <si>
    <t>V35824</t>
  </si>
  <si>
    <t>KRITI</t>
  </si>
  <si>
    <t>V35690</t>
  </si>
  <si>
    <t>sumeet srivastava</t>
  </si>
  <si>
    <t>V35575</t>
  </si>
  <si>
    <t>TUSHAR</t>
  </si>
  <si>
    <t>V35185</t>
  </si>
  <si>
    <t>SHASHANK BHARDWAJ</t>
  </si>
  <si>
    <t>V35004</t>
  </si>
  <si>
    <t>SUNNY  KUMAR</t>
  </si>
  <si>
    <t>V34456</t>
  </si>
  <si>
    <t>HARSHITA  SAINI</t>
  </si>
  <si>
    <t>V34452</t>
  </si>
  <si>
    <t>SHUBHAM PRASAD PRAJAPAT</t>
  </si>
  <si>
    <t>V34075</t>
  </si>
  <si>
    <t>102023828654</t>
  </si>
  <si>
    <t>NITISH KUMAR VERMA</t>
  </si>
  <si>
    <t>V33251</t>
  </si>
  <si>
    <t>ABHISHEK  LOHAR</t>
  </si>
  <si>
    <t>V32810</t>
  </si>
  <si>
    <t>SUSHIL  SHARMA</t>
  </si>
  <si>
    <t>V32802</t>
  </si>
  <si>
    <t>102177336762</t>
  </si>
  <si>
    <t>RAKESH  KUMAR</t>
  </si>
  <si>
    <t>V31998</t>
  </si>
  <si>
    <t>YUVRAJ KUMAR DWIVEDI</t>
  </si>
  <si>
    <t>V31664</t>
  </si>
  <si>
    <t>SONU</t>
  </si>
  <si>
    <t>V41799</t>
  </si>
  <si>
    <t>VISHAL  YADAV</t>
  </si>
  <si>
    <t>V31646</t>
  </si>
  <si>
    <t>VISHNU KUMAR GUPTA</t>
  </si>
  <si>
    <t>V41796</t>
  </si>
  <si>
    <t>V30586</t>
  </si>
  <si>
    <t>Surjeet</t>
  </si>
  <si>
    <t>V41781</t>
  </si>
  <si>
    <t>102169499260</t>
  </si>
  <si>
    <t>TANVI  KAPOOR</t>
  </si>
  <si>
    <t>V30584</t>
  </si>
  <si>
    <t>V30469</t>
  </si>
  <si>
    <t>102170015733</t>
  </si>
  <si>
    <t>V30407</t>
  </si>
  <si>
    <t>PRAVEEN  KUMAR</t>
  </si>
  <si>
    <t>V30153</t>
  </si>
  <si>
    <t>SANDIP  KUMAR</t>
  </si>
  <si>
    <t>V30064</t>
  </si>
  <si>
    <t>MR. RAJESH MANDAL</t>
  </si>
  <si>
    <t>V2S497</t>
  </si>
  <si>
    <t>MR. DIVAKAR VERMA</t>
  </si>
  <si>
    <t>V2S312</t>
  </si>
  <si>
    <t>MR. ASHOK JHA</t>
  </si>
  <si>
    <t>V2S209</t>
  </si>
  <si>
    <t>MR. ABDHESH KUMAR JHA</t>
  </si>
  <si>
    <t>V2S119</t>
  </si>
  <si>
    <t>MR. DHARMENDRA KUMAR PATHAK</t>
  </si>
  <si>
    <t>V2S033</t>
  </si>
  <si>
    <t>SHIVAM  RANJAN</t>
  </si>
  <si>
    <t>V29250</t>
  </si>
  <si>
    <t>KHUSHBOO  JHA</t>
  </si>
  <si>
    <t>V27948</t>
  </si>
  <si>
    <t>UDDHAV  KUMAR</t>
  </si>
  <si>
    <t>V27806</t>
  </si>
  <si>
    <t>PRIYANSHU  SHUKLA</t>
  </si>
  <si>
    <t>V27676</t>
  </si>
  <si>
    <t>GAUTAM KUMAR SINGH</t>
  </si>
  <si>
    <t>SANDEEP KUMAR SRIVASTAVA</t>
  </si>
  <si>
    <t>V40359</t>
  </si>
  <si>
    <t>RAHUL  MEHTA</t>
  </si>
  <si>
    <t>V26548</t>
  </si>
  <si>
    <t>ANIL  KUMAR</t>
  </si>
  <si>
    <t>V26510</t>
  </si>
  <si>
    <t>PRAVAT KUMAR BEHERA</t>
  </si>
  <si>
    <t>V26472</t>
  </si>
  <si>
    <t>GAUTAM  KUMAR</t>
  </si>
  <si>
    <t>V25962</t>
  </si>
  <si>
    <t>POOJA  GOYAL</t>
  </si>
  <si>
    <t>V37335</t>
  </si>
  <si>
    <t>AMANDEEP  KUMAR</t>
  </si>
  <si>
    <t>V25781</t>
  </si>
  <si>
    <t>102079758351</t>
  </si>
  <si>
    <t>ISHANT  JAISWAL</t>
  </si>
  <si>
    <t>V25533</t>
  </si>
  <si>
    <t>Mithu Chaudhary Chaudhary</t>
  </si>
  <si>
    <t>V37004</t>
  </si>
  <si>
    <t>102079758333</t>
  </si>
  <si>
    <t>MD YASIR MALLICK</t>
  </si>
  <si>
    <t>V25531</t>
  </si>
  <si>
    <t>102067874774</t>
  </si>
  <si>
    <t>BHUWAN RAM</t>
  </si>
  <si>
    <t>V25430</t>
  </si>
  <si>
    <t>PINTU  VERMA</t>
  </si>
  <si>
    <t>V25415</t>
  </si>
  <si>
    <t>102067875122</t>
  </si>
  <si>
    <t>GOPENDER  SINGH</t>
  </si>
  <si>
    <t>V25151</t>
  </si>
  <si>
    <t>102057888498</t>
  </si>
  <si>
    <t>AATISH BAJAJ</t>
  </si>
  <si>
    <t>V24893</t>
  </si>
  <si>
    <t>V24742</t>
  </si>
  <si>
    <t>102067808771</t>
  </si>
  <si>
    <t>Rajni Panwar</t>
  </si>
  <si>
    <t>V36529</t>
  </si>
  <si>
    <t>102210882390</t>
  </si>
  <si>
    <t>PRABHASH KUMAR RANJAN</t>
  </si>
  <si>
    <t>V36365</t>
  </si>
  <si>
    <t>102020362094</t>
  </si>
  <si>
    <t>HARMEET  KAUR</t>
  </si>
  <si>
    <t>V24496</t>
  </si>
  <si>
    <t>102038494396</t>
  </si>
  <si>
    <t>RAJ RANJAN JHA</t>
  </si>
  <si>
    <t>V23970</t>
  </si>
  <si>
    <t>102038496560</t>
  </si>
  <si>
    <t>SHYAM SUNDAR KARDAM</t>
  </si>
  <si>
    <t>V23939</t>
  </si>
  <si>
    <t>RANDHIR KUMAR SINGH</t>
  </si>
  <si>
    <t>V23899</t>
  </si>
  <si>
    <t>101872002553</t>
  </si>
  <si>
    <t>AAYUSH  GARG</t>
  </si>
  <si>
    <t>V23373</t>
  </si>
  <si>
    <t>PUNIT</t>
  </si>
  <si>
    <t>V36047</t>
  </si>
  <si>
    <t>Kundan Tiwari</t>
  </si>
  <si>
    <t>V36045</t>
  </si>
  <si>
    <t>Rahul Giri</t>
  </si>
  <si>
    <t>V36044</t>
  </si>
  <si>
    <t>102000225450</t>
  </si>
  <si>
    <t>ABHISHEK SINGH</t>
  </si>
  <si>
    <t>V22488</t>
  </si>
  <si>
    <t>V22260</t>
  </si>
  <si>
    <t>Himanshu Rawat</t>
  </si>
  <si>
    <t>V36036</t>
  </si>
  <si>
    <t>DIPTI RANJAN ROUT</t>
  </si>
  <si>
    <t>V22248</t>
  </si>
  <si>
    <t>102020956640</t>
  </si>
  <si>
    <t>ASHWANI  SARASWAT</t>
  </si>
  <si>
    <t>V22009</t>
  </si>
  <si>
    <t>SANTOSH  SHARMA</t>
  </si>
  <si>
    <t>V21860</t>
  </si>
  <si>
    <t>Deepak Manocha</t>
  </si>
  <si>
    <t>V35863</t>
  </si>
  <si>
    <t>SACHIN  GUPTA</t>
  </si>
  <si>
    <t>V21593</t>
  </si>
  <si>
    <t>101800447515</t>
  </si>
  <si>
    <t>srishti bhaskar</t>
  </si>
  <si>
    <t>V35853</t>
  </si>
  <si>
    <t>ASHIS  DAS</t>
  </si>
  <si>
    <t>V21452</t>
  </si>
  <si>
    <t>102020956519</t>
  </si>
  <si>
    <t>RAJNEESH  SHARMA</t>
  </si>
  <si>
    <t>V21447</t>
  </si>
  <si>
    <t>SAKIT  TIWARI</t>
  </si>
  <si>
    <t>V20579</t>
  </si>
  <si>
    <t>ANUSH  KUMAR</t>
  </si>
  <si>
    <t>V20569</t>
  </si>
  <si>
    <t>MULAYAM  KUMAR</t>
  </si>
  <si>
    <t>V20504</t>
  </si>
  <si>
    <t>RATUL  SUKLA</t>
  </si>
  <si>
    <t>V20428</t>
  </si>
  <si>
    <t>JAGAT RAJ CHARMKAR</t>
  </si>
  <si>
    <t>V20074</t>
  </si>
  <si>
    <t>ROSHANLAL</t>
  </si>
  <si>
    <t>V19992</t>
  </si>
  <si>
    <t>102020956213</t>
  </si>
  <si>
    <t>V19880</t>
  </si>
  <si>
    <t>ASHIT  SHUKLA</t>
  </si>
  <si>
    <t>V19871</t>
  </si>
  <si>
    <t xml:space="preserve">AJAY  </t>
  </si>
  <si>
    <t>V19794</t>
  </si>
  <si>
    <t>DEEPAK KUMAR TIWARI</t>
  </si>
  <si>
    <t>V19258</t>
  </si>
  <si>
    <t>RAHUL</t>
  </si>
  <si>
    <t>V19150</t>
  </si>
  <si>
    <t>ABHISHEK  ANAND</t>
  </si>
  <si>
    <t>V18689</t>
  </si>
  <si>
    <t>V18574</t>
  </si>
  <si>
    <t>V18468</t>
  </si>
  <si>
    <t>SUBIR  ACHARJEE</t>
  </si>
  <si>
    <t>V18379</t>
  </si>
  <si>
    <t>MADHAI  BARMAN</t>
  </si>
  <si>
    <t>V18369</t>
  </si>
  <si>
    <t>DEEPANSHU  SHARMA</t>
  </si>
  <si>
    <t>V18272</t>
  </si>
  <si>
    <t>JITENDER  KUMAR</t>
  </si>
  <si>
    <t>V18232</t>
  </si>
  <si>
    <t>BHANU PRASHAD SAHU</t>
  </si>
  <si>
    <t>V18072</t>
  </si>
  <si>
    <t>DINESH KUMAR RAY</t>
  </si>
  <si>
    <t>V17902</t>
  </si>
  <si>
    <t>102020955455</t>
  </si>
  <si>
    <t>AJAY</t>
  </si>
  <si>
    <t>V17795</t>
  </si>
  <si>
    <t>102020955558</t>
  </si>
  <si>
    <t xml:space="preserve">KONIKA  </t>
  </si>
  <si>
    <t>V17512</t>
  </si>
  <si>
    <t>RAHUL  ARORA</t>
  </si>
  <si>
    <t>V17250</t>
  </si>
  <si>
    <t>VIJAY</t>
  </si>
  <si>
    <t>V16670</t>
  </si>
  <si>
    <t>MANJU</t>
  </si>
  <si>
    <t>V15526</t>
  </si>
  <si>
    <t>102020953739</t>
  </si>
  <si>
    <t>SADHANA  DEVI</t>
  </si>
  <si>
    <t>V15306</t>
  </si>
  <si>
    <t>MOHIT  SHARMA</t>
  </si>
  <si>
    <t>V15109</t>
  </si>
  <si>
    <t>102020956400</t>
  </si>
  <si>
    <t>ABHINAVA  KUMAR</t>
  </si>
  <si>
    <t>V14436</t>
  </si>
  <si>
    <t>102020977456</t>
  </si>
  <si>
    <t>NITESH KUMAR JHA</t>
  </si>
  <si>
    <t>V14071</t>
  </si>
  <si>
    <t>KHUSHAL  KUMAR</t>
  </si>
  <si>
    <t>V13915</t>
  </si>
  <si>
    <t>V12216</t>
  </si>
  <si>
    <t>NISHANT KUMAR VISHWAS</t>
  </si>
  <si>
    <t>V11298</t>
  </si>
  <si>
    <t>HARKESH</t>
  </si>
  <si>
    <t>V10189</t>
  </si>
  <si>
    <t>VIKAS  YADAV</t>
  </si>
  <si>
    <t>V09987</t>
  </si>
  <si>
    <t>DINESH  PRASAD</t>
  </si>
  <si>
    <t>V09562</t>
  </si>
  <si>
    <t>SANTOSH KUMAR PANDEY</t>
  </si>
  <si>
    <t>V09553</t>
  </si>
  <si>
    <t>SATISH  CHAND</t>
  </si>
  <si>
    <t>V08461</t>
  </si>
  <si>
    <t>DEEPAK  THAKUR</t>
  </si>
  <si>
    <t>V08177</t>
  </si>
  <si>
    <t>102020977592</t>
  </si>
  <si>
    <t>ABHISHEK  KHEMKA</t>
  </si>
  <si>
    <t>V06164</t>
  </si>
  <si>
    <t>DRIVER</t>
  </si>
  <si>
    <t>DINESH KUMAR RAM</t>
  </si>
  <si>
    <t>V04831</t>
  </si>
  <si>
    <t>102020957393</t>
  </si>
  <si>
    <t>MD. MOQUIM AKHTAR</t>
  </si>
  <si>
    <t>V04512</t>
  </si>
  <si>
    <t>102020967086</t>
  </si>
  <si>
    <t>V03346</t>
  </si>
  <si>
    <t>V01563</t>
  </si>
  <si>
    <t>102020957372</t>
  </si>
  <si>
    <t>AMIT  MISHRA</t>
  </si>
  <si>
    <t>V01033</t>
  </si>
  <si>
    <t>102020956104</t>
  </si>
  <si>
    <t>PAPPU  KUMAR</t>
  </si>
  <si>
    <t>V00362</t>
  </si>
  <si>
    <t>102020981062</t>
  </si>
  <si>
    <t>PRATIK  ADUKIA</t>
  </si>
  <si>
    <t>V00128</t>
  </si>
  <si>
    <t>KRISHAN KUMAR JHA</t>
  </si>
  <si>
    <t>V33258</t>
  </si>
  <si>
    <t>MR. MD NASIM</t>
  </si>
  <si>
    <t>V2S415</t>
  </si>
  <si>
    <t>MR. UDAYBHAN</t>
  </si>
  <si>
    <t>V2S2159</t>
  </si>
  <si>
    <t>MR. JUBAID ALI ANSARI</t>
  </si>
  <si>
    <t>V2S2126</t>
  </si>
  <si>
    <t>102146773451</t>
  </si>
  <si>
    <t>MR. JAYAPRAKASH SINGH</t>
  </si>
  <si>
    <t>V2S2038</t>
  </si>
  <si>
    <t>MR. KISHORE ABHISHEK</t>
  </si>
  <si>
    <t>V2S1787</t>
  </si>
  <si>
    <t>102020362041</t>
  </si>
  <si>
    <t>MR. ZAMAL</t>
  </si>
  <si>
    <t>V2S178</t>
  </si>
  <si>
    <t>MR. SATYABRAT PATERIYA</t>
  </si>
  <si>
    <t>V2S174</t>
  </si>
  <si>
    <t>MR. MD. BABLU ANSARI</t>
  </si>
  <si>
    <t>V2S170</t>
  </si>
  <si>
    <t>102169499358</t>
  </si>
  <si>
    <t>V30265</t>
  </si>
  <si>
    <t>102169353576</t>
  </si>
  <si>
    <t xml:space="preserve">DISHANT  </t>
  </si>
  <si>
    <t>V30240</t>
  </si>
  <si>
    <t>MR. SHYAM BIHARI</t>
  </si>
  <si>
    <t>V2S1402</t>
  </si>
  <si>
    <t>102170010926</t>
  </si>
  <si>
    <t>RUCHI  DUBEY</t>
  </si>
  <si>
    <t>V30237</t>
  </si>
  <si>
    <t>MR. SAHIL</t>
  </si>
  <si>
    <t>V2S1397</t>
  </si>
  <si>
    <t>102067317999</t>
  </si>
  <si>
    <t>MR. LAL MAHAMMD MIYAN</t>
  </si>
  <si>
    <t>V2S1394</t>
  </si>
  <si>
    <t>MR. SUNIL SHARMA</t>
  </si>
  <si>
    <t>V2S006</t>
  </si>
  <si>
    <t>102020956664</t>
  </si>
  <si>
    <t xml:space="preserve">SHEKHAR  </t>
  </si>
  <si>
    <t>V22069</t>
  </si>
  <si>
    <t>MR. AAKASH SIROHI</t>
  </si>
  <si>
    <t>V2S504</t>
  </si>
  <si>
    <t>PRAMOD  MAURYA</t>
  </si>
  <si>
    <t>V17120</t>
  </si>
  <si>
    <t>Sani  Jha</t>
  </si>
  <si>
    <t>V53879</t>
  </si>
  <si>
    <t>Md Khushnud Rizwan</t>
  </si>
  <si>
    <t>V50473</t>
  </si>
  <si>
    <t>V2S401</t>
  </si>
  <si>
    <t>Niraj Kumar Singh</t>
  </si>
  <si>
    <t>V50349</t>
  </si>
  <si>
    <t>MR. JAMNA PRASAD</t>
  </si>
  <si>
    <t>V2S295</t>
  </si>
  <si>
    <t>Krishnendu  Karmakar</t>
  </si>
  <si>
    <t>V50081</t>
  </si>
  <si>
    <t>RAHUL  SHAW</t>
  </si>
  <si>
    <t>V49610</t>
  </si>
  <si>
    <t>CHANDAN PRASAD BHAGAT</t>
  </si>
  <si>
    <t>V48375</t>
  </si>
  <si>
    <t>MR. ARUNA KUMAR MAHAPATRA</t>
  </si>
  <si>
    <t>V2S192</t>
  </si>
  <si>
    <t>SANJAY KUMAR SHAW</t>
  </si>
  <si>
    <t>V47720</t>
  </si>
  <si>
    <t>102027616589</t>
  </si>
  <si>
    <t>MR. SHAMMI KAPOOR</t>
  </si>
  <si>
    <t>V2S182</t>
  </si>
  <si>
    <t>MR. ANSHU ARYA</t>
  </si>
  <si>
    <t>V2S1749</t>
  </si>
  <si>
    <t>MR. SANDEEP KUMAR JHA</t>
  </si>
  <si>
    <t>V2S171</t>
  </si>
  <si>
    <t>SHANKHA SUBHRA GHOSH</t>
  </si>
  <si>
    <t>V47390</t>
  </si>
  <si>
    <t>102020362060</t>
  </si>
  <si>
    <t>MR. SATY PRAKASH JAISWAL</t>
  </si>
  <si>
    <t>V2S165</t>
  </si>
  <si>
    <t>Debasish  Majumder</t>
  </si>
  <si>
    <t>V47389</t>
  </si>
  <si>
    <t>Jay  Singh</t>
  </si>
  <si>
    <t>V47069</t>
  </si>
  <si>
    <t>SURAJ KUMAR TANTI</t>
  </si>
  <si>
    <t>V46901</t>
  </si>
  <si>
    <t>Vishal  Shaw</t>
  </si>
  <si>
    <t>V46840</t>
  </si>
  <si>
    <t>Subrata  Sarkar</t>
  </si>
  <si>
    <t>V46827</t>
  </si>
  <si>
    <t>SAGAR  MAITY</t>
  </si>
  <si>
    <t>V46826</t>
  </si>
  <si>
    <t>Keete</t>
  </si>
  <si>
    <t>V46591</t>
  </si>
  <si>
    <t>Anu Kumar Roy</t>
  </si>
  <si>
    <t>V46580</t>
  </si>
  <si>
    <t>101890252726</t>
  </si>
  <si>
    <t>ANKITA  SINHA</t>
  </si>
  <si>
    <t>V29919</t>
  </si>
  <si>
    <t>Dappadu  Paratisam</t>
  </si>
  <si>
    <t>V45376</t>
  </si>
  <si>
    <t>SOUVIK  ROY</t>
  </si>
  <si>
    <t>V45276</t>
  </si>
  <si>
    <t>Mahesh Kumar Shaw</t>
  </si>
  <si>
    <t>V38724</t>
  </si>
  <si>
    <t>ROHIT KUMAR SINGH</t>
  </si>
  <si>
    <t>V38722</t>
  </si>
  <si>
    <t>102147703851</t>
  </si>
  <si>
    <t xml:space="preserve">GAGAN  </t>
  </si>
  <si>
    <t>V29506</t>
  </si>
  <si>
    <t>Kanhu Charan Behera</t>
  </si>
  <si>
    <t>V36368</t>
  </si>
  <si>
    <t>MUNNA  KUMAR</t>
  </si>
  <si>
    <t>V15711</t>
  </si>
  <si>
    <t>GOPAL JI TRIPATHI</t>
  </si>
  <si>
    <t>V28194</t>
  </si>
  <si>
    <t>102091882238</t>
  </si>
  <si>
    <t xml:space="preserve">YOGENDER  </t>
  </si>
  <si>
    <t>V26253</t>
  </si>
  <si>
    <t>ABHISHEK  YADAV</t>
  </si>
  <si>
    <t>GAGAN KUMAR SHARMA</t>
  </si>
  <si>
    <t>V25598</t>
  </si>
  <si>
    <t>SHIVAM</t>
  </si>
  <si>
    <t>V25581</t>
  </si>
  <si>
    <t>102079753646</t>
  </si>
  <si>
    <t>V25536</t>
  </si>
  <si>
    <t>102067808759</t>
  </si>
  <si>
    <t>V25152</t>
  </si>
  <si>
    <t>V25147</t>
  </si>
  <si>
    <t>SHARDA PRASAD PATEL</t>
  </si>
  <si>
    <t>V24663</t>
  </si>
  <si>
    <t>101680406001</t>
  </si>
  <si>
    <t>ADITI  SAROHA</t>
  </si>
  <si>
    <t>V24513</t>
  </si>
  <si>
    <t>NILOFER  BEGAM</t>
  </si>
  <si>
    <t>V24502</t>
  </si>
  <si>
    <t>102020362158</t>
  </si>
  <si>
    <t>RAKSHA  KANAUJIA</t>
  </si>
  <si>
    <t>V24499</t>
  </si>
  <si>
    <t>102021159950</t>
  </si>
  <si>
    <t>AJAY KUMAR RANA</t>
  </si>
  <si>
    <t>V24494</t>
  </si>
  <si>
    <t>102047746540</t>
  </si>
  <si>
    <t>ZUNED  KHAN</t>
  </si>
  <si>
    <t>V24053</t>
  </si>
  <si>
    <t>102038496462</t>
  </si>
  <si>
    <t>KARAN</t>
  </si>
  <si>
    <t>V23973</t>
  </si>
  <si>
    <t>101721331707</t>
  </si>
  <si>
    <t>V23938</t>
  </si>
  <si>
    <t>AMAR NATH YADAV</t>
  </si>
  <si>
    <t>V23574</t>
  </si>
  <si>
    <t>DIPANSHU  BISHT</t>
  </si>
  <si>
    <t>V22580</t>
  </si>
  <si>
    <t>PRAKASH  MISHRA</t>
  </si>
  <si>
    <t>V22545</t>
  </si>
  <si>
    <t>JYOTI  KUMARI</t>
  </si>
  <si>
    <t>ANMOL  KUMAR</t>
  </si>
  <si>
    <t>V22107</t>
  </si>
  <si>
    <t>SATVINDER</t>
  </si>
  <si>
    <t>V21528</t>
  </si>
  <si>
    <t>DEVI  PRASAD</t>
  </si>
  <si>
    <t>V21371</t>
  </si>
  <si>
    <t>ANOOP  SINGH</t>
  </si>
  <si>
    <t>V21239</t>
  </si>
  <si>
    <t>BARUN  GHOSH</t>
  </si>
  <si>
    <t>V20888</t>
  </si>
  <si>
    <t>102020956463</t>
  </si>
  <si>
    <t>GAUTAM KUMAR SHANI</t>
  </si>
  <si>
    <t>V20791</t>
  </si>
  <si>
    <t>102020956437</t>
  </si>
  <si>
    <t>SHIVAM  KUMAR</t>
  </si>
  <si>
    <t>V20602</t>
  </si>
  <si>
    <t>KUNDAN  KUMAR</t>
  </si>
  <si>
    <t>AMIT</t>
  </si>
  <si>
    <t>V19906</t>
  </si>
  <si>
    <t>102020956170</t>
  </si>
  <si>
    <t>GANPATI PRASAD VERMA</t>
  </si>
  <si>
    <t>V19326</t>
  </si>
  <si>
    <t>VIKRAM  MAHARANA</t>
  </si>
  <si>
    <t>V18640</t>
  </si>
  <si>
    <t>SURAJ  SHAW</t>
  </si>
  <si>
    <t>102020955734</t>
  </si>
  <si>
    <t>ANKITA  PACHAURI</t>
  </si>
  <si>
    <t>V18222</t>
  </si>
  <si>
    <t>RADHA  KUMARI</t>
  </si>
  <si>
    <t>102020955589</t>
  </si>
  <si>
    <t>AKASH  SINGH</t>
  </si>
  <si>
    <t>V17741</t>
  </si>
  <si>
    <t>102023592006</t>
  </si>
  <si>
    <t>VARSHA  RAWAT</t>
  </si>
  <si>
    <t>V17532</t>
  </si>
  <si>
    <t>PRAVEEN KUMAR MISHRA</t>
  </si>
  <si>
    <t>V17354</t>
  </si>
  <si>
    <t>102020955233</t>
  </si>
  <si>
    <t>SHYAM NARAYAN SHUKLA</t>
  </si>
  <si>
    <t>V16381</t>
  </si>
  <si>
    <t>VIKRAM  SHARMA</t>
  </si>
  <si>
    <t>V15759</t>
  </si>
  <si>
    <t>102020955464</t>
  </si>
  <si>
    <t>NARESH  KUMAR</t>
  </si>
  <si>
    <t>V15419</t>
  </si>
  <si>
    <t>102020956395</t>
  </si>
  <si>
    <t>MEHFUJ</t>
  </si>
  <si>
    <t>V14073</t>
  </si>
  <si>
    <t>RANJAN  KUMAR</t>
  </si>
  <si>
    <t>V09822</t>
  </si>
  <si>
    <t>102020957099</t>
  </si>
  <si>
    <t>LILADHAR  PANDIT</t>
  </si>
  <si>
    <t>V09740</t>
  </si>
  <si>
    <t xml:space="preserve">MANISH  </t>
  </si>
  <si>
    <t>V08774</t>
  </si>
  <si>
    <t>PAWAN  VERMA</t>
  </si>
  <si>
    <t>V08271</t>
  </si>
  <si>
    <t>V06776</t>
  </si>
  <si>
    <t>102020956136</t>
  </si>
  <si>
    <t>ASHISH  MISHRA</t>
  </si>
  <si>
    <t>V02455</t>
  </si>
  <si>
    <t>SUNIL  YADAV</t>
  </si>
  <si>
    <t>GURIYA  KUMARI</t>
  </si>
  <si>
    <t>MR. VIJAY MOURYA</t>
  </si>
  <si>
    <t>V2S2127</t>
  </si>
  <si>
    <t>MR. RAM ASHRAY</t>
  </si>
  <si>
    <t>V2S1685</t>
  </si>
  <si>
    <t>MR. NURULAHODA MIYAN</t>
  </si>
  <si>
    <t>V2S1400</t>
  </si>
  <si>
    <t>102067318011</t>
  </si>
  <si>
    <t>MR. AMARJEET KUMAR</t>
  </si>
  <si>
    <t>V2S1399</t>
  </si>
  <si>
    <t>Sabita  Behera</t>
  </si>
  <si>
    <t>Thirumani Srinivas Goud</t>
  </si>
  <si>
    <t>V54660</t>
  </si>
  <si>
    <t>Sameena  Begum</t>
  </si>
  <si>
    <t>V54010</t>
  </si>
  <si>
    <t>Bathula  Rajitha</t>
  </si>
  <si>
    <t>V53658</t>
  </si>
  <si>
    <t>Yerpula  Gowthami</t>
  </si>
  <si>
    <t>V53654</t>
  </si>
  <si>
    <t>ABHISHEK KUMAR SINGH</t>
  </si>
  <si>
    <t>V52131</t>
  </si>
  <si>
    <t>Nazia  Sulthana</t>
  </si>
  <si>
    <t>V52900</t>
  </si>
  <si>
    <t>Kavvampaly  Srilatha</t>
  </si>
  <si>
    <t>V52390</t>
  </si>
  <si>
    <t>Battu  Rajitha</t>
  </si>
  <si>
    <t>V52163</t>
  </si>
  <si>
    <t>Ahmed Arshad Khan</t>
  </si>
  <si>
    <t>V52115</t>
  </si>
  <si>
    <t>Velpula  Pushpalatha</t>
  </si>
  <si>
    <t>V52061</t>
  </si>
  <si>
    <t>Dasari  Ramya</t>
  </si>
  <si>
    <t>V52059</t>
  </si>
  <si>
    <t>KUSUMA  ANITHA</t>
  </si>
  <si>
    <t>V51753</t>
  </si>
  <si>
    <t>AMURAJI  VENU KUMAR</t>
  </si>
  <si>
    <t>V51582</t>
  </si>
  <si>
    <t>Karra  Parsharamulu</t>
  </si>
  <si>
    <t>V51523</t>
  </si>
  <si>
    <t>Syed  Amzad</t>
  </si>
  <si>
    <t>V51522</t>
  </si>
  <si>
    <t>Asia  Sk</t>
  </si>
  <si>
    <t>V51521</t>
  </si>
  <si>
    <t>ANKALAPU  SUJATHA</t>
  </si>
  <si>
    <t>V51520</t>
  </si>
  <si>
    <t>Mohammed  Mustafa</t>
  </si>
  <si>
    <t>V51469</t>
  </si>
  <si>
    <t>MOHD  AZEEZ</t>
  </si>
  <si>
    <t>V51468</t>
  </si>
  <si>
    <t>GASIGANTI  APARNA</t>
  </si>
  <si>
    <t>V51464</t>
  </si>
  <si>
    <t>MOHAMMAD  MUQTHADIR SHAAZUDDIN</t>
  </si>
  <si>
    <t>V51463</t>
  </si>
  <si>
    <t>Mohammed Salar Ahmed</t>
  </si>
  <si>
    <t>V50933</t>
  </si>
  <si>
    <t>Mohammed Abdul Sami</t>
  </si>
  <si>
    <t>V50901</t>
  </si>
  <si>
    <t>Mohammed Abdul Hameed</t>
  </si>
  <si>
    <t>V50898</t>
  </si>
  <si>
    <t>Banothu  Sujatha</t>
  </si>
  <si>
    <t>V50280</t>
  </si>
  <si>
    <t>ARIGE  RAMESH</t>
  </si>
  <si>
    <t>V50051</t>
  </si>
  <si>
    <t>Mohammed  Nadeem</t>
  </si>
  <si>
    <t>V50048</t>
  </si>
  <si>
    <t>Sandesari  Rajitha</t>
  </si>
  <si>
    <t>V50046</t>
  </si>
  <si>
    <t>Abhinav  Mishra</t>
  </si>
  <si>
    <t>V49487</t>
  </si>
  <si>
    <t>Mohammad  Khan</t>
  </si>
  <si>
    <t>V48743</t>
  </si>
  <si>
    <t>NALLABOTHULA SHIVA SHANKAR</t>
  </si>
  <si>
    <t>V48128</t>
  </si>
  <si>
    <t>FIROZ  ANSARI</t>
  </si>
  <si>
    <t>V47105</t>
  </si>
  <si>
    <t>Madarapu Manoj Kumar</t>
  </si>
  <si>
    <t>V54611</t>
  </si>
  <si>
    <t>MOHAMMAD DASTHAGIR</t>
  </si>
  <si>
    <t>V53613</t>
  </si>
  <si>
    <t>KANNAM  REVANTH</t>
  </si>
  <si>
    <t>V53611</t>
  </si>
  <si>
    <t>MOHAMMED  KHADEER</t>
  </si>
  <si>
    <t>V53339</t>
  </si>
  <si>
    <t>Doma  Jyothi</t>
  </si>
  <si>
    <t>V53332</t>
  </si>
  <si>
    <t>Md Raj Ansari</t>
  </si>
  <si>
    <t>V52993</t>
  </si>
  <si>
    <t>mohammad  mansoor</t>
  </si>
  <si>
    <t>V51590</t>
  </si>
  <si>
    <t>MOHAMMED  SADIK PASHA</t>
  </si>
  <si>
    <t>V51588</t>
  </si>
  <si>
    <t>Suresh  Kunja</t>
  </si>
  <si>
    <t>V51145</t>
  </si>
  <si>
    <t>rajaboina  prashanth</t>
  </si>
  <si>
    <t>V51144</t>
  </si>
  <si>
    <t>Pittala  Rachana</t>
  </si>
  <si>
    <t>V50989</t>
  </si>
  <si>
    <t>Essampelli  Manjula</t>
  </si>
  <si>
    <t>V48981</t>
  </si>
  <si>
    <t>namindla purna chandar</t>
  </si>
  <si>
    <t>V48193</t>
  </si>
  <si>
    <t>syed  saif</t>
  </si>
  <si>
    <t>V45667</t>
  </si>
  <si>
    <t>RANJITH  JAMAGAM</t>
  </si>
  <si>
    <t>V44088</t>
  </si>
  <si>
    <t>SUNITHA DHARAVATH</t>
  </si>
  <si>
    <t>V43957</t>
  </si>
  <si>
    <t>Jannu  Nikhil</t>
  </si>
  <si>
    <t>V43714</t>
  </si>
  <si>
    <t>Thummala  Sanjay</t>
  </si>
  <si>
    <t>V43404</t>
  </si>
  <si>
    <t>Arnav Abhijeet Gaikwad</t>
  </si>
  <si>
    <t>V53110</t>
  </si>
  <si>
    <t>Arjun Sunil Rathod</t>
  </si>
  <si>
    <t>V53092</t>
  </si>
  <si>
    <t>Rohan Sunil Doifode</t>
  </si>
  <si>
    <t>V52723</t>
  </si>
  <si>
    <t>Shinde Shantabai Machhindra</t>
  </si>
  <si>
    <t>V52714</t>
  </si>
  <si>
    <t>Shinde Kalinda Laxman</t>
  </si>
  <si>
    <t>V52475</t>
  </si>
  <si>
    <t>Seema Gopichand Sadanshiv</t>
  </si>
  <si>
    <t>V51608</t>
  </si>
  <si>
    <t>Rahul Gajanan Karnikar</t>
  </si>
  <si>
    <t>V49888</t>
  </si>
  <si>
    <t>Rohit Dattu Randive</t>
  </si>
  <si>
    <t>V53956</t>
  </si>
  <si>
    <t>Nishant Nanaso Bhosale</t>
  </si>
  <si>
    <t>V53955</t>
  </si>
  <si>
    <t>Yatiraj Nitin Deshmane</t>
  </si>
  <si>
    <t>V53953</t>
  </si>
  <si>
    <t>Sachin Dnyandev Veer</t>
  </si>
  <si>
    <t>V53287</t>
  </si>
  <si>
    <t>Rohan Rameshwar Vadane</t>
  </si>
  <si>
    <t>V53286</t>
  </si>
  <si>
    <t>Yash Hanumant Randive</t>
  </si>
  <si>
    <t>V52875</t>
  </si>
  <si>
    <t>Yusuf Suleman Shaikh</t>
  </si>
  <si>
    <t>V49325</t>
  </si>
  <si>
    <t>Shantanu Ashokrao Ingole</t>
  </si>
  <si>
    <t>V48924</t>
  </si>
  <si>
    <t>Kiran Pravin Nikalaje</t>
  </si>
  <si>
    <t>V48854</t>
  </si>
  <si>
    <t>Pratiksha Navnath Dhainje</t>
  </si>
  <si>
    <t>V48620</t>
  </si>
  <si>
    <t>Nanda Balu Wable</t>
  </si>
  <si>
    <t>V48392</t>
  </si>
  <si>
    <t>Simran Ravindra Satpute</t>
  </si>
  <si>
    <t>V48108</t>
  </si>
  <si>
    <t>Vaishali Shashikant Abhang</t>
  </si>
  <si>
    <t>V48107</t>
  </si>
  <si>
    <t>Jayprakash Kishor Bhoyar</t>
  </si>
  <si>
    <t>V47996</t>
  </si>
  <si>
    <t>Shivcharan Sharad Ghode</t>
  </si>
  <si>
    <t>V47965</t>
  </si>
  <si>
    <t>Waghmare Santosh Yuvraj</t>
  </si>
  <si>
    <t>V47829</t>
  </si>
  <si>
    <t>Nalawade Ganesh Hanumant</t>
  </si>
  <si>
    <t>V47574</t>
  </si>
  <si>
    <t>Gaurav Shyam Mohite</t>
  </si>
  <si>
    <t>V47249</t>
  </si>
  <si>
    <t>Chobe Dattatray Mahadev</t>
  </si>
  <si>
    <t>V47225</t>
  </si>
  <si>
    <t>Aparna Sanjay Kantode</t>
  </si>
  <si>
    <t>V46450</t>
  </si>
  <si>
    <t>Shreya Bharat Kale</t>
  </si>
  <si>
    <t>V54317</t>
  </si>
  <si>
    <t>Sandhya Sanjiv Shinde</t>
  </si>
  <si>
    <t>V53260</t>
  </si>
  <si>
    <t>Shital BALIRAM Adatrao</t>
  </si>
  <si>
    <t>V53259</t>
  </si>
  <si>
    <t>NAYANA AKASH DEVKAR</t>
  </si>
  <si>
    <t>V51743</t>
  </si>
  <si>
    <t>Dhanesh Vijay Kamble</t>
  </si>
  <si>
    <t>V49444</t>
  </si>
  <si>
    <t>Sourabh Sunil Shinde</t>
  </si>
  <si>
    <t>V49250</t>
  </si>
  <si>
    <t>Deshmukh Vidya Dnyaneshwar</t>
  </si>
  <si>
    <t>V48111</t>
  </si>
  <si>
    <t>Rahim Yakub Shaikh</t>
  </si>
  <si>
    <t>V45082</t>
  </si>
  <si>
    <t>Rani Nitin Maske</t>
  </si>
  <si>
    <t>V44205</t>
  </si>
  <si>
    <t>Ravindra Kashinath Pawar</t>
  </si>
  <si>
    <t>V44135</t>
  </si>
  <si>
    <t>Santosh Shivaji Nichale</t>
  </si>
  <si>
    <t>V43895</t>
  </si>
  <si>
    <t>MOHINI ARUN ADE</t>
  </si>
  <si>
    <t>V43680</t>
  </si>
  <si>
    <t>VAISHNVI ARVIND KOLAGE PATIL</t>
  </si>
  <si>
    <t>V43598</t>
  </si>
  <si>
    <t>BHAGVAT ANURATH GAIKWAD</t>
  </si>
  <si>
    <t>V43501</t>
  </si>
  <si>
    <t>PAYAL DAYANAND CHAVAN</t>
  </si>
  <si>
    <t>V43496</t>
  </si>
  <si>
    <t>OMKAR RAMESH BHALEKAR</t>
  </si>
  <si>
    <t>V43494</t>
  </si>
  <si>
    <t>Amjat Ali Kudrat Ali Jagirdar</t>
  </si>
  <si>
    <t>V42925</t>
  </si>
  <si>
    <t>Jayshree Sandip Terdale</t>
  </si>
  <si>
    <t>V46491</t>
  </si>
  <si>
    <t>Nilofar Jakir Mujawar</t>
  </si>
  <si>
    <t>V46490</t>
  </si>
  <si>
    <t>VINAYAK PRAVIN MALAPUR</t>
  </si>
  <si>
    <t>V39107</t>
  </si>
  <si>
    <t>Shashikant Krishna Jadhav</t>
  </si>
  <si>
    <t>V36070</t>
  </si>
  <si>
    <t>DASHRATH SHANKAR PUJARI</t>
  </si>
  <si>
    <t>V35916</t>
  </si>
  <si>
    <t>SAMEER RAMJAN KURBETTI</t>
  </si>
  <si>
    <t>V35763</t>
  </si>
  <si>
    <t>NITIKESH NANDKUMAR ASHTEKAR</t>
  </si>
  <si>
    <t>V35762</t>
  </si>
  <si>
    <t>JAYESH BHUPAL DHUMALE</t>
  </si>
  <si>
    <t>V35761</t>
  </si>
  <si>
    <t>DHANANJAY SURESH PATTAR</t>
  </si>
  <si>
    <t>V35760</t>
  </si>
  <si>
    <t>PRIYANKA SANJAY NALAVDE</t>
  </si>
  <si>
    <t>V35759</t>
  </si>
  <si>
    <t>VAIBHAV SURESH YELAJ</t>
  </si>
  <si>
    <t>V35757</t>
  </si>
  <si>
    <t>RAHUL RAJENDRA SHINDE</t>
  </si>
  <si>
    <t>V35446</t>
  </si>
  <si>
    <t>MR. PALLAVI AKASH BEDAGE</t>
  </si>
  <si>
    <t>V34706</t>
  </si>
  <si>
    <t>MR. PARIKSHIT SADIP JASUD</t>
  </si>
  <si>
    <t>V34705</t>
  </si>
  <si>
    <t>MR. PRATIK BABASO YELAJ</t>
  </si>
  <si>
    <t>V34704</t>
  </si>
  <si>
    <t>MR. SONALI MAYUR SHINDE</t>
  </si>
  <si>
    <t>V34698</t>
  </si>
  <si>
    <t>MR. SHREYAS SHIVAJI MANE</t>
  </si>
  <si>
    <t>V34697</t>
  </si>
  <si>
    <t>MR. ADITYA CHANDRAKANT DANANE</t>
  </si>
  <si>
    <t>V34691</t>
  </si>
  <si>
    <t>MR. AKASH RAJU DESAI</t>
  </si>
  <si>
    <t>V34687</t>
  </si>
  <si>
    <t>MR. DEEPAK BALASO SHELKE</t>
  </si>
  <si>
    <t>V34681</t>
  </si>
  <si>
    <t>MR. MATIN IMRAN JAMADAR</t>
  </si>
  <si>
    <t>V34679</t>
  </si>
  <si>
    <t>VIRRESH KANTAYYA ALLIMATI</t>
  </si>
  <si>
    <t>V34024</t>
  </si>
  <si>
    <t>V42814</t>
  </si>
  <si>
    <t>Sahil  Kumar</t>
  </si>
  <si>
    <t>V51548</t>
  </si>
  <si>
    <t>Sadya  Tabasum</t>
  </si>
  <si>
    <t>V48699</t>
  </si>
  <si>
    <t>Rafia  Banoo</t>
  </si>
  <si>
    <t>V48698</t>
  </si>
  <si>
    <t>Naseer  Ahmed</t>
  </si>
  <si>
    <t>V48062</t>
  </si>
  <si>
    <t>Insha  Banoo</t>
  </si>
  <si>
    <t>V46928</t>
  </si>
  <si>
    <t>Khalid Ramzan Ahanger</t>
  </si>
  <si>
    <t>V46925</t>
  </si>
  <si>
    <t>Mehjobba Kouser Kouser</t>
  </si>
  <si>
    <t>V46919</t>
  </si>
  <si>
    <t>Sonu  Kumar</t>
  </si>
  <si>
    <t>V46918</t>
  </si>
  <si>
    <t>Maheen Anjum Kalal</t>
  </si>
  <si>
    <t>V46917</t>
  </si>
  <si>
    <t>Fozia Haider Sheikh</t>
  </si>
  <si>
    <t>V46908</t>
  </si>
  <si>
    <t>Vikram  Singh</t>
  </si>
  <si>
    <t>V46898</t>
  </si>
  <si>
    <t>Amer  Jeet</t>
  </si>
  <si>
    <t>V46897</t>
  </si>
  <si>
    <t>Sumayla  Naz</t>
  </si>
  <si>
    <t>V46896</t>
  </si>
  <si>
    <t>Mohd  Tosif</t>
  </si>
  <si>
    <t>V46893</t>
  </si>
  <si>
    <t>Mohd  Younis</t>
  </si>
  <si>
    <t>V46769</t>
  </si>
  <si>
    <t>Mohammad  Ibrahim</t>
  </si>
  <si>
    <t>V46764</t>
  </si>
  <si>
    <t>MOHD IMRAM  MIR</t>
  </si>
  <si>
    <t>V46762</t>
  </si>
  <si>
    <t>Faizan  Ahmed</t>
  </si>
  <si>
    <t>V46758</t>
  </si>
  <si>
    <t>Vikar Ahmed Zargar</t>
  </si>
  <si>
    <t>V46757</t>
  </si>
  <si>
    <t>Faizan Ahmed Butt</t>
  </si>
  <si>
    <t>V46753</t>
  </si>
  <si>
    <t>Vansh  Rakwal</t>
  </si>
  <si>
    <t>V46163</t>
  </si>
  <si>
    <t>Niraj  Kumar</t>
  </si>
  <si>
    <t>V42921</t>
  </si>
  <si>
    <t>ATUL THAKUR</t>
  </si>
  <si>
    <t>V35692</t>
  </si>
  <si>
    <t>Baldev  Singh</t>
  </si>
  <si>
    <t>V47566</t>
  </si>
  <si>
    <t>Tawseef Ahmad Shah</t>
  </si>
  <si>
    <t>V47093</t>
  </si>
  <si>
    <t>Qafil  Mirza</t>
  </si>
  <si>
    <t>V53937</t>
  </si>
  <si>
    <t>KAVIT  KUMAR</t>
  </si>
  <si>
    <t>V53738</t>
  </si>
  <si>
    <t>RADESH  KUMAR</t>
  </si>
  <si>
    <t>V53734</t>
  </si>
  <si>
    <t>Haroon  Rashid</t>
  </si>
  <si>
    <t>V53732</t>
  </si>
  <si>
    <t>Mohd  Yassir</t>
  </si>
  <si>
    <t>V53722</t>
  </si>
  <si>
    <t>Nazar  Ahmed</t>
  </si>
  <si>
    <t>V53719</t>
  </si>
  <si>
    <t>KARAN  KUMAR</t>
  </si>
  <si>
    <t>V53716</t>
  </si>
  <si>
    <t>GORAV  SHARMA</t>
  </si>
  <si>
    <t>V53326</t>
  </si>
  <si>
    <t>Sahil  Sharma</t>
  </si>
  <si>
    <t>V48117</t>
  </si>
  <si>
    <t>AVINASH  SINGH</t>
  </si>
  <si>
    <t>V45289</t>
  </si>
  <si>
    <t>Iftar  Ahmed</t>
  </si>
  <si>
    <t>V45285</t>
  </si>
  <si>
    <t>ZAFAR  IQBAL</t>
  </si>
  <si>
    <t>V43906</t>
  </si>
  <si>
    <t>RAJA SAMEER HUSSAIN</t>
  </si>
  <si>
    <t>V52803</t>
  </si>
  <si>
    <t>MOHD UMAR SHEIKH</t>
  </si>
  <si>
    <t>V48403</t>
  </si>
  <si>
    <t>Shahid Hussain Shah</t>
  </si>
  <si>
    <t>V47822</t>
  </si>
  <si>
    <t>Naseem Ahmad Shah</t>
  </si>
  <si>
    <t>V47094</t>
  </si>
  <si>
    <t>Faheem  Farooq</t>
  </si>
  <si>
    <t>V44427</t>
  </si>
  <si>
    <t>Rashid Basheer Teeli</t>
  </si>
  <si>
    <t>V44271</t>
  </si>
  <si>
    <t>Bilal Ahmad Teeli</t>
  </si>
  <si>
    <t>V44209</t>
  </si>
  <si>
    <t>Amir  Shabir</t>
  </si>
  <si>
    <t>V43995</t>
  </si>
  <si>
    <t>SEERAT  BASHIR</t>
  </si>
  <si>
    <t>V43585</t>
  </si>
  <si>
    <t>UZMA  JAN</t>
  </si>
  <si>
    <t>V43584</t>
  </si>
  <si>
    <t>TAWKEER  AHMAD BHAT</t>
  </si>
  <si>
    <t>V43583</t>
  </si>
  <si>
    <t>BEAUTY</t>
  </si>
  <si>
    <t>V43579</t>
  </si>
  <si>
    <t>SHAKIR AHAMD  WANI</t>
  </si>
  <si>
    <t>V43487</t>
  </si>
  <si>
    <t>SAIKA SAJAD</t>
  </si>
  <si>
    <t>V43483</t>
  </si>
  <si>
    <t>RIHANA  AKHTER</t>
  </si>
  <si>
    <t>V43482</t>
  </si>
  <si>
    <t>ANISA  JAN</t>
  </si>
  <si>
    <t>V43480</t>
  </si>
  <si>
    <t>DANISH  RASOOL</t>
  </si>
  <si>
    <t>V43475</t>
  </si>
  <si>
    <t>UZMA  IQBALL</t>
  </si>
  <si>
    <t>V43474</t>
  </si>
  <si>
    <t>Rahul Raj Bhagat</t>
  </si>
  <si>
    <t>V54590</t>
  </si>
  <si>
    <t>SANIA  KOTWAL</t>
  </si>
  <si>
    <t>V51462</t>
  </si>
  <si>
    <t>Narinder  Singh</t>
  </si>
  <si>
    <t>V45583</t>
  </si>
  <si>
    <t>NAIM AHMED  Ahmed</t>
  </si>
  <si>
    <t>V44334</t>
  </si>
  <si>
    <t>Shewta  Babu</t>
  </si>
  <si>
    <t>V43194</t>
  </si>
  <si>
    <t>NEERAJ  SINGH</t>
  </si>
  <si>
    <t>V43192</t>
  </si>
  <si>
    <t>V43191</t>
  </si>
  <si>
    <t>Sahil  Zaffer</t>
  </si>
  <si>
    <t>V43188</t>
  </si>
  <si>
    <t>ROHIT  SHARMA</t>
  </si>
  <si>
    <t>V43142</t>
  </si>
  <si>
    <t>Aditya Singh Rana</t>
  </si>
  <si>
    <t>V43140</t>
  </si>
  <si>
    <t>IRSHAD  AHMED</t>
  </si>
  <si>
    <t>V43138</t>
  </si>
  <si>
    <t>ARVIN  KATOCH</t>
  </si>
  <si>
    <t>V43136</t>
  </si>
  <si>
    <t>Kajal  Sharma</t>
  </si>
  <si>
    <t>V43061</t>
  </si>
  <si>
    <t>Simran  Devi</t>
  </si>
  <si>
    <t>V43060</t>
  </si>
  <si>
    <t>Meenishu  Devi</t>
  </si>
  <si>
    <t>V43059</t>
  </si>
  <si>
    <t>Sanjna  Devi</t>
  </si>
  <si>
    <t>V43058</t>
  </si>
  <si>
    <t>V43056</t>
  </si>
  <si>
    <t>YAWAR  HUSSAIN</t>
  </si>
  <si>
    <t>V37706</t>
  </si>
  <si>
    <t>V52857</t>
  </si>
  <si>
    <t>Kuldeep Kumar Meena</t>
  </si>
  <si>
    <t>V51166</t>
  </si>
  <si>
    <t>Mannat  Dogra</t>
  </si>
  <si>
    <t>V49122</t>
  </si>
  <si>
    <t>Punam  Devi</t>
  </si>
  <si>
    <t>V49099</t>
  </si>
  <si>
    <t>Sangeeta</t>
  </si>
  <si>
    <t>V48811</t>
  </si>
  <si>
    <t>Rayees  Ahmed</t>
  </si>
  <si>
    <t>V43233</t>
  </si>
  <si>
    <t>SANTOSH  KUMARI</t>
  </si>
  <si>
    <t>V42652</t>
  </si>
  <si>
    <t>POOJAN PARSHAD</t>
  </si>
  <si>
    <t>V42651</t>
  </si>
  <si>
    <t>NIKHIL  KUMAR</t>
  </si>
  <si>
    <t>V42211</t>
  </si>
  <si>
    <t>VRINDER  SINGH</t>
  </si>
  <si>
    <t>V39014</t>
  </si>
  <si>
    <t>KRISHAMA  DEVI</t>
  </si>
  <si>
    <t>V39006</t>
  </si>
  <si>
    <t>GULSHAN  NESHA</t>
  </si>
  <si>
    <t>V38428</t>
  </si>
  <si>
    <t>NISHU  DEVI</t>
  </si>
  <si>
    <t>V37451</t>
  </si>
  <si>
    <t>SUMIT  SHARMA</t>
  </si>
  <si>
    <t>V37333</t>
  </si>
  <si>
    <t>ANKIT SINGH</t>
  </si>
  <si>
    <t>V36567</t>
  </si>
  <si>
    <t>Sushila  Devi</t>
  </si>
  <si>
    <t>V54020</t>
  </si>
  <si>
    <t>Asif  Choudhary</t>
  </si>
  <si>
    <t>V53806</t>
  </si>
  <si>
    <t>Versha  Kumari</t>
  </si>
  <si>
    <t>V52998</t>
  </si>
  <si>
    <t>Davinder  Kumar</t>
  </si>
  <si>
    <t>V52880</t>
  </si>
  <si>
    <t>NAZIYA  Batool</t>
  </si>
  <si>
    <t>V52879</t>
  </si>
  <si>
    <t>Ajay  Kumar</t>
  </si>
  <si>
    <t>V50409</t>
  </si>
  <si>
    <t>Arti</t>
  </si>
  <si>
    <t>V49722</t>
  </si>
  <si>
    <t>Neesha  Devi</t>
  </si>
  <si>
    <t>V49721</t>
  </si>
  <si>
    <t>Rohit  Gupta</t>
  </si>
  <si>
    <t>V48649</t>
  </si>
  <si>
    <t>Bhumika  Mehra</t>
  </si>
  <si>
    <t>V43531</t>
  </si>
  <si>
    <t>SHUBAM  SHARMA</t>
  </si>
  <si>
    <t>V38354</t>
  </si>
  <si>
    <t>ASHISH  GUPTA</t>
  </si>
  <si>
    <t>V38072</t>
  </si>
  <si>
    <t>SUJATA  KALOTRA</t>
  </si>
  <si>
    <t>V38071</t>
  </si>
  <si>
    <t>ANKUSH  SHARMA</t>
  </si>
  <si>
    <t>V37163</t>
  </si>
  <si>
    <t>VINOD KUMAR</t>
  </si>
  <si>
    <t>V36669</t>
  </si>
  <si>
    <t>KESAR  AHMED</t>
  </si>
  <si>
    <t>V31529</t>
  </si>
  <si>
    <t>V54100</t>
  </si>
  <si>
    <t>Anchal  Singh</t>
  </si>
  <si>
    <t>V51685</t>
  </si>
  <si>
    <t>Pawan  Singh</t>
  </si>
  <si>
    <t>V48684</t>
  </si>
  <si>
    <t>ROHINI  CHANYAL</t>
  </si>
  <si>
    <t>V48155</t>
  </si>
  <si>
    <t>INDER  SINGH</t>
  </si>
  <si>
    <t>V48152</t>
  </si>
  <si>
    <t>Goutam  Sharma</t>
  </si>
  <si>
    <t>V46634</t>
  </si>
  <si>
    <t>Kulbinder  Singh</t>
  </si>
  <si>
    <t>V46142</t>
  </si>
  <si>
    <t>Rekha  Devi</t>
  </si>
  <si>
    <t>V43120</t>
  </si>
  <si>
    <t>SUSHMA  DEVI</t>
  </si>
  <si>
    <t>V42592</t>
  </si>
  <si>
    <t>SHUBHAM  SHARMA</t>
  </si>
  <si>
    <t>V39625</t>
  </si>
  <si>
    <t>MUNISH KUMAR</t>
  </si>
  <si>
    <t>V36716</t>
  </si>
  <si>
    <t>MANAV CHALOTRA</t>
  </si>
  <si>
    <t>V35630</t>
  </si>
  <si>
    <t>SUMIKESHA SHARMA</t>
  </si>
  <si>
    <t>V35161</t>
  </si>
  <si>
    <t>MEHAK AKTHER</t>
  </si>
  <si>
    <t>V35155</t>
  </si>
  <si>
    <t>JASVINDER SINGH</t>
  </si>
  <si>
    <t>V34927</t>
  </si>
  <si>
    <t>UJJWAL KASHYUV</t>
  </si>
  <si>
    <t>V34926</t>
  </si>
  <si>
    <t>SAHIL KUMAR</t>
  </si>
  <si>
    <t>V34841</t>
  </si>
  <si>
    <t>SHUBHAM SHARMA</t>
  </si>
  <si>
    <t>V34792</t>
  </si>
  <si>
    <t>MR. PAWAN KUMAR</t>
  </si>
  <si>
    <t>V34790</t>
  </si>
  <si>
    <t>RITTA DEVI</t>
  </si>
  <si>
    <t>V34789</t>
  </si>
  <si>
    <t>RAHUL KUMAR</t>
  </si>
  <si>
    <t>V34769</t>
  </si>
  <si>
    <t>RAMAN KUMAR</t>
  </si>
  <si>
    <t>V34766</t>
  </si>
  <si>
    <t>RAHUL  VERMA</t>
  </si>
  <si>
    <t>Manjeet  Singh</t>
  </si>
  <si>
    <t>V53936</t>
  </si>
  <si>
    <t>TOUSIF AHMED MIR</t>
  </si>
  <si>
    <t>V52610</t>
  </si>
  <si>
    <t>MANOJ KUMAR PARIHAR</t>
  </si>
  <si>
    <t>V51547</t>
  </si>
  <si>
    <t>Sushil Kumar Lodhe</t>
  </si>
  <si>
    <t>V50750</t>
  </si>
  <si>
    <t>SATWANT  SINGH</t>
  </si>
  <si>
    <t>V48181</t>
  </si>
  <si>
    <t>Madhu  Balla</t>
  </si>
  <si>
    <t>V48027</t>
  </si>
  <si>
    <t>Soni  Devi</t>
  </si>
  <si>
    <t>V48026</t>
  </si>
  <si>
    <t>PANKAJ  BHAGAT</t>
  </si>
  <si>
    <t>V48012</t>
  </si>
  <si>
    <t>V46354</t>
  </si>
  <si>
    <t>SUSHMA DEVI</t>
  </si>
  <si>
    <t>V44902</t>
  </si>
  <si>
    <t>MOHAMMAD MIRAJ</t>
  </si>
  <si>
    <t>V44443</t>
  </si>
  <si>
    <t>SALONI RAINA</t>
  </si>
  <si>
    <t>V37446</t>
  </si>
  <si>
    <t>BHARTI  MEHRA</t>
  </si>
  <si>
    <t>V37129</t>
  </si>
  <si>
    <t>AVINASH MOTTEN</t>
  </si>
  <si>
    <t>V36565</t>
  </si>
  <si>
    <t>VIPNA  DEVI</t>
  </si>
  <si>
    <t>V34055</t>
  </si>
  <si>
    <t>KULDEEP  KUMAR</t>
  </si>
  <si>
    <t>V33897</t>
  </si>
  <si>
    <t>RAKSHA  DEVI</t>
  </si>
  <si>
    <t>V30197</t>
  </si>
  <si>
    <t>V29901</t>
  </si>
  <si>
    <t>BABITA  RANI</t>
  </si>
  <si>
    <t>V29776</t>
  </si>
  <si>
    <t>DEVINDER  NAGOTRA</t>
  </si>
  <si>
    <t>V52678</t>
  </si>
  <si>
    <t>SUMIT  SARMAL</t>
  </si>
  <si>
    <t>V51630</t>
  </si>
  <si>
    <t>V49220</t>
  </si>
  <si>
    <t>Zahid  Ali</t>
  </si>
  <si>
    <t>V48927</t>
  </si>
  <si>
    <t>V47851</t>
  </si>
  <si>
    <t>Sunil  Kumar</t>
  </si>
  <si>
    <t>V45523</t>
  </si>
  <si>
    <t>Bimla  Devi</t>
  </si>
  <si>
    <t>V45197</t>
  </si>
  <si>
    <t>Sumit  Saini</t>
  </si>
  <si>
    <t>V45195</t>
  </si>
  <si>
    <t>Monika  Devi</t>
  </si>
  <si>
    <t>V45193</t>
  </si>
  <si>
    <t>Nishu  Devi</t>
  </si>
  <si>
    <t>V45192</t>
  </si>
  <si>
    <t>Ranjana</t>
  </si>
  <si>
    <t>V43894</t>
  </si>
  <si>
    <t>Sakshi  Chanotra</t>
  </si>
  <si>
    <t>V43529</t>
  </si>
  <si>
    <t>V42886</t>
  </si>
  <si>
    <t>SIMRAN  SHARMA</t>
  </si>
  <si>
    <t>V42724</t>
  </si>
  <si>
    <t>VIKAS  MEHRA</t>
  </si>
  <si>
    <t>V42722</t>
  </si>
  <si>
    <t>DUSHAL</t>
  </si>
  <si>
    <t>V37313</t>
  </si>
  <si>
    <t>ROBIN  SINGH</t>
  </si>
  <si>
    <t>V31730</t>
  </si>
  <si>
    <t>TARUN  BHAGAT</t>
  </si>
  <si>
    <t>V30621</t>
  </si>
  <si>
    <t>ANKITA  DEVI</t>
  </si>
  <si>
    <t>V27431</t>
  </si>
  <si>
    <t>DIKSHA  MEHRA</t>
  </si>
  <si>
    <t>V25758</t>
  </si>
  <si>
    <t>GEESHA  DEVI</t>
  </si>
  <si>
    <t>V24656</t>
  </si>
  <si>
    <t>ANITA  DEVI</t>
  </si>
  <si>
    <t>V24173</t>
  </si>
  <si>
    <t>VISHAL  KUMAR</t>
  </si>
  <si>
    <t>V21617</t>
  </si>
  <si>
    <t>RINKU  SUMBRIA</t>
  </si>
  <si>
    <t>V09399</t>
  </si>
  <si>
    <t>Bittu  Das</t>
  </si>
  <si>
    <t>V54545</t>
  </si>
  <si>
    <t>Sajal  Singhadeb</t>
  </si>
  <si>
    <t>V54195</t>
  </si>
  <si>
    <t>Bishal  Ghosh</t>
  </si>
  <si>
    <t>V54065</t>
  </si>
  <si>
    <t>Sanket  Kumar</t>
  </si>
  <si>
    <t>V53583</t>
  </si>
  <si>
    <t>Md Nasib Ansari</t>
  </si>
  <si>
    <t>V53558</t>
  </si>
  <si>
    <t>Mosaraf  Kha</t>
  </si>
  <si>
    <t>V52828</t>
  </si>
  <si>
    <t>Sayan  Mondal</t>
  </si>
  <si>
    <t>V52980</t>
  </si>
  <si>
    <t>Debashish  Halder</t>
  </si>
  <si>
    <t>V54551</t>
  </si>
  <si>
    <t>Shikha  Biswas</t>
  </si>
  <si>
    <t>V53931</t>
  </si>
  <si>
    <t>Sougata  Roy</t>
  </si>
  <si>
    <t>V53912</t>
  </si>
  <si>
    <t>Rana  Biswas</t>
  </si>
  <si>
    <t>V53367</t>
  </si>
  <si>
    <t>Babul  Biswas</t>
  </si>
  <si>
    <t>V53364</t>
  </si>
  <si>
    <t>Abhijeet  Das</t>
  </si>
  <si>
    <t>V53203</t>
  </si>
  <si>
    <t>Ranajit  Haldar</t>
  </si>
  <si>
    <t>V52974</t>
  </si>
  <si>
    <t>Pabitra  Tarafder</t>
  </si>
  <si>
    <t>V52972</t>
  </si>
  <si>
    <t>Riju  Sarkar</t>
  </si>
  <si>
    <t>V52969</t>
  </si>
  <si>
    <t>Akash  Biswas</t>
  </si>
  <si>
    <t>V52965</t>
  </si>
  <si>
    <t>Pankaj  Sarkar</t>
  </si>
  <si>
    <t>V52781</t>
  </si>
  <si>
    <t>Sumanta  Biswas</t>
  </si>
  <si>
    <t>V52748</t>
  </si>
  <si>
    <t>Abhishek  Biswas</t>
  </si>
  <si>
    <t>V52589</t>
  </si>
  <si>
    <t>Kajal  Goswami</t>
  </si>
  <si>
    <t>V52557</t>
  </si>
  <si>
    <t>Arpita  Biswas</t>
  </si>
  <si>
    <t>V52274</t>
  </si>
  <si>
    <t>Sarajit  Biswas</t>
  </si>
  <si>
    <t>V52049</t>
  </si>
  <si>
    <t>Swarup  Sarkar</t>
  </si>
  <si>
    <t>V52046</t>
  </si>
  <si>
    <t>Nitin Kumar Bhattacharya</t>
  </si>
  <si>
    <t>V51179</t>
  </si>
  <si>
    <t>RAHUL KUMAR PANDIT</t>
  </si>
  <si>
    <t>V50799</t>
  </si>
  <si>
    <t>TANMOY  HAZRA</t>
  </si>
  <si>
    <t>V29305</t>
  </si>
  <si>
    <t>Sourav  Das</t>
  </si>
  <si>
    <t>Simran  Das</t>
  </si>
  <si>
    <t>V54340</t>
  </si>
  <si>
    <t>Abhijit  Biswas</t>
  </si>
  <si>
    <t>V54338</t>
  </si>
  <si>
    <t>Jayanta  Mondal</t>
  </si>
  <si>
    <t>V54337</t>
  </si>
  <si>
    <t>Sneha  Paul</t>
  </si>
  <si>
    <t>V54336</t>
  </si>
  <si>
    <t>Papai  Mali</t>
  </si>
  <si>
    <t>V54191</t>
  </si>
  <si>
    <t>Priti  Paul</t>
  </si>
  <si>
    <t>V54079</t>
  </si>
  <si>
    <t>Jigisha  Dutta</t>
  </si>
  <si>
    <t>V54077</t>
  </si>
  <si>
    <t>Surajit  Dutta</t>
  </si>
  <si>
    <t>V54002</t>
  </si>
  <si>
    <t>Sankar  Paul</t>
  </si>
  <si>
    <t>V54000</t>
  </si>
  <si>
    <t>Amrita  Paul</t>
  </si>
  <si>
    <t>V53983</t>
  </si>
  <si>
    <t>V53765</t>
  </si>
  <si>
    <t>Ankur  Muhuri</t>
  </si>
  <si>
    <t>V53764</t>
  </si>
  <si>
    <t>Prasanta  Das</t>
  </si>
  <si>
    <t>V53750</t>
  </si>
  <si>
    <t>Sanchita  Pramanick</t>
  </si>
  <si>
    <t>V53747</t>
  </si>
  <si>
    <t>Subhajeet  Das</t>
  </si>
  <si>
    <t>V53710</t>
  </si>
  <si>
    <t>Priyanka  Mahato</t>
  </si>
  <si>
    <t>V54559</t>
  </si>
  <si>
    <t>bipad taran narayan deo</t>
  </si>
  <si>
    <t>V54214</t>
  </si>
  <si>
    <t>Apsesh  Mahato</t>
  </si>
  <si>
    <t>V54173</t>
  </si>
  <si>
    <t>Sumit  Rajwar</t>
  </si>
  <si>
    <t>V53899</t>
  </si>
  <si>
    <t>Alok  Mandal</t>
  </si>
  <si>
    <t>V53895</t>
  </si>
  <si>
    <t>Sourav  Ganguly</t>
  </si>
  <si>
    <t>V53705</t>
  </si>
  <si>
    <t>Anjan  Sen</t>
  </si>
  <si>
    <t>V53667</t>
  </si>
  <si>
    <t>Mansharam  Pandey</t>
  </si>
  <si>
    <t>V53653</t>
  </si>
  <si>
    <t>Tumpa  Nandi</t>
  </si>
  <si>
    <t>V53652</t>
  </si>
  <si>
    <t>Rupa  Bauri</t>
  </si>
  <si>
    <t>V53444</t>
  </si>
  <si>
    <t>Asit Kumar Mahato</t>
  </si>
  <si>
    <t>V53368</t>
  </si>
  <si>
    <t>Ruma  Karmakar</t>
  </si>
  <si>
    <t>V53365</t>
  </si>
  <si>
    <t>Surajit  Chatterjee</t>
  </si>
  <si>
    <t>V53202</t>
  </si>
  <si>
    <t>Sajal  Mahato</t>
  </si>
  <si>
    <t>V53201</t>
  </si>
  <si>
    <t>Saba  Parbeen</t>
  </si>
  <si>
    <t>V53200</t>
  </si>
  <si>
    <t>Pallob  Mardy</t>
  </si>
  <si>
    <t>V53198</t>
  </si>
  <si>
    <t>Ramen  Das</t>
  </si>
  <si>
    <t>V53196</t>
  </si>
  <si>
    <t>Ajoy Kumar Mahato</t>
  </si>
  <si>
    <t>V53194</t>
  </si>
  <si>
    <t>Manish  Bansriar</t>
  </si>
  <si>
    <t>V53192</t>
  </si>
  <si>
    <t>Disha  Roy</t>
  </si>
  <si>
    <t>V53189</t>
  </si>
  <si>
    <t>Ujjawal  Karmakar</t>
  </si>
  <si>
    <t>V53093</t>
  </si>
  <si>
    <t>Prasenjit  Mahato</t>
  </si>
  <si>
    <t>V51084</t>
  </si>
  <si>
    <t>MR. AKSHAY KUMAR SINGH</t>
  </si>
  <si>
    <t>V34716</t>
  </si>
  <si>
    <t>Shantanu  Bhattachariya</t>
  </si>
  <si>
    <t>V46157</t>
  </si>
  <si>
    <t>Samiul  Sk</t>
  </si>
  <si>
    <t>V53559</t>
  </si>
  <si>
    <t>Hasanur  Jaman</t>
  </si>
  <si>
    <t>V47737</t>
  </si>
  <si>
    <t>Sima  Khatun</t>
  </si>
  <si>
    <t>V47608</t>
  </si>
  <si>
    <t>Kutubuddin</t>
  </si>
  <si>
    <t>V47607</t>
  </si>
  <si>
    <t>Shankar  Prasad</t>
  </si>
  <si>
    <t>V47573</t>
  </si>
  <si>
    <t>Rupa  Khatun</t>
  </si>
  <si>
    <t>V47476</t>
  </si>
  <si>
    <t>Rinku  Mondal</t>
  </si>
  <si>
    <t>V47403</t>
  </si>
  <si>
    <t>Masud  Rana</t>
  </si>
  <si>
    <t>V46980</t>
  </si>
  <si>
    <t>Koushik  Chakraborty</t>
  </si>
  <si>
    <t>V46978</t>
  </si>
  <si>
    <t>Bittu  Sarkar</t>
  </si>
  <si>
    <t>V46977</t>
  </si>
  <si>
    <t>Jesmina  Khatun</t>
  </si>
  <si>
    <t>V46813</t>
  </si>
  <si>
    <t>Sawan  Mondal</t>
  </si>
  <si>
    <t>V46812</t>
  </si>
  <si>
    <t>Bilkis  Khatun</t>
  </si>
  <si>
    <t>V46811</t>
  </si>
  <si>
    <t>Ruhan  Mondal</t>
  </si>
  <si>
    <t>V46766</t>
  </si>
  <si>
    <t>Md  Sakil</t>
  </si>
  <si>
    <t>V46765</t>
  </si>
  <si>
    <t>Dipanwita  Sardar</t>
  </si>
  <si>
    <t>V46730</t>
  </si>
  <si>
    <t>Soumik  Roy</t>
  </si>
  <si>
    <t>V46729</t>
  </si>
  <si>
    <t>BAPON  SEKH</t>
  </si>
  <si>
    <t>V46728</t>
  </si>
  <si>
    <t>SUJIT KUMAR CHOUDHARY</t>
  </si>
  <si>
    <t>V46365</t>
  </si>
  <si>
    <t>PALI  BIBI</t>
  </si>
  <si>
    <t>V46364</t>
  </si>
  <si>
    <t>SOURAV  ROY</t>
  </si>
  <si>
    <t>V25165</t>
  </si>
  <si>
    <t>Banti  Majumdar</t>
  </si>
  <si>
    <t>V53127</t>
  </si>
  <si>
    <t>Debika  Mandal</t>
  </si>
  <si>
    <t>V53126</t>
  </si>
  <si>
    <t>Belal  Badsha</t>
  </si>
  <si>
    <t>V53125</t>
  </si>
  <si>
    <t>Ajoy  Basfor</t>
  </si>
  <si>
    <t>V49242</t>
  </si>
  <si>
    <t>Dipraj  Lama</t>
  </si>
  <si>
    <t>V48444</t>
  </si>
  <si>
    <t>Durga  Bashfor</t>
  </si>
  <si>
    <t>V47786</t>
  </si>
  <si>
    <t>Sangeet Darjee</t>
  </si>
  <si>
    <t>V47629</t>
  </si>
  <si>
    <t>Bishnu  Limbu</t>
  </si>
  <si>
    <t>V47250</t>
  </si>
  <si>
    <t>Anisha  Barman</t>
  </si>
  <si>
    <t>V47133</t>
  </si>
  <si>
    <t>Mahabub  Islam</t>
  </si>
  <si>
    <t>V47132</t>
  </si>
  <si>
    <t>Yogesh  Lama</t>
  </si>
  <si>
    <t>V47131</t>
  </si>
  <si>
    <t>Anuskar  Chhetri</t>
  </si>
  <si>
    <t>V47130</t>
  </si>
  <si>
    <t>Priya  Barman</t>
  </si>
  <si>
    <t>V47051</t>
  </si>
  <si>
    <t>IRFAN  MIYA</t>
  </si>
  <si>
    <t>V46983</t>
  </si>
  <si>
    <t>Suman  Chhetri</t>
  </si>
  <si>
    <t>V46920</t>
  </si>
  <si>
    <t>Hemraj  Chhetri</t>
  </si>
  <si>
    <t>V46846</t>
  </si>
  <si>
    <t>Sushmita  Oraon</t>
  </si>
  <si>
    <t>V46845</t>
  </si>
  <si>
    <t>AMAR  CHHETRI</t>
  </si>
  <si>
    <t>V46815</t>
  </si>
  <si>
    <t>Babai  Bala</t>
  </si>
  <si>
    <t>V46780</t>
  </si>
  <si>
    <t>Ajay  Chhetri</t>
  </si>
  <si>
    <t>V46763</t>
  </si>
  <si>
    <t>Mustak  Ahamed</t>
  </si>
  <si>
    <t>V44348</t>
  </si>
  <si>
    <t>Surojit  Majhi</t>
  </si>
  <si>
    <t>V43951</t>
  </si>
  <si>
    <t>DIPAK BISWAS</t>
  </si>
  <si>
    <t>V34497</t>
  </si>
  <si>
    <t>Raju  Das</t>
  </si>
  <si>
    <t>V49562</t>
  </si>
  <si>
    <t>ANKIT CHOWDHURY</t>
  </si>
  <si>
    <t>V42139</t>
  </si>
  <si>
    <t>KUNTAL CHOWDHURY</t>
  </si>
  <si>
    <t>V41897</t>
  </si>
  <si>
    <t>AMIT DAS</t>
  </si>
  <si>
    <t>V41559</t>
  </si>
  <si>
    <t>BIJOY KUMAR SINGHA</t>
  </si>
  <si>
    <t>V41519</t>
  </si>
  <si>
    <t>SANTU MONDAL</t>
  </si>
  <si>
    <t>V41417</t>
  </si>
  <si>
    <t>SUMAN DEY</t>
  </si>
  <si>
    <t>V41359</t>
  </si>
  <si>
    <t>MANISH KUMAR SHAW</t>
  </si>
  <si>
    <t>V41358</t>
  </si>
  <si>
    <t>SUBHOJIT SIKDER</t>
  </si>
  <si>
    <t>V41203</t>
  </si>
  <si>
    <t>JAYANTA PAL</t>
  </si>
  <si>
    <t>V41202</t>
  </si>
  <si>
    <t>SHIV DAYAL THAKUR</t>
  </si>
  <si>
    <t>V41199</t>
  </si>
  <si>
    <t>SNEHA DAS</t>
  </si>
  <si>
    <t>V41197</t>
  </si>
  <si>
    <t>TUSHAR ACHARJEE</t>
  </si>
  <si>
    <t>V41005</t>
  </si>
  <si>
    <t>SAIKAT ROY</t>
  </si>
  <si>
    <t>V41004</t>
  </si>
  <si>
    <t>PUJA DAS</t>
  </si>
  <si>
    <t>V40775</t>
  </si>
  <si>
    <t>RANJIT SAHA</t>
  </si>
  <si>
    <t>V40773</t>
  </si>
  <si>
    <t>GOBIND KUMAR SAH</t>
  </si>
  <si>
    <t>V40667</t>
  </si>
  <si>
    <t>SHOME CHANDRA NATH</t>
  </si>
  <si>
    <t>V40365</t>
  </si>
  <si>
    <t>ARINDAM HAZRA</t>
  </si>
  <si>
    <t>V27074</t>
  </si>
  <si>
    <t>DIP  SAHA</t>
  </si>
  <si>
    <t>V48512</t>
  </si>
  <si>
    <t>SARATHI  SARDAR</t>
  </si>
  <si>
    <t>V47465</t>
  </si>
  <si>
    <t>Sudip  Ray</t>
  </si>
  <si>
    <t>V46164</t>
  </si>
  <si>
    <t>Shambhu CHANDRA Debnath</t>
  </si>
  <si>
    <t>V46161</t>
  </si>
  <si>
    <t>ATANU  SEAL</t>
  </si>
  <si>
    <t>V41434</t>
  </si>
  <si>
    <t>DEEP  DAS</t>
  </si>
  <si>
    <t>V40118</t>
  </si>
  <si>
    <t>TANIYA DAS</t>
  </si>
  <si>
    <t>V36495</t>
  </si>
  <si>
    <t>V36408</t>
  </si>
  <si>
    <t>AVIJIT DAS</t>
  </si>
  <si>
    <t>V36404</t>
  </si>
  <si>
    <t>TANIMA PAUL</t>
  </si>
  <si>
    <t>V36402</t>
  </si>
  <si>
    <t>PARTHA PRATIM GHOSH</t>
  </si>
  <si>
    <t>V36204</t>
  </si>
  <si>
    <t>RAHUL ROY</t>
  </si>
  <si>
    <t>V36203</t>
  </si>
  <si>
    <t>RAJU BAISNAB</t>
  </si>
  <si>
    <t>V35944</t>
  </si>
  <si>
    <t>MILAN BAIDYA</t>
  </si>
  <si>
    <t>V35752</t>
  </si>
  <si>
    <t>AKASH CHANDA</t>
  </si>
  <si>
    <t>V35751</t>
  </si>
  <si>
    <t>DIP MONDAL</t>
  </si>
  <si>
    <t>V35746</t>
  </si>
  <si>
    <t>REYA DAS</t>
  </si>
  <si>
    <t>V35741</t>
  </si>
  <si>
    <t>SOURAV DAS</t>
  </si>
  <si>
    <t>V35739</t>
  </si>
  <si>
    <t>SUBHA SAHA</t>
  </si>
  <si>
    <t>V35732</t>
  </si>
  <si>
    <t>PRABIR MAJUMDER</t>
  </si>
  <si>
    <t>V35725</t>
  </si>
  <si>
    <t>JOY PAUL</t>
  </si>
  <si>
    <t>V35719</t>
  </si>
  <si>
    <t>PRASENJIT DAS</t>
  </si>
  <si>
    <t>V35663</t>
  </si>
  <si>
    <t>BIPLAB DAS</t>
  </si>
  <si>
    <t>V35449</t>
  </si>
  <si>
    <t>JAGOMOHAN CHEL</t>
  </si>
  <si>
    <t>V35251</t>
  </si>
  <si>
    <t>KARTICK DAS</t>
  </si>
  <si>
    <t>V35030</t>
  </si>
  <si>
    <t>Aditya  Mahato</t>
  </si>
  <si>
    <t>V54681</t>
  </si>
  <si>
    <t>Rajat  Das</t>
  </si>
  <si>
    <t>V54680</t>
  </si>
  <si>
    <t>RAJESH  SK</t>
  </si>
  <si>
    <t>V51540</t>
  </si>
  <si>
    <t>KABERI  SARKAR</t>
  </si>
  <si>
    <t>V49876</t>
  </si>
  <si>
    <t>Avnish  Kumar</t>
  </si>
  <si>
    <t>V48816</t>
  </si>
  <si>
    <t>AYAN  CHAKRABORTY</t>
  </si>
  <si>
    <t>V48321</t>
  </si>
  <si>
    <t>DEEP  MONDAL</t>
  </si>
  <si>
    <t>V48320</t>
  </si>
  <si>
    <t>SUJAY  HAZRA</t>
  </si>
  <si>
    <t>V47454</t>
  </si>
  <si>
    <t>AKASH  HAZRA</t>
  </si>
  <si>
    <t>V47154</t>
  </si>
  <si>
    <t>SHAMBHU  Hazra</t>
  </si>
  <si>
    <t>V46709</t>
  </si>
  <si>
    <t>ARGHYA  MONDAL</t>
  </si>
  <si>
    <t>V40255</t>
  </si>
  <si>
    <t>ARPAN BHASKAR</t>
  </si>
  <si>
    <t>V35701</t>
  </si>
  <si>
    <t>SARJU MONDAL</t>
  </si>
  <si>
    <t>V35607</t>
  </si>
  <si>
    <t>MAMON DEY</t>
  </si>
  <si>
    <t>V35520</t>
  </si>
  <si>
    <t>BAPAN DHAR</t>
  </si>
  <si>
    <t>V35518</t>
  </si>
  <si>
    <t>TINA DAS</t>
  </si>
  <si>
    <t>V35517</t>
  </si>
  <si>
    <t>TANUSHREE MONDAL</t>
  </si>
  <si>
    <t>V35515</t>
  </si>
  <si>
    <t>V35513</t>
  </si>
  <si>
    <t>SWARUP DAS</t>
  </si>
  <si>
    <t>V35512</t>
  </si>
  <si>
    <t>RITA HASDA</t>
  </si>
  <si>
    <t>V35511</t>
  </si>
  <si>
    <t>PRIYANKA DAS</t>
  </si>
  <si>
    <t>V35508</t>
  </si>
  <si>
    <t>AROBINDA GHOSH</t>
  </si>
  <si>
    <t>V35497</t>
  </si>
  <si>
    <t>MR. BASANTA SARKAR</t>
  </si>
  <si>
    <t>V34876</t>
  </si>
  <si>
    <t>KARTAVEY  RAJ</t>
  </si>
  <si>
    <t>V26775</t>
  </si>
  <si>
    <t>RAKESH  ROY</t>
  </si>
  <si>
    <t>V23258</t>
  </si>
  <si>
    <t>Bishnu  Bauri</t>
  </si>
  <si>
    <t>V47474</t>
  </si>
  <si>
    <t>Puja  Prasad</t>
  </si>
  <si>
    <t>V47473</t>
  </si>
  <si>
    <t>Arjun  Ghosh</t>
  </si>
  <si>
    <t>V46964</t>
  </si>
  <si>
    <t>Budhan  Bauri</t>
  </si>
  <si>
    <t>V46944</t>
  </si>
  <si>
    <t>BUBAI  BAURI</t>
  </si>
  <si>
    <t>V40842</t>
  </si>
  <si>
    <t>MUSKAN  PARWEEN</t>
  </si>
  <si>
    <t>V40113</t>
  </si>
  <si>
    <t>SOMU  ROY</t>
  </si>
  <si>
    <t>V33423</t>
  </si>
  <si>
    <t>RITWIK  BAURI</t>
  </si>
  <si>
    <t>V32523</t>
  </si>
  <si>
    <t>JAMIR  MIYA</t>
  </si>
  <si>
    <t>V30398</t>
  </si>
  <si>
    <t>DEV  BAURI</t>
  </si>
  <si>
    <t>V30317</t>
  </si>
  <si>
    <t>AKSHAY  MONDAL</t>
  </si>
  <si>
    <t>V30316</t>
  </si>
  <si>
    <t>ANITA KUMARI PASWAN</t>
  </si>
  <si>
    <t>V29066</t>
  </si>
  <si>
    <t>ARJUN KUMAR SHAW</t>
  </si>
  <si>
    <t>V28480</t>
  </si>
  <si>
    <t>DIPIKA  BANERJEE</t>
  </si>
  <si>
    <t>V28108</t>
  </si>
  <si>
    <t>BIDYAPATI BHADRA</t>
  </si>
  <si>
    <t>V27687</t>
  </si>
  <si>
    <t>ARINDAM  MUKHERJEE</t>
  </si>
  <si>
    <t>V27447</t>
  </si>
  <si>
    <t>AMRIT  RUIDAS</t>
  </si>
  <si>
    <t>V27446</t>
  </si>
  <si>
    <t>AKASH KUMAR MITRA</t>
  </si>
  <si>
    <t>V27314</t>
  </si>
  <si>
    <t>ANIL KUMAR YADAV</t>
  </si>
  <si>
    <t>V27309</t>
  </si>
  <si>
    <t>SOUMEN  ADHIKARY</t>
  </si>
  <si>
    <t>V26956</t>
  </si>
  <si>
    <t>Dipankar  Chakraborty</t>
  </si>
  <si>
    <t>V49957</t>
  </si>
  <si>
    <t>Raju  Mahato</t>
  </si>
  <si>
    <t>V46481</t>
  </si>
  <si>
    <t>Samar  Rana</t>
  </si>
  <si>
    <t>V46480</t>
  </si>
  <si>
    <t>ANIMESH  DAS</t>
  </si>
  <si>
    <t>V41473</t>
  </si>
  <si>
    <t>BISWAJIT  HATI</t>
  </si>
  <si>
    <t>V41066</t>
  </si>
  <si>
    <t>SUVAM  SING</t>
  </si>
  <si>
    <t>V40709</t>
  </si>
  <si>
    <t>SUBHAJIT  MAHATA</t>
  </si>
  <si>
    <t>V40702</t>
  </si>
  <si>
    <t>ARGHA  GHOSH</t>
  </si>
  <si>
    <t>V39360</t>
  </si>
  <si>
    <t>SOUMODIP  RANA</t>
  </si>
  <si>
    <t>V37873</t>
  </si>
  <si>
    <t>PUJA  KARMAKAR</t>
  </si>
  <si>
    <t>V37871</t>
  </si>
  <si>
    <t>SUTAPA BAG</t>
  </si>
  <si>
    <t>V36845</t>
  </si>
  <si>
    <t>BIKASH RANA</t>
  </si>
  <si>
    <t>V36844</t>
  </si>
  <si>
    <t>RINKU DHARA MANDAL</t>
  </si>
  <si>
    <t>V36841</t>
  </si>
  <si>
    <t>MAHUA PAL</t>
  </si>
  <si>
    <t>V36838</t>
  </si>
  <si>
    <t>UJJWAL SING</t>
  </si>
  <si>
    <t>V36833</t>
  </si>
  <si>
    <t>DIPAK KUMAR GHORAI</t>
  </si>
  <si>
    <t>V36831</t>
  </si>
  <si>
    <t>BAPI PATRA</t>
  </si>
  <si>
    <t>V36830</t>
  </si>
  <si>
    <t>KULJIT BHAKAT</t>
  </si>
  <si>
    <t>V36827</t>
  </si>
  <si>
    <t>PRITAM PIRI</t>
  </si>
  <si>
    <t>V36826</t>
  </si>
  <si>
    <t>ROHAN DAS</t>
  </si>
  <si>
    <t>V36824</t>
  </si>
  <si>
    <t>SUKHENDU MAITY</t>
  </si>
  <si>
    <t>V36421</t>
  </si>
  <si>
    <t>ABHIJIT GHOSAL</t>
  </si>
  <si>
    <t>V36348</t>
  </si>
  <si>
    <t>SIDDHARTHA DAS</t>
  </si>
  <si>
    <t>V35772</t>
  </si>
  <si>
    <t>SUBHANKAR DEY</t>
  </si>
  <si>
    <t>V35771</t>
  </si>
  <si>
    <t>Shib  Das</t>
  </si>
  <si>
    <t>V53992</t>
  </si>
  <si>
    <t>Vivek Kumar Singh</t>
  </si>
  <si>
    <t>V53187</t>
  </si>
  <si>
    <t>Nitai  Gorai</t>
  </si>
  <si>
    <t>V53185</t>
  </si>
  <si>
    <t>Krishna  Sen</t>
  </si>
  <si>
    <t>V53180</t>
  </si>
  <si>
    <t>Banti  Gope</t>
  </si>
  <si>
    <t>V53178</t>
  </si>
  <si>
    <t>ASIM  BAURI</t>
  </si>
  <si>
    <t>V51938</t>
  </si>
  <si>
    <t>SOURAV  KARMAKAR</t>
  </si>
  <si>
    <t>V51654</t>
  </si>
  <si>
    <t>REENA  BASFORE</t>
  </si>
  <si>
    <t>V46755</t>
  </si>
  <si>
    <t>BARSA  YADAV</t>
  </si>
  <si>
    <t>V46400</t>
  </si>
  <si>
    <t>Sintu  Kumar</t>
  </si>
  <si>
    <t>V43116</t>
  </si>
  <si>
    <t>SUPRATIK  BOSE</t>
  </si>
  <si>
    <t>V39698</t>
  </si>
  <si>
    <t>ROBIN  YADAV</t>
  </si>
  <si>
    <t>V33864</t>
  </si>
  <si>
    <t>TITHI  MAJI</t>
  </si>
  <si>
    <t>V32378</t>
  </si>
  <si>
    <t>ASHISH KUMAR YADAV</t>
  </si>
  <si>
    <t>V27552</t>
  </si>
  <si>
    <t>MILI  KHATOON</t>
  </si>
  <si>
    <t>V27132</t>
  </si>
  <si>
    <t>PRADIP  MAJUMDAR</t>
  </si>
  <si>
    <t>V27118</t>
  </si>
  <si>
    <t>VICKY  RAM</t>
  </si>
  <si>
    <t>V26201</t>
  </si>
  <si>
    <t>Jaspreet  Singh</t>
  </si>
  <si>
    <t>V49807</t>
  </si>
  <si>
    <t>Pravat Ranjan Rout</t>
  </si>
  <si>
    <t>V48686</t>
  </si>
  <si>
    <t>Kundan</t>
  </si>
  <si>
    <t>V48594</t>
  </si>
  <si>
    <t>B  Vanumati</t>
  </si>
  <si>
    <t>V46470</t>
  </si>
  <si>
    <t>Kartick  Ghosh</t>
  </si>
  <si>
    <t>V46468</t>
  </si>
  <si>
    <t>Murali Kumar Sahu</t>
  </si>
  <si>
    <t>V46467</t>
  </si>
  <si>
    <t>MURTUZA ALI ANSARI</t>
  </si>
  <si>
    <t>V41241</t>
  </si>
  <si>
    <t>MADHURI  SAHU</t>
  </si>
  <si>
    <t>V41068</t>
  </si>
  <si>
    <t>SOURAV  MAJHI</t>
  </si>
  <si>
    <t>V40770</t>
  </si>
  <si>
    <t>JOYDEEP  CHOUDHURI</t>
  </si>
  <si>
    <t>V40539</t>
  </si>
  <si>
    <t>NILOY  SONKAR</t>
  </si>
  <si>
    <t>V40534</t>
  </si>
  <si>
    <t>SUMIT  SHA</t>
  </si>
  <si>
    <t>V39362</t>
  </si>
  <si>
    <t>DEB THAKUR</t>
  </si>
  <si>
    <t>V36658</t>
  </si>
  <si>
    <t>ADITYA SWAMY</t>
  </si>
  <si>
    <t>V35537</t>
  </si>
  <si>
    <t>ALOK PRASAD</t>
  </si>
  <si>
    <t>V35451</t>
  </si>
  <si>
    <t>SAMBHUNATH PANI</t>
  </si>
  <si>
    <t>V35248</t>
  </si>
  <si>
    <t>MR. NIKUNJ LAKHANI</t>
  </si>
  <si>
    <t>V34673</t>
  </si>
  <si>
    <t>V34044</t>
  </si>
  <si>
    <t>ASISH  BISOI</t>
  </si>
  <si>
    <t>V33863</t>
  </si>
  <si>
    <t>RESHMA  SHARMA</t>
  </si>
  <si>
    <t>V33861</t>
  </si>
  <si>
    <t>PINKY  KUMARI</t>
  </si>
  <si>
    <t>V33860</t>
  </si>
  <si>
    <t>NIKETA  SHARMA</t>
  </si>
  <si>
    <t>V27458</t>
  </si>
  <si>
    <t>MANMEET SINGH DEDIALLA</t>
  </si>
  <si>
    <t>V27320</t>
  </si>
  <si>
    <t>BABITA KUMARI RAJAK</t>
  </si>
  <si>
    <t>V27279</t>
  </si>
  <si>
    <t>V27278</t>
  </si>
  <si>
    <t>SUMAN  SAHU</t>
  </si>
  <si>
    <t>V27275</t>
  </si>
  <si>
    <t>ANIKET  KUMAR</t>
  </si>
  <si>
    <t>V27268</t>
  </si>
  <si>
    <t>PURUSOTTAM  PASWAN</t>
  </si>
  <si>
    <t>V27193</t>
  </si>
  <si>
    <t>JYOTI KUMARI THAKUR</t>
  </si>
  <si>
    <t>V53279</t>
  </si>
  <si>
    <t>GULSHAN KUMAR  KUMAR</t>
  </si>
  <si>
    <t>V51337</t>
  </si>
  <si>
    <t>JAYANTA  TANTI</t>
  </si>
  <si>
    <t>V51129</t>
  </si>
  <si>
    <t>RAHUL  GHOSH</t>
  </si>
  <si>
    <t>V46399</t>
  </si>
  <si>
    <t>BUNITA  HAZRA</t>
  </si>
  <si>
    <t>V46398</t>
  </si>
  <si>
    <t>SOURAV  PAUL</t>
  </si>
  <si>
    <t>V37358</t>
  </si>
  <si>
    <t>SUBRATA  GORAI</t>
  </si>
  <si>
    <t>V37357</t>
  </si>
  <si>
    <t>RANIK ROY</t>
  </si>
  <si>
    <t>V36387</t>
  </si>
  <si>
    <t>MR. BISHAL BOURI</t>
  </si>
  <si>
    <t>V34546</t>
  </si>
  <si>
    <t>ASHISH  VISHWAKARMA</t>
  </si>
  <si>
    <t>V33326</t>
  </si>
  <si>
    <t>NANDAN KUMAR THAKUR</t>
  </si>
  <si>
    <t>V30685</t>
  </si>
  <si>
    <t>SK  RAJESH</t>
  </si>
  <si>
    <t>V28679</t>
  </si>
  <si>
    <t>SUBHASH PRASAD VERMA</t>
  </si>
  <si>
    <t>V27999</t>
  </si>
  <si>
    <t>SACHIN KUMAR MANDAL</t>
  </si>
  <si>
    <t>V27577</t>
  </si>
  <si>
    <t>SONU KUMAR YADAV</t>
  </si>
  <si>
    <t>V26631</t>
  </si>
  <si>
    <t>NANDANI  KUMARI</t>
  </si>
  <si>
    <t>V26177</t>
  </si>
  <si>
    <t>RAHUL  BADYAKAR</t>
  </si>
  <si>
    <t>V25713</t>
  </si>
  <si>
    <t>PIJUSH  ROY</t>
  </si>
  <si>
    <t>V25711</t>
  </si>
  <si>
    <t>SUJEET  KAMTI</t>
  </si>
  <si>
    <t>V16869</t>
  </si>
  <si>
    <t>Bapan  Let</t>
  </si>
  <si>
    <t>V53560</t>
  </si>
  <si>
    <t>Shibaprasad  Mondal</t>
  </si>
  <si>
    <t>V46147</t>
  </si>
  <si>
    <t>Sankhadip  Banerjee</t>
  </si>
  <si>
    <t>V44353</t>
  </si>
  <si>
    <t>MONALISHA DAS MONDAL</t>
  </si>
  <si>
    <t>V40994</t>
  </si>
  <si>
    <t>JEET  SALUI</t>
  </si>
  <si>
    <t>V40652</t>
  </si>
  <si>
    <t>SUMIT  MONDAL</t>
  </si>
  <si>
    <t>V39822</t>
  </si>
  <si>
    <t>ATISH KRISHNA DAS</t>
  </si>
  <si>
    <t>V36334</t>
  </si>
  <si>
    <t>SANDIP  DAS</t>
  </si>
  <si>
    <t>V28696</t>
  </si>
  <si>
    <t>ABHINESH  LET</t>
  </si>
  <si>
    <t>V28529</t>
  </si>
  <si>
    <t>KAILASH  KONAI</t>
  </si>
  <si>
    <t>V27004</t>
  </si>
  <si>
    <t>SUBRATA  MONDAL</t>
  </si>
  <si>
    <t>V26737</t>
  </si>
  <si>
    <t>ASIT  SHAW</t>
  </si>
  <si>
    <t>V26736</t>
  </si>
  <si>
    <t>ARPITA  ROY</t>
  </si>
  <si>
    <t>V26645</t>
  </si>
  <si>
    <t>JHUMI  KHATUN</t>
  </si>
  <si>
    <t>V26644</t>
  </si>
  <si>
    <t>SUSANTO  CHAWDHURY</t>
  </si>
  <si>
    <t>V26642</t>
  </si>
  <si>
    <t>V26637</t>
  </si>
  <si>
    <t>Sanjeet  Rajbanshi</t>
  </si>
  <si>
    <t>V53130</t>
  </si>
  <si>
    <t>Babita  Das</t>
  </si>
  <si>
    <t>V49229</t>
  </si>
  <si>
    <t>Sujal  Rajbanshi</t>
  </si>
  <si>
    <t>V47502</t>
  </si>
  <si>
    <t>Chaitali  Mondal</t>
  </si>
  <si>
    <t>V46479</t>
  </si>
  <si>
    <t>ASHISH KUMAR SHAW</t>
  </si>
  <si>
    <t>V41582</t>
  </si>
  <si>
    <t>ANKIT RAJBANSHI</t>
  </si>
  <si>
    <t>V40849</t>
  </si>
  <si>
    <t>DIYA BISWAS</t>
  </si>
  <si>
    <t>V40260</t>
  </si>
  <si>
    <t>MR. DEBABRATA MONDAL</t>
  </si>
  <si>
    <t>V34665</t>
  </si>
  <si>
    <t>BEAUTY  MAL</t>
  </si>
  <si>
    <t>V32787</t>
  </si>
  <si>
    <t>SUBHAIT  MANJHI</t>
  </si>
  <si>
    <t>V31018</t>
  </si>
  <si>
    <t>PRITAM  MUKHERJEE</t>
  </si>
  <si>
    <t>V30474</t>
  </si>
  <si>
    <t>SOURAV  MAL</t>
  </si>
  <si>
    <t>V28492</t>
  </si>
  <si>
    <t>ROHAN  CHOWDHURY</t>
  </si>
  <si>
    <t>V27878</t>
  </si>
  <si>
    <t>VICKY  SINGH</t>
  </si>
  <si>
    <t>V25121</t>
  </si>
  <si>
    <t>SAYAN  MONDAL</t>
  </si>
  <si>
    <t>V25119</t>
  </si>
  <si>
    <t>AKASH  DUTTA</t>
  </si>
  <si>
    <t>V25082</t>
  </si>
  <si>
    <t>SUJON  DAS</t>
  </si>
  <si>
    <t>V25081</t>
  </si>
  <si>
    <t>KRISHNANANDAN KUMAR SAHIL</t>
  </si>
  <si>
    <t>V24992</t>
  </si>
  <si>
    <t>DEBOPRIYA  GHOSH</t>
  </si>
  <si>
    <t>V24960</t>
  </si>
  <si>
    <t>SANKHA  MITRA</t>
  </si>
  <si>
    <t>V24246</t>
  </si>
  <si>
    <t>Nepal  Singha</t>
  </si>
  <si>
    <t>V49613</t>
  </si>
  <si>
    <t>Chandan  Roy</t>
  </si>
  <si>
    <t>V47036</t>
  </si>
  <si>
    <t>Ganesh  Kar</t>
  </si>
  <si>
    <t>V47035</t>
  </si>
  <si>
    <t>Pampa  Barman</t>
  </si>
  <si>
    <t>V47034</t>
  </si>
  <si>
    <t>ABIRAVA  CHANDA</t>
  </si>
  <si>
    <t>V42262</t>
  </si>
  <si>
    <t>RAKESH ROY SARKAR</t>
  </si>
  <si>
    <t>V39955</t>
  </si>
  <si>
    <t>NIKITA  ROY</t>
  </si>
  <si>
    <t>V39828</t>
  </si>
  <si>
    <t>TEJ NARAYAN CHAND</t>
  </si>
  <si>
    <t>V38360</t>
  </si>
  <si>
    <t>DIPON  RAI</t>
  </si>
  <si>
    <t>V34290</t>
  </si>
  <si>
    <t>RATNA  ROY</t>
  </si>
  <si>
    <t>V29713</t>
  </si>
  <si>
    <t>PIYALI  BARMAN</t>
  </si>
  <si>
    <t>V27735</t>
  </si>
  <si>
    <t>CHINMOY DEB SHARMA</t>
  </si>
  <si>
    <t>V24650</t>
  </si>
  <si>
    <t>BIKRAM  BHOWMIK</t>
  </si>
  <si>
    <t>V24647</t>
  </si>
  <si>
    <t>ANIL KUMAR SAH</t>
  </si>
  <si>
    <t>V24560</t>
  </si>
  <si>
    <t>SUBHANKAR  BARMAN</t>
  </si>
  <si>
    <t>V24550</t>
  </si>
  <si>
    <t>DIPANKAR  MANDAL</t>
  </si>
  <si>
    <t>V18891</t>
  </si>
  <si>
    <t>ARIF  HOSSAIN</t>
  </si>
  <si>
    <t>V29620</t>
  </si>
  <si>
    <t>DUT KUMAR MANDAL</t>
  </si>
  <si>
    <t>V25090</t>
  </si>
  <si>
    <t>KHONDAKAR  RAKIB</t>
  </si>
  <si>
    <t>V07457</t>
  </si>
  <si>
    <t>Vansh Kumar Majhi</t>
  </si>
  <si>
    <t>V54305</t>
  </si>
  <si>
    <t>Jogai  Choudhury</t>
  </si>
  <si>
    <t>V54277</t>
  </si>
  <si>
    <t>Tatan  Mandal</t>
  </si>
  <si>
    <t>V54276</t>
  </si>
  <si>
    <t>Avoy  Tiwari</t>
  </si>
  <si>
    <t>V50337</t>
  </si>
  <si>
    <t>SANJAY  SAHA</t>
  </si>
  <si>
    <t>V48959</t>
  </si>
  <si>
    <t>Bipad  Ghosh</t>
  </si>
  <si>
    <t>V48127</t>
  </si>
  <si>
    <t>Kajal  Ghosh</t>
  </si>
  <si>
    <t>V46388</t>
  </si>
  <si>
    <t>DIPAK  GHOSH</t>
  </si>
  <si>
    <t>V40719</t>
  </si>
  <si>
    <t>BITTU  SAHA</t>
  </si>
  <si>
    <t>V40716</t>
  </si>
  <si>
    <t>SAIYAD MAHALDER</t>
  </si>
  <si>
    <t>V39341</t>
  </si>
  <si>
    <t>SARASWATI  PAUL</t>
  </si>
  <si>
    <t>V37925</t>
  </si>
  <si>
    <t>MILI  CHAKRABORTY</t>
  </si>
  <si>
    <t>V37923</t>
  </si>
  <si>
    <t>MAMPI KARMAKAR</t>
  </si>
  <si>
    <t>V35950</t>
  </si>
  <si>
    <t>KAMALA  MANDAL</t>
  </si>
  <si>
    <t>V34269</t>
  </si>
  <si>
    <t>RUBEL  SK</t>
  </si>
  <si>
    <t>V33624</t>
  </si>
  <si>
    <t>DEBASISH  MANDAL</t>
  </si>
  <si>
    <t>V33623</t>
  </si>
  <si>
    <t>PRITHI  CHOWDHURY</t>
  </si>
  <si>
    <t>V33310</t>
  </si>
  <si>
    <t>PURNIMA  KARMAKAR</t>
  </si>
  <si>
    <t>V33225</t>
  </si>
  <si>
    <t>RAJA CHANDRA MANDAL</t>
  </si>
  <si>
    <t>V25766</t>
  </si>
  <si>
    <t>GOBINDA  BAUL</t>
  </si>
  <si>
    <t>V20963</t>
  </si>
  <si>
    <t>BISHAL SAHA</t>
  </si>
  <si>
    <t>V20324</t>
  </si>
  <si>
    <t>RATUL  BAGCHI</t>
  </si>
  <si>
    <t>V19632</t>
  </si>
  <si>
    <t>PRABIR  MANDAL</t>
  </si>
  <si>
    <t>V18864</t>
  </si>
  <si>
    <t>RINKU GHOSH</t>
  </si>
  <si>
    <t>V18860</t>
  </si>
  <si>
    <t>HITEN PAUL</t>
  </si>
  <si>
    <t>V18857</t>
  </si>
  <si>
    <t>PARITOSH  RAJBANSI</t>
  </si>
  <si>
    <t>V18851</t>
  </si>
  <si>
    <t>SUDAM  BISWAS</t>
  </si>
  <si>
    <t>V18784</t>
  </si>
  <si>
    <t>Krishnaben Subabhai Thakor</t>
  </si>
  <si>
    <t>V53544</t>
  </si>
  <si>
    <t>Chetan Sanjay Patil</t>
  </si>
  <si>
    <t>V52765</t>
  </si>
  <si>
    <t>Chauhan Shilpa Ramesh</t>
  </si>
  <si>
    <t>V52453</t>
  </si>
  <si>
    <t>AAKANKSHA  KHAIRNAR</t>
  </si>
  <si>
    <t>V52352</t>
  </si>
  <si>
    <t>NINAVE TAREN Kumar</t>
  </si>
  <si>
    <t>V52342</t>
  </si>
  <si>
    <t>PRATHMESH MACHHINDRA SHINDE</t>
  </si>
  <si>
    <t>V51744</t>
  </si>
  <si>
    <t>AMAN ARUN MISHRA</t>
  </si>
  <si>
    <t>V51742</t>
  </si>
  <si>
    <t>Nilesh Ramesh Lohar</t>
  </si>
  <si>
    <t>V49508</t>
  </si>
  <si>
    <t>Abhishek  Kushawaha</t>
  </si>
  <si>
    <t>V43989</t>
  </si>
  <si>
    <t>Ratna Shyam Bava</t>
  </si>
  <si>
    <t>V43090</t>
  </si>
  <si>
    <t>kajal narendra sonawane</t>
  </si>
  <si>
    <t>V42943</t>
  </si>
  <si>
    <t>SUTARE BHUMIKA KAMLESHBHAI</t>
  </si>
  <si>
    <t>V42942</t>
  </si>
  <si>
    <t>AJAY  VERMA</t>
  </si>
  <si>
    <t>V42678</t>
  </si>
  <si>
    <t>V42490</t>
  </si>
  <si>
    <t>NAGRAJ YUVRAJ KUMBHAR</t>
  </si>
  <si>
    <t>V42488</t>
  </si>
  <si>
    <t>SAROJ HARISHIKESH HITENDRA</t>
  </si>
  <si>
    <t>V42406</t>
  </si>
  <si>
    <t>RITESH PRAKASH SONAWANE</t>
  </si>
  <si>
    <t>V42255</t>
  </si>
  <si>
    <t>ANKITA  MISHRA</t>
  </si>
  <si>
    <t>V42253</t>
  </si>
  <si>
    <t>ASHISH KUMAR MISHRA</t>
  </si>
  <si>
    <t>V42040</t>
  </si>
  <si>
    <t>SHUBHAM  SHUKLA</t>
  </si>
  <si>
    <t>V30037</t>
  </si>
  <si>
    <t>HEMANT  SINGH</t>
  </si>
  <si>
    <t>V54105</t>
  </si>
  <si>
    <t>V53745</t>
  </si>
  <si>
    <t>V53742</t>
  </si>
  <si>
    <t>V53741</t>
  </si>
  <si>
    <t>Birj  Bhushan</t>
  </si>
  <si>
    <t>V52960</t>
  </si>
  <si>
    <t>Uddeshay  Kumar</t>
  </si>
  <si>
    <t>V51842</t>
  </si>
  <si>
    <t>Sanjana . Rajput</t>
  </si>
  <si>
    <t>V50192</t>
  </si>
  <si>
    <t>Karan  Yadav</t>
  </si>
  <si>
    <t>V50151</t>
  </si>
  <si>
    <t>Manu  Upadhyay</t>
  </si>
  <si>
    <t>V50139</t>
  </si>
  <si>
    <t>Abhishek  .</t>
  </si>
  <si>
    <t>V50095</t>
  </si>
  <si>
    <t>Vishal  .</t>
  </si>
  <si>
    <t>V50032</t>
  </si>
  <si>
    <t>Vishwajeet  Kuntal</t>
  </si>
  <si>
    <t>V49866</t>
  </si>
  <si>
    <t>Pawan Prakash Prakash</t>
  </si>
  <si>
    <t>V49829</t>
  </si>
  <si>
    <t>Shivam Bhadoriya Bhadoriya</t>
  </si>
  <si>
    <t>V49707</t>
  </si>
  <si>
    <t>Aniket  Na</t>
  </si>
  <si>
    <t>V49327</t>
  </si>
  <si>
    <t>Karan Singh Soni</t>
  </si>
  <si>
    <t>V49249</t>
  </si>
  <si>
    <t>Manoj  Kumar</t>
  </si>
  <si>
    <t>V48714</t>
  </si>
  <si>
    <t>RAJ  KUMAR</t>
  </si>
  <si>
    <t>LALITA</t>
  </si>
  <si>
    <t>V48227</t>
  </si>
  <si>
    <t>PREETI  YADAV</t>
  </si>
  <si>
    <t>V47943</t>
  </si>
  <si>
    <t>Raj  Kumar</t>
  </si>
  <si>
    <t>V46612</t>
  </si>
  <si>
    <t>Sonam</t>
  </si>
  <si>
    <t>V46586</t>
  </si>
  <si>
    <t>SHALU</t>
  </si>
  <si>
    <t>V46575</t>
  </si>
  <si>
    <t>KM. DOLLY . .</t>
  </si>
  <si>
    <t>V46574</t>
  </si>
  <si>
    <t>AKASH  DHANGAR</t>
  </si>
  <si>
    <t>V41736</t>
  </si>
  <si>
    <t>OMVEER  SINGH</t>
  </si>
  <si>
    <t>V34077</t>
  </si>
  <si>
    <t>Pawan  Kumar</t>
  </si>
  <si>
    <t>V54588</t>
  </si>
  <si>
    <t>Roshan</t>
  </si>
  <si>
    <t>V54073</t>
  </si>
  <si>
    <t>Shiv  Kumar</t>
  </si>
  <si>
    <t>V53900</t>
  </si>
  <si>
    <t>NIGAM  KUMARI</t>
  </si>
  <si>
    <t>V51733</t>
  </si>
  <si>
    <t>Gulshan</t>
  </si>
  <si>
    <t>V51182</t>
  </si>
  <si>
    <t>Niketan</t>
  </si>
  <si>
    <t>V51181</t>
  </si>
  <si>
    <t>V49651</t>
  </si>
  <si>
    <t>Arvind  Kumar</t>
  </si>
  <si>
    <t>V49104</t>
  </si>
  <si>
    <t>Raman  Singh</t>
  </si>
  <si>
    <t>V44939</t>
  </si>
  <si>
    <t>V44165</t>
  </si>
  <si>
    <t>HARSHIT  KUMAR</t>
  </si>
  <si>
    <t>V39587</t>
  </si>
  <si>
    <t>LALIT  KUMAR</t>
  </si>
  <si>
    <t>V37181</t>
  </si>
  <si>
    <t>SAURABH KUMAR</t>
  </si>
  <si>
    <t>V36098</t>
  </si>
  <si>
    <t>PREM PAL</t>
  </si>
  <si>
    <t>V36005</t>
  </si>
  <si>
    <t>HEMA RANI</t>
  </si>
  <si>
    <t>V35961</t>
  </si>
  <si>
    <t>GUDIA RANI</t>
  </si>
  <si>
    <t>V35207</t>
  </si>
  <si>
    <t>ANJANA</t>
  </si>
  <si>
    <t>V35203</t>
  </si>
  <si>
    <t>SHUBHAM  KUMAR</t>
  </si>
  <si>
    <t>V35194</t>
  </si>
  <si>
    <t>SHIVAM KUMAR SAINI</t>
  </si>
  <si>
    <t>V35176</t>
  </si>
  <si>
    <t>DHARMENDRA</t>
  </si>
  <si>
    <t>V30275</t>
  </si>
  <si>
    <t>ANISH  KUMAR</t>
  </si>
  <si>
    <t>V21160</t>
  </si>
  <si>
    <t>MONU</t>
  </si>
  <si>
    <t>Agrita  Saxena</t>
  </si>
  <si>
    <t>V54059</t>
  </si>
  <si>
    <t>Anshu  Maisi</t>
  </si>
  <si>
    <t>V52449</t>
  </si>
  <si>
    <t>Mayank</t>
  </si>
  <si>
    <t>V52448</t>
  </si>
  <si>
    <t>Shravan  Kumar</t>
  </si>
  <si>
    <t>V51014</t>
  </si>
  <si>
    <t>Vibhanshu  Mishra</t>
  </si>
  <si>
    <t>V50166</t>
  </si>
  <si>
    <t>Sonali</t>
  </si>
  <si>
    <t>V49930</t>
  </si>
  <si>
    <t>V48233</t>
  </si>
  <si>
    <t>Bineeta</t>
  </si>
  <si>
    <t>V48057</t>
  </si>
  <si>
    <t>Ramrani</t>
  </si>
  <si>
    <t>V48056</t>
  </si>
  <si>
    <t>Shashi  Verma</t>
  </si>
  <si>
    <t>V48055</t>
  </si>
  <si>
    <t>Prachi  Rawat</t>
  </si>
  <si>
    <t>V47794</t>
  </si>
  <si>
    <t>Shalini  Sharma</t>
  </si>
  <si>
    <t>V43968</t>
  </si>
  <si>
    <t>GAUTAM  CHAUHAN</t>
  </si>
  <si>
    <t>V39435</t>
  </si>
  <si>
    <t>SHIVANI YADAV</t>
  </si>
  <si>
    <t>V38922</t>
  </si>
  <si>
    <t>RISHI KAPOOR BHARTI</t>
  </si>
  <si>
    <t>V36735</t>
  </si>
  <si>
    <t>NANDINI PRAJAPATI</t>
  </si>
  <si>
    <t>V36283</t>
  </si>
  <si>
    <t>MR. HARIOM</t>
  </si>
  <si>
    <t>V34615</t>
  </si>
  <si>
    <t>V32875</t>
  </si>
  <si>
    <t>AKHILESH KUMAR PANDEY</t>
  </si>
  <si>
    <t>V29729</t>
  </si>
  <si>
    <t>DHANAJAY  SINGH</t>
  </si>
  <si>
    <t>V24942</t>
  </si>
  <si>
    <t>VIKAS  SHARMA</t>
  </si>
  <si>
    <t>V54539</t>
  </si>
  <si>
    <t>GAYADEEN</t>
  </si>
  <si>
    <t>V51559</t>
  </si>
  <si>
    <t>Mahendra  Sharma</t>
  </si>
  <si>
    <t>V50133</t>
  </si>
  <si>
    <t>Anupam Kumar Sharma</t>
  </si>
  <si>
    <t>V50132</t>
  </si>
  <si>
    <t>Lajjavati</t>
  </si>
  <si>
    <t>V49690</t>
  </si>
  <si>
    <t>Sujata  Nishad</t>
  </si>
  <si>
    <t>V48830</t>
  </si>
  <si>
    <t>POOJA  KUMARI</t>
  </si>
  <si>
    <t>V48419</t>
  </si>
  <si>
    <t>Shalu  Yadav</t>
  </si>
  <si>
    <t>V46658</t>
  </si>
  <si>
    <t>V45484</t>
  </si>
  <si>
    <t>VINAY KUMAR</t>
  </si>
  <si>
    <t>V42796</t>
  </si>
  <si>
    <t>Arun  Kumar</t>
  </si>
  <si>
    <t>V38419</t>
  </si>
  <si>
    <t>MOHIT SRIVASTAVA</t>
  </si>
  <si>
    <t>V37098</t>
  </si>
  <si>
    <t>NIKHIL KUMAR GAUR</t>
  </si>
  <si>
    <t>V37096</t>
  </si>
  <si>
    <t>ABHISHEK YADAV</t>
  </si>
  <si>
    <t>V36326</t>
  </si>
  <si>
    <t>VIVEK  SHARMA</t>
  </si>
  <si>
    <t>V34415</t>
  </si>
  <si>
    <t>ANAND  KUMAR</t>
  </si>
  <si>
    <t>V33299</t>
  </si>
  <si>
    <t>ARPIT SINGH</t>
  </si>
  <si>
    <t>V32851</t>
  </si>
  <si>
    <t>TARU  VERMA</t>
  </si>
  <si>
    <t>V31798</t>
  </si>
  <si>
    <t>V31583</t>
  </si>
  <si>
    <t>BRIJENDRA  KUMAR</t>
  </si>
  <si>
    <t>V31303</t>
  </si>
  <si>
    <t>KISHAN  KUMAR</t>
  </si>
  <si>
    <t>V30582</t>
  </si>
  <si>
    <t>SUNIL KUMAR SHUKLA</t>
  </si>
  <si>
    <t>V16338</t>
  </si>
  <si>
    <t>V52605</t>
  </si>
  <si>
    <t>Kapish  Vishwakarma</t>
  </si>
  <si>
    <t>V52601</t>
  </si>
  <si>
    <t>Nirbhay  Pandey</t>
  </si>
  <si>
    <t>V49572</t>
  </si>
  <si>
    <t>Shubham  Anguriya</t>
  </si>
  <si>
    <t>V49571</t>
  </si>
  <si>
    <t>Kuladeep Kumar Gupta</t>
  </si>
  <si>
    <t>V48820</t>
  </si>
  <si>
    <t>Amit  Pandey</t>
  </si>
  <si>
    <t>V48775</t>
  </si>
  <si>
    <t>V48614</t>
  </si>
  <si>
    <t>MANISH KHARWAR</t>
  </si>
  <si>
    <t>V48292</t>
  </si>
  <si>
    <t>Km  Raginee</t>
  </si>
  <si>
    <t>V47753</t>
  </si>
  <si>
    <t>Basukinath  Upadhayay</t>
  </si>
  <si>
    <t>V47751</t>
  </si>
  <si>
    <t>Brijesh  Saini</t>
  </si>
  <si>
    <t>V45736</t>
  </si>
  <si>
    <t>Sarita</t>
  </si>
  <si>
    <t>V45014</t>
  </si>
  <si>
    <t>Premshila  Devi</t>
  </si>
  <si>
    <t>V44612</t>
  </si>
  <si>
    <t>Kumari  Kusumlata</t>
  </si>
  <si>
    <t>V44611</t>
  </si>
  <si>
    <t>Nirjala  Barnawal</t>
  </si>
  <si>
    <t>V43098</t>
  </si>
  <si>
    <t>Aditya  Yadav</t>
  </si>
  <si>
    <t>V43051</t>
  </si>
  <si>
    <t>Ravina</t>
  </si>
  <si>
    <t>V42976</t>
  </si>
  <si>
    <t>MANISH KUMAR DUBEY</t>
  </si>
  <si>
    <t>V41036</t>
  </si>
  <si>
    <t>KARAN KUMAR PASWAN</t>
  </si>
  <si>
    <t>V38658</t>
  </si>
  <si>
    <t>SANDEEP</t>
  </si>
  <si>
    <t>Ajay</t>
  </si>
  <si>
    <t>V53748</t>
  </si>
  <si>
    <t>PRASHANT  PAL</t>
  </si>
  <si>
    <t>V53338</t>
  </si>
  <si>
    <t>Akash</t>
  </si>
  <si>
    <t>V53076</t>
  </si>
  <si>
    <t>V50195</t>
  </si>
  <si>
    <t>Shabnesh  Prajapati</t>
  </si>
  <si>
    <t>V50142</t>
  </si>
  <si>
    <t>V49961</t>
  </si>
  <si>
    <t>Aman  Mishra</t>
  </si>
  <si>
    <t>V44511</t>
  </si>
  <si>
    <t>MAN  SINGH</t>
  </si>
  <si>
    <t>V43815</t>
  </si>
  <si>
    <t>SACHIN SACHIN</t>
  </si>
  <si>
    <t>V42571</t>
  </si>
  <si>
    <t>PRIYANSHU</t>
  </si>
  <si>
    <t>V40300</t>
  </si>
  <si>
    <t>V39887</t>
  </si>
  <si>
    <t>V39626</t>
  </si>
  <si>
    <t>SAMEER</t>
  </si>
  <si>
    <t>V35879</t>
  </si>
  <si>
    <t>MANOJ KUMAR</t>
  </si>
  <si>
    <t>V35466</t>
  </si>
  <si>
    <t>MEGHA</t>
  </si>
  <si>
    <t>V35415</t>
  </si>
  <si>
    <t>ABHISHEK KUMAR</t>
  </si>
  <si>
    <t>V35243</t>
  </si>
  <si>
    <t>ANSHIKA</t>
  </si>
  <si>
    <t>V35241</t>
  </si>
  <si>
    <t>SIMRAN</t>
  </si>
  <si>
    <t>V35240</t>
  </si>
  <si>
    <t>NIHAL  SINGH</t>
  </si>
  <si>
    <t>V33852</t>
  </si>
  <si>
    <t>HEMANT</t>
  </si>
  <si>
    <t>V33773</t>
  </si>
  <si>
    <t>KULDEEP</t>
  </si>
  <si>
    <t>V28836</t>
  </si>
  <si>
    <t>DEEPAK  BHATI</t>
  </si>
  <si>
    <t>V06092</t>
  </si>
  <si>
    <t>Ranjeet  Singh</t>
  </si>
  <si>
    <t>V53082</t>
  </si>
  <si>
    <t>VIPAN  YADAV</t>
  </si>
  <si>
    <t>V51822</t>
  </si>
  <si>
    <t>LAJJAWATI</t>
  </si>
  <si>
    <t>V46724</t>
  </si>
  <si>
    <t>Gaurav</t>
  </si>
  <si>
    <t>V46570</t>
  </si>
  <si>
    <t>MUNEESH  YADAV</t>
  </si>
  <si>
    <t>V34517</t>
  </si>
  <si>
    <t>YASH</t>
  </si>
  <si>
    <t>V34422</t>
  </si>
  <si>
    <t>SURJEET  KUMAR</t>
  </si>
  <si>
    <t>V34421</t>
  </si>
  <si>
    <t>MAHAVEER  SINGH</t>
  </si>
  <si>
    <t>V34420</t>
  </si>
  <si>
    <t>VIVEK  KUMAR</t>
  </si>
  <si>
    <t>V32941</t>
  </si>
  <si>
    <t>MOHIT  RANA</t>
  </si>
  <si>
    <t>V32933</t>
  </si>
  <si>
    <t>BHUMIKA  GANGWAR</t>
  </si>
  <si>
    <t>V32273</t>
  </si>
  <si>
    <t>PRITI  YADAV</t>
  </si>
  <si>
    <t>V32272</t>
  </si>
  <si>
    <t>BANSURI</t>
  </si>
  <si>
    <t>V32109</t>
  </si>
  <si>
    <t>ATUL  SAGAR</t>
  </si>
  <si>
    <t>V32102</t>
  </si>
  <si>
    <t>AVDESH</t>
  </si>
  <si>
    <t>V32099</t>
  </si>
  <si>
    <t>ADITYA  KUMAR</t>
  </si>
  <si>
    <t>V32091</t>
  </si>
  <si>
    <t>CHANDRJEET  KUSHWAHA</t>
  </si>
  <si>
    <t>V30686</t>
  </si>
  <si>
    <t>GAURAV</t>
  </si>
  <si>
    <t>V29940</t>
  </si>
  <si>
    <t>SANJAY  YADAV</t>
  </si>
  <si>
    <t>V21231</t>
  </si>
  <si>
    <t>V21106</t>
  </si>
  <si>
    <t>Pramod  Kumar</t>
  </si>
  <si>
    <t>V51980</t>
  </si>
  <si>
    <t>Urvashi  Kashyap</t>
  </si>
  <si>
    <t>V45937</t>
  </si>
  <si>
    <t>Oosha</t>
  </si>
  <si>
    <t>V45936</t>
  </si>
  <si>
    <t>Roshni</t>
  </si>
  <si>
    <t>V45810</t>
  </si>
  <si>
    <t>Pankaj  yadav</t>
  </si>
  <si>
    <t>V45485</t>
  </si>
  <si>
    <t>SAURABH</t>
  </si>
  <si>
    <t>V43642</t>
  </si>
  <si>
    <t>V36577</t>
  </si>
  <si>
    <t>SHUBHAM SAXENA</t>
  </si>
  <si>
    <t>V36496</t>
  </si>
  <si>
    <t>MR. NITIN YADAV</t>
  </si>
  <si>
    <t>V34902</t>
  </si>
  <si>
    <t>RAJESH</t>
  </si>
  <si>
    <t>V33105</t>
  </si>
  <si>
    <t>V32363</t>
  </si>
  <si>
    <t>V32237</t>
  </si>
  <si>
    <t>ALLEENA  WASIM</t>
  </si>
  <si>
    <t>V31877</t>
  </si>
  <si>
    <t>V31860</t>
  </si>
  <si>
    <t>SIYANAND</t>
  </si>
  <si>
    <t>V31849</t>
  </si>
  <si>
    <t>RINKU  SINGH</t>
  </si>
  <si>
    <t>V31838</t>
  </si>
  <si>
    <t>HARVENDRA</t>
  </si>
  <si>
    <t>V31822</t>
  </si>
  <si>
    <t>SATISH</t>
  </si>
  <si>
    <t>V30116</t>
  </si>
  <si>
    <t>Harvansh  Singh</t>
  </si>
  <si>
    <t>V54019</t>
  </si>
  <si>
    <t>Harish Kumar Saini</t>
  </si>
  <si>
    <t>V53009</t>
  </si>
  <si>
    <t>Neeraj  Kumar</t>
  </si>
  <si>
    <t>V52999</t>
  </si>
  <si>
    <t>YOGESH  KUMAR</t>
  </si>
  <si>
    <t>V51942</t>
  </si>
  <si>
    <t>JITENDRA</t>
  </si>
  <si>
    <t>V51941</t>
  </si>
  <si>
    <t>Shani  KUMAR</t>
  </si>
  <si>
    <t>V50840</t>
  </si>
  <si>
    <t>Vishu  Kumar</t>
  </si>
  <si>
    <t>V49825</t>
  </si>
  <si>
    <t>V49788</t>
  </si>
  <si>
    <t>Dharmeer  rampur</t>
  </si>
  <si>
    <t>V49595</t>
  </si>
  <si>
    <t>Ved  Prakash</t>
  </si>
  <si>
    <t>V49513</t>
  </si>
  <si>
    <t>Jai  Veer</t>
  </si>
  <si>
    <t>V49512</t>
  </si>
  <si>
    <t>Mandeep  Singh</t>
  </si>
  <si>
    <t>V48831</t>
  </si>
  <si>
    <t>Urmila  Saini</t>
  </si>
  <si>
    <t>V45282</t>
  </si>
  <si>
    <t>Sakshi</t>
  </si>
  <si>
    <t>V44254</t>
  </si>
  <si>
    <t>V42319</t>
  </si>
  <si>
    <t>SOMPAL  SINGH</t>
  </si>
  <si>
    <t>V31708</t>
  </si>
  <si>
    <t>V30661</t>
  </si>
  <si>
    <t>DEVENDRA  SINGH</t>
  </si>
  <si>
    <t>V29376</t>
  </si>
  <si>
    <t>NEERAJ KUMAR</t>
  </si>
  <si>
    <t>V17464</t>
  </si>
  <si>
    <t>AKHIL  MISHRA</t>
  </si>
  <si>
    <t>V51731</t>
  </si>
  <si>
    <t>Arti  Gautam</t>
  </si>
  <si>
    <t>V49626</t>
  </si>
  <si>
    <t>Vantu</t>
  </si>
  <si>
    <t>V46322</t>
  </si>
  <si>
    <t>Soni  Rajwanshi</t>
  </si>
  <si>
    <t>V45732</t>
  </si>
  <si>
    <t>ANKUR  PANDEY</t>
  </si>
  <si>
    <t>V43814</t>
  </si>
  <si>
    <t>ASHISH  SINGH</t>
  </si>
  <si>
    <t>V43812</t>
  </si>
  <si>
    <t>RAJNEESH KUMAR SRIVASTAVA</t>
  </si>
  <si>
    <t>V42477</t>
  </si>
  <si>
    <t>V36720</t>
  </si>
  <si>
    <t>SHIVKESH  RATHORE</t>
  </si>
  <si>
    <t>V33230</t>
  </si>
  <si>
    <t>AVNEESH  AWASTHI</t>
  </si>
  <si>
    <t>V32890</t>
  </si>
  <si>
    <t>SANI  SRIVASTAVA</t>
  </si>
  <si>
    <t>V31075</t>
  </si>
  <si>
    <t>PRADIP KUMAR VERMA</t>
  </si>
  <si>
    <t>V30300</t>
  </si>
  <si>
    <t>GYANENDRA PRATAP SINGH</t>
  </si>
  <si>
    <t>V30202</t>
  </si>
  <si>
    <t>V30172</t>
  </si>
  <si>
    <t>ANUBHAV</t>
  </si>
  <si>
    <t>V30128</t>
  </si>
  <si>
    <t>VIJENDRA  KUMAR</t>
  </si>
  <si>
    <t>V30121</t>
  </si>
  <si>
    <t>SON  PAL</t>
  </si>
  <si>
    <t>V30075</t>
  </si>
  <si>
    <t>ADITYA  GUPTA</t>
  </si>
  <si>
    <t>V30069</t>
  </si>
  <si>
    <t>PRADEEP  KUMAR</t>
  </si>
  <si>
    <t>V30067</t>
  </si>
  <si>
    <t>HARISHANKAR</t>
  </si>
  <si>
    <t>V30061</t>
  </si>
  <si>
    <t>V30059</t>
  </si>
  <si>
    <t>Abhishek Kumar Vaisya</t>
  </si>
  <si>
    <t>V50494</t>
  </si>
  <si>
    <t>Ashwani  Kumar</t>
  </si>
  <si>
    <t>V49350</t>
  </si>
  <si>
    <t>Deepak  Maurya</t>
  </si>
  <si>
    <t>V46074</t>
  </si>
  <si>
    <t>Somkar  Singh</t>
  </si>
  <si>
    <t>V45394</t>
  </si>
  <si>
    <t>Muskan</t>
  </si>
  <si>
    <t>ANKIT  GUPTA</t>
  </si>
  <si>
    <t>V40355</t>
  </si>
  <si>
    <t>GAURAV KUMAR MISHRA</t>
  </si>
  <si>
    <t>V36994</t>
  </si>
  <si>
    <t>HARINAM</t>
  </si>
  <si>
    <t>V36254</t>
  </si>
  <si>
    <t>ANIL KUMAR</t>
  </si>
  <si>
    <t>V36253</t>
  </si>
  <si>
    <t>ANMOL</t>
  </si>
  <si>
    <t>V34513</t>
  </si>
  <si>
    <t>SANDEEP KUMAR YADAV</t>
  </si>
  <si>
    <t>V31704</t>
  </si>
  <si>
    <t>AKASH  YADAV</t>
  </si>
  <si>
    <t>V30135</t>
  </si>
  <si>
    <t>ABHISHEK  MAURYA</t>
  </si>
  <si>
    <t>V30132</t>
  </si>
  <si>
    <t>KARAN  RAJWANSHI</t>
  </si>
  <si>
    <t>V30036</t>
  </si>
  <si>
    <t>KAJAL  VERMA</t>
  </si>
  <si>
    <t>V30035</t>
  </si>
  <si>
    <t>SATISH  KUMAR</t>
  </si>
  <si>
    <t>V30033</t>
  </si>
  <si>
    <t>SHUBHAM  GUPTA</t>
  </si>
  <si>
    <t>V29994</t>
  </si>
  <si>
    <t>SHIVAM KUMAR VAISH</t>
  </si>
  <si>
    <t>V29907</t>
  </si>
  <si>
    <t>MANISH  MISHRA</t>
  </si>
  <si>
    <t>V29905</t>
  </si>
  <si>
    <t>V29904</t>
  </si>
  <si>
    <t>KAMLESH KUMAR YADAV</t>
  </si>
  <si>
    <t>V29902</t>
  </si>
  <si>
    <t>ABHISHEK  SHUKLA</t>
  </si>
  <si>
    <t>V29884</t>
  </si>
  <si>
    <t>VIVEK KUMAR VERMA</t>
  </si>
  <si>
    <t>V29163</t>
  </si>
  <si>
    <t>SHIVANSHU  VERMA</t>
  </si>
  <si>
    <t>V17645</t>
  </si>
  <si>
    <t>V17637</t>
  </si>
  <si>
    <t>V09331</t>
  </si>
  <si>
    <t>Phool Chand Prajapati</t>
  </si>
  <si>
    <t>V47861</t>
  </si>
  <si>
    <t>Adarsh Raj Gautam</t>
  </si>
  <si>
    <t>V47860</t>
  </si>
  <si>
    <t>V46886</t>
  </si>
  <si>
    <t>RANJEET SAHANI</t>
  </si>
  <si>
    <t>V46882</t>
  </si>
  <si>
    <t>Awanish Kumar Maurya</t>
  </si>
  <si>
    <t>V46666</t>
  </si>
  <si>
    <t>Dinesh Kumar Ram</t>
  </si>
  <si>
    <t>V46664</t>
  </si>
  <si>
    <t>Om  Prakash</t>
  </si>
  <si>
    <t>V45930</t>
  </si>
  <si>
    <t>Shobha  Devi</t>
  </si>
  <si>
    <t>V45926</t>
  </si>
  <si>
    <t>VISHAL SINGH CHAUHAN</t>
  </si>
  <si>
    <t>V37682</t>
  </si>
  <si>
    <t>VIPIN KUMAR GAUTAM</t>
  </si>
  <si>
    <t>V36742</t>
  </si>
  <si>
    <t>ARJUN</t>
  </si>
  <si>
    <t>V36504</t>
  </si>
  <si>
    <t>RAJKUMAR  YADAV</t>
  </si>
  <si>
    <t>V33911</t>
  </si>
  <si>
    <t>RAVINDRA SHARMA</t>
  </si>
  <si>
    <t>V33828</t>
  </si>
  <si>
    <t>V33582</t>
  </si>
  <si>
    <t>SATISH  SINGH</t>
  </si>
  <si>
    <t>V32692</t>
  </si>
  <si>
    <t>VISHAL</t>
  </si>
  <si>
    <t>V32372</t>
  </si>
  <si>
    <t>AAKASH  KUMAR</t>
  </si>
  <si>
    <t>V29176</t>
  </si>
  <si>
    <t>PRITI  SINGH</t>
  </si>
  <si>
    <t>V28723</t>
  </si>
  <si>
    <t>JITENDRA  KUMAR</t>
  </si>
  <si>
    <t>V28370</t>
  </si>
  <si>
    <t>SONAM  RAWAT</t>
  </si>
  <si>
    <t>V28369</t>
  </si>
  <si>
    <t>V28335</t>
  </si>
  <si>
    <t>SUNIL KUMAR SINGH</t>
  </si>
  <si>
    <t>V26324</t>
  </si>
  <si>
    <t>V25530</t>
  </si>
  <si>
    <t>V54023</t>
  </si>
  <si>
    <t>Rajsingh  Samshersingh</t>
  </si>
  <si>
    <t>V52558</t>
  </si>
  <si>
    <t>Himanshu  Mishra</t>
  </si>
  <si>
    <t>V50955</t>
  </si>
  <si>
    <t>VIKAS  GUPTA</t>
  </si>
  <si>
    <t>V50954</t>
  </si>
  <si>
    <t>SHIVANAND  KUMAR</t>
  </si>
  <si>
    <t>V50321</t>
  </si>
  <si>
    <t>Arjun  Mishra</t>
  </si>
  <si>
    <t>V50320</t>
  </si>
  <si>
    <t>ANKITA  KUMARI</t>
  </si>
  <si>
    <t>V50183</t>
  </si>
  <si>
    <t>Lakshya  Sharma</t>
  </si>
  <si>
    <t>V50128</t>
  </si>
  <si>
    <t>Ishika  Gautam</t>
  </si>
  <si>
    <t>V49182</t>
  </si>
  <si>
    <t>Narjis  Fatima</t>
  </si>
  <si>
    <t>V49174</t>
  </si>
  <si>
    <t>ANJANI  MISHRA</t>
  </si>
  <si>
    <t>V48418</t>
  </si>
  <si>
    <t>Veru  Bharti</t>
  </si>
  <si>
    <t>V48129</t>
  </si>
  <si>
    <t>Kamal  Srivastava</t>
  </si>
  <si>
    <t>V46197</t>
  </si>
  <si>
    <t>ARTI</t>
  </si>
  <si>
    <t>V39748</t>
  </si>
  <si>
    <t>SANDEEP KUMAR</t>
  </si>
  <si>
    <t>V38415</t>
  </si>
  <si>
    <t>SANDHYA CHAUHAN</t>
  </si>
  <si>
    <t>V37010</t>
  </si>
  <si>
    <t>RAJAT  SONKER</t>
  </si>
  <si>
    <t>V30438</t>
  </si>
  <si>
    <t>RISHI KUMAR</t>
  </si>
  <si>
    <t>V25970</t>
  </si>
  <si>
    <t>V24288</t>
  </si>
  <si>
    <t>Khushboo  Gupta</t>
  </si>
  <si>
    <t>V47299</t>
  </si>
  <si>
    <t>Renu</t>
  </si>
  <si>
    <t>V46887</t>
  </si>
  <si>
    <t>RAMAKANT</t>
  </si>
  <si>
    <t>V46703</t>
  </si>
  <si>
    <t>HITESH</t>
  </si>
  <si>
    <t>V45249</t>
  </si>
  <si>
    <t>V44637</t>
  </si>
  <si>
    <t>V44355</t>
  </si>
  <si>
    <t>SUMITRA  DUBEY</t>
  </si>
  <si>
    <t>V44354</t>
  </si>
  <si>
    <t>V43910</t>
  </si>
  <si>
    <t>sarwan kumar kumar</t>
  </si>
  <si>
    <t>V43548</t>
  </si>
  <si>
    <t>V43126</t>
  </si>
  <si>
    <t>SUNIL KUMAR CHAURASIA</t>
  </si>
  <si>
    <t>V41646</t>
  </si>
  <si>
    <t>SURAJ TRIPATHI</t>
  </si>
  <si>
    <t>V36651</t>
  </si>
  <si>
    <t>DHANANJAY  YADAV</t>
  </si>
  <si>
    <t>V33551</t>
  </si>
  <si>
    <t>MUKESH</t>
  </si>
  <si>
    <t>V31595</t>
  </si>
  <si>
    <t>V31593</t>
  </si>
  <si>
    <t>KM SUSHMA GUPTA</t>
  </si>
  <si>
    <t>V25349</t>
  </si>
  <si>
    <t>RAJENDRA</t>
  </si>
  <si>
    <t>V25322</t>
  </si>
  <si>
    <t>VINOD KUMAR PANDEY</t>
  </si>
  <si>
    <t>V25284</t>
  </si>
  <si>
    <t>AKHILESH  KUMAR</t>
  </si>
  <si>
    <t>V25247</t>
  </si>
  <si>
    <t>V16339</t>
  </si>
  <si>
    <t>V49768</t>
  </si>
  <si>
    <t>Neha  Chaurasiya</t>
  </si>
  <si>
    <t>V48246</t>
  </si>
  <si>
    <t>Deepu</t>
  </si>
  <si>
    <t>V47013</t>
  </si>
  <si>
    <t>Sushma  Verma</t>
  </si>
  <si>
    <t>V44594</t>
  </si>
  <si>
    <t>Sarita  Tiwari</t>
  </si>
  <si>
    <t>V44036</t>
  </si>
  <si>
    <t>RAEESH  AHMAD</t>
  </si>
  <si>
    <t>V37987</t>
  </si>
  <si>
    <t>AFJAL  ALI</t>
  </si>
  <si>
    <t>V37532</t>
  </si>
  <si>
    <t>HIMANSHU  VERMA</t>
  </si>
  <si>
    <t>V34312</t>
  </si>
  <si>
    <t>TINKU  SINGH</t>
  </si>
  <si>
    <t>V30431</t>
  </si>
  <si>
    <t>NITESH  SINGH</t>
  </si>
  <si>
    <t>V29798</t>
  </si>
  <si>
    <t>V29425</t>
  </si>
  <si>
    <t>V29116</t>
  </si>
  <si>
    <t>AJAY  RATHOUR</t>
  </si>
  <si>
    <t>V29031</t>
  </si>
  <si>
    <t>MONIKA  BHARTI</t>
  </si>
  <si>
    <t>V25180</t>
  </si>
  <si>
    <t>PRAMOD  KUMAR</t>
  </si>
  <si>
    <t>V25177</t>
  </si>
  <si>
    <t>HARIOM  TIWARI</t>
  </si>
  <si>
    <t>V25176</t>
  </si>
  <si>
    <t>SANTRAM</t>
  </si>
  <si>
    <t>V24464</t>
  </si>
  <si>
    <t>SUBHASH  CHANDRA</t>
  </si>
  <si>
    <t>V20432</t>
  </si>
  <si>
    <t>MUKESH  KUMAR</t>
  </si>
  <si>
    <t>V20407</t>
  </si>
  <si>
    <t>V17663</t>
  </si>
  <si>
    <t>PREETY  VERMA</t>
  </si>
  <si>
    <t>V54290</t>
  </si>
  <si>
    <t>Ragini</t>
  </si>
  <si>
    <t>V52728</t>
  </si>
  <si>
    <t>Amar Nath Thakur</t>
  </si>
  <si>
    <t>V52340</t>
  </si>
  <si>
    <t>Sumita  Yadav</t>
  </si>
  <si>
    <t>V52251</t>
  </si>
  <si>
    <t>Sawan  Kumar</t>
  </si>
  <si>
    <t>V48985</t>
  </si>
  <si>
    <t>krishna  soren</t>
  </si>
  <si>
    <t>V48662</t>
  </si>
  <si>
    <t>Kajal  Negi</t>
  </si>
  <si>
    <t>V47908</t>
  </si>
  <si>
    <t>Satyam</t>
  </si>
  <si>
    <t>Anisha  Anisha</t>
  </si>
  <si>
    <t>V46191</t>
  </si>
  <si>
    <t>Roshan  Kumar</t>
  </si>
  <si>
    <t>V45613</t>
  </si>
  <si>
    <t>Rekha</t>
  </si>
  <si>
    <t>V45091</t>
  </si>
  <si>
    <t>Arvind Kumar Rajput</t>
  </si>
  <si>
    <t>V44765</t>
  </si>
  <si>
    <t>ANAND KUMAR PANDEY</t>
  </si>
  <si>
    <t>V41699</t>
  </si>
  <si>
    <t>BRIJESH  GAUTAM</t>
  </si>
  <si>
    <t>V40827</t>
  </si>
  <si>
    <t>ASHISH KUMAR</t>
  </si>
  <si>
    <t>V39296</t>
  </si>
  <si>
    <t>VRIJENDRA  KUMAR</t>
  </si>
  <si>
    <t>V37218</t>
  </si>
  <si>
    <t>MOHD JUNAID</t>
  </si>
  <si>
    <t>V36699</t>
  </si>
  <si>
    <t>MR. ARUN PANDEY</t>
  </si>
  <si>
    <t>V34577</t>
  </si>
  <si>
    <t>SHIVAM  TIWARI</t>
  </si>
  <si>
    <t>V29663</t>
  </si>
  <si>
    <t>RITESH  SRIVASTAV</t>
  </si>
  <si>
    <t>V25967</t>
  </si>
  <si>
    <t>HARINDRA  NATH</t>
  </si>
  <si>
    <t>V25026</t>
  </si>
  <si>
    <t>V54679</t>
  </si>
  <si>
    <t>SWETA  YADAV</t>
  </si>
  <si>
    <t>V52568</t>
  </si>
  <si>
    <t>DEEPSHIKHA SANDEEP UPADHYAY</t>
  </si>
  <si>
    <t>V51675</t>
  </si>
  <si>
    <t>RAVIRANJAN  DWIVEDI</t>
  </si>
  <si>
    <t>V51665</t>
  </si>
  <si>
    <t>Akash  Chowdhury</t>
  </si>
  <si>
    <t>V50575</t>
  </si>
  <si>
    <t>Himanshu  Singh</t>
  </si>
  <si>
    <t>V49175</t>
  </si>
  <si>
    <t>Sujeet Kumar Nishad</t>
  </si>
  <si>
    <t>V48903</t>
  </si>
  <si>
    <t>Anurag</t>
  </si>
  <si>
    <t>V47691</t>
  </si>
  <si>
    <t>Roshila  Devi</t>
  </si>
  <si>
    <t>V45908</t>
  </si>
  <si>
    <t>Lilawati  Kumari</t>
  </si>
  <si>
    <t>V45907</t>
  </si>
  <si>
    <t>V45745</t>
  </si>
  <si>
    <t>V43660</t>
  </si>
  <si>
    <t>V43125</t>
  </si>
  <si>
    <t>MITHILESH  KUMAR</t>
  </si>
  <si>
    <t>V30207</t>
  </si>
  <si>
    <t>V24473</t>
  </si>
  <si>
    <t>PRATIMA  TIWARI</t>
  </si>
  <si>
    <t>V24413</t>
  </si>
  <si>
    <t>PREMPRAKASH  KUMAR</t>
  </si>
  <si>
    <t>V16889</t>
  </si>
  <si>
    <t>Raju  Kumar</t>
  </si>
  <si>
    <t>Rajesh  Kumar</t>
  </si>
  <si>
    <t>Sanjay  Yadav</t>
  </si>
  <si>
    <t>V48390</t>
  </si>
  <si>
    <t>Ajay Kumar Gupta</t>
  </si>
  <si>
    <t>V43755</t>
  </si>
  <si>
    <t>NAVIN  KUMAR</t>
  </si>
  <si>
    <t>V41441</t>
  </si>
  <si>
    <t>MANORMA</t>
  </si>
  <si>
    <t>V37178</t>
  </si>
  <si>
    <t>NASIM AKHTAR</t>
  </si>
  <si>
    <t>V36758</t>
  </si>
  <si>
    <t>RUPA RAJBHAR</t>
  </si>
  <si>
    <t>V36598</t>
  </si>
  <si>
    <t>RASHMI  VISHWAKARMA</t>
  </si>
  <si>
    <t>V33011</t>
  </si>
  <si>
    <t>EKTA  SINGH</t>
  </si>
  <si>
    <t>V23847</t>
  </si>
  <si>
    <t>RISHIKESH  KUMAR</t>
  </si>
  <si>
    <t>V22237</t>
  </si>
  <si>
    <t>RAM  JANAM</t>
  </si>
  <si>
    <t>V22235</t>
  </si>
  <si>
    <t>RAVINDRA  KUMAR</t>
  </si>
  <si>
    <t>V22234</t>
  </si>
  <si>
    <t>RABITA  YADAV</t>
  </si>
  <si>
    <t>V22233</t>
  </si>
  <si>
    <t>SONU BHARDWAJ</t>
  </si>
  <si>
    <t>V22172</t>
  </si>
  <si>
    <t>KISHAN KUMAR PATEL</t>
  </si>
  <si>
    <t>V22170</t>
  </si>
  <si>
    <t>PRAMOD  PANDEY</t>
  </si>
  <si>
    <t>V20743</t>
  </si>
  <si>
    <t>SHAILENDRA KUMAR YADAV</t>
  </si>
  <si>
    <t>V07893</t>
  </si>
  <si>
    <t>PRAVIN KUMAR RAY</t>
  </si>
  <si>
    <t>V07280</t>
  </si>
  <si>
    <t>V54127</t>
  </si>
  <si>
    <t>Manoj Kumar Jati</t>
  </si>
  <si>
    <t>V54074</t>
  </si>
  <si>
    <t>Tarani Mohan Chakma</t>
  </si>
  <si>
    <t>V54072</t>
  </si>
  <si>
    <t>Sumonta  Chakma</t>
  </si>
  <si>
    <t>V54071</t>
  </si>
  <si>
    <t>V54070</t>
  </si>
  <si>
    <t>V53626</t>
  </si>
  <si>
    <t>NILAM  KUMARI</t>
  </si>
  <si>
    <t>V53456</t>
  </si>
  <si>
    <t>RIYA  SINGH</t>
  </si>
  <si>
    <t>V53288</t>
  </si>
  <si>
    <t>MONTI</t>
  </si>
  <si>
    <t>Manoj  Choahan</t>
  </si>
  <si>
    <t>V50545</t>
  </si>
  <si>
    <t>Krishna Kumar Ram</t>
  </si>
  <si>
    <t>V50418</t>
  </si>
  <si>
    <t>Rohit  Tiwari</t>
  </si>
  <si>
    <t>V49919</t>
  </si>
  <si>
    <t>Annu</t>
  </si>
  <si>
    <t>V46406</t>
  </si>
  <si>
    <t>SURAJ  GAUTAM</t>
  </si>
  <si>
    <t>V46405</t>
  </si>
  <si>
    <t>Rajveer  Singh</t>
  </si>
  <si>
    <t>V46378</t>
  </si>
  <si>
    <t>KINJI  MANDAL</t>
  </si>
  <si>
    <t>V44347</t>
  </si>
  <si>
    <t>GANNESH  SINGH</t>
  </si>
  <si>
    <t>V43747</t>
  </si>
  <si>
    <t>ANKIT KUMAR VERMA</t>
  </si>
  <si>
    <t>V43697</t>
  </si>
  <si>
    <t>Prashant Kumar Yadav</t>
  </si>
  <si>
    <t>V42913</t>
  </si>
  <si>
    <t>RANJEET  KUMAR</t>
  </si>
  <si>
    <t>V37897</t>
  </si>
  <si>
    <t>RASHMI</t>
  </si>
  <si>
    <t>V27370</t>
  </si>
  <si>
    <t>KAMLESH  RAM</t>
  </si>
  <si>
    <t>V26981</t>
  </si>
  <si>
    <t>V26858</t>
  </si>
  <si>
    <t>RAJNI</t>
  </si>
  <si>
    <t>V21250</t>
  </si>
  <si>
    <t>Rinku  Babu</t>
  </si>
  <si>
    <t>V50425</t>
  </si>
  <si>
    <t>NAVEEN</t>
  </si>
  <si>
    <t>V49928</t>
  </si>
  <si>
    <t>Priyansh  Sharma</t>
  </si>
  <si>
    <t>V49927</t>
  </si>
  <si>
    <t>Satish  Yadav</t>
  </si>
  <si>
    <t>V49873</t>
  </si>
  <si>
    <t>Rohit Kumar Gupta</t>
  </si>
  <si>
    <t>V47649</t>
  </si>
  <si>
    <t>V46244</t>
  </si>
  <si>
    <t>POOJA  Singh</t>
  </si>
  <si>
    <t>V46241</t>
  </si>
  <si>
    <t>AMIT KUMAR SRIVASTAVA</t>
  </si>
  <si>
    <t>V39155</t>
  </si>
  <si>
    <t>ADESH YADAV</t>
  </si>
  <si>
    <t>V37111</t>
  </si>
  <si>
    <t>V36525</t>
  </si>
  <si>
    <t>PANKAJ KUMAR</t>
  </si>
  <si>
    <t>V36481</t>
  </si>
  <si>
    <t>RAJA</t>
  </si>
  <si>
    <t>V34437</t>
  </si>
  <si>
    <t>ANUJ  KUMAR</t>
  </si>
  <si>
    <t>V34419</t>
  </si>
  <si>
    <t>V32061</t>
  </si>
  <si>
    <t>RAJNEESH</t>
  </si>
  <si>
    <t>V32060</t>
  </si>
  <si>
    <t>PUNEET  YADAV</t>
  </si>
  <si>
    <t>V31427</t>
  </si>
  <si>
    <t>DEVID  MOURYA</t>
  </si>
  <si>
    <t>V31086</t>
  </si>
  <si>
    <t>ANIL</t>
  </si>
  <si>
    <t>V30115</t>
  </si>
  <si>
    <t>MOHD  AMIR</t>
  </si>
  <si>
    <t>V29939</t>
  </si>
  <si>
    <t>GUDDU</t>
  </si>
  <si>
    <t>V28899</t>
  </si>
  <si>
    <t>KAVISHA</t>
  </si>
  <si>
    <t>V23790</t>
  </si>
  <si>
    <t>DEEPANSHI</t>
  </si>
  <si>
    <t>V22933</t>
  </si>
  <si>
    <t>V21117</t>
  </si>
  <si>
    <t>V21115</t>
  </si>
  <si>
    <t>PRASHANT  SHARMA</t>
  </si>
  <si>
    <t>V21071</t>
  </si>
  <si>
    <t>Lalit  Kumar</t>
  </si>
  <si>
    <t>V54400</t>
  </si>
  <si>
    <t>Ashutosh Kumar Tiwari</t>
  </si>
  <si>
    <t>V54399</t>
  </si>
  <si>
    <t>Rinku</t>
  </si>
  <si>
    <t>Rajeev  Dubey</t>
  </si>
  <si>
    <t>V53580</t>
  </si>
  <si>
    <t>VIJAY  PRAKASH</t>
  </si>
  <si>
    <t>V53465</t>
  </si>
  <si>
    <t>RAJAN  PANDEY</t>
  </si>
  <si>
    <t>V52258</t>
  </si>
  <si>
    <t>Renu  Yadav</t>
  </si>
  <si>
    <t>V50675</t>
  </si>
  <si>
    <t>Saroj</t>
  </si>
  <si>
    <t>V50674</t>
  </si>
  <si>
    <t>Ratan  Tiwari</t>
  </si>
  <si>
    <t>V49995</t>
  </si>
  <si>
    <t>Reeta</t>
  </si>
  <si>
    <t>V49646</t>
  </si>
  <si>
    <t>Akash  Shrivastav</t>
  </si>
  <si>
    <t>V47308</t>
  </si>
  <si>
    <t>Reeta  Kumari</t>
  </si>
  <si>
    <t>V44622</t>
  </si>
  <si>
    <t>Nagina  Kumar</t>
  </si>
  <si>
    <t>V44022</t>
  </si>
  <si>
    <t>DURGAWATI  KASAUNDHAN</t>
  </si>
  <si>
    <t>V38585</t>
  </si>
  <si>
    <t>KUMKUM</t>
  </si>
  <si>
    <t>V38583</t>
  </si>
  <si>
    <t>DHURUV KUMAR SHARMA</t>
  </si>
  <si>
    <t>V32824</t>
  </si>
  <si>
    <t>AKHILESH KUMAR MISHRA</t>
  </si>
  <si>
    <t>V26676</t>
  </si>
  <si>
    <t>SANTOSH KUMAR TIWARI</t>
  </si>
  <si>
    <t>V25418</t>
  </si>
  <si>
    <t>ASHOK  KUMAR</t>
  </si>
  <si>
    <t>V22313</t>
  </si>
  <si>
    <t>SANJAY KUMAR TIWARI</t>
  </si>
  <si>
    <t>V21092</t>
  </si>
  <si>
    <t>VIJAY KUMAR JAISWAL</t>
  </si>
  <si>
    <t>V21054</t>
  </si>
  <si>
    <t>GOSU  PRASAD</t>
  </si>
  <si>
    <t>V21047</t>
  </si>
  <si>
    <t>SHIVAM PRATAP SAINI</t>
  </si>
  <si>
    <t>V20927</t>
  </si>
  <si>
    <t>DURGESH KUMAR SHARMA</t>
  </si>
  <si>
    <t>V16385</t>
  </si>
  <si>
    <t>Narayan  Kurmi</t>
  </si>
  <si>
    <t>V54094</t>
  </si>
  <si>
    <t>V53000</t>
  </si>
  <si>
    <t>PIYUSH  PAL</t>
  </si>
  <si>
    <t>V52823</t>
  </si>
  <si>
    <t>Ayush  Verma</t>
  </si>
  <si>
    <t>V52804</t>
  </si>
  <si>
    <t>Anoop Kumar Gautam</t>
  </si>
  <si>
    <t>V52793</t>
  </si>
  <si>
    <t>V52556</t>
  </si>
  <si>
    <t>Om  Saini</t>
  </si>
  <si>
    <t>V52305</t>
  </si>
  <si>
    <t>V52166</t>
  </si>
  <si>
    <t>ADITYA NA YADAV</t>
  </si>
  <si>
    <t>V51206</t>
  </si>
  <si>
    <t>Gopal  Singh</t>
  </si>
  <si>
    <t>V49326</t>
  </si>
  <si>
    <t>HARSHIT  SINGH</t>
  </si>
  <si>
    <t>AKASHAT  RAWAT</t>
  </si>
  <si>
    <t>V38051</t>
  </si>
  <si>
    <t>JUGAL PRASAD</t>
  </si>
  <si>
    <t>V36310</t>
  </si>
  <si>
    <t>V34240</t>
  </si>
  <si>
    <t>ROSHNI  NISHAD</t>
  </si>
  <si>
    <t>V34234</t>
  </si>
  <si>
    <t>GAURAV  SINGH</t>
  </si>
  <si>
    <t>V34126</t>
  </si>
  <si>
    <t>V32761</t>
  </si>
  <si>
    <t>ARPIT  SHARMA</t>
  </si>
  <si>
    <t>V31807</t>
  </si>
  <si>
    <t>BADAL  NATH</t>
  </si>
  <si>
    <t>V30173</t>
  </si>
  <si>
    <t>PANKAJ  KANNOUJIYA</t>
  </si>
  <si>
    <t>V26554</t>
  </si>
  <si>
    <t>SALONI  BARAR</t>
  </si>
  <si>
    <t>V20738</t>
  </si>
  <si>
    <t>JASVINDER  KAUR</t>
  </si>
  <si>
    <t>V20728</t>
  </si>
  <si>
    <t>VAIBHAV  JAISWAL</t>
  </si>
  <si>
    <t>V20715</t>
  </si>
  <si>
    <t>V54376</t>
  </si>
  <si>
    <t>ADITYA</t>
  </si>
  <si>
    <t>V51287</t>
  </si>
  <si>
    <t>Aakash  Kumar</t>
  </si>
  <si>
    <t>V51188</t>
  </si>
  <si>
    <t>V51187</t>
  </si>
  <si>
    <t>SACHIN  SINGH</t>
  </si>
  <si>
    <t>V51185</t>
  </si>
  <si>
    <t>V50957</t>
  </si>
  <si>
    <t>Reena  Devi</t>
  </si>
  <si>
    <t>V48792</t>
  </si>
  <si>
    <t>V47612</t>
  </si>
  <si>
    <t>V47611</t>
  </si>
  <si>
    <t>Prema</t>
  </si>
  <si>
    <t>V46203</t>
  </si>
  <si>
    <t>Ravi  Rathaur</t>
  </si>
  <si>
    <t>V45710</t>
  </si>
  <si>
    <t>Dheeraj  Verma</t>
  </si>
  <si>
    <t>V45631</t>
  </si>
  <si>
    <t>ASHA  DEVI</t>
  </si>
  <si>
    <t>V31794</t>
  </si>
  <si>
    <t>SAMAR BAHADUR SINGH</t>
  </si>
  <si>
    <t>V31773</t>
  </si>
  <si>
    <t>V30419</t>
  </si>
  <si>
    <t>V20620</t>
  </si>
  <si>
    <t>NAGENDRA  KUMAR</t>
  </si>
  <si>
    <t>V19149</t>
  </si>
  <si>
    <t>SHIVANI  NISHAD</t>
  </si>
  <si>
    <t>V19103</t>
  </si>
  <si>
    <t>Vikas  Verma</t>
  </si>
  <si>
    <t>V54398</t>
  </si>
  <si>
    <t>Sarvesh  Kumar</t>
  </si>
  <si>
    <t>V53896</t>
  </si>
  <si>
    <t>Mohan  Dewal</t>
  </si>
  <si>
    <t>V48944</t>
  </si>
  <si>
    <t>Prafull  Mishra</t>
  </si>
  <si>
    <t>V48768</t>
  </si>
  <si>
    <t>HARIOM  SHUKLA</t>
  </si>
  <si>
    <t>V47226</t>
  </si>
  <si>
    <t>V46626</t>
  </si>
  <si>
    <t>KUTUBUDDEEN</t>
  </si>
  <si>
    <t>V46208</t>
  </si>
  <si>
    <t>Meenu  Devi</t>
  </si>
  <si>
    <t>V44341</t>
  </si>
  <si>
    <t>V37224</t>
  </si>
  <si>
    <t>V37223</t>
  </si>
  <si>
    <t>RISHI KANT MOURYA</t>
  </si>
  <si>
    <t>V37222</t>
  </si>
  <si>
    <t>ADITYA KASHYAP</t>
  </si>
  <si>
    <t>V36743</t>
  </si>
  <si>
    <t>SHOBHIT  KUMAR</t>
  </si>
  <si>
    <t>V33121</t>
  </si>
  <si>
    <t>SANDHYA  GUPTA</t>
  </si>
  <si>
    <t>V32596</t>
  </si>
  <si>
    <t>JITIN  KUMAR</t>
  </si>
  <si>
    <t>V32317</t>
  </si>
  <si>
    <t>VIPIN  SINGH</t>
  </si>
  <si>
    <t>V32183</t>
  </si>
  <si>
    <t>V31948</t>
  </si>
  <si>
    <t>V31946</t>
  </si>
  <si>
    <t>SANI</t>
  </si>
  <si>
    <t>V31390</t>
  </si>
  <si>
    <t>PRANSHU  AWASTHI</t>
  </si>
  <si>
    <t>V27384</t>
  </si>
  <si>
    <t>RAJEEV  MISHRA</t>
  </si>
  <si>
    <t>V19949</t>
  </si>
  <si>
    <t>V19452</t>
  </si>
  <si>
    <t>SHAILENDRA KUMAR MISHRA</t>
  </si>
  <si>
    <t>V17690</t>
  </si>
  <si>
    <t>PRINCI  DEVI</t>
  </si>
  <si>
    <t>V17664</t>
  </si>
  <si>
    <t>DAVID  KUMAR</t>
  </si>
  <si>
    <t>V17660</t>
  </si>
  <si>
    <t>RAJNIKANT  RAJPOOT</t>
  </si>
  <si>
    <t>V17650</t>
  </si>
  <si>
    <t>V17634</t>
  </si>
  <si>
    <t>PAWAN KUMAR TRIVEDI</t>
  </si>
  <si>
    <t>V17633</t>
  </si>
  <si>
    <t>RAM ASHISH YADAV</t>
  </si>
  <si>
    <t>V53836</t>
  </si>
  <si>
    <t>Aditya  Hitkar</t>
  </si>
  <si>
    <t>V50551</t>
  </si>
  <si>
    <t>Nitin Kumar Gautam</t>
  </si>
  <si>
    <t>V50047</t>
  </si>
  <si>
    <t>Anshika  Kushwaha</t>
  </si>
  <si>
    <t>V47362</t>
  </si>
  <si>
    <t>KANCHAN  KASHYAP</t>
  </si>
  <si>
    <t>V46483</t>
  </si>
  <si>
    <t>V46178</t>
  </si>
  <si>
    <t>Lavkush  Tiwari</t>
  </si>
  <si>
    <t>V44700</t>
  </si>
  <si>
    <t>V42321</t>
  </si>
  <si>
    <t>VIBHA  GUPTA</t>
  </si>
  <si>
    <t>V42022</t>
  </si>
  <si>
    <t>KRISHNA  GUPTA</t>
  </si>
  <si>
    <t>V41661</t>
  </si>
  <si>
    <t>MULAYAM SINGH YADAV</t>
  </si>
  <si>
    <t>V38435</t>
  </si>
  <si>
    <t>SUBODH  SRIVASTAVA</t>
  </si>
  <si>
    <t>V37656</t>
  </si>
  <si>
    <t>MRS. SEEMA DEVI</t>
  </si>
  <si>
    <t>V34827</t>
  </si>
  <si>
    <t>MR. NITESH KUMAR</t>
  </si>
  <si>
    <t>V34581</t>
  </si>
  <si>
    <t>ANKUL  SINGH</t>
  </si>
  <si>
    <t>V29756</t>
  </si>
  <si>
    <t>TAUSHEEFA</t>
  </si>
  <si>
    <t>V29481</t>
  </si>
  <si>
    <t>NILESH KUMAR VISHVKERMA</t>
  </si>
  <si>
    <t>V27798</t>
  </si>
  <si>
    <t>ANUP KUMAR SINGH</t>
  </si>
  <si>
    <t>V27044</t>
  </si>
  <si>
    <t>102116819850</t>
  </si>
  <si>
    <t>UMESH  KUMAR</t>
  </si>
  <si>
    <t>V26997</t>
  </si>
  <si>
    <t>V26861</t>
  </si>
  <si>
    <t>ANTIM SHARMA</t>
  </si>
  <si>
    <t>V24320</t>
  </si>
  <si>
    <t>ANUP  KUMAR</t>
  </si>
  <si>
    <t>V22376</t>
  </si>
  <si>
    <t>ANOOP  TIWARI</t>
  </si>
  <si>
    <t>V22186</t>
  </si>
  <si>
    <t>PRINCE  CHAUBEY</t>
  </si>
  <si>
    <t>V20364</t>
  </si>
  <si>
    <t>NEERAJ  KUMAR</t>
  </si>
  <si>
    <t>V19445</t>
  </si>
  <si>
    <t>BEENU  SONKAR</t>
  </si>
  <si>
    <t>V19132</t>
  </si>
  <si>
    <t>DHANANJAY  KUMAR</t>
  </si>
  <si>
    <t>V18299</t>
  </si>
  <si>
    <t>V16900</t>
  </si>
  <si>
    <t>SANJAY KUMAR PANDEY</t>
  </si>
  <si>
    <t>V16642</t>
  </si>
  <si>
    <t>V46595</t>
  </si>
  <si>
    <t>Sanu  Gupta</t>
  </si>
  <si>
    <t>V46579</t>
  </si>
  <si>
    <t>Majnu</t>
  </si>
  <si>
    <t>V45903</t>
  </si>
  <si>
    <t>V45731</t>
  </si>
  <si>
    <t>VINEET KUMAR MISHRA</t>
  </si>
  <si>
    <t>V41002</t>
  </si>
  <si>
    <t>SHALINI GUPTA</t>
  </si>
  <si>
    <t>V36011</t>
  </si>
  <si>
    <t>RAVINDRA KUMAR KASHYAP</t>
  </si>
  <si>
    <t>V34052</t>
  </si>
  <si>
    <t>KALPNA  MISHRA</t>
  </si>
  <si>
    <t>V32843</t>
  </si>
  <si>
    <t>SURAJ  KASHYAP</t>
  </si>
  <si>
    <t>V32842</t>
  </si>
  <si>
    <t>ANSHU  SAHU</t>
  </si>
  <si>
    <t>V28898</t>
  </si>
  <si>
    <t>SOORAJ MISHRA</t>
  </si>
  <si>
    <t>V23515</t>
  </si>
  <si>
    <t>V21809</t>
  </si>
  <si>
    <t>V20516</t>
  </si>
  <si>
    <t>MOHD  TALIB</t>
  </si>
  <si>
    <t>V19638</t>
  </si>
  <si>
    <t>V18259</t>
  </si>
  <si>
    <t>SHAILENDRA  KUMAR</t>
  </si>
  <si>
    <t>V17630</t>
  </si>
  <si>
    <t>SIDDHARTH  KUMAR</t>
  </si>
  <si>
    <t>V16476</t>
  </si>
  <si>
    <t>Sudhir  Kumar</t>
  </si>
  <si>
    <t>Susheel Kumar Yadav</t>
  </si>
  <si>
    <t>V50035</t>
  </si>
  <si>
    <t>Raj  Kapoor</t>
  </si>
  <si>
    <t>V49213</t>
  </si>
  <si>
    <t>ASHOK KUMAR</t>
  </si>
  <si>
    <t>V46855</t>
  </si>
  <si>
    <t>ARVIND KUMAR</t>
  </si>
  <si>
    <t>V46854</t>
  </si>
  <si>
    <t>ARCHANA  KM ARCHANA</t>
  </si>
  <si>
    <t>V40631</t>
  </si>
  <si>
    <t>SHIV KARAN YADAV</t>
  </si>
  <si>
    <t>V36992</t>
  </si>
  <si>
    <t>V32054</t>
  </si>
  <si>
    <t>ANOOP  KUMAR</t>
  </si>
  <si>
    <t>V31442</t>
  </si>
  <si>
    <t>SUSHEEL  KUMAR</t>
  </si>
  <si>
    <t>V29725</t>
  </si>
  <si>
    <t>SHIVANGI</t>
  </si>
  <si>
    <t>V29060</t>
  </si>
  <si>
    <t>V28060</t>
  </si>
  <si>
    <t>SUBHASH  CHANDR</t>
  </si>
  <si>
    <t>V27788</t>
  </si>
  <si>
    <t>SHIV  BARAN</t>
  </si>
  <si>
    <t>V27157</t>
  </si>
  <si>
    <t>ANTIMA  SAROJ</t>
  </si>
  <si>
    <t>V24964</t>
  </si>
  <si>
    <t>SHUBHAM</t>
  </si>
  <si>
    <t>V24104</t>
  </si>
  <si>
    <t>ARADHANA  SAVITA</t>
  </si>
  <si>
    <t>V19494</t>
  </si>
  <si>
    <t>V19152</t>
  </si>
  <si>
    <t>V19037</t>
  </si>
  <si>
    <t>DEEP CHANDRA SHARMA</t>
  </si>
  <si>
    <t>V16874</t>
  </si>
  <si>
    <t>ABHISHEK  BATHAM</t>
  </si>
  <si>
    <t>V16492</t>
  </si>
  <si>
    <t>V16393</t>
  </si>
  <si>
    <t>SUNEEL KUMAR MAURYA</t>
  </si>
  <si>
    <t>V16378</t>
  </si>
  <si>
    <t>UPENDRA  KUMAR</t>
  </si>
  <si>
    <t>V16375</t>
  </si>
  <si>
    <t>INDRAWTI  DEVI</t>
  </si>
  <si>
    <t>V51848</t>
  </si>
  <si>
    <t>V47020</t>
  </si>
  <si>
    <t>Jaya  Chaudhary</t>
  </si>
  <si>
    <t>V44563</t>
  </si>
  <si>
    <t>V44561</t>
  </si>
  <si>
    <t>JAGDEEP  KUMAR</t>
  </si>
  <si>
    <t>V44546</t>
  </si>
  <si>
    <t>SEEMA  DEVI</t>
  </si>
  <si>
    <t>V44544</t>
  </si>
  <si>
    <t>SHAILESH  KUMAR</t>
  </si>
  <si>
    <t>V44542</t>
  </si>
  <si>
    <t>AMAN  MISHRA</t>
  </si>
  <si>
    <t>V42812</t>
  </si>
  <si>
    <t>DIPESH  CHANDRA</t>
  </si>
  <si>
    <t>V42778</t>
  </si>
  <si>
    <t>RITESH  VISHWAKARMA</t>
  </si>
  <si>
    <t>V37477</t>
  </si>
  <si>
    <t>VIKASH  YADAV</t>
  </si>
  <si>
    <t>V37475</t>
  </si>
  <si>
    <t>V36056</t>
  </si>
  <si>
    <t>MS. ANKUSH KUMAR</t>
  </si>
  <si>
    <t>V34824</t>
  </si>
  <si>
    <t>SHASHI  GAUTAM</t>
  </si>
  <si>
    <t>V30683</t>
  </si>
  <si>
    <t>GOVIND  LAL</t>
  </si>
  <si>
    <t>V27630</t>
  </si>
  <si>
    <t>V27592</t>
  </si>
  <si>
    <t>AVNEESH KUMAR PANDEY</t>
  </si>
  <si>
    <t>V25905</t>
  </si>
  <si>
    <t>VIJENDRA KUMAR NIRANJAN</t>
  </si>
  <si>
    <t>V21858</t>
  </si>
  <si>
    <t>PANKAJ KUMAR PANDEY</t>
  </si>
  <si>
    <t>V21121</t>
  </si>
  <si>
    <t>PRIYANKA  YADAV</t>
  </si>
  <si>
    <t>V20975</t>
  </si>
  <si>
    <t>RAJIT  RAM</t>
  </si>
  <si>
    <t>V18457</t>
  </si>
  <si>
    <t>KHUSHBOO</t>
  </si>
  <si>
    <t>V18001</t>
  </si>
  <si>
    <t>HAREESH</t>
  </si>
  <si>
    <t>V16171</t>
  </si>
  <si>
    <t>VIMLESH KUMAR GAUTAM</t>
  </si>
  <si>
    <t>V10084</t>
  </si>
  <si>
    <t>ARUN  KUMAR</t>
  </si>
  <si>
    <t>Kavita  Yadav</t>
  </si>
  <si>
    <t>V54212</t>
  </si>
  <si>
    <t>ANNU  YADAV</t>
  </si>
  <si>
    <t>V53928</t>
  </si>
  <si>
    <t>Ashish  Kumar</t>
  </si>
  <si>
    <t>V52632</t>
  </si>
  <si>
    <t>Maya</t>
  </si>
  <si>
    <t>V50746</t>
  </si>
  <si>
    <t>Neha  Gupta</t>
  </si>
  <si>
    <t>V50648</t>
  </si>
  <si>
    <t>Vikas  Gond</t>
  </si>
  <si>
    <t>V50513</t>
  </si>
  <si>
    <t>V50512</t>
  </si>
  <si>
    <t>V48773</t>
  </si>
  <si>
    <t>Sanjay  Kumar</t>
  </si>
  <si>
    <t>V48720</t>
  </si>
  <si>
    <t>V43781</t>
  </si>
  <si>
    <t>Mrityunjay  Yadav</t>
  </si>
  <si>
    <t>V43569</t>
  </si>
  <si>
    <t>V42288</t>
  </si>
  <si>
    <t>PARAM VEER MAURYA</t>
  </si>
  <si>
    <t>V38483</t>
  </si>
  <si>
    <t>SAPANA KUMARI</t>
  </si>
  <si>
    <t>V36701</t>
  </si>
  <si>
    <t>ABHISHEK  MADDHESHIYA</t>
  </si>
  <si>
    <t>V26051</t>
  </si>
  <si>
    <t>SATYAM  SHARMA</t>
  </si>
  <si>
    <t>V25723</t>
  </si>
  <si>
    <t>SHAMBHU SHANKAR BHARTI</t>
  </si>
  <si>
    <t>V24089</t>
  </si>
  <si>
    <t>PRATIMA  SAROJ</t>
  </si>
  <si>
    <t>V24086</t>
  </si>
  <si>
    <t>DHARMENDRA  YADAV</t>
  </si>
  <si>
    <t>V20956</t>
  </si>
  <si>
    <t>V20666</t>
  </si>
  <si>
    <t>RAUNAK KUMAR DAS</t>
  </si>
  <si>
    <t>V20525</t>
  </si>
  <si>
    <t>NITISH KUMAR RAO</t>
  </si>
  <si>
    <t>V18646</t>
  </si>
  <si>
    <t>JITENDRA  BHARTI</t>
  </si>
  <si>
    <t>V15290</t>
  </si>
  <si>
    <t>Neha  Kumari</t>
  </si>
  <si>
    <t>ASHISH  GAUTAM</t>
  </si>
  <si>
    <t>V53210</t>
  </si>
  <si>
    <t>Vinay  Kumar</t>
  </si>
  <si>
    <t>V52888</t>
  </si>
  <si>
    <t>KRISHNA  RAJBHAR</t>
  </si>
  <si>
    <t>V51858</t>
  </si>
  <si>
    <t>Rishabh  Singh</t>
  </si>
  <si>
    <t>V49766</t>
  </si>
  <si>
    <t>Kamal Kumar Sharma</t>
  </si>
  <si>
    <t>V48417</t>
  </si>
  <si>
    <t>SAKSHAM  VERMA</t>
  </si>
  <si>
    <t>V48243</t>
  </si>
  <si>
    <t>Vimlesh  Kumar</t>
  </si>
  <si>
    <t>V47286</t>
  </si>
  <si>
    <t>PRIYANKA KUMARI</t>
  </si>
  <si>
    <t>V38394</t>
  </si>
  <si>
    <t>V37530</t>
  </si>
  <si>
    <t>V35898</t>
  </si>
  <si>
    <t>ASHISH PAL</t>
  </si>
  <si>
    <t>V35897</t>
  </si>
  <si>
    <t>V35159</t>
  </si>
  <si>
    <t>VISHALINI  BALMIKI</t>
  </si>
  <si>
    <t>V32854</t>
  </si>
  <si>
    <t>ARJUN  SHARMA</t>
  </si>
  <si>
    <t>V31143</t>
  </si>
  <si>
    <t>KRISHNA SHIVAM BAJPAI</t>
  </si>
  <si>
    <t>V30272</t>
  </si>
  <si>
    <t>NAIMISH</t>
  </si>
  <si>
    <t>V21921</t>
  </si>
  <si>
    <t>DEEPAK KUMAR YADAV</t>
  </si>
  <si>
    <t>V19476</t>
  </si>
  <si>
    <t>ROHIT  YADAV</t>
  </si>
  <si>
    <t>V09862</t>
  </si>
  <si>
    <t>Praveen  Kumar</t>
  </si>
  <si>
    <t>SANDEEP  CHAUBEY</t>
  </si>
  <si>
    <t>V53827</t>
  </si>
  <si>
    <t>Deepak Singh Yadav</t>
  </si>
  <si>
    <t>V53826</t>
  </si>
  <si>
    <t>Sachin  Mishra</t>
  </si>
  <si>
    <t>V51046</t>
  </si>
  <si>
    <t>SANJAY KUMAR Pal</t>
  </si>
  <si>
    <t>V45977</t>
  </si>
  <si>
    <t>Arti  Kharwar</t>
  </si>
  <si>
    <t>V45774</t>
  </si>
  <si>
    <t>HANUMAN  KUMAR</t>
  </si>
  <si>
    <t>V41840</t>
  </si>
  <si>
    <t>SURAJ  YADAV</t>
  </si>
  <si>
    <t>V39774</t>
  </si>
  <si>
    <t>GUDDI  DEVI</t>
  </si>
  <si>
    <t>V37320</t>
  </si>
  <si>
    <t>KHUSHI PATEL</t>
  </si>
  <si>
    <t>V35637</t>
  </si>
  <si>
    <t>SUMIT KUMAR RAI</t>
  </si>
  <si>
    <t>V35635</t>
  </si>
  <si>
    <t>SATYAJEET SANYAL</t>
  </si>
  <si>
    <t>V35633</t>
  </si>
  <si>
    <t>DEVSHARAN  KHARAVAR</t>
  </si>
  <si>
    <t>V29762</t>
  </si>
  <si>
    <t>V29616</t>
  </si>
  <si>
    <t>GYANENDRA KUMAR DUBEY</t>
  </si>
  <si>
    <t>V27442</t>
  </si>
  <si>
    <t>VIVEK LAL PATEL</t>
  </si>
  <si>
    <t>V26490</t>
  </si>
  <si>
    <t>VIKASH  PATEL</t>
  </si>
  <si>
    <t>V24044</t>
  </si>
  <si>
    <t>RAHUL  MAURYA</t>
  </si>
  <si>
    <t>V21867</t>
  </si>
  <si>
    <t>V21739</t>
  </si>
  <si>
    <t>AVINASH  YADAV</t>
  </si>
  <si>
    <t>V19963</t>
  </si>
  <si>
    <t>RAHUL KUMAR PATEL</t>
  </si>
  <si>
    <t>V19259</t>
  </si>
  <si>
    <t>V19015</t>
  </si>
  <si>
    <t>SURESH  KUMAR</t>
  </si>
  <si>
    <t>V16780</t>
  </si>
  <si>
    <t>SHAILENDRA</t>
  </si>
  <si>
    <t>V10226</t>
  </si>
  <si>
    <t>PRAVEEN KUMAR PATEL</t>
  </si>
  <si>
    <t>V07578</t>
  </si>
  <si>
    <t>DINESH  BHARDWAJ</t>
  </si>
  <si>
    <t>V07265</t>
  </si>
  <si>
    <t>V54184</t>
  </si>
  <si>
    <t>Krishna</t>
  </si>
  <si>
    <t>V53985</t>
  </si>
  <si>
    <t>SAMSHER  ANSARI</t>
  </si>
  <si>
    <t>V53561</t>
  </si>
  <si>
    <t>Ashish</t>
  </si>
  <si>
    <t>V53037</t>
  </si>
  <si>
    <t>Binda  Devi</t>
  </si>
  <si>
    <t>V51038</t>
  </si>
  <si>
    <t>VISHAL Kumar GUPTA</t>
  </si>
  <si>
    <t>V49264</t>
  </si>
  <si>
    <t>Rampravesh  Chauhan</t>
  </si>
  <si>
    <t>V48036</t>
  </si>
  <si>
    <t>AMAN KUMAR GAUTAM</t>
  </si>
  <si>
    <t>V46584</t>
  </si>
  <si>
    <t>ASHUTOSH KUMAR MISHRA</t>
  </si>
  <si>
    <t>V44042</t>
  </si>
  <si>
    <t>Waris Ali Khan</t>
  </si>
  <si>
    <t>V43701</t>
  </si>
  <si>
    <t>V38015</t>
  </si>
  <si>
    <t>ANIL KUMAR SHARMA</t>
  </si>
  <si>
    <t>V38013</t>
  </si>
  <si>
    <t>ABHISHEK  PRASAD</t>
  </si>
  <si>
    <t>V38004</t>
  </si>
  <si>
    <t>VINAY KUSHWAHA</t>
  </si>
  <si>
    <t>V36747</t>
  </si>
  <si>
    <t>MR. ANAND MADDHESHIYA</t>
  </si>
  <si>
    <t>V34855</t>
  </si>
  <si>
    <t>ANKITA  GOND</t>
  </si>
  <si>
    <t>V32283</t>
  </si>
  <si>
    <t>KARAN KUMAR GUPTA</t>
  </si>
  <si>
    <t>V31667</t>
  </si>
  <si>
    <t>V26932</t>
  </si>
  <si>
    <t>ANAND  TIWARI</t>
  </si>
  <si>
    <t>V26210</t>
  </si>
  <si>
    <t>LAVISH  KUMAR</t>
  </si>
  <si>
    <t>V25210</t>
  </si>
  <si>
    <t>SARAJUDDIN  ANSARI</t>
  </si>
  <si>
    <t>V24770</t>
  </si>
  <si>
    <t>RIYA  MISHRA</t>
  </si>
  <si>
    <t>V24634</t>
  </si>
  <si>
    <t>SONA  DEVI</t>
  </si>
  <si>
    <t>V24633</t>
  </si>
  <si>
    <t>PAWAN  KHARWAR</t>
  </si>
  <si>
    <t>V23933</t>
  </si>
  <si>
    <t>SAURABH  SRIVASTAV</t>
  </si>
  <si>
    <t>V21105</t>
  </si>
  <si>
    <t>VIKAS KUMAR CHAURASIA</t>
  </si>
  <si>
    <t>V20879</t>
  </si>
  <si>
    <t>DURGESH  KUMAR</t>
  </si>
  <si>
    <t>V18499</t>
  </si>
  <si>
    <t>RAVI PRATAP CHAUHAN</t>
  </si>
  <si>
    <t>V16706</t>
  </si>
  <si>
    <t>V14663</t>
  </si>
  <si>
    <t>V13556</t>
  </si>
  <si>
    <t>V13405</t>
  </si>
  <si>
    <t>V54344</t>
  </si>
  <si>
    <t>V53266</t>
  </si>
  <si>
    <t>VIKAS KUMAR KUMAR KUMAR</t>
  </si>
  <si>
    <t>V53265</t>
  </si>
  <si>
    <t>ANSH KUMAR MAURYA</t>
  </si>
  <si>
    <t>V51537</t>
  </si>
  <si>
    <t>Surendra  Mohan</t>
  </si>
  <si>
    <t>V50422</t>
  </si>
  <si>
    <t>Ansh  Shrivastav</t>
  </si>
  <si>
    <t>V50420</t>
  </si>
  <si>
    <t>Shailesh  Kumar</t>
  </si>
  <si>
    <t>V50054</t>
  </si>
  <si>
    <t>KM SHASHI TRIPATHI</t>
  </si>
  <si>
    <t>V45807</t>
  </si>
  <si>
    <t>SHIV KUMAR</t>
  </si>
  <si>
    <t>V43492</t>
  </si>
  <si>
    <t>RAJU  DIWAKAR</t>
  </si>
  <si>
    <t>V42702</t>
  </si>
  <si>
    <t>BHAGAVAN DEEN</t>
  </si>
  <si>
    <t>V37367</t>
  </si>
  <si>
    <t>ANKIT</t>
  </si>
  <si>
    <t>V36597</t>
  </si>
  <si>
    <t>DIWAKAR VISHWAKARMA</t>
  </si>
  <si>
    <t>V36065</t>
  </si>
  <si>
    <t>ANUJ KUMAR BALMIKI</t>
  </si>
  <si>
    <t>V33892</t>
  </si>
  <si>
    <t>ABHISHEK PATHAK</t>
  </si>
  <si>
    <t>V33891</t>
  </si>
  <si>
    <t>NAFEES  AHMAD</t>
  </si>
  <si>
    <t>V32790</t>
  </si>
  <si>
    <t>SURENDRA KUMAR YADAV</t>
  </si>
  <si>
    <t>V32292</t>
  </si>
  <si>
    <t>NITIN KUMAR GUPTA</t>
  </si>
  <si>
    <t>V26082</t>
  </si>
  <si>
    <t>RAJAN  NISHAD</t>
  </si>
  <si>
    <t>V26081</t>
  </si>
  <si>
    <t>UMA  VERMA</t>
  </si>
  <si>
    <t>V21243</t>
  </si>
  <si>
    <t>AWADHESH  YADAV</t>
  </si>
  <si>
    <t>V17669</t>
  </si>
  <si>
    <t>SANTOSH  YADAV</t>
  </si>
  <si>
    <t>V17333</t>
  </si>
  <si>
    <t>SALIL  KHARE</t>
  </si>
  <si>
    <t>V11176</t>
  </si>
  <si>
    <t>SOMNATH  TIWARI</t>
  </si>
  <si>
    <t>V09990</t>
  </si>
  <si>
    <t>V09967</t>
  </si>
  <si>
    <t>BINDU  DEVI</t>
  </si>
  <si>
    <t>V45674</t>
  </si>
  <si>
    <t>Himashu  Verma</t>
  </si>
  <si>
    <t>V45673</t>
  </si>
  <si>
    <t>Pratibha</t>
  </si>
  <si>
    <t>V45672</t>
  </si>
  <si>
    <t>Subhash  Yadav</t>
  </si>
  <si>
    <t>V45660</t>
  </si>
  <si>
    <t>Mahesh</t>
  </si>
  <si>
    <t>V43370</t>
  </si>
  <si>
    <t>RANVIJAY  GAUTAM</t>
  </si>
  <si>
    <t>V43369</t>
  </si>
  <si>
    <t>CHANDRASEN</t>
  </si>
  <si>
    <t>V41966</t>
  </si>
  <si>
    <t>UTTAM</t>
  </si>
  <si>
    <t>V37170</t>
  </si>
  <si>
    <t>V36380</t>
  </si>
  <si>
    <t>PAVAN  DUBEY</t>
  </si>
  <si>
    <t>V33928</t>
  </si>
  <si>
    <t>POONAM</t>
  </si>
  <si>
    <t>V32896</t>
  </si>
  <si>
    <t>RAVI  RAJBHAR</t>
  </si>
  <si>
    <t>V32293</t>
  </si>
  <si>
    <t>PARMESWAR</t>
  </si>
  <si>
    <t>V32290</t>
  </si>
  <si>
    <t>RAVI KUMAR GAUR</t>
  </si>
  <si>
    <t>V30336</t>
  </si>
  <si>
    <t>V30335</t>
  </si>
  <si>
    <t>SUNIL  KUMAR</t>
  </si>
  <si>
    <t>V27067</t>
  </si>
  <si>
    <t>NAGENDRA  PRASAD</t>
  </si>
  <si>
    <t>V26104</t>
  </si>
  <si>
    <t>ADARSH  SINGH</t>
  </si>
  <si>
    <t>V20968</t>
  </si>
  <si>
    <t>VIMLESH KUMAR MAURYA</t>
  </si>
  <si>
    <t>V20823</t>
  </si>
  <si>
    <t>VIVEK KUMAR MISHRA</t>
  </si>
  <si>
    <t>V18480</t>
  </si>
  <si>
    <t>V16280</t>
  </si>
  <si>
    <t>AMAN  DEEP</t>
  </si>
  <si>
    <t>V14670</t>
  </si>
  <si>
    <t>ANIL KUMAR GUPTA</t>
  </si>
  <si>
    <t>V12816</t>
  </si>
  <si>
    <t>V12810</t>
  </si>
  <si>
    <t>V12809</t>
  </si>
  <si>
    <t>V44266</t>
  </si>
  <si>
    <t>VIKAS KUMAR YADAV</t>
  </si>
  <si>
    <t>V42768</t>
  </si>
  <si>
    <t>NEELESH  RAI</t>
  </si>
  <si>
    <t>V42767</t>
  </si>
  <si>
    <t>RAJESHWARI  DEVI</t>
  </si>
  <si>
    <t>V37433</t>
  </si>
  <si>
    <t>KAMAL KUMAR YADAV</t>
  </si>
  <si>
    <t>V36501</t>
  </si>
  <si>
    <t>DHARMENDRA KUMAR MAURYA</t>
  </si>
  <si>
    <t>V36493</t>
  </si>
  <si>
    <t>ATUL YADAV</t>
  </si>
  <si>
    <t>V36268</t>
  </si>
  <si>
    <t>KOMAL MAURYA</t>
  </si>
  <si>
    <t>V36012</t>
  </si>
  <si>
    <t>PRAMOD KUMAR MAURYA</t>
  </si>
  <si>
    <t>V35983</t>
  </si>
  <si>
    <t>MR. GOVIND KUMAR</t>
  </si>
  <si>
    <t>V34539</t>
  </si>
  <si>
    <t>V33954</t>
  </si>
  <si>
    <t>V32391</t>
  </si>
  <si>
    <t>SUNITA  KANOJJIYA</t>
  </si>
  <si>
    <t>V32348</t>
  </si>
  <si>
    <t>V31754</t>
  </si>
  <si>
    <t>ABHISHEK RAJ YADAV</t>
  </si>
  <si>
    <t>V27139</t>
  </si>
  <si>
    <t>RAHUL KUMAR YADAV</t>
  </si>
  <si>
    <t>V26216</t>
  </si>
  <si>
    <t>KANCHAN  SAROJ</t>
  </si>
  <si>
    <t>V26125</t>
  </si>
  <si>
    <t>V26068</t>
  </si>
  <si>
    <t>AMIT KUMAR DUBEY</t>
  </si>
  <si>
    <t>V25160</t>
  </si>
  <si>
    <t>MANOJ  KAUMAR</t>
  </si>
  <si>
    <t>V25045</t>
  </si>
  <si>
    <t>ANURAG  RAWAT</t>
  </si>
  <si>
    <t>V24596</t>
  </si>
  <si>
    <t>V24439</t>
  </si>
  <si>
    <t>RAMAKANT  MAURYA</t>
  </si>
  <si>
    <t>V23686</t>
  </si>
  <si>
    <t>SUNIL KUMAR SAROJ</t>
  </si>
  <si>
    <t>V21312</t>
  </si>
  <si>
    <t>SANTOSH KUMAR GAUTAM</t>
  </si>
  <si>
    <t>V20599</t>
  </si>
  <si>
    <t>BARJESH  KUMAR</t>
  </si>
  <si>
    <t>V20066</t>
  </si>
  <si>
    <t>V19364</t>
  </si>
  <si>
    <t>PANKAJ KUMAR YADAV</t>
  </si>
  <si>
    <t>V18326</t>
  </si>
  <si>
    <t>SANJEET  KUMAR</t>
  </si>
  <si>
    <t>V15002</t>
  </si>
  <si>
    <t>V14999</t>
  </si>
  <si>
    <t>JYOTI KUMARI CHAUDHARY</t>
  </si>
  <si>
    <t>V53205</t>
  </si>
  <si>
    <t>Gopal Kumar Bind</t>
  </si>
  <si>
    <t>V48682</t>
  </si>
  <si>
    <t>Manoj  BIND</t>
  </si>
  <si>
    <t>V47876</t>
  </si>
  <si>
    <t>Nisha  Yadav</t>
  </si>
  <si>
    <t>V47874</t>
  </si>
  <si>
    <t>Leelawati</t>
  </si>
  <si>
    <t>V47872</t>
  </si>
  <si>
    <t>JANARDAN  Vishvkarma</t>
  </si>
  <si>
    <t>V47871</t>
  </si>
  <si>
    <t>JITENDRA KUMAR BIND</t>
  </si>
  <si>
    <t>V42804</t>
  </si>
  <si>
    <t>V38622</t>
  </si>
  <si>
    <t>MANOJ  KUMAR PRAJAPATI</t>
  </si>
  <si>
    <t>V38621</t>
  </si>
  <si>
    <t>V37399</t>
  </si>
  <si>
    <t>VINOD  KUMAR YADAV</t>
  </si>
  <si>
    <t>V37342</t>
  </si>
  <si>
    <t>102181611887</t>
  </si>
  <si>
    <t>MR. KRISHNAKANT PASWAN</t>
  </si>
  <si>
    <t>V34536</t>
  </si>
  <si>
    <t>V33140</t>
  </si>
  <si>
    <t>TRILOKI  BIND</t>
  </si>
  <si>
    <t>V33139</t>
  </si>
  <si>
    <t>DHARMENDRA KUMAR BIND</t>
  </si>
  <si>
    <t>V33124</t>
  </si>
  <si>
    <t>SANDESH  KUMAR</t>
  </si>
  <si>
    <t>V31502</t>
  </si>
  <si>
    <t>KRISHNA KUMAR BIND</t>
  </si>
  <si>
    <t>V30030</t>
  </si>
  <si>
    <t>V29465</t>
  </si>
  <si>
    <t>PRABHAKAR  SINGH</t>
  </si>
  <si>
    <t>V28869</t>
  </si>
  <si>
    <t>V27530</t>
  </si>
  <si>
    <t>V24312</t>
  </si>
  <si>
    <t>SANGAM  KUMAR</t>
  </si>
  <si>
    <t>V20955</t>
  </si>
  <si>
    <t>SANJANA  SHARMA</t>
  </si>
  <si>
    <t>V20166</t>
  </si>
  <si>
    <t>CHANDRAKALA</t>
  </si>
  <si>
    <t>V16890</t>
  </si>
  <si>
    <t>VINOD KUMAR PAL</t>
  </si>
  <si>
    <t>V15983</t>
  </si>
  <si>
    <t>V15415</t>
  </si>
  <si>
    <t>BRIKESH  KUMAR</t>
  </si>
  <si>
    <t>V14894</t>
  </si>
  <si>
    <t>AKHILESH KUMAR SAINI</t>
  </si>
  <si>
    <t>V07821</t>
  </si>
  <si>
    <t>AMIT KUMAR YADAV</t>
  </si>
  <si>
    <t>Krishna  Kumar Patel</t>
  </si>
  <si>
    <t>V54624</t>
  </si>
  <si>
    <t>Vikesh  Kumar</t>
  </si>
  <si>
    <t>Anupriya  Kumari</t>
  </si>
  <si>
    <t>V53817</t>
  </si>
  <si>
    <t>Pavan Kumar Vishwakarma</t>
  </si>
  <si>
    <t>V53664</t>
  </si>
  <si>
    <t>RAJAN  KUMAR</t>
  </si>
  <si>
    <t>V53437</t>
  </si>
  <si>
    <t>RAVI  DUBEY</t>
  </si>
  <si>
    <t>V50830</t>
  </si>
  <si>
    <t>Rajesh Kumar Srivastava</t>
  </si>
  <si>
    <t>V47401</t>
  </si>
  <si>
    <t>V45844</t>
  </si>
  <si>
    <t>DEEPU  SHARMA</t>
  </si>
  <si>
    <t>V39613</t>
  </si>
  <si>
    <t>ABHISHEK KUMAR MAURYA</t>
  </si>
  <si>
    <t>V38748</t>
  </si>
  <si>
    <t>AMIT KUMAR SAHANI</t>
  </si>
  <si>
    <t>V38635</t>
  </si>
  <si>
    <t>SUSEELA  DEVI</t>
  </si>
  <si>
    <t>V37805</t>
  </si>
  <si>
    <t>ABHISHEK  SINGH</t>
  </si>
  <si>
    <t>V37643</t>
  </si>
  <si>
    <t>CHANDRABHAN . CHAUBEY</t>
  </si>
  <si>
    <t>V37008</t>
  </si>
  <si>
    <t>NAGINA . DEVI</t>
  </si>
  <si>
    <t>V37007</t>
  </si>
  <si>
    <t>santara devi</t>
  </si>
  <si>
    <t>V36316</t>
  </si>
  <si>
    <t>ABHISHEK KUMAR SHARMA</t>
  </si>
  <si>
    <t>V34512</t>
  </si>
  <si>
    <t>V30155</t>
  </si>
  <si>
    <t>ALOK KUMAR SINGH</t>
  </si>
  <si>
    <t>V29164</t>
  </si>
  <si>
    <t>V24061</t>
  </si>
  <si>
    <t>AMARESH KUMAR PATEL</t>
  </si>
  <si>
    <t>V24045</t>
  </si>
  <si>
    <t>SURAJ KUMAR SINGH</t>
  </si>
  <si>
    <t>V22675</t>
  </si>
  <si>
    <t>V22203</t>
  </si>
  <si>
    <t>BAGHEL SINGH YADAV</t>
  </si>
  <si>
    <t>V22061</t>
  </si>
  <si>
    <t>RITESH  KUMAR</t>
  </si>
  <si>
    <t>V21580</t>
  </si>
  <si>
    <t>SAURABH  YADAV</t>
  </si>
  <si>
    <t>V19940</t>
  </si>
  <si>
    <t>DEEPAK  RAJBHAR</t>
  </si>
  <si>
    <t>V19656</t>
  </si>
  <si>
    <t>RAJAT  KUMAR</t>
  </si>
  <si>
    <t>V17303</t>
  </si>
  <si>
    <t>VIJAY KUMAR KANNAUJIYA</t>
  </si>
  <si>
    <t>V17302</t>
  </si>
  <si>
    <t>RAMASHISH</t>
  </si>
  <si>
    <t>V17300</t>
  </si>
  <si>
    <t>VISHWAJIT  DUTTA</t>
  </si>
  <si>
    <t>V17159</t>
  </si>
  <si>
    <t>SHIV  KUMAR</t>
  </si>
  <si>
    <t>V16695</t>
  </si>
  <si>
    <t>SIVAM  YADAV</t>
  </si>
  <si>
    <t>V16652</t>
  </si>
  <si>
    <t>SANTOSH KUMAR SHAHANI</t>
  </si>
  <si>
    <t>V16105</t>
  </si>
  <si>
    <t>AMIT KUMAR MAURYA</t>
  </si>
  <si>
    <t>V15649</t>
  </si>
  <si>
    <t>V15173</t>
  </si>
  <si>
    <t>RATNESH KUMAR SHARMA</t>
  </si>
  <si>
    <t>V07286</t>
  </si>
  <si>
    <t>NATHUNI  SINGH</t>
  </si>
  <si>
    <t>V07276</t>
  </si>
  <si>
    <t>V07274</t>
  </si>
  <si>
    <t>V07259</t>
  </si>
  <si>
    <t>V07258</t>
  </si>
  <si>
    <t>ROHIT  MAURYA</t>
  </si>
  <si>
    <t>V04689</t>
  </si>
  <si>
    <t>RAMESH KUMAR JAISWAL</t>
  </si>
  <si>
    <t>V04246</t>
  </si>
  <si>
    <t>Vikash  Rajak</t>
  </si>
  <si>
    <t>V51353</t>
  </si>
  <si>
    <t>Arti  Kannaujiya</t>
  </si>
  <si>
    <t>V46797</t>
  </si>
  <si>
    <t>ABHISHEK KUMAR YADAV</t>
  </si>
  <si>
    <t>V38629</t>
  </si>
  <si>
    <t>MUKESH KUMAR PRAJAPATI</t>
  </si>
  <si>
    <t>V38623</t>
  </si>
  <si>
    <t>ASHISH KUMAR GAUTAM</t>
  </si>
  <si>
    <t>V37215</t>
  </si>
  <si>
    <t>DHARMENDRA KUMAR</t>
  </si>
  <si>
    <t>V35431</t>
  </si>
  <si>
    <t>MANGESH  KUMAR</t>
  </si>
  <si>
    <t>V32240</t>
  </si>
  <si>
    <t>INDRA KUMAR JAISWAR</t>
  </si>
  <si>
    <t>V31682</t>
  </si>
  <si>
    <t>KOMAL  SRIVASTAV</t>
  </si>
  <si>
    <t>V26925</t>
  </si>
  <si>
    <t>V26665</t>
  </si>
  <si>
    <t>AJEET  YADAV</t>
  </si>
  <si>
    <t>V26092</t>
  </si>
  <si>
    <t>PRAKASH  SINGH</t>
  </si>
  <si>
    <t>V25482</t>
  </si>
  <si>
    <t>V25296</t>
  </si>
  <si>
    <t>JAI PRAKASH BHARTI</t>
  </si>
  <si>
    <t>V25295</t>
  </si>
  <si>
    <t>SUJIT MAHENDRA YADAV</t>
  </si>
  <si>
    <t>V24486</t>
  </si>
  <si>
    <t>RINKOO  KUMAR</t>
  </si>
  <si>
    <t>V22350</t>
  </si>
  <si>
    <t>RAJKAMAL</t>
  </si>
  <si>
    <t>V22179</t>
  </si>
  <si>
    <t>ANKUSH  GAUTAM</t>
  </si>
  <si>
    <t>V21841</t>
  </si>
  <si>
    <t>SHRIPRAKASH YADAV</t>
  </si>
  <si>
    <t>V21838</t>
  </si>
  <si>
    <t>RAGHVENDRA  PRATAP</t>
  </si>
  <si>
    <t>V17708</t>
  </si>
  <si>
    <t>V16894</t>
  </si>
  <si>
    <t>SURENDRA KUMAR GAUTAM</t>
  </si>
  <si>
    <t>V16883</t>
  </si>
  <si>
    <t>JATASHANKAR TIWARI</t>
  </si>
  <si>
    <t>V53404</t>
  </si>
  <si>
    <t>Ritesh Kumar Srivastava</t>
  </si>
  <si>
    <t>V52435</t>
  </si>
  <si>
    <t>Sitara</t>
  </si>
  <si>
    <t>V51258</t>
  </si>
  <si>
    <t>DHEERAJ KUMAR</t>
  </si>
  <si>
    <t>V50732</t>
  </si>
  <si>
    <t>Bipin  Patel</t>
  </si>
  <si>
    <t>V50454</t>
  </si>
  <si>
    <t>Ansh  Singh</t>
  </si>
  <si>
    <t>V50426</t>
  </si>
  <si>
    <t>Niket  Singh</t>
  </si>
  <si>
    <t>V48719</t>
  </si>
  <si>
    <t>Tejaswini  Singh</t>
  </si>
  <si>
    <t>V47349</t>
  </si>
  <si>
    <t>Harikesh</t>
  </si>
  <si>
    <t>V46588</t>
  </si>
  <si>
    <t>Sughendra</t>
  </si>
  <si>
    <t>V45768</t>
  </si>
  <si>
    <t>Nitu</t>
  </si>
  <si>
    <t>V45767</t>
  </si>
  <si>
    <t>Raju  Gupta</t>
  </si>
  <si>
    <t>V45766</t>
  </si>
  <si>
    <t>Dheeraj Kumar Shukla</t>
  </si>
  <si>
    <t>V45765</t>
  </si>
  <si>
    <t>Vivek  Yadav</t>
  </si>
  <si>
    <t>V45310</t>
  </si>
  <si>
    <t>Atul  Kumar</t>
  </si>
  <si>
    <t>V45309</t>
  </si>
  <si>
    <t>Sonali  Kumari</t>
  </si>
  <si>
    <t>V44896</t>
  </si>
  <si>
    <t>INDRJEET  GUPTA</t>
  </si>
  <si>
    <t>V38836</t>
  </si>
  <si>
    <t>ABHISHEK  VISHWKARMA</t>
  </si>
  <si>
    <t>V32674</t>
  </si>
  <si>
    <t>RISHIKESH  SINGH</t>
  </si>
  <si>
    <t>V31131</t>
  </si>
  <si>
    <t>RAJESH  SINGH</t>
  </si>
  <si>
    <t>V28145</t>
  </si>
  <si>
    <t>PREETI  SINGH</t>
  </si>
  <si>
    <t>V21518</t>
  </si>
  <si>
    <t>SHIWANGI  PANDEY</t>
  </si>
  <si>
    <t>V20760</t>
  </si>
  <si>
    <t>AMIT  DOUGLAS</t>
  </si>
  <si>
    <t>V20551</t>
  </si>
  <si>
    <t>SHIKHA  UPADHYAY</t>
  </si>
  <si>
    <t>V16138</t>
  </si>
  <si>
    <t>SAROJ  NISHAD</t>
  </si>
  <si>
    <t>V09247</t>
  </si>
  <si>
    <t>MAHENDRA MANI PANDEY</t>
  </si>
  <si>
    <t>V07584</t>
  </si>
  <si>
    <t>V50688</t>
  </si>
  <si>
    <t>Rahul  Singh</t>
  </si>
  <si>
    <t>V50671</t>
  </si>
  <si>
    <t>Riya  Bohra</t>
  </si>
  <si>
    <t>V50483</t>
  </si>
  <si>
    <t>Pramod Singh Bohra</t>
  </si>
  <si>
    <t>V50382</t>
  </si>
  <si>
    <t>Kailash Singh Chaudhary</t>
  </si>
  <si>
    <t>V49909</t>
  </si>
  <si>
    <t>V49891</t>
  </si>
  <si>
    <t>Sunita</t>
  </si>
  <si>
    <t>V49517</t>
  </si>
  <si>
    <t>V49312</t>
  </si>
  <si>
    <t>Ramesh Chandra Bhatt</t>
  </si>
  <si>
    <t>V49310</t>
  </si>
  <si>
    <t>Manoj  Bohra</t>
  </si>
  <si>
    <t>V49309</t>
  </si>
  <si>
    <t>Deepak Chandra Bhatt</t>
  </si>
  <si>
    <t>V49253</t>
  </si>
  <si>
    <t>Sunil  Joshi</t>
  </si>
  <si>
    <t>V49251</t>
  </si>
  <si>
    <t>Rekha  Mahar</t>
  </si>
  <si>
    <t>V49248</t>
  </si>
  <si>
    <t>Sumit Singh Mahar</t>
  </si>
  <si>
    <t>V49247</t>
  </si>
  <si>
    <t>Tanay  Bhatt</t>
  </si>
  <si>
    <t>V49227</t>
  </si>
  <si>
    <t>Lalit Mohan Tiwari</t>
  </si>
  <si>
    <t>V49226</t>
  </si>
  <si>
    <t>Neeraj Kumar Arya</t>
  </si>
  <si>
    <t>V49225</t>
  </si>
  <si>
    <t>Pradeep Singh Chaudhary</t>
  </si>
  <si>
    <t>V49185</t>
  </si>
  <si>
    <t>Deepak Chandra Joshi</t>
  </si>
  <si>
    <t>V49154</t>
  </si>
  <si>
    <t>Somya  Routela</t>
  </si>
  <si>
    <t>V49000</t>
  </si>
  <si>
    <t>Sunita  Devi</t>
  </si>
  <si>
    <t>V48998</t>
  </si>
  <si>
    <t>Munni  Joshi</t>
  </si>
  <si>
    <t>V48997</t>
  </si>
  <si>
    <t>Bhavana  Oli</t>
  </si>
  <si>
    <t>V48996</t>
  </si>
  <si>
    <t>Narendra Singh Bohra</t>
  </si>
  <si>
    <t>V48404</t>
  </si>
  <si>
    <t>PRAKASH CHANDRA BHATT</t>
  </si>
  <si>
    <t>V48091</t>
  </si>
  <si>
    <t>Mukesh Kumar Yadav</t>
  </si>
  <si>
    <t>V44828</t>
  </si>
  <si>
    <t>BHASKAR  RANA</t>
  </si>
  <si>
    <t>V44125</t>
  </si>
  <si>
    <t>ABHISHEK  SHARMA</t>
  </si>
  <si>
    <t>V31899</t>
  </si>
  <si>
    <t>AKASH  RANA</t>
  </si>
  <si>
    <t>V21918</t>
  </si>
  <si>
    <t>Bhuwan Chandra Joshi</t>
  </si>
  <si>
    <t>V52667</t>
  </si>
  <si>
    <t>Mahesh  Ram</t>
  </si>
  <si>
    <t>V52661</t>
  </si>
  <si>
    <t>Ritu</t>
  </si>
  <si>
    <t>V52660</t>
  </si>
  <si>
    <t>Arjun Nath Goswami</t>
  </si>
  <si>
    <t>V45257</t>
  </si>
  <si>
    <t>Devendra  Kumar</t>
  </si>
  <si>
    <t>V45036</t>
  </si>
  <si>
    <t>Yogesh  Kumar</t>
  </si>
  <si>
    <t>V44714</t>
  </si>
  <si>
    <t>Arti  Arya</t>
  </si>
  <si>
    <t>V44713</t>
  </si>
  <si>
    <t>V44682</t>
  </si>
  <si>
    <t>Pankaj Singh Bisht</t>
  </si>
  <si>
    <t>V44547</t>
  </si>
  <si>
    <t>Satish  Lal</t>
  </si>
  <si>
    <t>V44538</t>
  </si>
  <si>
    <t>Gopal  Ram</t>
  </si>
  <si>
    <t>V44489</t>
  </si>
  <si>
    <t>Rohit Kumar Tamta</t>
  </si>
  <si>
    <t>V44405</t>
  </si>
  <si>
    <t>PAWAN BISHT</t>
  </si>
  <si>
    <t>V44402</t>
  </si>
  <si>
    <t>Riya  Arya</t>
  </si>
  <si>
    <t>V44232</t>
  </si>
  <si>
    <t>Gokul  Singh</t>
  </si>
  <si>
    <t>V44231</t>
  </si>
  <si>
    <t>Manish  Kumar</t>
  </si>
  <si>
    <t>V44193</t>
  </si>
  <si>
    <t>Bharat  Arya</t>
  </si>
  <si>
    <t>V44179</t>
  </si>
  <si>
    <t>Priyanka  Tamta</t>
  </si>
  <si>
    <t>V44177</t>
  </si>
  <si>
    <t>Vinod  Kumar</t>
  </si>
  <si>
    <t>V44176</t>
  </si>
  <si>
    <t>Pawan Kumar Arya</t>
  </si>
  <si>
    <t>V44175</t>
  </si>
  <si>
    <t>V44170</t>
  </si>
  <si>
    <t>Rajendra Singh Karki</t>
  </si>
  <si>
    <t>V44105</t>
  </si>
  <si>
    <t>Vijay  Kumar</t>
  </si>
  <si>
    <t>V44103</t>
  </si>
  <si>
    <t>Neetu  Arya</t>
  </si>
  <si>
    <t>V44102</t>
  </si>
  <si>
    <t>Saurabh  Bisht</t>
  </si>
  <si>
    <t>V44099</t>
  </si>
  <si>
    <t>Yogesh Singh Bisht</t>
  </si>
  <si>
    <t>V44098</t>
  </si>
  <si>
    <t>Amit  Arya</t>
  </si>
  <si>
    <t>V44097</t>
  </si>
  <si>
    <t>PRAKASH NATH GOSWAMI</t>
  </si>
  <si>
    <t>V21824</t>
  </si>
  <si>
    <t>BASUDEV  MISHRA</t>
  </si>
  <si>
    <t>V14420</t>
  </si>
  <si>
    <t>V06912</t>
  </si>
  <si>
    <t>Priti</t>
  </si>
  <si>
    <t>V54442</t>
  </si>
  <si>
    <t>Archna</t>
  </si>
  <si>
    <t>V54204</t>
  </si>
  <si>
    <t>satyandra pal singh</t>
  </si>
  <si>
    <t>V51700</t>
  </si>
  <si>
    <t>SANGEETA  DEVI</t>
  </si>
  <si>
    <t>V51071</t>
  </si>
  <si>
    <t>Priyanka  Pal</t>
  </si>
  <si>
    <t>V49686</t>
  </si>
  <si>
    <t>Raveena  Raveena</t>
  </si>
  <si>
    <t>V49621</t>
  </si>
  <si>
    <t>Deepak  Chanda</t>
  </si>
  <si>
    <t>V45996</t>
  </si>
  <si>
    <t>Devendra</t>
  </si>
  <si>
    <t>V45503</t>
  </si>
  <si>
    <t>Aarti</t>
  </si>
  <si>
    <t>V45453</t>
  </si>
  <si>
    <t>Vikas  Mourya</t>
  </si>
  <si>
    <t>V44989</t>
  </si>
  <si>
    <t>Shivam  Mongiya</t>
  </si>
  <si>
    <t>V44712</t>
  </si>
  <si>
    <t>V44681</t>
  </si>
  <si>
    <t>V44680</t>
  </si>
  <si>
    <t>Vinod  Bisht</t>
  </si>
  <si>
    <t>V44545</t>
  </si>
  <si>
    <t>Durgesh</t>
  </si>
  <si>
    <t>V44401</t>
  </si>
  <si>
    <t>Arjun  Sarkar</t>
  </si>
  <si>
    <t>V44394</t>
  </si>
  <si>
    <t>Rama Shankar Yadav</t>
  </si>
  <si>
    <t>V44326</t>
  </si>
  <si>
    <t>ANKIT  MANDAL</t>
  </si>
  <si>
    <t>V44319</t>
  </si>
  <si>
    <t>Anoop  Singh</t>
  </si>
  <si>
    <t>V44318</t>
  </si>
  <si>
    <t>PRAVEEN  YADAV</t>
  </si>
  <si>
    <t>V41663</t>
  </si>
  <si>
    <t>MOHIT  CHAND</t>
  </si>
  <si>
    <t>V26621</t>
  </si>
  <si>
    <t>102080048728</t>
  </si>
  <si>
    <t>NARENDAR  KUMAR</t>
  </si>
  <si>
    <t>V25645</t>
  </si>
  <si>
    <t>DHEERAJ  JOSHI</t>
  </si>
  <si>
    <t>V20971</t>
  </si>
  <si>
    <t>HEM  CHANDRA</t>
  </si>
  <si>
    <t>V05868</t>
  </si>
  <si>
    <t>DEEPAK KUMAR</t>
  </si>
  <si>
    <t>GIRJA  SHANKAR</t>
  </si>
  <si>
    <t>V48825</t>
  </si>
  <si>
    <t>NEHA  SELWAN</t>
  </si>
  <si>
    <t>V48236</t>
  </si>
  <si>
    <t>SONU  SHARMA</t>
  </si>
  <si>
    <t>V47921</t>
  </si>
  <si>
    <t>JAJBAI</t>
  </si>
  <si>
    <t>V47917</t>
  </si>
  <si>
    <t>Shivam  Mandal</t>
  </si>
  <si>
    <t>V44933</t>
  </si>
  <si>
    <t>Akhil  Panwar</t>
  </si>
  <si>
    <t>V44560</t>
  </si>
  <si>
    <t>Ayush Chandra Kumain</t>
  </si>
  <si>
    <t>V44454</t>
  </si>
  <si>
    <t>HITESH  KUMAR</t>
  </si>
  <si>
    <t>V37663</t>
  </si>
  <si>
    <t>VAIBHAV CHANDRA ARYA</t>
  </si>
  <si>
    <t>V37014</t>
  </si>
  <si>
    <t>ARVIND SINGH RANA</t>
  </si>
  <si>
    <t>V35710</t>
  </si>
  <si>
    <t>SURAJ KUMAR PASWAN</t>
  </si>
  <si>
    <t>V35417</t>
  </si>
  <si>
    <t>MS. SHAKSHI VERMA</t>
  </si>
  <si>
    <t>V34906</t>
  </si>
  <si>
    <t>MR. ASHISH KUMAR YADAV</t>
  </si>
  <si>
    <t>V34603</t>
  </si>
  <si>
    <t>MS. POONAM</t>
  </si>
  <si>
    <t>V34570</t>
  </si>
  <si>
    <t>BASANT</t>
  </si>
  <si>
    <t>V34356</t>
  </si>
  <si>
    <t>VISHAL  PATEL</t>
  </si>
  <si>
    <t>V34123</t>
  </si>
  <si>
    <t>RAHUL PRASAD BHATT</t>
  </si>
  <si>
    <t>V34122</t>
  </si>
  <si>
    <t>TARUN  KUMAR</t>
  </si>
  <si>
    <t>V26657</t>
  </si>
  <si>
    <t>KUBER</t>
  </si>
  <si>
    <t>V05825</t>
  </si>
  <si>
    <t>BHAJAN  LAL</t>
  </si>
  <si>
    <t>V44963</t>
  </si>
  <si>
    <t>JYOTI  DEVI</t>
  </si>
  <si>
    <t>V44962</t>
  </si>
  <si>
    <t>SAROJ  DEVI</t>
  </si>
  <si>
    <t>V44959</t>
  </si>
  <si>
    <t>ALI  KHAN</t>
  </si>
  <si>
    <t>V39688</t>
  </si>
  <si>
    <t>RIYA BHANDARI</t>
  </si>
  <si>
    <t>V38849</t>
  </si>
  <si>
    <t>PRADEEP</t>
  </si>
  <si>
    <t>V36855</t>
  </si>
  <si>
    <t>VANSH BHATNAGAR</t>
  </si>
  <si>
    <t>V36853</t>
  </si>
  <si>
    <t>PANKAJ CHETTRI</t>
  </si>
  <si>
    <t>V36849</t>
  </si>
  <si>
    <t>GABAR  SINGH</t>
  </si>
  <si>
    <t>V34445</t>
  </si>
  <si>
    <t>TAPAN  RANA</t>
  </si>
  <si>
    <t>V31618</t>
  </si>
  <si>
    <t>AZAZ  AHMED</t>
  </si>
  <si>
    <t>V31079</t>
  </si>
  <si>
    <t>V30704</t>
  </si>
  <si>
    <t>GAURAV  RAWAT</t>
  </si>
  <si>
    <t>V30703</t>
  </si>
  <si>
    <t>PRIYANSHU  JAKHMOLA</t>
  </si>
  <si>
    <t>V30437</t>
  </si>
  <si>
    <t>ASHISH</t>
  </si>
  <si>
    <t>V30436</t>
  </si>
  <si>
    <t>VIMAL</t>
  </si>
  <si>
    <t>V30430</t>
  </si>
  <si>
    <t>AJAY  KUKRETI</t>
  </si>
  <si>
    <t>V30418</t>
  </si>
  <si>
    <t>DEEPANSHU  SAXENA</t>
  </si>
  <si>
    <t>V30415</t>
  </si>
  <si>
    <t>GEETA</t>
  </si>
  <si>
    <t>V30414</t>
  </si>
  <si>
    <t>MONISH</t>
  </si>
  <si>
    <t>V30353</t>
  </si>
  <si>
    <t>V30280</t>
  </si>
  <si>
    <t>VIKAS  SINGH</t>
  </si>
  <si>
    <t>V30277</t>
  </si>
  <si>
    <t>ANKITA  NEGI</t>
  </si>
  <si>
    <t>V30226</t>
  </si>
  <si>
    <t>MOHIT MANGLA</t>
  </si>
  <si>
    <t>V30223</t>
  </si>
  <si>
    <t>V30222</t>
  </si>
  <si>
    <t>ROHIT</t>
  </si>
  <si>
    <t>Shubham</t>
  </si>
  <si>
    <t>V54443</t>
  </si>
  <si>
    <t>Anita</t>
  </si>
  <si>
    <t>V53212</t>
  </si>
  <si>
    <t>Suraj  Singh</t>
  </si>
  <si>
    <t>V53087</t>
  </si>
  <si>
    <t>Navneet  Kumar</t>
  </si>
  <si>
    <t>V52087</t>
  </si>
  <si>
    <t>Bhavesh  Pant</t>
  </si>
  <si>
    <t>V51557</t>
  </si>
  <si>
    <t>Pulama</t>
  </si>
  <si>
    <t>V50157</t>
  </si>
  <si>
    <t>TASLIMA</t>
  </si>
  <si>
    <t>V49861</t>
  </si>
  <si>
    <t>Anjana</t>
  </si>
  <si>
    <t>V49860</t>
  </si>
  <si>
    <t>Sneha  Shah</t>
  </si>
  <si>
    <t>V49064</t>
  </si>
  <si>
    <t>KARAN  SINGH</t>
  </si>
  <si>
    <t>V41537</t>
  </si>
  <si>
    <t>AKSHAY  KUMAR</t>
  </si>
  <si>
    <t>V40139</t>
  </si>
  <si>
    <t>V37214</t>
  </si>
  <si>
    <t>ROHIT BHANDARI</t>
  </si>
  <si>
    <t>V36848</t>
  </si>
  <si>
    <t>DHRUV  DHAMI</t>
  </si>
  <si>
    <t>V33149</t>
  </si>
  <si>
    <t>V32020</t>
  </si>
  <si>
    <t>RITIK  KUMAR</t>
  </si>
  <si>
    <t>V31191</t>
  </si>
  <si>
    <t>RANJEET  SINGH</t>
  </si>
  <si>
    <t>V20794</t>
  </si>
  <si>
    <t>KUNDAN  GIRI</t>
  </si>
  <si>
    <t>V20793</t>
  </si>
  <si>
    <t>Sunaina  Chauhan</t>
  </si>
  <si>
    <t>V51005</t>
  </si>
  <si>
    <t>Poonam  Kumari</t>
  </si>
  <si>
    <t>Ankit Singh Rawat</t>
  </si>
  <si>
    <t>V45727</t>
  </si>
  <si>
    <t>V44778</t>
  </si>
  <si>
    <t>PRAVEEN  SINGH</t>
  </si>
  <si>
    <t>V41374</t>
  </si>
  <si>
    <t>SHAILESH</t>
  </si>
  <si>
    <t>V35582</t>
  </si>
  <si>
    <t>SIDDHANT  SINGH</t>
  </si>
  <si>
    <t>V34298</t>
  </si>
  <si>
    <t>SAGAR  KUMAR</t>
  </si>
  <si>
    <t>V33476</t>
  </si>
  <si>
    <t>SAKSHI  NEGI</t>
  </si>
  <si>
    <t>V31422</t>
  </si>
  <si>
    <t>ALOK SINGH RAWAT</t>
  </si>
  <si>
    <t>V31189</t>
  </si>
  <si>
    <t>BANITA</t>
  </si>
  <si>
    <t>V24391</t>
  </si>
  <si>
    <t>SHIKHA  SAXENA</t>
  </si>
  <si>
    <t>V24014</t>
  </si>
  <si>
    <t>KAMLA  BISHT</t>
  </si>
  <si>
    <t>V17621</t>
  </si>
  <si>
    <t>Nandan  Singh</t>
  </si>
  <si>
    <t>V49373</t>
  </si>
  <si>
    <t>Gaurav  Kothari</t>
  </si>
  <si>
    <t>V46502</t>
  </si>
  <si>
    <t>Lalit Chandra Tewari</t>
  </si>
  <si>
    <t>V46499</t>
  </si>
  <si>
    <t>V46498</t>
  </si>
  <si>
    <t>Renu  Nayal</t>
  </si>
  <si>
    <t>V44559</t>
  </si>
  <si>
    <t>Harish Singh Mehra</t>
  </si>
  <si>
    <t>V44358</t>
  </si>
  <si>
    <t>V44272</t>
  </si>
  <si>
    <t>Neeraj  Bisht</t>
  </si>
  <si>
    <t>V44194</t>
  </si>
  <si>
    <t>NAKUL  KUMAR</t>
  </si>
  <si>
    <t>V43684</t>
  </si>
  <si>
    <t>BHUWAN  CHANDRA PALARIYA</t>
  </si>
  <si>
    <t>V33765</t>
  </si>
  <si>
    <t>KAMLESH  BHATT</t>
  </si>
  <si>
    <t>V32178</t>
  </si>
  <si>
    <t>YASHPAL  ARYA</t>
  </si>
  <si>
    <t>V31905</t>
  </si>
  <si>
    <t>MAYANK  BARGALI</t>
  </si>
  <si>
    <t>V25188</t>
  </si>
  <si>
    <t>LALIT GIRI GOSWAMI</t>
  </si>
  <si>
    <t>V20389</t>
  </si>
  <si>
    <t>SUNDAR  SINGH</t>
  </si>
  <si>
    <t>V15238</t>
  </si>
  <si>
    <t>DEEPAK  BHAKUNI</t>
  </si>
  <si>
    <t>V13241</t>
  </si>
  <si>
    <t>MAHESH CHANDRA MASIWAL</t>
  </si>
  <si>
    <t>V05861</t>
  </si>
  <si>
    <t>NANDAN  SINGH</t>
  </si>
  <si>
    <t>V05852</t>
  </si>
  <si>
    <t>Ashish  Rana</t>
  </si>
  <si>
    <t>V49808</t>
  </si>
  <si>
    <t>Chandan</t>
  </si>
  <si>
    <t>V46546</t>
  </si>
  <si>
    <t>Savitri  Devi</t>
  </si>
  <si>
    <t>V46497</t>
  </si>
  <si>
    <t>Jalendri  Rana</t>
  </si>
  <si>
    <t>V46496</t>
  </si>
  <si>
    <t>PARVIND SINGH RANA</t>
  </si>
  <si>
    <t>V35567</t>
  </si>
  <si>
    <t>KIRAN</t>
  </si>
  <si>
    <t>V33304</t>
  </si>
  <si>
    <t>ARUN  SINGH</t>
  </si>
  <si>
    <t>V32120</t>
  </si>
  <si>
    <t>HIMANSHU RANA</t>
  </si>
  <si>
    <t>V31098</t>
  </si>
  <si>
    <t>KRISHAN SINGH RANA</t>
  </si>
  <si>
    <t>V31090</t>
  </si>
  <si>
    <t>MOHAN  SINGH</t>
  </si>
  <si>
    <t>V30594</t>
  </si>
  <si>
    <t>DALEED SINGH</t>
  </si>
  <si>
    <t>V30558</t>
  </si>
  <si>
    <t>ANIRUDHA  SINGH</t>
  </si>
  <si>
    <t>V30557</t>
  </si>
  <si>
    <t>YOGESH  SINGH</t>
  </si>
  <si>
    <t>V24090</t>
  </si>
  <si>
    <t>SUMIT SINGH RANA</t>
  </si>
  <si>
    <t>V23233</t>
  </si>
  <si>
    <t>SHAMMI  AHAMAD</t>
  </si>
  <si>
    <t>V22287</t>
  </si>
  <si>
    <t>MAHESH RANA</t>
  </si>
  <si>
    <t>V21919</t>
  </si>
  <si>
    <t>UTTAM SINGH RANA</t>
  </si>
  <si>
    <t>V21710</t>
  </si>
  <si>
    <t>V12838</t>
  </si>
  <si>
    <t>RAHUL KUMAR PRAJAPATI</t>
  </si>
  <si>
    <t>V11391</t>
  </si>
  <si>
    <t>KAMALJEET  SINGH</t>
  </si>
  <si>
    <t>V11337</t>
  </si>
  <si>
    <t>BHUWAN CHANDRA JOSHI</t>
  </si>
  <si>
    <t>V11335</t>
  </si>
  <si>
    <t>102020955298</t>
  </si>
  <si>
    <t>SHANKAR  SINGH</t>
  </si>
  <si>
    <t>V08156</t>
  </si>
  <si>
    <t>KARTIK  KUMAR</t>
  </si>
  <si>
    <t>Pramod  Kabadwal</t>
  </si>
  <si>
    <t>V54620</t>
  </si>
  <si>
    <t>Ayush  Barman</t>
  </si>
  <si>
    <t>V54266</t>
  </si>
  <si>
    <t>V52473</t>
  </si>
  <si>
    <t>Vinay</t>
  </si>
  <si>
    <t>V52204</t>
  </si>
  <si>
    <t>V52117</t>
  </si>
  <si>
    <t>Aditya  Thakur</t>
  </si>
  <si>
    <t>V44539</t>
  </si>
  <si>
    <t>V34498</t>
  </si>
  <si>
    <t>LAKSHAY  GUPTA</t>
  </si>
  <si>
    <t>V34351</t>
  </si>
  <si>
    <t>ASHU</t>
  </si>
  <si>
    <t>V34350</t>
  </si>
  <si>
    <t>V29742</t>
  </si>
  <si>
    <t>JAIKEE</t>
  </si>
  <si>
    <t>V27466</t>
  </si>
  <si>
    <t>KUNAL  KUMAR</t>
  </si>
  <si>
    <t>V24466</t>
  </si>
  <si>
    <t>SHILPI</t>
  </si>
  <si>
    <t>V20255</t>
  </si>
  <si>
    <t>Siba Prasad Satapathy</t>
  </si>
  <si>
    <t>V49485</t>
  </si>
  <si>
    <t>Kundurthi Bhargav Sai Chandramouli</t>
  </si>
  <si>
    <t>V54609</t>
  </si>
  <si>
    <t>Shaik  Shajahan</t>
  </si>
  <si>
    <t>V54542</t>
  </si>
  <si>
    <t>Achi  Ravichandra</t>
  </si>
  <si>
    <t>V54534</t>
  </si>
  <si>
    <t>Ponguluru  Bhavani</t>
  </si>
  <si>
    <t>V54532</t>
  </si>
  <si>
    <t>Gulooru Venkatesh Venkatesu</t>
  </si>
  <si>
    <t>V54500</t>
  </si>
  <si>
    <t>SHAIK MUSTHAK ALI</t>
  </si>
  <si>
    <t>V54182</t>
  </si>
  <si>
    <t>DASARI  PRAPURNA</t>
  </si>
  <si>
    <t>DARA  RATHNAIAH</t>
  </si>
  <si>
    <t>V53357</t>
  </si>
  <si>
    <t>Ramavat  Gopichand</t>
  </si>
  <si>
    <t>V52936</t>
  </si>
  <si>
    <t>Dontala  Syamala</t>
  </si>
  <si>
    <t>V54447</t>
  </si>
  <si>
    <t>Bandaru  Bhargavi</t>
  </si>
  <si>
    <t>V54383</t>
  </si>
  <si>
    <t>Makireddy Madhuri Devi</t>
  </si>
  <si>
    <t>V54381</t>
  </si>
  <si>
    <t>Deepika  Chanda</t>
  </si>
  <si>
    <t>V54196</t>
  </si>
  <si>
    <t>Shaik Sattar Bee</t>
  </si>
  <si>
    <t>V54075</t>
  </si>
  <si>
    <t>MEESALA GANGA RAJU</t>
  </si>
  <si>
    <t>V53662</t>
  </si>
  <si>
    <t>Yampongu  Sathyam</t>
  </si>
  <si>
    <t>V53635</t>
  </si>
  <si>
    <t>Motupalli Venkata Rajita</t>
  </si>
  <si>
    <t>V54511</t>
  </si>
  <si>
    <t>Kunchala Anantha Sai Tejeswani</t>
  </si>
  <si>
    <t>V54503</t>
  </si>
  <si>
    <t>Dudala V S M Pavan Kalyan</t>
  </si>
  <si>
    <t>V52653</t>
  </si>
  <si>
    <t>Kondru  Musalaiah</t>
  </si>
  <si>
    <t>V52154</t>
  </si>
  <si>
    <t>KOSANA  MANIKANTA</t>
  </si>
  <si>
    <t>V52129</t>
  </si>
  <si>
    <t>Katti Venkata Padmavathi</t>
  </si>
  <si>
    <t>V52070</t>
  </si>
  <si>
    <t>Jupidi  Bujjamma</t>
  </si>
  <si>
    <t>V51682</t>
  </si>
  <si>
    <t>Pasupuleti  Rajesh</t>
  </si>
  <si>
    <t>V50284</t>
  </si>
  <si>
    <t>Komarigiri  Supraja</t>
  </si>
  <si>
    <t>V49914</t>
  </si>
  <si>
    <t>Saikumar  Itineedi</t>
  </si>
  <si>
    <t>V49911</t>
  </si>
  <si>
    <t>Korampalli  Venkatesh</t>
  </si>
  <si>
    <t>V49906</t>
  </si>
  <si>
    <t>Keerthipati  Israyelu</t>
  </si>
  <si>
    <t>V49754</t>
  </si>
  <si>
    <t>Vallepu  Gowthami</t>
  </si>
  <si>
    <t>V49752</t>
  </si>
  <si>
    <t>Meda  Gayathri</t>
  </si>
  <si>
    <t>V49137</t>
  </si>
  <si>
    <t>Pallepogu  Anusha</t>
  </si>
  <si>
    <t>V48934</t>
  </si>
  <si>
    <t>Kuncham  Devadas</t>
  </si>
  <si>
    <t>V48926</t>
  </si>
  <si>
    <t>TANNIRU  KOTESWARI</t>
  </si>
  <si>
    <t>V48199</t>
  </si>
  <si>
    <t>BHANDARI  KOTESWARI</t>
  </si>
  <si>
    <t>V48180</t>
  </si>
  <si>
    <t>Mannepalli  Kumari</t>
  </si>
  <si>
    <t>V47987</t>
  </si>
  <si>
    <t>CHEEDELLA  SRIKANTH</t>
  </si>
  <si>
    <t>V47559</t>
  </si>
  <si>
    <t>DEBNARAYAN MUKHREJEE</t>
  </si>
  <si>
    <t>V35352</t>
  </si>
  <si>
    <t>Banasi  Karunakar</t>
  </si>
  <si>
    <t>V53954</t>
  </si>
  <si>
    <t>C  Chandrakanth</t>
  </si>
  <si>
    <t>V53941</t>
  </si>
  <si>
    <t>Basireddygari Reddy Akhil</t>
  </si>
  <si>
    <t>V53940</t>
  </si>
  <si>
    <t>J KULAVARDHAN</t>
  </si>
  <si>
    <t>V53519</t>
  </si>
  <si>
    <t>GAMPALA  BHUDEVI</t>
  </si>
  <si>
    <t>V53253</t>
  </si>
  <si>
    <t>B  SRAVANI</t>
  </si>
  <si>
    <t>V51979</t>
  </si>
  <si>
    <t>MADDANNAGARI NANDHINI</t>
  </si>
  <si>
    <t>V51794</t>
  </si>
  <si>
    <t>UJJANI GANGA DEVI</t>
  </si>
  <si>
    <t>V51617</t>
  </si>
  <si>
    <t>V48126</t>
  </si>
  <si>
    <t>Yerraballi  Kalyan</t>
  </si>
  <si>
    <t>V45496</t>
  </si>
  <si>
    <t>Chappala Banu Prakash Reddy</t>
  </si>
  <si>
    <t>V45494</t>
  </si>
  <si>
    <t>Bandi  Rajesh</t>
  </si>
  <si>
    <t>V45493</t>
  </si>
  <si>
    <t>B  Renuka</t>
  </si>
  <si>
    <t>V45407</t>
  </si>
  <si>
    <t>Gotoori Nandini</t>
  </si>
  <si>
    <t>V45377</t>
  </si>
  <si>
    <t>Peddakondigalla Venkataramana Sreekanth</t>
  </si>
  <si>
    <t>V45354</t>
  </si>
  <si>
    <t>Yapala Nageswari</t>
  </si>
  <si>
    <t>V45132</t>
  </si>
  <si>
    <t>Yapala  Anitha</t>
  </si>
  <si>
    <t>V45131</t>
  </si>
  <si>
    <t>Baddi palli Venkataramanamma</t>
  </si>
  <si>
    <t>V45120</t>
  </si>
  <si>
    <t>K  Kusuma</t>
  </si>
  <si>
    <t>V45104</t>
  </si>
  <si>
    <t>JOHNATHAN SING SON</t>
  </si>
  <si>
    <t>V45046</t>
  </si>
  <si>
    <t>Sappidi Vijaya Kanth</t>
  </si>
  <si>
    <t>V53031</t>
  </si>
  <si>
    <t>Bandla Rechel Jyothi</t>
  </si>
  <si>
    <t>V53021</t>
  </si>
  <si>
    <t>KOLLIPARA VENKATA RAGVENDRA</t>
  </si>
  <si>
    <t>V52121</t>
  </si>
  <si>
    <t>CHANDOLU DIVYA  JYOTHI</t>
  </si>
  <si>
    <t>V51843</t>
  </si>
  <si>
    <t>ANNAPUREDDY LAKSHMI THIRUPATHAMMA</t>
  </si>
  <si>
    <t>V51818</t>
  </si>
  <si>
    <t>Pathan  Fazila</t>
  </si>
  <si>
    <t>V51782</t>
  </si>
  <si>
    <t>KINKAR  MANDAL</t>
  </si>
  <si>
    <t>V51472</t>
  </si>
  <si>
    <t>Dudekula  Haseena</t>
  </si>
  <si>
    <t>V50479</t>
  </si>
  <si>
    <t>Pasupuleti Hari Sankar</t>
  </si>
  <si>
    <t>V50433</t>
  </si>
  <si>
    <t>Yadla  Smily</t>
  </si>
  <si>
    <t>V50376</t>
  </si>
  <si>
    <t>Makam  Kishore</t>
  </si>
  <si>
    <t>V50282</t>
  </si>
  <si>
    <t>Vejendla  Murali</t>
  </si>
  <si>
    <t>V50037</t>
  </si>
  <si>
    <t>Anchula Pavan Kalyan</t>
  </si>
  <si>
    <t>V49307</t>
  </si>
  <si>
    <t>SHAIK  RIJWANA</t>
  </si>
  <si>
    <t>V48089</t>
  </si>
  <si>
    <t>Veernapu Sekhar Babu</t>
  </si>
  <si>
    <t>V47790</t>
  </si>
  <si>
    <t>Bonagiri Lourdhu Bala Showry</t>
  </si>
  <si>
    <t>V47618</t>
  </si>
  <si>
    <t>Shaik Mahaboob Subhani</t>
  </si>
  <si>
    <t>V47560</t>
  </si>
  <si>
    <t>SUROJIT  SHAW</t>
  </si>
  <si>
    <t>V34464</t>
  </si>
  <si>
    <t>Seera  Gowthami</t>
  </si>
  <si>
    <t>V53035</t>
  </si>
  <si>
    <t>Duddupudi  Madhu</t>
  </si>
  <si>
    <t>V53033</t>
  </si>
  <si>
    <t>Devarapu Naga Dhana Leela</t>
  </si>
  <si>
    <t>V53019</t>
  </si>
  <si>
    <t>Rayi Kiran Sukhesh</t>
  </si>
  <si>
    <t>V53017</t>
  </si>
  <si>
    <t>PALTHETI SURYA VARA lAXMI</t>
  </si>
  <si>
    <t>V49187</t>
  </si>
  <si>
    <t>VADISILA  KUMARI</t>
  </si>
  <si>
    <t>V48874</t>
  </si>
  <si>
    <t>Bandaru Lavanya</t>
  </si>
  <si>
    <t>V48663</t>
  </si>
  <si>
    <t>Pangi Akash</t>
  </si>
  <si>
    <t>V47602</t>
  </si>
  <si>
    <t>P  Sunita</t>
  </si>
  <si>
    <t>V47407</t>
  </si>
  <si>
    <t>Bandaru Manga</t>
  </si>
  <si>
    <t>V46859</t>
  </si>
  <si>
    <t>Yendurthi Usha Rani</t>
  </si>
  <si>
    <t>V45975</t>
  </si>
  <si>
    <t>Bodapati  Hemanth</t>
  </si>
  <si>
    <t>V45535</t>
  </si>
  <si>
    <t>Vasantha Kumar Yeduri</t>
  </si>
  <si>
    <t>V45497</t>
  </si>
  <si>
    <t>Sigadam Kurma Venkata Ramesh Kumar</t>
  </si>
  <si>
    <t>V45439</t>
  </si>
  <si>
    <t>Kothapalli  Ramu</t>
  </si>
  <si>
    <t>V45409</t>
  </si>
  <si>
    <t>Pulluru  Anjalidevi</t>
  </si>
  <si>
    <t>V45383</t>
  </si>
  <si>
    <t>Beera  Lakshmi</t>
  </si>
  <si>
    <t>V45381</t>
  </si>
  <si>
    <t>GATHUNA  KALYANI</t>
  </si>
  <si>
    <t>V45223</t>
  </si>
  <si>
    <t>Chappidi  Nagalatha</t>
  </si>
  <si>
    <t>V45221</t>
  </si>
  <si>
    <t>Devarapalli  Narasimhamurthy</t>
  </si>
  <si>
    <t>V45203</t>
  </si>
  <si>
    <t>Dappu  Deena</t>
  </si>
  <si>
    <t>V45057</t>
  </si>
  <si>
    <t>PANAGANTI APARNA</t>
  </si>
  <si>
    <t>V44914</t>
  </si>
  <si>
    <t>SANDADI KASI</t>
  </si>
  <si>
    <t>V44900</t>
  </si>
  <si>
    <t>Ganni Reddy Santhoshi</t>
  </si>
  <si>
    <t>V44592</t>
  </si>
  <si>
    <t>Kalingapatnam Sai Siddardha</t>
  </si>
  <si>
    <t>V44479</t>
  </si>
  <si>
    <t>Gumpu  Dharmarao</t>
  </si>
  <si>
    <t>V44337</t>
  </si>
  <si>
    <t>KASULA  MOUNIKA</t>
  </si>
  <si>
    <t>V26387</t>
  </si>
  <si>
    <t>Korra  Rambabu</t>
  </si>
  <si>
    <t>V52192</t>
  </si>
  <si>
    <t>Soumya Ranjan Nayak</t>
  </si>
  <si>
    <t>V49121</t>
  </si>
  <si>
    <t>RAJU  DIGUMARTHI</t>
  </si>
  <si>
    <t>V47406</t>
  </si>
  <si>
    <t>PRINCE  KUMAR</t>
  </si>
  <si>
    <t>V47405</t>
  </si>
  <si>
    <t>MAHINDRA  MOSA</t>
  </si>
  <si>
    <t>V46599</t>
  </si>
  <si>
    <t>MADHU  MALIJEDDI</t>
  </si>
  <si>
    <t>V46598</t>
  </si>
  <si>
    <t>Botta  Satyavathi</t>
  </si>
  <si>
    <t>V45127</t>
  </si>
  <si>
    <t>Ballanki Ganesh Rani</t>
  </si>
  <si>
    <t>V45124</t>
  </si>
  <si>
    <t>Ananthavarapu Vijaya Kumari</t>
  </si>
  <si>
    <t>V45123</t>
  </si>
  <si>
    <t>Kadiyala Durga Prasad</t>
  </si>
  <si>
    <t>V45121</t>
  </si>
  <si>
    <t>RAMULAMMA  Lingaboinla</t>
  </si>
  <si>
    <t>V45076</t>
  </si>
  <si>
    <t>Kalingapatnam  Santosh</t>
  </si>
  <si>
    <t>V45052</t>
  </si>
  <si>
    <t>Gorapalli  Appalaraju</t>
  </si>
  <si>
    <t>V45051</t>
  </si>
  <si>
    <t>Muppidi Leela Nagaveni</t>
  </si>
  <si>
    <t>V45050</t>
  </si>
  <si>
    <t>Peela  Vijaya</t>
  </si>
  <si>
    <t>V45049</t>
  </si>
  <si>
    <t>Varaboina Mani Kumari</t>
  </si>
  <si>
    <t>V45047</t>
  </si>
  <si>
    <t>Thanakala Surya Lakshmi</t>
  </si>
  <si>
    <t>V45009</t>
  </si>
  <si>
    <t>Bobbadi  Lakshmi</t>
  </si>
  <si>
    <t>V44926</t>
  </si>
  <si>
    <t>Pusarla Tamanna Setti</t>
  </si>
  <si>
    <t>V44867</t>
  </si>
  <si>
    <t>Donka  Durgabhavani</t>
  </si>
  <si>
    <t>V44752</t>
  </si>
  <si>
    <t>Nandarapu  Ramalakshmi</t>
  </si>
  <si>
    <t>V44750</t>
  </si>
  <si>
    <t>Agraharapu  Anjali</t>
  </si>
  <si>
    <t>V44647</t>
  </si>
  <si>
    <t>Gokada  Lovatalli</t>
  </si>
  <si>
    <t>V44635</t>
  </si>
  <si>
    <t>V43567</t>
  </si>
  <si>
    <t>SANJAY KUMAR VISHWAKARMA</t>
  </si>
  <si>
    <t>V27923</t>
  </si>
  <si>
    <t>Prasanth  Mandala</t>
  </si>
  <si>
    <t>V54097</t>
  </si>
  <si>
    <t>Majji  Gopalarao</t>
  </si>
  <si>
    <t>V50747</t>
  </si>
  <si>
    <t>Chilakala  Saraswathi</t>
  </si>
  <si>
    <t>V50116</t>
  </si>
  <si>
    <t>Korada  Padma</t>
  </si>
  <si>
    <t>V48880</t>
  </si>
  <si>
    <t>Potnuru  Chandramma</t>
  </si>
  <si>
    <t>V48879</t>
  </si>
  <si>
    <t>RAJANA KARTHEEK  Gaytri</t>
  </si>
  <si>
    <t>V48731</t>
  </si>
  <si>
    <t>Bandaru  Bangarunaidu</t>
  </si>
  <si>
    <t>V48248</t>
  </si>
  <si>
    <t>ADDORI SRAVAN KUMAR</t>
  </si>
  <si>
    <t>V46279</t>
  </si>
  <si>
    <t>ALLU LEELA KUMARI</t>
  </si>
  <si>
    <t>V40735</t>
  </si>
  <si>
    <t>VANAPALLI  DEVI</t>
  </si>
  <si>
    <t>V40734</t>
  </si>
  <si>
    <t>BUDARAYALAVALASA PRASANNA KUMARI</t>
  </si>
  <si>
    <t>V40733</t>
  </si>
  <si>
    <t>CHUKKA  MAHALAKSHMI</t>
  </si>
  <si>
    <t>V39441</t>
  </si>
  <si>
    <t>Attada Vishaanadham</t>
  </si>
  <si>
    <t>V39393</t>
  </si>
  <si>
    <t>Bodasingi Sanjay</t>
  </si>
  <si>
    <t>V39392</t>
  </si>
  <si>
    <t>MUTHYALA LAKSHMANA RAO</t>
  </si>
  <si>
    <t>V39187</t>
  </si>
  <si>
    <t>DANA  KUSUMA</t>
  </si>
  <si>
    <t>V38890</t>
  </si>
  <si>
    <t>Nagamahanthi Rajesh</t>
  </si>
  <si>
    <t>V38493</t>
  </si>
  <si>
    <t>SHRABANI  BEHERA</t>
  </si>
  <si>
    <t>V32576</t>
  </si>
  <si>
    <t>AMARENDRA  DAS</t>
  </si>
  <si>
    <t>V28540</t>
  </si>
  <si>
    <t>DEBASMITA  POLLEYI</t>
  </si>
  <si>
    <t>V26558</t>
  </si>
  <si>
    <t>Sasubilli Leela Madhuri</t>
  </si>
  <si>
    <t>V54425</t>
  </si>
  <si>
    <t>Poornapati  Lakshmi</t>
  </si>
  <si>
    <t>V52995</t>
  </si>
  <si>
    <t>Bobbili  Chandini</t>
  </si>
  <si>
    <t>V52505</t>
  </si>
  <si>
    <t>Yavareddi  Sekhar</t>
  </si>
  <si>
    <t>V49510</t>
  </si>
  <si>
    <t>Srikakulam  Muthyalu</t>
  </si>
  <si>
    <t>V49257</t>
  </si>
  <si>
    <t>Rayi  Satyavathi</t>
  </si>
  <si>
    <t>V48516</t>
  </si>
  <si>
    <t>Pindi  Kalyani</t>
  </si>
  <si>
    <t>V44835</t>
  </si>
  <si>
    <t>Pasupureddi  Swapna</t>
  </si>
  <si>
    <t>V44603</t>
  </si>
  <si>
    <t>P Bhavana Reddy</t>
  </si>
  <si>
    <t>V44601</t>
  </si>
  <si>
    <t>Sagina  Chiranjeevi</t>
  </si>
  <si>
    <t>V43824</t>
  </si>
  <si>
    <t>GORRELA  JAGADISH</t>
  </si>
  <si>
    <t>V42298</t>
  </si>
  <si>
    <t>KOVILAPU LAKSHMI NARAYANA</t>
  </si>
  <si>
    <t>V41385</t>
  </si>
  <si>
    <t>BISOYI  KIRAN</t>
  </si>
  <si>
    <t>V39180</t>
  </si>
  <si>
    <t>KRANTHI  KUMAR</t>
  </si>
  <si>
    <t>V37351</t>
  </si>
  <si>
    <t>GONDELA  BALAMURALI</t>
  </si>
  <si>
    <t>V32440</t>
  </si>
  <si>
    <t>KALINGAPATNAM SANKARA RAO</t>
  </si>
  <si>
    <t>V29651</t>
  </si>
  <si>
    <t>ALAJANGI  LIKHITHASAI</t>
  </si>
  <si>
    <t>V29132</t>
  </si>
  <si>
    <t>YERRA  ANUSHA</t>
  </si>
  <si>
    <t>V29036</t>
  </si>
  <si>
    <t>KURTHADI  MAHESWARI</t>
  </si>
  <si>
    <t>V28629</t>
  </si>
  <si>
    <t>PARESHA  PANDA</t>
  </si>
  <si>
    <t>V28592</t>
  </si>
  <si>
    <t>LIMMAALA CHITTI BABU</t>
  </si>
  <si>
    <t>V26447</t>
  </si>
  <si>
    <t>LAGISETTI  KRISHNAVENI</t>
  </si>
  <si>
    <t>V26410</t>
  </si>
  <si>
    <t>V26334</t>
  </si>
  <si>
    <t>Vijay  Vyas</t>
  </si>
  <si>
    <t>V53621</t>
  </si>
  <si>
    <t>V46115</t>
  </si>
  <si>
    <t>HIMANSHU</t>
  </si>
  <si>
    <t>Anju</t>
  </si>
  <si>
    <t>Preeti  Kumari</t>
  </si>
  <si>
    <t>V54284</t>
  </si>
  <si>
    <t>Nitesh</t>
  </si>
  <si>
    <t>V54283</t>
  </si>
  <si>
    <t>Vineet  Parihar</t>
  </si>
  <si>
    <t>V54046</t>
  </si>
  <si>
    <t>Himesh  Nanglia</t>
  </si>
  <si>
    <t>V53153</t>
  </si>
  <si>
    <t>Mahipal  Rad</t>
  </si>
  <si>
    <t>V52852</t>
  </si>
  <si>
    <t>Rajesh Singh Rawat</t>
  </si>
  <si>
    <t>V52786</t>
  </si>
  <si>
    <t>Altab  Khan</t>
  </si>
  <si>
    <t>V52783</t>
  </si>
  <si>
    <t>Tabssum  Meharat</t>
  </si>
  <si>
    <t>V52170</t>
  </si>
  <si>
    <t>MAHENDRA  SINGH</t>
  </si>
  <si>
    <t>V51626</t>
  </si>
  <si>
    <t>VIKARAM  BHATI</t>
  </si>
  <si>
    <t>V50979</t>
  </si>
  <si>
    <t>Arti  Meghwal</t>
  </si>
  <si>
    <t>V50442</t>
  </si>
  <si>
    <t>Lata  Mathur</t>
  </si>
  <si>
    <t>V49427</t>
  </si>
  <si>
    <t>Arjun  Khinchi</t>
  </si>
  <si>
    <t>V49382</t>
  </si>
  <si>
    <t>Sameer  Khan</t>
  </si>
  <si>
    <t>V48887</t>
  </si>
  <si>
    <t>Komal  Nogiya</t>
  </si>
  <si>
    <t>V48780</t>
  </si>
  <si>
    <t>Kailash Goura Goura</t>
  </si>
  <si>
    <t>V48485</t>
  </si>
  <si>
    <t>Manisha</t>
  </si>
  <si>
    <t>Ravi  Saini</t>
  </si>
  <si>
    <t>V45471</t>
  </si>
  <si>
    <t>PRAHLAD  CHOUDHARY</t>
  </si>
  <si>
    <t>V38949</t>
  </si>
  <si>
    <t>MUKESH RAM BOHARA</t>
  </si>
  <si>
    <t>V29832</t>
  </si>
  <si>
    <t>Jitendra  Divraya</t>
  </si>
  <si>
    <t>V52747</t>
  </si>
  <si>
    <t>Kanta</t>
  </si>
  <si>
    <t>V50634</t>
  </si>
  <si>
    <t>Abdul  Basheer</t>
  </si>
  <si>
    <t>V48617</t>
  </si>
  <si>
    <t>Abhishek  Singh</t>
  </si>
  <si>
    <t>V47205</t>
  </si>
  <si>
    <t>Nandkishor</t>
  </si>
  <si>
    <t>V45695</t>
  </si>
  <si>
    <t>Kishana  Ram</t>
  </si>
  <si>
    <t>V45580</t>
  </si>
  <si>
    <t>V45518</t>
  </si>
  <si>
    <t>Naresh  Rana</t>
  </si>
  <si>
    <t>V45517</t>
  </si>
  <si>
    <t>Mota  Ram</t>
  </si>
  <si>
    <t>V45402</t>
  </si>
  <si>
    <t>Aadil</t>
  </si>
  <si>
    <t>V45054</t>
  </si>
  <si>
    <t>Mohmmad  Asif</t>
  </si>
  <si>
    <t>V45017</t>
  </si>
  <si>
    <t>Mukesh  Kanwriya</t>
  </si>
  <si>
    <t>V44763</t>
  </si>
  <si>
    <t>Rohit  Bhati</t>
  </si>
  <si>
    <t>V44762</t>
  </si>
  <si>
    <t>Mohammad  Danish</t>
  </si>
  <si>
    <t>V44587</t>
  </si>
  <si>
    <t>Ajij  Ahmed</t>
  </si>
  <si>
    <t>V44585</t>
  </si>
  <si>
    <t>Pankaj  Chandel</t>
  </si>
  <si>
    <t>V44583</t>
  </si>
  <si>
    <t>V44432</t>
  </si>
  <si>
    <t>Shaitan  Ram</t>
  </si>
  <si>
    <t>V44184</t>
  </si>
  <si>
    <t>RAJA  RAM</t>
  </si>
  <si>
    <t>V43661</t>
  </si>
  <si>
    <t>SURENDRA</t>
  </si>
  <si>
    <t>V38595</t>
  </si>
  <si>
    <t>ANUJ KUMAR VISHWAKARMA</t>
  </si>
  <si>
    <t>V53415</t>
  </si>
  <si>
    <t>SOURABH</t>
  </si>
  <si>
    <t>V52746</t>
  </si>
  <si>
    <t>V52745</t>
  </si>
  <si>
    <t>Suraj  Barasa</t>
  </si>
  <si>
    <t>V52744</t>
  </si>
  <si>
    <t>HARSHITA BHAJUD</t>
  </si>
  <si>
    <t>V52329</t>
  </si>
  <si>
    <t>Jitendra  Meghwal</t>
  </si>
  <si>
    <t>V52322</t>
  </si>
  <si>
    <t>Vikas  Meghwal</t>
  </si>
  <si>
    <t>V52319</t>
  </si>
  <si>
    <t>Bhani  Ram</t>
  </si>
  <si>
    <t>V51068</t>
  </si>
  <si>
    <t>Priya  Roy</t>
  </si>
  <si>
    <t>V51067</t>
  </si>
  <si>
    <t>MOHAMMAD  SHEF</t>
  </si>
  <si>
    <t>V50834</t>
  </si>
  <si>
    <t>Kuldeep  Sadh</t>
  </si>
  <si>
    <t>V49647</t>
  </si>
  <si>
    <t>KULDEEP  TIWARI</t>
  </si>
  <si>
    <t>V46620</t>
  </si>
  <si>
    <t>Bhawna  Suthar</t>
  </si>
  <si>
    <t>V45651</t>
  </si>
  <si>
    <t>Aasif  Khilji</t>
  </si>
  <si>
    <t>V45246</t>
  </si>
  <si>
    <t>Adu  Ram</t>
  </si>
  <si>
    <t>V45194</t>
  </si>
  <si>
    <t>Shekhar  Khadoliya</t>
  </si>
  <si>
    <t>V45161</t>
  </si>
  <si>
    <t>Om Prakash Gahlot</t>
  </si>
  <si>
    <t>V45154</t>
  </si>
  <si>
    <t>Manu  Chhimpa</t>
  </si>
  <si>
    <t>V44922</t>
  </si>
  <si>
    <t>Shiv  Katariya</t>
  </si>
  <si>
    <t>V44849</t>
  </si>
  <si>
    <t>Sumer  Singh</t>
  </si>
  <si>
    <t>V44829</t>
  </si>
  <si>
    <t>Mayank Mayur Sharma</t>
  </si>
  <si>
    <t>V54158</t>
  </si>
  <si>
    <t>NASIR  ALI</t>
  </si>
  <si>
    <t>V53659</t>
  </si>
  <si>
    <t>V52132</t>
  </si>
  <si>
    <t>V52088</t>
  </si>
  <si>
    <t>Hedah  Ali</t>
  </si>
  <si>
    <t>V48986</t>
  </si>
  <si>
    <t>Rajbeer</t>
  </si>
  <si>
    <t>V47862</t>
  </si>
  <si>
    <t>Nitu  Kanwar</t>
  </si>
  <si>
    <t>V46283</t>
  </si>
  <si>
    <t>Saurabh  Sain</t>
  </si>
  <si>
    <t>V45470</t>
  </si>
  <si>
    <t>Vikram  Nirmal</t>
  </si>
  <si>
    <t>V45468</t>
  </si>
  <si>
    <t>V45414</t>
  </si>
  <si>
    <t>RAVINDERA  KUMAR</t>
  </si>
  <si>
    <t>V45369</t>
  </si>
  <si>
    <t>Monika  Sheoran</t>
  </si>
  <si>
    <t>V45220</t>
  </si>
  <si>
    <t>Nikita  Kumari</t>
  </si>
  <si>
    <t>V44730</t>
  </si>
  <si>
    <t>Sandeep</t>
  </si>
  <si>
    <t>V44729</t>
  </si>
  <si>
    <t>Vijendra  Kumar</t>
  </si>
  <si>
    <t>V44728</t>
  </si>
  <si>
    <t>Vikas  Kumar</t>
  </si>
  <si>
    <t>V44722</t>
  </si>
  <si>
    <t>LALIT  SAINI</t>
  </si>
  <si>
    <t>V43732</t>
  </si>
  <si>
    <t>V43436</t>
  </si>
  <si>
    <t>HANUMAN PRASAD MEENA</t>
  </si>
  <si>
    <t>PUSHPA  DEVI</t>
  </si>
  <si>
    <t>V51510</t>
  </si>
  <si>
    <t>V51296</t>
  </si>
  <si>
    <t>Laxmi  Sain</t>
  </si>
  <si>
    <t>V50427</t>
  </si>
  <si>
    <t>Vikarm</t>
  </si>
  <si>
    <t>V49498</t>
  </si>
  <si>
    <t>Shivani  Saini</t>
  </si>
  <si>
    <t>V49290</t>
  </si>
  <si>
    <t>Barkha  Verma</t>
  </si>
  <si>
    <t>V49289</t>
  </si>
  <si>
    <t>Ramkesh</t>
  </si>
  <si>
    <t>V48562</t>
  </si>
  <si>
    <t>Gurmeet  Singh</t>
  </si>
  <si>
    <t>V48482</t>
  </si>
  <si>
    <t>PRANEET WILLIAM KUMAR</t>
  </si>
  <si>
    <t>V48175</t>
  </si>
  <si>
    <t>Shiv  Dayal</t>
  </si>
  <si>
    <t>V47694</t>
  </si>
  <si>
    <t>Rahul Kumar Jangid</t>
  </si>
  <si>
    <t>V46118</t>
  </si>
  <si>
    <t>Abhishek  Meena</t>
  </si>
  <si>
    <t>V44554</t>
  </si>
  <si>
    <t>Mankeshi</t>
  </si>
  <si>
    <t>V44218</t>
  </si>
  <si>
    <t>BABU  MEENA</t>
  </si>
  <si>
    <t>V43590</t>
  </si>
  <si>
    <t>DEVRAJ  PRAJAPATI</t>
  </si>
  <si>
    <t>V43563</t>
  </si>
  <si>
    <t>SHARDA</t>
  </si>
  <si>
    <t>V43562</t>
  </si>
  <si>
    <t>V42924</t>
  </si>
  <si>
    <t>V29339</t>
  </si>
  <si>
    <t>Angrej  Ram</t>
  </si>
  <si>
    <t>V54289</t>
  </si>
  <si>
    <t>V54288</t>
  </si>
  <si>
    <t>BUNTY  KUMAR</t>
  </si>
  <si>
    <t>V54287</t>
  </si>
  <si>
    <t>Mohd  Faishal</t>
  </si>
  <si>
    <t>V54286</t>
  </si>
  <si>
    <t>Jyoti</t>
  </si>
  <si>
    <t>V53791</t>
  </si>
  <si>
    <t>Vivek  Rana</t>
  </si>
  <si>
    <t>V53790</t>
  </si>
  <si>
    <t>Subhash  Rawat</t>
  </si>
  <si>
    <t>V53446</t>
  </si>
  <si>
    <t>Dev  Dhariwal</t>
  </si>
  <si>
    <t>V53445</t>
  </si>
  <si>
    <t>Amit Kumar Jha</t>
  </si>
  <si>
    <t>V52259</t>
  </si>
  <si>
    <t>Ankush  Kumar</t>
  </si>
  <si>
    <t>V51968</t>
  </si>
  <si>
    <t>BARKHA</t>
  </si>
  <si>
    <t>V51216</t>
  </si>
  <si>
    <t>Ishu  Singh</t>
  </si>
  <si>
    <t>V50296</t>
  </si>
  <si>
    <t>V50292</t>
  </si>
  <si>
    <t>BHUPENDER</t>
  </si>
  <si>
    <t>V50291</t>
  </si>
  <si>
    <t>V50289</t>
  </si>
  <si>
    <t>MANISH  DABI</t>
  </si>
  <si>
    <t>V48271</t>
  </si>
  <si>
    <t>V48183</t>
  </si>
  <si>
    <t>BASANT  KUMAR</t>
  </si>
  <si>
    <t>V48182</t>
  </si>
  <si>
    <t>Harkamal  Singh</t>
  </si>
  <si>
    <t>V44524</t>
  </si>
  <si>
    <t>Vakeel  Singh</t>
  </si>
  <si>
    <t>V44521</t>
  </si>
  <si>
    <t>V43225</t>
  </si>
  <si>
    <t>Anuj Kumar</t>
  </si>
  <si>
    <t>V42324</t>
  </si>
  <si>
    <t>Jitender  Kumar</t>
  </si>
  <si>
    <t>V42171</t>
  </si>
  <si>
    <t>Subham  Jat</t>
  </si>
  <si>
    <t>V52658</t>
  </si>
  <si>
    <t>Nand Kishor Sharma</t>
  </si>
  <si>
    <t>V52460</t>
  </si>
  <si>
    <t>Suraj  Sharma</t>
  </si>
  <si>
    <t>V52459</t>
  </si>
  <si>
    <t>DHANRAJ  GURJAR</t>
  </si>
  <si>
    <t>V52456</t>
  </si>
  <si>
    <t>Shiv Lal Gandharv</t>
  </si>
  <si>
    <t>V51271</t>
  </si>
  <si>
    <t>Vijay Kumar Sharma</t>
  </si>
  <si>
    <t>V50407</t>
  </si>
  <si>
    <t>Mayank  Jeengar</t>
  </si>
  <si>
    <t>V48457</t>
  </si>
  <si>
    <t>Mukesh Kumar Kalal</t>
  </si>
  <si>
    <t>V45852</t>
  </si>
  <si>
    <t>RAHUL  RANA</t>
  </si>
  <si>
    <t>V45226</t>
  </si>
  <si>
    <t>ROHIT  MALI</t>
  </si>
  <si>
    <t>V39388</t>
  </si>
  <si>
    <t>MOHAMMAD FARUKH  QURESHI</t>
  </si>
  <si>
    <t>V38402</t>
  </si>
  <si>
    <t>BANSHI LAL BAIRWA</t>
  </si>
  <si>
    <t>V36453</t>
  </si>
  <si>
    <t>MAMTA KANWAR CHOUHAN</t>
  </si>
  <si>
    <t>V36099</t>
  </si>
  <si>
    <t>CHANCHAL KUMARI NAYAK</t>
  </si>
  <si>
    <t>V34159</t>
  </si>
  <si>
    <t>SONIYA KUMARI SALVI</t>
  </si>
  <si>
    <t>V34041</t>
  </si>
  <si>
    <t>SITA  GADRI</t>
  </si>
  <si>
    <t>V34038</t>
  </si>
  <si>
    <t>09/02/1993</t>
  </si>
  <si>
    <t>MOHIT  MARMAT</t>
  </si>
  <si>
    <t>V33739</t>
  </si>
  <si>
    <t>NAJIYA  PARWEJ</t>
  </si>
  <si>
    <t>V33737</t>
  </si>
  <si>
    <t>RAVINDRA  MURMAT</t>
  </si>
  <si>
    <t>V33726</t>
  </si>
  <si>
    <t>DEEPIKA  CHHIPA</t>
  </si>
  <si>
    <t>V33715</t>
  </si>
  <si>
    <t>KARAN  SUTHAR</t>
  </si>
  <si>
    <t>V33714</t>
  </si>
  <si>
    <t>Amir  Khan</t>
  </si>
  <si>
    <t>V54537</t>
  </si>
  <si>
    <t>Pawan  Nath</t>
  </si>
  <si>
    <t>V52882</t>
  </si>
  <si>
    <t>Rajkumar</t>
  </si>
  <si>
    <t>V49342</t>
  </si>
  <si>
    <t>Latasha  Kumari</t>
  </si>
  <si>
    <t>V48736</t>
  </si>
  <si>
    <t>Rohit  Meghwal</t>
  </si>
  <si>
    <t>V47438</t>
  </si>
  <si>
    <t>Rajkumar  Rawat</t>
  </si>
  <si>
    <t>V47417</t>
  </si>
  <si>
    <t>Tanuj  Kapdi</t>
  </si>
  <si>
    <t>V47416</t>
  </si>
  <si>
    <t>Komal</t>
  </si>
  <si>
    <t>Ritu  Sikhwal</t>
  </si>
  <si>
    <t>V46059</t>
  </si>
  <si>
    <t>Kiran Chandra Basiwal</t>
  </si>
  <si>
    <t>V45238</t>
  </si>
  <si>
    <t>RAHUL  RAWAT</t>
  </si>
  <si>
    <t>V43992</t>
  </si>
  <si>
    <t>DEV KARAN MRGHWANSHI</t>
  </si>
  <si>
    <t>V30284</t>
  </si>
  <si>
    <t>BHARAT MALUKA</t>
  </si>
  <si>
    <t>V30283</t>
  </si>
  <si>
    <t>MUSKAN</t>
  </si>
  <si>
    <t>V29197</t>
  </si>
  <si>
    <t>SAVITA  RAJBHAR</t>
  </si>
  <si>
    <t>V29196</t>
  </si>
  <si>
    <t>Abhishek  Khatik</t>
  </si>
  <si>
    <t>V53812</t>
  </si>
  <si>
    <t>VISHAL  SARGARA</t>
  </si>
  <si>
    <t>V53811</t>
  </si>
  <si>
    <t>Balwant  Kumar</t>
  </si>
  <si>
    <t>V52958</t>
  </si>
  <si>
    <t>KISHANGOPAL  GURJAR</t>
  </si>
  <si>
    <t>V52292</t>
  </si>
  <si>
    <t>Mukul  Sharma</t>
  </si>
  <si>
    <t>V52291</t>
  </si>
  <si>
    <t>AMAN  GAWARIYA</t>
  </si>
  <si>
    <t>V51922</t>
  </si>
  <si>
    <t>RAMDYAL  REGAR</t>
  </si>
  <si>
    <t>V51910</t>
  </si>
  <si>
    <t>Sumit Kumar Sargara</t>
  </si>
  <si>
    <t>V51436</t>
  </si>
  <si>
    <t>Devendra Kumar Palasiya</t>
  </si>
  <si>
    <t>V50516</t>
  </si>
  <si>
    <t>Rajveer  Kuchbanda</t>
  </si>
  <si>
    <t>V48975</t>
  </si>
  <si>
    <t>PRADHAN  CHOUDHARY</t>
  </si>
  <si>
    <t>V39684</t>
  </si>
  <si>
    <t>SURAJ KUMAR BAIRWA</t>
  </si>
  <si>
    <t>V39386</t>
  </si>
  <si>
    <t>SOORAJ KAUMAR GARG</t>
  </si>
  <si>
    <t>V37195</t>
  </si>
  <si>
    <t>CHANCHAL  PRAJAPAT</t>
  </si>
  <si>
    <t>V37179</t>
  </si>
  <si>
    <t>LAXMAN LAL REGAR</t>
  </si>
  <si>
    <t>V36375</t>
  </si>
  <si>
    <t>KHUSHBOO PORWAL</t>
  </si>
  <si>
    <t>V35839</t>
  </si>
  <si>
    <t>Km Sapana</t>
  </si>
  <si>
    <t>V35469</t>
  </si>
  <si>
    <t>PRATEEK  KUMAR</t>
  </si>
  <si>
    <t>V35182</t>
  </si>
  <si>
    <t>MS. RITU MALAWAT</t>
  </si>
  <si>
    <t>V34813</t>
  </si>
  <si>
    <t>Amit Kumar Srivastav</t>
  </si>
  <si>
    <t>V52555</t>
  </si>
  <si>
    <t>Monika</t>
  </si>
  <si>
    <t>V54363</t>
  </si>
  <si>
    <t>Akldeep  Kaur</t>
  </si>
  <si>
    <t>V54122</t>
  </si>
  <si>
    <t>Jaspreet  Kaur</t>
  </si>
  <si>
    <t>Gurbhej  Singh</t>
  </si>
  <si>
    <t>V53797</t>
  </si>
  <si>
    <t>Bhupinder  Singh</t>
  </si>
  <si>
    <t>V53795</t>
  </si>
  <si>
    <t>KAMALPREET  KAUR</t>
  </si>
  <si>
    <t>V53794</t>
  </si>
  <si>
    <t>Shivpreet  Singh</t>
  </si>
  <si>
    <t>V53792</t>
  </si>
  <si>
    <t>Manjot Singh Brar</t>
  </si>
  <si>
    <t>V53431</t>
  </si>
  <si>
    <t>Balwinder  Singh</t>
  </si>
  <si>
    <t>V53070</t>
  </si>
  <si>
    <t>Satnam  Singh</t>
  </si>
  <si>
    <t>V52991</t>
  </si>
  <si>
    <t>Daliph</t>
  </si>
  <si>
    <t>V52987</t>
  </si>
  <si>
    <t>Lovepreet  Singh</t>
  </si>
  <si>
    <t>V52831</t>
  </si>
  <si>
    <t>Pavan  Upadhyay</t>
  </si>
  <si>
    <t>V52782</t>
  </si>
  <si>
    <t>Deepmala</t>
  </si>
  <si>
    <t>V52699</t>
  </si>
  <si>
    <t>Sandeep  Kumar</t>
  </si>
  <si>
    <t>V52529</t>
  </si>
  <si>
    <t>Sukhdeep  Singh</t>
  </si>
  <si>
    <t>V52526</t>
  </si>
  <si>
    <t>Suresh</t>
  </si>
  <si>
    <t>V52238</t>
  </si>
  <si>
    <t>Sandeep  Kaur</t>
  </si>
  <si>
    <t>V52237</t>
  </si>
  <si>
    <t>Sourav  Kumar</t>
  </si>
  <si>
    <t>V52234</t>
  </si>
  <si>
    <t>V52074</t>
  </si>
  <si>
    <t>Abhay  Diwaker</t>
  </si>
  <si>
    <t>V51828</t>
  </si>
  <si>
    <t>V50740</t>
  </si>
  <si>
    <t>V49955</t>
  </si>
  <si>
    <t>Kuldeep  Singh</t>
  </si>
  <si>
    <t>NISHA  KUMARI</t>
  </si>
  <si>
    <t>Parminder  Singh</t>
  </si>
  <si>
    <t>BALKAR  SINGH</t>
  </si>
  <si>
    <t>V53470</t>
  </si>
  <si>
    <t>Jagdev  Singh</t>
  </si>
  <si>
    <t>V52474</t>
  </si>
  <si>
    <t>Saimonpreet  Singh</t>
  </si>
  <si>
    <t>V52078</t>
  </si>
  <si>
    <t>KAMALJEET  KAUR</t>
  </si>
  <si>
    <t>V51951</t>
  </si>
  <si>
    <t>NEETU  RANI</t>
  </si>
  <si>
    <t>V51949</t>
  </si>
  <si>
    <t>HARJINDER  SINGH</t>
  </si>
  <si>
    <t>V51759</t>
  </si>
  <si>
    <t>V51691</t>
  </si>
  <si>
    <t>Yuvraj  Singh</t>
  </si>
  <si>
    <t>V52164</t>
  </si>
  <si>
    <t>V54621</t>
  </si>
  <si>
    <t>Anmolpreet</t>
  </si>
  <si>
    <t>V54169</t>
  </si>
  <si>
    <t>Vicky</t>
  </si>
  <si>
    <t>V53649</t>
  </si>
  <si>
    <t>pradeep  singh</t>
  </si>
  <si>
    <t>V53452</t>
  </si>
  <si>
    <t>Bhupesh  Kumar</t>
  </si>
  <si>
    <t>V49509</t>
  </si>
  <si>
    <t>Nikhil</t>
  </si>
  <si>
    <t>Rinku  Kumari</t>
  </si>
  <si>
    <t>KOMAL</t>
  </si>
  <si>
    <t>Pankaj  Sharma</t>
  </si>
  <si>
    <t>V51276</t>
  </si>
  <si>
    <t>Ajay  Shukla</t>
  </si>
  <si>
    <t>V50036</t>
  </si>
  <si>
    <t>V50025</t>
  </si>
  <si>
    <t>Riya</t>
  </si>
  <si>
    <t>V50023</t>
  </si>
  <si>
    <t>Bhavana</t>
  </si>
  <si>
    <t>V49747</t>
  </si>
  <si>
    <t>Navnit Kumar Dubey</t>
  </si>
  <si>
    <t>V49468</t>
  </si>
  <si>
    <t>V49433</t>
  </si>
  <si>
    <t>Sharda</t>
  </si>
  <si>
    <t>V49431</t>
  </si>
  <si>
    <t>Vijay Pratap Verma</t>
  </si>
  <si>
    <t>V49300</t>
  </si>
  <si>
    <t>Lakhan</t>
  </si>
  <si>
    <t>V49181</t>
  </si>
  <si>
    <t>Poonam</t>
  </si>
  <si>
    <t>Om  Kumari</t>
  </si>
  <si>
    <t>V48409</t>
  </si>
  <si>
    <t>Pardeep</t>
  </si>
  <si>
    <t>V48408</t>
  </si>
  <si>
    <t>V48399</t>
  </si>
  <si>
    <t>Mo Navaj</t>
  </si>
  <si>
    <t>V48328</t>
  </si>
  <si>
    <t>Gurlal  Singh</t>
  </si>
  <si>
    <t>V54218</t>
  </si>
  <si>
    <t>Mani  Singh</t>
  </si>
  <si>
    <t>V54217</t>
  </si>
  <si>
    <t>Pinki  Shira</t>
  </si>
  <si>
    <t>V54216</t>
  </si>
  <si>
    <t>Harmanjeet  Singh</t>
  </si>
  <si>
    <t>V53348</t>
  </si>
  <si>
    <t>Harman  Singh</t>
  </si>
  <si>
    <t>V52968</t>
  </si>
  <si>
    <t>Tarun</t>
  </si>
  <si>
    <t>V52967</t>
  </si>
  <si>
    <t>Gurnoor</t>
  </si>
  <si>
    <t>V52966</t>
  </si>
  <si>
    <t>V51576</t>
  </si>
  <si>
    <t>Sonu  Singh</t>
  </si>
  <si>
    <t>V51201</t>
  </si>
  <si>
    <t>Amardeep  Singh</t>
  </si>
  <si>
    <t>V51199</t>
  </si>
  <si>
    <t>Deepak  Sharma</t>
  </si>
  <si>
    <t>V51198</t>
  </si>
  <si>
    <t>Jagdeep  Singh</t>
  </si>
  <si>
    <t>V51196</t>
  </si>
  <si>
    <t>Amanpreet  Singh</t>
  </si>
  <si>
    <t>V50726</t>
  </si>
  <si>
    <t>Amarjeet  Singh</t>
  </si>
  <si>
    <t>Nandni</t>
  </si>
  <si>
    <t>V49981</t>
  </si>
  <si>
    <t>Parvinder  Kaur</t>
  </si>
  <si>
    <t>V49980</t>
  </si>
  <si>
    <t>V48823</t>
  </si>
  <si>
    <t>Asha</t>
  </si>
  <si>
    <t>V48744</t>
  </si>
  <si>
    <t>V48732</t>
  </si>
  <si>
    <t>V48256</t>
  </si>
  <si>
    <t>Sony  Rani</t>
  </si>
  <si>
    <t>V48255</t>
  </si>
  <si>
    <t>Taranjot  Singh</t>
  </si>
  <si>
    <t>V48254</t>
  </si>
  <si>
    <t>Ravinder  Singh</t>
  </si>
  <si>
    <t>V48205</t>
  </si>
  <si>
    <t>VIKRAMJEET  SINGH</t>
  </si>
  <si>
    <t>V48204</t>
  </si>
  <si>
    <t>gurdeep  SINGH</t>
  </si>
  <si>
    <t>V48179</t>
  </si>
  <si>
    <t>VARINDER  SINGH</t>
  </si>
  <si>
    <t>V48138</t>
  </si>
  <si>
    <t>V48068</t>
  </si>
  <si>
    <t>Varinder  Singh</t>
  </si>
  <si>
    <t>V48020</t>
  </si>
  <si>
    <t>Sagar  Kumar</t>
  </si>
  <si>
    <t>V47993</t>
  </si>
  <si>
    <t>Sukhpreet  Singh</t>
  </si>
  <si>
    <t>V47990</t>
  </si>
  <si>
    <t>Jashandeep  Kaur</t>
  </si>
  <si>
    <t>V47969</t>
  </si>
  <si>
    <t>Rajdeep  Kaur</t>
  </si>
  <si>
    <t>V47968</t>
  </si>
  <si>
    <t>Gurbinder  Singh</t>
  </si>
  <si>
    <t>V47915</t>
  </si>
  <si>
    <t>Sourabh  Singh</t>
  </si>
  <si>
    <t>V46271</t>
  </si>
  <si>
    <t>V46268</t>
  </si>
  <si>
    <t>VIJAY CHAND</t>
  </si>
  <si>
    <t>V46238</t>
  </si>
  <si>
    <t>Loveneesh  Kumar</t>
  </si>
  <si>
    <t>V46125</t>
  </si>
  <si>
    <t>Vishal  Kumar</t>
  </si>
  <si>
    <t>V44758</t>
  </si>
  <si>
    <t>Inderjit  Kaur</t>
  </si>
  <si>
    <t>V54527</t>
  </si>
  <si>
    <t>Manjeet  Kaur</t>
  </si>
  <si>
    <t>Jaspal Singh</t>
  </si>
  <si>
    <t>V53918</t>
  </si>
  <si>
    <t>HARMANJOT  SINGH</t>
  </si>
  <si>
    <t>V53917</t>
  </si>
  <si>
    <t>SADIA</t>
  </si>
  <si>
    <t>V53622</t>
  </si>
  <si>
    <t>RAMANDEEP  SINGH</t>
  </si>
  <si>
    <t>V53620</t>
  </si>
  <si>
    <t>V52859</t>
  </si>
  <si>
    <t>MANPREET KAUR</t>
  </si>
  <si>
    <t>V52026</t>
  </si>
  <si>
    <t>V51928</t>
  </si>
  <si>
    <t>Anoop  Kumar</t>
  </si>
  <si>
    <t>V50758</t>
  </si>
  <si>
    <t>V49940</t>
  </si>
  <si>
    <t>Gurveer  Bal</t>
  </si>
  <si>
    <t>V49525</t>
  </si>
  <si>
    <t>Minta  Devi</t>
  </si>
  <si>
    <t>V49523</t>
  </si>
  <si>
    <t>POOJA  RANI</t>
  </si>
  <si>
    <t>V49521</t>
  </si>
  <si>
    <t>Jotika  Rani</t>
  </si>
  <si>
    <t>V49335</t>
  </si>
  <si>
    <t>V48922</t>
  </si>
  <si>
    <t>V48919</t>
  </si>
  <si>
    <t>Simranjit  Kaur</t>
  </si>
  <si>
    <t>V48821</t>
  </si>
  <si>
    <t>Baljit  Kaur</t>
  </si>
  <si>
    <t>V48745</t>
  </si>
  <si>
    <t>Pooja  Chandravanshi</t>
  </si>
  <si>
    <t>V48530</t>
  </si>
  <si>
    <t>Hardeep  Kaur</t>
  </si>
  <si>
    <t>V48528</t>
  </si>
  <si>
    <t>Deepak  Singh</t>
  </si>
  <si>
    <t>V54618</t>
  </si>
  <si>
    <t>Mukesh Singh Negi</t>
  </si>
  <si>
    <t>V54199</t>
  </si>
  <si>
    <t>jagdev  kumar</t>
  </si>
  <si>
    <t>V50230</t>
  </si>
  <si>
    <t>Pooja  Kumari</t>
  </si>
  <si>
    <t>V47708</t>
  </si>
  <si>
    <t>Bikram Kumar Rai</t>
  </si>
  <si>
    <t>V46862</t>
  </si>
  <si>
    <t>PARDEEP  SINGH</t>
  </si>
  <si>
    <t>V46824</t>
  </si>
  <si>
    <t>Manju  Rani</t>
  </si>
  <si>
    <t>V46686</t>
  </si>
  <si>
    <t>Anu</t>
  </si>
  <si>
    <t>V46683</t>
  </si>
  <si>
    <t>NISHANT KUMAR KAMAL</t>
  </si>
  <si>
    <t>V46682</t>
  </si>
  <si>
    <t>Danny</t>
  </si>
  <si>
    <t>V46521</t>
  </si>
  <si>
    <t>Puneet  Kumar</t>
  </si>
  <si>
    <t>V46514</t>
  </si>
  <si>
    <t>V46485</t>
  </si>
  <si>
    <t>Salman</t>
  </si>
  <si>
    <t>V46457</t>
  </si>
  <si>
    <t>Dimple</t>
  </si>
  <si>
    <t>V46304</t>
  </si>
  <si>
    <t>V46269</t>
  </si>
  <si>
    <t>Anju  Rani</t>
  </si>
  <si>
    <t>V45986</t>
  </si>
  <si>
    <t>Kiran</t>
  </si>
  <si>
    <t>V45985</t>
  </si>
  <si>
    <t>Amarjot  Kaur</t>
  </si>
  <si>
    <t>V52726</t>
  </si>
  <si>
    <t>Jashandeep  Singh</t>
  </si>
  <si>
    <t>V52725</t>
  </si>
  <si>
    <t>Jaskaran  Singh</t>
  </si>
  <si>
    <t>V52724</t>
  </si>
  <si>
    <t>Narayan</t>
  </si>
  <si>
    <t>V50411</t>
  </si>
  <si>
    <t>V48401</t>
  </si>
  <si>
    <t>Sonia</t>
  </si>
  <si>
    <t>V48400</t>
  </si>
  <si>
    <t>Manjit  Singh</t>
  </si>
  <si>
    <t>V48053</t>
  </si>
  <si>
    <t>Rajiv</t>
  </si>
  <si>
    <t>V47771</t>
  </si>
  <si>
    <t>Amritpal  Kaur</t>
  </si>
  <si>
    <t>V47671</t>
  </si>
  <si>
    <t>Nitin Kumar Gupta</t>
  </si>
  <si>
    <t>V47670</t>
  </si>
  <si>
    <t>Gurjant  Singh</t>
  </si>
  <si>
    <t>V47669</t>
  </si>
  <si>
    <t>Virpal  Kaur</t>
  </si>
  <si>
    <t>V47484</t>
  </si>
  <si>
    <t>Anuragh  Singh</t>
  </si>
  <si>
    <t>V47054</t>
  </si>
  <si>
    <t>V46143</t>
  </si>
  <si>
    <t>Jagjit  Singh</t>
  </si>
  <si>
    <t>V45756</t>
  </si>
  <si>
    <t>V45753</t>
  </si>
  <si>
    <t>Khushpreet  Singh</t>
  </si>
  <si>
    <t>V45752</t>
  </si>
  <si>
    <t>Rajwant  Kaur</t>
  </si>
  <si>
    <t>V45544</t>
  </si>
  <si>
    <t>Gurjoban  Singh</t>
  </si>
  <si>
    <t>V45541</t>
  </si>
  <si>
    <t>Shankar  Sharma</t>
  </si>
  <si>
    <t>V45403</t>
  </si>
  <si>
    <t>Arshdeep  Singh</t>
  </si>
  <si>
    <t>V45391</t>
  </si>
  <si>
    <t>Jaswinder  Kaur</t>
  </si>
  <si>
    <t>V45260</t>
  </si>
  <si>
    <t>Manpreet  Kaur</t>
  </si>
  <si>
    <t>V45162</t>
  </si>
  <si>
    <t>Parmveer  Singh</t>
  </si>
  <si>
    <t>V44503</t>
  </si>
  <si>
    <t>Rohit  Sharma</t>
  </si>
  <si>
    <t>V44198</t>
  </si>
  <si>
    <t>SHIVAM  SINGH</t>
  </si>
  <si>
    <t>Abhi Kumar Verma</t>
  </si>
  <si>
    <t>V51358</t>
  </si>
  <si>
    <t>BHARAT BHUSAN</t>
  </si>
  <si>
    <t>V51249</t>
  </si>
  <si>
    <t>Rajni</t>
  </si>
  <si>
    <t>V48101</t>
  </si>
  <si>
    <t>Raj  Rani</t>
  </si>
  <si>
    <t>V48100</t>
  </si>
  <si>
    <t>Karan  Verma</t>
  </si>
  <si>
    <t>V45448</t>
  </si>
  <si>
    <t>Rajbeer  Singh</t>
  </si>
  <si>
    <t>V45447</t>
  </si>
  <si>
    <t>V44025</t>
  </si>
  <si>
    <t>Shweta</t>
  </si>
  <si>
    <t>V43467</t>
  </si>
  <si>
    <t>V43381</t>
  </si>
  <si>
    <t>Manveer  Kaur</t>
  </si>
  <si>
    <t>V43101</t>
  </si>
  <si>
    <t>V43100</t>
  </si>
  <si>
    <t>Shivam  Singh</t>
  </si>
  <si>
    <t>V43089</t>
  </si>
  <si>
    <t>Hira  Lal</t>
  </si>
  <si>
    <t>V43085</t>
  </si>
  <si>
    <t>Namika</t>
  </si>
  <si>
    <t>V43084</t>
  </si>
  <si>
    <t>Suhani</t>
  </si>
  <si>
    <t>V43083</t>
  </si>
  <si>
    <t>V43082</t>
  </si>
  <si>
    <t>Rupali</t>
  </si>
  <si>
    <t>V42953</t>
  </si>
  <si>
    <t>V42927</t>
  </si>
  <si>
    <t>Kamaljit</t>
  </si>
  <si>
    <t>V42926</t>
  </si>
  <si>
    <t>V42897</t>
  </si>
  <si>
    <t>V52876</t>
  </si>
  <si>
    <t>ARYAN  MANOTA</t>
  </si>
  <si>
    <t>V52794</t>
  </si>
  <si>
    <t>Shivali</t>
  </si>
  <si>
    <t>V52758</t>
  </si>
  <si>
    <t>Yaadvir  Kuar</t>
  </si>
  <si>
    <t>V51806</t>
  </si>
  <si>
    <t>Chandan  Adia</t>
  </si>
  <si>
    <t>V51805</t>
  </si>
  <si>
    <t>V50146</t>
  </si>
  <si>
    <t>Abhishek</t>
  </si>
  <si>
    <t>V49877</t>
  </si>
  <si>
    <t>V48551</t>
  </si>
  <si>
    <t>V47592</t>
  </si>
  <si>
    <t>Aryan  Rana</t>
  </si>
  <si>
    <t>V46885</t>
  </si>
  <si>
    <t>Asha  Rani</t>
  </si>
  <si>
    <t>V46549</t>
  </si>
  <si>
    <t>Gulshan  Rai</t>
  </si>
  <si>
    <t>V46548</t>
  </si>
  <si>
    <t>Dharampreet  Kumar</t>
  </si>
  <si>
    <t>V45095</t>
  </si>
  <si>
    <t>Harjot  Kumar</t>
  </si>
  <si>
    <t>V43383</t>
  </si>
  <si>
    <t>Anchal  Sharma</t>
  </si>
  <si>
    <t>V43096</t>
  </si>
  <si>
    <t>V43047</t>
  </si>
  <si>
    <t>Kajal</t>
  </si>
  <si>
    <t>V42998</t>
  </si>
  <si>
    <t>SUKHWINDER  SINGH</t>
  </si>
  <si>
    <t>V53424</t>
  </si>
  <si>
    <t>JYOTSANA</t>
  </si>
  <si>
    <t>V52971</t>
  </si>
  <si>
    <t>VIJAY PAL SINGH</t>
  </si>
  <si>
    <t>V52739</t>
  </si>
  <si>
    <t>V52144</t>
  </si>
  <si>
    <t>Abhishek  Dhiman</t>
  </si>
  <si>
    <t>V52110</t>
  </si>
  <si>
    <t>Shivalik</t>
  </si>
  <si>
    <t>V52100</t>
  </si>
  <si>
    <t>Honey  Saroye</t>
  </si>
  <si>
    <t>V50953</t>
  </si>
  <si>
    <t>V50951</t>
  </si>
  <si>
    <t>Lakhwinder  Kumar</t>
  </si>
  <si>
    <t>V50462</t>
  </si>
  <si>
    <t>Vishal  Rana</t>
  </si>
  <si>
    <t>V50182</t>
  </si>
  <si>
    <t>V50174</t>
  </si>
  <si>
    <t>Palak  Thakur</t>
  </si>
  <si>
    <t>V49846</t>
  </si>
  <si>
    <t>V49764</t>
  </si>
  <si>
    <t>V49763</t>
  </si>
  <si>
    <t>Harman  Lal</t>
  </si>
  <si>
    <t>V49361</t>
  </si>
  <si>
    <t>V49359</t>
  </si>
  <si>
    <t>Shri Gobind Bhaskar Bhuvneshwar</t>
  </si>
  <si>
    <t>V44575</t>
  </si>
  <si>
    <t>V43800</t>
  </si>
  <si>
    <t>V43276</t>
  </si>
  <si>
    <t>HARJINDER  KAUR</t>
  </si>
  <si>
    <t>V43028</t>
  </si>
  <si>
    <t>Samyal</t>
  </si>
  <si>
    <t>V43009</t>
  </si>
  <si>
    <t>Simarjit  Kaur</t>
  </si>
  <si>
    <t>VISHAL  ARORA</t>
  </si>
  <si>
    <t>V53982</t>
  </si>
  <si>
    <t>PINKY  SHARMA</t>
  </si>
  <si>
    <t>V53485</t>
  </si>
  <si>
    <t>V53439</t>
  </si>
  <si>
    <t>V52670</t>
  </si>
  <si>
    <t>Balraj  Singh</t>
  </si>
  <si>
    <t>V52265</t>
  </si>
  <si>
    <t>Harshdeep  Singh</t>
  </si>
  <si>
    <t>V52159</t>
  </si>
  <si>
    <t>Surinder  Kaur</t>
  </si>
  <si>
    <t>V52145</t>
  </si>
  <si>
    <t>Sarbjeet  Kaur</t>
  </si>
  <si>
    <t>V51591</t>
  </si>
  <si>
    <t>Anmol  Singh</t>
  </si>
  <si>
    <t>V51395</t>
  </si>
  <si>
    <t>Paramjit  Singh</t>
  </si>
  <si>
    <t>V47538</t>
  </si>
  <si>
    <t>Victor</t>
  </si>
  <si>
    <t>V47537</t>
  </si>
  <si>
    <t>Shabnam</t>
  </si>
  <si>
    <t>V44634</t>
  </si>
  <si>
    <t>V44633</t>
  </si>
  <si>
    <t>SIMRANJIT KAUR</t>
  </si>
  <si>
    <t>V43476</t>
  </si>
  <si>
    <t>V43424</t>
  </si>
  <si>
    <t>NITISH KUMAR</t>
  </si>
  <si>
    <t>V43366</t>
  </si>
  <si>
    <t>LOVEPREET  KAUR</t>
  </si>
  <si>
    <t>V43355</t>
  </si>
  <si>
    <t>BALWANT SINGH</t>
  </si>
  <si>
    <t>V43352</t>
  </si>
  <si>
    <t>Babita  Kumari</t>
  </si>
  <si>
    <t>V43180</t>
  </si>
  <si>
    <t>Ajit Kumar</t>
  </si>
  <si>
    <t>V43179</t>
  </si>
  <si>
    <t>Paramjeet Kaur</t>
  </si>
  <si>
    <t>V43175</t>
  </si>
  <si>
    <t>KIRTI</t>
  </si>
  <si>
    <t>V43172</t>
  </si>
  <si>
    <t>HARBHAJAN  Singh</t>
  </si>
  <si>
    <t>V43170</t>
  </si>
  <si>
    <t>GURWINDER  SINGH</t>
  </si>
  <si>
    <t>V42035</t>
  </si>
  <si>
    <t>sapna</t>
  </si>
  <si>
    <t>V53209</t>
  </si>
  <si>
    <t>Monika  rani</t>
  </si>
  <si>
    <t>V52570</t>
  </si>
  <si>
    <t>V52550</t>
  </si>
  <si>
    <t>Ramanjot  Kaur</t>
  </si>
  <si>
    <t>V50424</t>
  </si>
  <si>
    <t>Baljinder  Singh</t>
  </si>
  <si>
    <t>V49751</t>
  </si>
  <si>
    <t>Anantpreet  Singh</t>
  </si>
  <si>
    <t>V49353</t>
  </si>
  <si>
    <t>ANAS  MOHAMMAD</t>
  </si>
  <si>
    <t>V48079</t>
  </si>
  <si>
    <t>Sukhvir  Singh</t>
  </si>
  <si>
    <t>V42833</t>
  </si>
  <si>
    <t>V42451</t>
  </si>
  <si>
    <t>Sharanpreet  Kaur</t>
  </si>
  <si>
    <t>V42315</t>
  </si>
  <si>
    <t>Ashwani Kumar</t>
  </si>
  <si>
    <t>V42314</t>
  </si>
  <si>
    <t>Sonia Chauhan</t>
  </si>
  <si>
    <t>V42194</t>
  </si>
  <si>
    <t>GURJOT  SINGH</t>
  </si>
  <si>
    <t>V42156</t>
  </si>
  <si>
    <t>V42154</t>
  </si>
  <si>
    <t>Jatinder  Kaur</t>
  </si>
  <si>
    <t>V42149</t>
  </si>
  <si>
    <t>V42147</t>
  </si>
  <si>
    <t>NAVEEN  CHAUHAN</t>
  </si>
  <si>
    <t>V21565</t>
  </si>
  <si>
    <t>Kapil  Kumar</t>
  </si>
  <si>
    <t>V53633</t>
  </si>
  <si>
    <t>Gurdeep  Kaur</t>
  </si>
  <si>
    <t>V52942</t>
  </si>
  <si>
    <t>Akashdeep  Singh</t>
  </si>
  <si>
    <t>V52579</t>
  </si>
  <si>
    <t>V52427</t>
  </si>
  <si>
    <t>V50218</t>
  </si>
  <si>
    <t>V49843</t>
  </si>
  <si>
    <t>Vikram  Kapta</t>
  </si>
  <si>
    <t>V49348</t>
  </si>
  <si>
    <t>Gourav  Choudhary</t>
  </si>
  <si>
    <t>V48764</t>
  </si>
  <si>
    <t>V47561</t>
  </si>
  <si>
    <t>Megha</t>
  </si>
  <si>
    <t>V43602</t>
  </si>
  <si>
    <t>PARTH  BALI</t>
  </si>
  <si>
    <t>V43593</t>
  </si>
  <si>
    <t>Munish  Kumar</t>
  </si>
  <si>
    <t>V43249</t>
  </si>
  <si>
    <t>V42841</t>
  </si>
  <si>
    <t>RAJINDER  KAUR</t>
  </si>
  <si>
    <t>V40036</t>
  </si>
  <si>
    <t>Sukhjit  Singh</t>
  </si>
  <si>
    <t>V52651</t>
  </si>
  <si>
    <t>KRISHNA  LAL</t>
  </si>
  <si>
    <t>V51864</t>
  </si>
  <si>
    <t>V50823</t>
  </si>
  <si>
    <t>AMAN  VERMA</t>
  </si>
  <si>
    <t>V50731</t>
  </si>
  <si>
    <t>Satnam Singh</t>
  </si>
  <si>
    <t>V47355</t>
  </si>
  <si>
    <t>ROHAN</t>
  </si>
  <si>
    <t>V47352</t>
  </si>
  <si>
    <t>BHAVIK  SHARMA</t>
  </si>
  <si>
    <t>V47351</t>
  </si>
  <si>
    <t>Manish  Sharma</t>
  </si>
  <si>
    <t>V46994</t>
  </si>
  <si>
    <t>Jaswant  Kaur</t>
  </si>
  <si>
    <t>V46256</t>
  </si>
  <si>
    <t>Suman</t>
  </si>
  <si>
    <t>V46255</t>
  </si>
  <si>
    <t>Kuldeep  Kumar</t>
  </si>
  <si>
    <t>V44344</t>
  </si>
  <si>
    <t>Arjun  Singh</t>
  </si>
  <si>
    <t>V43237</t>
  </si>
  <si>
    <t>Amarjit  Kaur</t>
  </si>
  <si>
    <t>V43146</t>
  </si>
  <si>
    <t>Simranpreet  Kaur</t>
  </si>
  <si>
    <t>V43145</t>
  </si>
  <si>
    <t>Parminder  Kaur</t>
  </si>
  <si>
    <t>V43144</t>
  </si>
  <si>
    <t>Mandeep  Kaur</t>
  </si>
  <si>
    <t>V42918</t>
  </si>
  <si>
    <t>Anmolpreet  Kaur</t>
  </si>
  <si>
    <t>V42904</t>
  </si>
  <si>
    <t>NARINDER  KUMAR</t>
  </si>
  <si>
    <t>V42757</t>
  </si>
  <si>
    <t>V42528</t>
  </si>
  <si>
    <t>Paramjit  Kaur</t>
  </si>
  <si>
    <t>V42355</t>
  </si>
  <si>
    <t>V42350</t>
  </si>
  <si>
    <t>Anshul  Kumar</t>
  </si>
  <si>
    <t>V54269</t>
  </si>
  <si>
    <t>Malkit</t>
  </si>
  <si>
    <t>V53938</t>
  </si>
  <si>
    <t>VISHU  NAYAR</t>
  </si>
  <si>
    <t>V53273</t>
  </si>
  <si>
    <t>Ravita</t>
  </si>
  <si>
    <t>V53207</t>
  </si>
  <si>
    <t>BALRAM  TRIPATHI</t>
  </si>
  <si>
    <t>V53197</t>
  </si>
  <si>
    <t>V53195</t>
  </si>
  <si>
    <t>Tanish</t>
  </si>
  <si>
    <t>V52482</t>
  </si>
  <si>
    <t>V52481</t>
  </si>
  <si>
    <t>V52479</t>
  </si>
  <si>
    <t>Kapil</t>
  </si>
  <si>
    <t>V51370</t>
  </si>
  <si>
    <t>Anchal  Jha</t>
  </si>
  <si>
    <t>V49341</t>
  </si>
  <si>
    <t>Pushkar  Kumar</t>
  </si>
  <si>
    <t>V47945</t>
  </si>
  <si>
    <t>Meena  Rani</t>
  </si>
  <si>
    <t>V47336</t>
  </si>
  <si>
    <t>Sunil</t>
  </si>
  <si>
    <t>V46097</t>
  </si>
  <si>
    <t>Manjeet  Kumar</t>
  </si>
  <si>
    <t>V45331</t>
  </si>
  <si>
    <t>Chahat</t>
  </si>
  <si>
    <t>V45280</t>
  </si>
  <si>
    <t>V44216</t>
  </si>
  <si>
    <t>V43832</t>
  </si>
  <si>
    <t>DEEPAK  PANDEY</t>
  </si>
  <si>
    <t>V40799</t>
  </si>
  <si>
    <t>V38996</t>
  </si>
  <si>
    <t>SUMIT  KANWAL</t>
  </si>
  <si>
    <t>V38667</t>
  </si>
  <si>
    <t>RAJNISH  KUMAR</t>
  </si>
  <si>
    <t>V37337</t>
  </si>
  <si>
    <t>V53971</t>
  </si>
  <si>
    <t>URMILA  KUMARI</t>
  </si>
  <si>
    <t>V53373</t>
  </si>
  <si>
    <t>V53330</t>
  </si>
  <si>
    <t>KRISH  khorwaL</t>
  </si>
  <si>
    <t>V53233</t>
  </si>
  <si>
    <t>V53225</t>
  </si>
  <si>
    <t>GUDIYA KUMARI</t>
  </si>
  <si>
    <t>V53139</t>
  </si>
  <si>
    <t>V52979</t>
  </si>
  <si>
    <t>Gagan  Kumar</t>
  </si>
  <si>
    <t>V52881</t>
  </si>
  <si>
    <t>Mansi</t>
  </si>
  <si>
    <t>V52874</t>
  </si>
  <si>
    <t>Sanjeev  Kumar</t>
  </si>
  <si>
    <t>V51673</t>
  </si>
  <si>
    <t>Puneet  Anthal</t>
  </si>
  <si>
    <t>V51168</t>
  </si>
  <si>
    <t>HIMANSHU  KUMAR</t>
  </si>
  <si>
    <t>V50756</t>
  </si>
  <si>
    <t>Vedika  Vedi</t>
  </si>
  <si>
    <t>V48540</t>
  </si>
  <si>
    <t>Shanker  Lal</t>
  </si>
  <si>
    <t>V44373</t>
  </si>
  <si>
    <t>BALWINDER  BALWINDER</t>
  </si>
  <si>
    <t>V42865</t>
  </si>
  <si>
    <t>ABHIVEK  KUMAR</t>
  </si>
  <si>
    <t>V42840</t>
  </si>
  <si>
    <t>V39979</t>
  </si>
  <si>
    <t>KUSHMITA</t>
  </si>
  <si>
    <t>V39978</t>
  </si>
  <si>
    <t>V39960</t>
  </si>
  <si>
    <t>RINKI</t>
  </si>
  <si>
    <t>V39956</t>
  </si>
  <si>
    <t>Chandan  Kumar</t>
  </si>
  <si>
    <t>Arpan  Saini</t>
  </si>
  <si>
    <t>V52544</t>
  </si>
  <si>
    <t>Palvi  Palvi</t>
  </si>
  <si>
    <t>V49221</t>
  </si>
  <si>
    <t>Krishan Pal Singh</t>
  </si>
  <si>
    <t>V48829</t>
  </si>
  <si>
    <t>JYOTPAL  SINGH</t>
  </si>
  <si>
    <t>V47565</t>
  </si>
  <si>
    <t>V45965</t>
  </si>
  <si>
    <t>PARVEEN  KUMAR</t>
  </si>
  <si>
    <t>V45884</t>
  </si>
  <si>
    <t>Manisha  Devi</t>
  </si>
  <si>
    <t>V43396</t>
  </si>
  <si>
    <t>V43133</t>
  </si>
  <si>
    <t>Raghuvir Singh</t>
  </si>
  <si>
    <t>V35641</t>
  </si>
  <si>
    <t>JATIN</t>
  </si>
  <si>
    <t>V35396</t>
  </si>
  <si>
    <t>V35358</t>
  </si>
  <si>
    <t>V35173</t>
  </si>
  <si>
    <t>PARAMJEET SINGH</t>
  </si>
  <si>
    <t>V35171</t>
  </si>
  <si>
    <t>MS. PRIYANSHI</t>
  </si>
  <si>
    <t>V34862</t>
  </si>
  <si>
    <t>MS. ANU BALA</t>
  </si>
  <si>
    <t>V34836</t>
  </si>
  <si>
    <t>MS. ANJALI</t>
  </si>
  <si>
    <t>V34745</t>
  </si>
  <si>
    <t>MR. PIYUSH SHARMA</t>
  </si>
  <si>
    <t>V34743</t>
  </si>
  <si>
    <t>Surinder singh</t>
  </si>
  <si>
    <t>V34528</t>
  </si>
  <si>
    <t>KUNAL</t>
  </si>
  <si>
    <t>V34278</t>
  </si>
  <si>
    <t>Rishu KUMAR</t>
  </si>
  <si>
    <t>V34202</t>
  </si>
  <si>
    <t>VINOD  KUMAR</t>
  </si>
  <si>
    <t>V32912</t>
  </si>
  <si>
    <t>Gourav  Kumar</t>
  </si>
  <si>
    <t>V52268</t>
  </si>
  <si>
    <t>Smith  Gill</t>
  </si>
  <si>
    <t>V51009</t>
  </si>
  <si>
    <t>Kulwant Singh Maan</t>
  </si>
  <si>
    <t>V50972</t>
  </si>
  <si>
    <t>V48567</t>
  </si>
  <si>
    <t>Gurwinder  Singh</t>
  </si>
  <si>
    <t>V48566</t>
  </si>
  <si>
    <t>Gurpinder  Kaur</t>
  </si>
  <si>
    <t>V47949</t>
  </si>
  <si>
    <t>V46806</t>
  </si>
  <si>
    <t>UPASNA</t>
  </si>
  <si>
    <t>V46805</t>
  </si>
  <si>
    <t>V46087</t>
  </si>
  <si>
    <t>Kajal  Kumari</t>
  </si>
  <si>
    <t>V46084</t>
  </si>
  <si>
    <t>Karamjit</t>
  </si>
  <si>
    <t>V45271</t>
  </si>
  <si>
    <t>Taniya</t>
  </si>
  <si>
    <t>V44298</t>
  </si>
  <si>
    <t>ARJUN  DEV</t>
  </si>
  <si>
    <t>V42449</t>
  </si>
  <si>
    <t>SHILPA  SHARMA</t>
  </si>
  <si>
    <t>V41986</t>
  </si>
  <si>
    <t>HARMANPREET  SINGH</t>
  </si>
  <si>
    <t>V38035</t>
  </si>
  <si>
    <t>MS. SIMRAN KAUR</t>
  </si>
  <si>
    <t>V34764</t>
  </si>
  <si>
    <t>MR. KARAN KUMAR</t>
  </si>
  <si>
    <t>V34598</t>
  </si>
  <si>
    <t>MR. DINESH KUMAR</t>
  </si>
  <si>
    <t>V34589</t>
  </si>
  <si>
    <t>PARWINDER SINGH</t>
  </si>
  <si>
    <t>V34529</t>
  </si>
  <si>
    <t>SONIA  WALIA</t>
  </si>
  <si>
    <t>V34214</t>
  </si>
  <si>
    <t>V34199</t>
  </si>
  <si>
    <t>SAHIL  SALARIA</t>
  </si>
  <si>
    <t>V34198</t>
  </si>
  <si>
    <t>V52865</t>
  </si>
  <si>
    <t>V49948</t>
  </si>
  <si>
    <t>Gursewak  Singh</t>
  </si>
  <si>
    <t>V49945</t>
  </si>
  <si>
    <t>V49842</t>
  </si>
  <si>
    <t>Savan  Kumar</t>
  </si>
  <si>
    <t>V49469</t>
  </si>
  <si>
    <t>Naina  Devi</t>
  </si>
  <si>
    <t>V48475</t>
  </si>
  <si>
    <t>V47940</t>
  </si>
  <si>
    <t>Amarjit  Singh</t>
  </si>
  <si>
    <t>V47939</t>
  </si>
  <si>
    <t>Krish</t>
  </si>
  <si>
    <t>V47568</t>
  </si>
  <si>
    <t>Amandeep  Singh</t>
  </si>
  <si>
    <t>V45452</t>
  </si>
  <si>
    <t>MANDEEP  KAUR</t>
  </si>
  <si>
    <t>V44597</t>
  </si>
  <si>
    <t>KUMAR CHANDAN CHAUHAN</t>
  </si>
  <si>
    <t>V42565</t>
  </si>
  <si>
    <t>KIMTI SINGH</t>
  </si>
  <si>
    <t>V36390</t>
  </si>
  <si>
    <t>AMRITA SINGH</t>
  </si>
  <si>
    <t>V35919</t>
  </si>
  <si>
    <t>RAJWINDER  KAUR</t>
  </si>
  <si>
    <t>V31980</t>
  </si>
  <si>
    <t>RAMANDEEP  KAUR</t>
  </si>
  <si>
    <t>V31979</t>
  </si>
  <si>
    <t>GURSIMRAN  SINGH</t>
  </si>
  <si>
    <t>V31970</t>
  </si>
  <si>
    <t>SANDEEP  SINGH</t>
  </si>
  <si>
    <t>V30719</t>
  </si>
  <si>
    <t>TULU  NAYAK</t>
  </si>
  <si>
    <t>V53874</t>
  </si>
  <si>
    <t>Satyanarayan  Pradhan</t>
  </si>
  <si>
    <t>V52819</t>
  </si>
  <si>
    <t>Debendra Kumar Panda</t>
  </si>
  <si>
    <t>V52439</t>
  </si>
  <si>
    <t>Bulu  Parida</t>
  </si>
  <si>
    <t>V52370</t>
  </si>
  <si>
    <t>SUNIL KUMAR  SAHU</t>
  </si>
  <si>
    <t>V51932</t>
  </si>
  <si>
    <t>PRIYANSU KUMAR NAYAK</t>
  </si>
  <si>
    <t>V51925</t>
  </si>
  <si>
    <t>MITHUNU  NAHAK</t>
  </si>
  <si>
    <t>V51824</t>
  </si>
  <si>
    <t>NAGENDRA  YADAV</t>
  </si>
  <si>
    <t>V51671</t>
  </si>
  <si>
    <t>GOUTAM  BEHERA</t>
  </si>
  <si>
    <t>V51662</t>
  </si>
  <si>
    <t>SUNITA  NAYAK</t>
  </si>
  <si>
    <t>V51454</t>
  </si>
  <si>
    <t>RAJESH  NAIK</t>
  </si>
  <si>
    <t>V51449</t>
  </si>
  <si>
    <t>Himansu Sekher Sethy</t>
  </si>
  <si>
    <t>V51393</t>
  </si>
  <si>
    <t>SUNITA  BEHERA</t>
  </si>
  <si>
    <t>V51390</t>
  </si>
  <si>
    <t>KAMBULI  NAIK</t>
  </si>
  <si>
    <t>V51373</t>
  </si>
  <si>
    <t>SASMITA  ROUTRAY</t>
  </si>
  <si>
    <t>V51372</t>
  </si>
  <si>
    <t>PRAJNA KUMARI  PADHI</t>
  </si>
  <si>
    <t>V51211</t>
  </si>
  <si>
    <t>TRILOCHAN  DASH</t>
  </si>
  <si>
    <t>V51209</t>
  </si>
  <si>
    <t>Sunil  Biswal</t>
  </si>
  <si>
    <t>V51076</t>
  </si>
  <si>
    <t>Bipin Kumar Jena</t>
  </si>
  <si>
    <t>V48025</t>
  </si>
  <si>
    <t>SHREEKANTA  CHHATRIA</t>
  </si>
  <si>
    <t>V54149</t>
  </si>
  <si>
    <t>SUSHIL  PATEL</t>
  </si>
  <si>
    <t>V53866</t>
  </si>
  <si>
    <t>Pratyush  Kumar</t>
  </si>
  <si>
    <t>V53865</t>
  </si>
  <si>
    <t>Asher  Bag</t>
  </si>
  <si>
    <t>V53779</t>
  </si>
  <si>
    <t>Manoj  Harpal</t>
  </si>
  <si>
    <t>V52887</t>
  </si>
  <si>
    <t>Besha Prakash Barik</t>
  </si>
  <si>
    <t>V52886</t>
  </si>
  <si>
    <t>Ghanashyam  Pande</t>
  </si>
  <si>
    <t>V52885</t>
  </si>
  <si>
    <t>Shibani  Pasayat</t>
  </si>
  <si>
    <t>V52554</t>
  </si>
  <si>
    <t>Soudamini  Kusulia</t>
  </si>
  <si>
    <t>V52077</t>
  </si>
  <si>
    <t>Abinash  Dandasena</t>
  </si>
  <si>
    <t>V52076</t>
  </si>
  <si>
    <t>Debaraj  Tandi</t>
  </si>
  <si>
    <t>V52068</t>
  </si>
  <si>
    <t>MANJU  SUNA</t>
  </si>
  <si>
    <t>V51914</t>
  </si>
  <si>
    <t>JYOTSNA  KUMBHAR</t>
  </si>
  <si>
    <t>V51913</t>
  </si>
  <si>
    <t>BIKRAM KESHARI NANDA</t>
  </si>
  <si>
    <t>V51912</t>
  </si>
  <si>
    <t>SOMYARANJAN  JENA</t>
  </si>
  <si>
    <t>V51781</t>
  </si>
  <si>
    <t>SWAPNA  BAG</t>
  </si>
  <si>
    <t>V51780</t>
  </si>
  <si>
    <t>RAGHUDEV  NAG</t>
  </si>
  <si>
    <t>V51779</t>
  </si>
  <si>
    <t>DOLAMANI  MAHANANDA</t>
  </si>
  <si>
    <t>V51776</t>
  </si>
  <si>
    <t>BHASKAR CHANDRA ROUT</t>
  </si>
  <si>
    <t>V51770</t>
  </si>
  <si>
    <t>SARITA MANJARI SUNA</t>
  </si>
  <si>
    <t>V51444</t>
  </si>
  <si>
    <t>KUMARI  MUNDA</t>
  </si>
  <si>
    <t>V51440</t>
  </si>
  <si>
    <t>SUBHAM  BHOI</t>
  </si>
  <si>
    <t>V51222</t>
  </si>
  <si>
    <t>Dolamani  Suna</t>
  </si>
  <si>
    <t>V51219</t>
  </si>
  <si>
    <t>AMIN  SUNA</t>
  </si>
  <si>
    <t>V50943</t>
  </si>
  <si>
    <t>RAHUL  NAG</t>
  </si>
  <si>
    <t>V50921</t>
  </si>
  <si>
    <t>Sahim Akhtar Khan</t>
  </si>
  <si>
    <t>V50748</t>
  </si>
  <si>
    <t>BIDYADHARA  MALIK</t>
  </si>
  <si>
    <t>V12333</t>
  </si>
  <si>
    <t>ABINASH  MARTHA</t>
  </si>
  <si>
    <t>V54157</t>
  </si>
  <si>
    <t>Rajesh Ashok Pradhan</t>
  </si>
  <si>
    <t>V50538</t>
  </si>
  <si>
    <t>Sabita  Das</t>
  </si>
  <si>
    <t>V46089</t>
  </si>
  <si>
    <t>Puspanjali  Das</t>
  </si>
  <si>
    <t>V46088</t>
  </si>
  <si>
    <t>Sukanti  Das</t>
  </si>
  <si>
    <t>V46085</t>
  </si>
  <si>
    <t>Basanta  Parida</t>
  </si>
  <si>
    <t>V46082</t>
  </si>
  <si>
    <t>Malaya  Das</t>
  </si>
  <si>
    <t>V45059</t>
  </si>
  <si>
    <t>Pabitra  Mandal</t>
  </si>
  <si>
    <t>V43388</t>
  </si>
  <si>
    <t>Gayatri  Barik</t>
  </si>
  <si>
    <t>V43353</t>
  </si>
  <si>
    <t>Priyanka  Mandal</t>
  </si>
  <si>
    <t>V43351</t>
  </si>
  <si>
    <t>SASMITA  JENA</t>
  </si>
  <si>
    <t>V43306</t>
  </si>
  <si>
    <t>NALU  NATHA</t>
  </si>
  <si>
    <t>V43304</t>
  </si>
  <si>
    <t>Satyajit  Nayak</t>
  </si>
  <si>
    <t>V43302</t>
  </si>
  <si>
    <t>Dipti Priyadarshani Parida</t>
  </si>
  <si>
    <t>V43299</t>
  </si>
  <si>
    <t>BISWAJIT  BEHERA</t>
  </si>
  <si>
    <t>V42416</t>
  </si>
  <si>
    <t>RATNAKAR  SAHU</t>
  </si>
  <si>
    <t>V42144</t>
  </si>
  <si>
    <t>HIRAN  MAHARNNA</t>
  </si>
  <si>
    <t>V42072</t>
  </si>
  <si>
    <t>PIYUSH KUMAR PATRA</t>
  </si>
  <si>
    <t>V41916</t>
  </si>
  <si>
    <t>JYOTIPRAKASH  BHOI</t>
  </si>
  <si>
    <t>V41673</t>
  </si>
  <si>
    <t>RASHMIREKHA  DAS</t>
  </si>
  <si>
    <t>V41588</t>
  </si>
  <si>
    <t>KHAGESWAR  BEHERA</t>
  </si>
  <si>
    <t>V41539</t>
  </si>
  <si>
    <t>CHIRANJEEB  DEY</t>
  </si>
  <si>
    <t>V41457</t>
  </si>
  <si>
    <t>LINA  SEJPADA</t>
  </si>
  <si>
    <t>V41451</t>
  </si>
  <si>
    <t>JANARDAN PANDA</t>
  </si>
  <si>
    <t>V36279</t>
  </si>
  <si>
    <t>BISWA BHUSAN GIRI</t>
  </si>
  <si>
    <t>V19902</t>
  </si>
  <si>
    <t>NAROTTAM  SAMAL</t>
  </si>
  <si>
    <t>V10205</t>
  </si>
  <si>
    <t>Muna  Behera</t>
  </si>
  <si>
    <t>V53282</t>
  </si>
  <si>
    <t>SIBAPRASAD  LENKA</t>
  </si>
  <si>
    <t>V51802</t>
  </si>
  <si>
    <t>Babaji  Panda</t>
  </si>
  <si>
    <t>V48867</t>
  </si>
  <si>
    <t>SHYAMAGHANA  NAIK</t>
  </si>
  <si>
    <t>V48605</t>
  </si>
  <si>
    <t>Saraswati  Sahoo</t>
  </si>
  <si>
    <t>V46080</t>
  </si>
  <si>
    <t>Binapani  Majhi</t>
  </si>
  <si>
    <t>V46079</t>
  </si>
  <si>
    <t>Kuni  Naik</t>
  </si>
  <si>
    <t>V46075</t>
  </si>
  <si>
    <t>Manika  Naik</t>
  </si>
  <si>
    <t>V46072</t>
  </si>
  <si>
    <t>SIMA  BEHERA</t>
  </si>
  <si>
    <t>V42247</t>
  </si>
  <si>
    <t>BIKASH  NAYAK</t>
  </si>
  <si>
    <t>V42245</t>
  </si>
  <si>
    <t>PRITI  GOCHHAYAT</t>
  </si>
  <si>
    <t>V41506</t>
  </si>
  <si>
    <t>SUBHAM SAI SINGH</t>
  </si>
  <si>
    <t>V41501</t>
  </si>
  <si>
    <t>MANISHA  GOCHHAYAT</t>
  </si>
  <si>
    <t>V40183</t>
  </si>
  <si>
    <t>RANJAN  NAIK</t>
  </si>
  <si>
    <t>V40182</t>
  </si>
  <si>
    <t>JINA  BEHERA</t>
  </si>
  <si>
    <t>V39836</t>
  </si>
  <si>
    <t>RAJNI  MAJHI</t>
  </si>
  <si>
    <t>V39680</t>
  </si>
  <si>
    <t>RASMITA  BEHERA</t>
  </si>
  <si>
    <t>V39676</t>
  </si>
  <si>
    <t>LAXMIPRIYA  MOHAPATRA</t>
  </si>
  <si>
    <t>V39673</t>
  </si>
  <si>
    <t>SUBRAT KUMAR DEHURY</t>
  </si>
  <si>
    <t>V39669</t>
  </si>
  <si>
    <t>ANITA  NATH</t>
  </si>
  <si>
    <t>V39666</t>
  </si>
  <si>
    <t>SUNIL  NAIK</t>
  </si>
  <si>
    <t>V39665</t>
  </si>
  <si>
    <t>ITI  BHOI</t>
  </si>
  <si>
    <t>V39664</t>
  </si>
  <si>
    <t>TAPASWINI  KEREI</t>
  </si>
  <si>
    <t>V39430</t>
  </si>
  <si>
    <t>BICHITRA  PRADHAN</t>
  </si>
  <si>
    <t>V39427</t>
  </si>
  <si>
    <t>BIVEKANANDA  PARIDA</t>
  </si>
  <si>
    <t>V39413</t>
  </si>
  <si>
    <t>MADHUSMITA  BEHERA</t>
  </si>
  <si>
    <t>V39408</t>
  </si>
  <si>
    <t>ASHISH  BHOI</t>
  </si>
  <si>
    <t>V39405</t>
  </si>
  <si>
    <t>SUMAN  SINGH</t>
  </si>
  <si>
    <t>V39404</t>
  </si>
  <si>
    <t>SIBANI  DEHURY</t>
  </si>
  <si>
    <t>V39031</t>
  </si>
  <si>
    <t>NABAKISHORE  JANI</t>
  </si>
  <si>
    <t>V31866</t>
  </si>
  <si>
    <t>AMULYA BALIAR SINGH</t>
  </si>
  <si>
    <t>V10714</t>
  </si>
  <si>
    <t>Biswadeep  Behera</t>
  </si>
  <si>
    <t>V54319</t>
  </si>
  <si>
    <t>DIBYA SUNDAR DAS</t>
  </si>
  <si>
    <t>V52138</t>
  </si>
  <si>
    <t>Subham Kumar Khamari</t>
  </si>
  <si>
    <t>V49726</t>
  </si>
  <si>
    <t>Bilashini  Suna</t>
  </si>
  <si>
    <t>V49724</t>
  </si>
  <si>
    <t>Sudhansu Shekhar Ghadai</t>
  </si>
  <si>
    <t>V47081</t>
  </si>
  <si>
    <t>Sanjukta  Kumbhar</t>
  </si>
  <si>
    <t>V45959</t>
  </si>
  <si>
    <t>Birendra  Tandi</t>
  </si>
  <si>
    <t>V45922</t>
  </si>
  <si>
    <t>MAMATA  MAHAKUR</t>
  </si>
  <si>
    <t>V39877</t>
  </si>
  <si>
    <t>DHUBUNI  CHAULIA</t>
  </si>
  <si>
    <t>V39874</t>
  </si>
  <si>
    <t>TANUSHREE  PUTEL</t>
  </si>
  <si>
    <t>V39806</t>
  </si>
  <si>
    <t>ANJU  MALLIK</t>
  </si>
  <si>
    <t>V39803</t>
  </si>
  <si>
    <t>DALI  BEHERA</t>
  </si>
  <si>
    <t>V39567</t>
  </si>
  <si>
    <t>BISWA  RANA</t>
  </si>
  <si>
    <t>V39564</t>
  </si>
  <si>
    <t>RASHMITA  TIRKEY</t>
  </si>
  <si>
    <t>V39559</t>
  </si>
  <si>
    <t>TOSABANTA  KUMBHAR</t>
  </si>
  <si>
    <t>V39543</t>
  </si>
  <si>
    <t>JOGESHWAR  MAHAPATRA</t>
  </si>
  <si>
    <t>V39539</t>
  </si>
  <si>
    <t>MANOJ  MAJHI</t>
  </si>
  <si>
    <t>V39029</t>
  </si>
  <si>
    <t>SUDHIR LENKA</t>
  </si>
  <si>
    <t>V35411</t>
  </si>
  <si>
    <t>Papun  Kilaka</t>
  </si>
  <si>
    <t>V53083</t>
  </si>
  <si>
    <t>DIVYA  PATHIKA</t>
  </si>
  <si>
    <t>V53081</t>
  </si>
  <si>
    <t>Kabisurjya  Naik</t>
  </si>
  <si>
    <t>V53080</t>
  </si>
  <si>
    <t>SUJIT KUMAR NAYAK</t>
  </si>
  <si>
    <t>V50749</t>
  </si>
  <si>
    <t>SURESH  SARAKA</t>
  </si>
  <si>
    <t>V49557</t>
  </si>
  <si>
    <t>Deuranjan  Baliarsingh</t>
  </si>
  <si>
    <t>V49556</t>
  </si>
  <si>
    <t>Suresh  Kulesika</t>
  </si>
  <si>
    <t>V49555</t>
  </si>
  <si>
    <t>DURYODHAN BHOI</t>
  </si>
  <si>
    <t>V48090</t>
  </si>
  <si>
    <t>Sarita  Pal</t>
  </si>
  <si>
    <t>V47493</t>
  </si>
  <si>
    <t>Champa  Tiaka</t>
  </si>
  <si>
    <t>V47492</t>
  </si>
  <si>
    <t>Badingi  Abhinash</t>
  </si>
  <si>
    <t>V46635</t>
  </si>
  <si>
    <t>Lasita  Sirika</t>
  </si>
  <si>
    <t>V46383</t>
  </si>
  <si>
    <t>DEBENDRA  SAHOO</t>
  </si>
  <si>
    <t>V43662</t>
  </si>
  <si>
    <t>V42467</t>
  </si>
  <si>
    <t>MAHENDRA  KOUSALYA</t>
  </si>
  <si>
    <t>V42457</t>
  </si>
  <si>
    <t>SARALA  NAG</t>
  </si>
  <si>
    <t>V42455</t>
  </si>
  <si>
    <t>NABIN  MINIAKA</t>
  </si>
  <si>
    <t>V42399</t>
  </si>
  <si>
    <t>Kousalya  muna</t>
  </si>
  <si>
    <t>V42396</t>
  </si>
  <si>
    <t>K  SEBATI</t>
  </si>
  <si>
    <t>V42386</t>
  </si>
  <si>
    <t>TULASI  MAHANANDA</t>
  </si>
  <si>
    <t>V42384</t>
  </si>
  <si>
    <t>MINI  URLAKA</t>
  </si>
  <si>
    <t>V42382</t>
  </si>
  <si>
    <t>HANSABANSA AKSHYA KUMAR</t>
  </si>
  <si>
    <t>V42380</t>
  </si>
  <si>
    <t>Sagar  Mallik</t>
  </si>
  <si>
    <t>V54321</t>
  </si>
  <si>
    <t>BISWAJIT  SAHOO</t>
  </si>
  <si>
    <t>V52221</t>
  </si>
  <si>
    <t>Prakash  Mallick</t>
  </si>
  <si>
    <t>V49291</t>
  </si>
  <si>
    <t>Tapan Kumar Behera</t>
  </si>
  <si>
    <t>V46114</t>
  </si>
  <si>
    <t>PRIYATAMA SWAIN SWAIN</t>
  </si>
  <si>
    <t>V46099</t>
  </si>
  <si>
    <t>SHIBAPRASAD  NANDA</t>
  </si>
  <si>
    <t>V41308</t>
  </si>
  <si>
    <t>TUSHAR RANJAN PATRA</t>
  </si>
  <si>
    <t>V36694</t>
  </si>
  <si>
    <t>MADHUSMITA ROUT</t>
  </si>
  <si>
    <t>V36235</t>
  </si>
  <si>
    <t>SOUMYA RANJAN BISWAL</t>
  </si>
  <si>
    <t>V35905</t>
  </si>
  <si>
    <t>MATAPRANGYA PRADHAN</t>
  </si>
  <si>
    <t>V35318</t>
  </si>
  <si>
    <t>RUPALI NAYAK</t>
  </si>
  <si>
    <t>V35315</t>
  </si>
  <si>
    <t>MONALISA BARIK</t>
  </si>
  <si>
    <t>V35311</t>
  </si>
  <si>
    <t>Y CHENNA BABU</t>
  </si>
  <si>
    <t>V35150</t>
  </si>
  <si>
    <t>SUMITENDU PANDA</t>
  </si>
  <si>
    <t>V35149</t>
  </si>
  <si>
    <t>SATYAJIT BHATTA</t>
  </si>
  <si>
    <t>V35146</t>
  </si>
  <si>
    <t>CHANDAN NAYAK</t>
  </si>
  <si>
    <t>V35143</t>
  </si>
  <si>
    <t>BALARAM  DALEI</t>
  </si>
  <si>
    <t>V34361</t>
  </si>
  <si>
    <t>HIMANSHU  BEJ</t>
  </si>
  <si>
    <t>V28142</t>
  </si>
  <si>
    <t>PRAFULLA KUMAR PRADHAN</t>
  </si>
  <si>
    <t>V19136</t>
  </si>
  <si>
    <t>SUNIL  SHARMA</t>
  </si>
  <si>
    <t>V18546</t>
  </si>
  <si>
    <t>GAGAN BIHARI ROUT</t>
  </si>
  <si>
    <t>V11868</t>
  </si>
  <si>
    <t>SOUMYA Ranjan DASH</t>
  </si>
  <si>
    <t>V52344</t>
  </si>
  <si>
    <t>Rasmita  Maharana</t>
  </si>
  <si>
    <t>V46409</t>
  </si>
  <si>
    <t>Sagarika  Barad</t>
  </si>
  <si>
    <t>V46093</t>
  </si>
  <si>
    <t>OSLIM  KHAN</t>
  </si>
  <si>
    <t>V41352</t>
  </si>
  <si>
    <t>MANAS RANJAN SWAIN</t>
  </si>
  <si>
    <t>V40140</t>
  </si>
  <si>
    <t>SUDHANSU KUMAR SWAIN</t>
  </si>
  <si>
    <t>V38971</t>
  </si>
  <si>
    <t>RAKESH KUMAR JENA</t>
  </si>
  <si>
    <t>V37207</t>
  </si>
  <si>
    <t>SUJAL KUMAR SWAIN</t>
  </si>
  <si>
    <t>V37204</t>
  </si>
  <si>
    <t>SOURAV BEHERA</t>
  </si>
  <si>
    <t>V36419</t>
  </si>
  <si>
    <t>SUSHANT KUMAR BARAD</t>
  </si>
  <si>
    <t>V36418</t>
  </si>
  <si>
    <t>MITHUN PRADHAN</t>
  </si>
  <si>
    <t>V36002</t>
  </si>
  <si>
    <t>SANGITA KUMARI SWAIN</t>
  </si>
  <si>
    <t>V35893</t>
  </si>
  <si>
    <t>JYOTIRMAYEE SWAIN</t>
  </si>
  <si>
    <t>V35851</t>
  </si>
  <si>
    <t>ASHISH GHADEI</t>
  </si>
  <si>
    <t>V35815</t>
  </si>
  <si>
    <t>AKSHAYA KUMAR SAHOO</t>
  </si>
  <si>
    <t>V35596</t>
  </si>
  <si>
    <t>BHASKAR PRASAD MISHRA</t>
  </si>
  <si>
    <t>V35555</t>
  </si>
  <si>
    <t>BIBHUTI BHUSAN MOHAPATRA</t>
  </si>
  <si>
    <t>V35525</t>
  </si>
  <si>
    <t>SUJATA BARAD</t>
  </si>
  <si>
    <t>V35329</t>
  </si>
  <si>
    <t>PRATIK PRARAMBIK MOHANTY</t>
  </si>
  <si>
    <t>V35153</t>
  </si>
  <si>
    <t>PUNYASLOK  SWAIN</t>
  </si>
  <si>
    <t>V27221</t>
  </si>
  <si>
    <t>BIDYADHAR  PARIDA</t>
  </si>
  <si>
    <t>V02110</t>
  </si>
  <si>
    <t>KHAGESWAR  BUDULA</t>
  </si>
  <si>
    <t>V52345</t>
  </si>
  <si>
    <t>PARIKSHIT  SINGH</t>
  </si>
  <si>
    <t>V52336</t>
  </si>
  <si>
    <t>KALYANI  CHHURA</t>
  </si>
  <si>
    <t>V48507</t>
  </si>
  <si>
    <t>AKASH KUMAR TANDIA</t>
  </si>
  <si>
    <t>V47212</t>
  </si>
  <si>
    <t>DIPA  CHOUHAN</t>
  </si>
  <si>
    <t>V45964</t>
  </si>
  <si>
    <t>RANJITA  TANDIA</t>
  </si>
  <si>
    <t>V45963</t>
  </si>
  <si>
    <t>BINOD RANJAN PARIDA</t>
  </si>
  <si>
    <t>V45918</t>
  </si>
  <si>
    <t>TANOJ KUMAR DEHERI</t>
  </si>
  <si>
    <t>V40407</t>
  </si>
  <si>
    <t>SUBRAT KUMAR DAS</t>
  </si>
  <si>
    <t>V36313</t>
  </si>
  <si>
    <t>JUGAL KISHOR NAIK</t>
  </si>
  <si>
    <t>V32874</t>
  </si>
  <si>
    <t>BASUMATEE  KHADIA</t>
  </si>
  <si>
    <t>V32856</t>
  </si>
  <si>
    <t>TIKESWAR  BAG</t>
  </si>
  <si>
    <t>V31845</t>
  </si>
  <si>
    <t>MITA  BHAINSA</t>
  </si>
  <si>
    <t>V31839</t>
  </si>
  <si>
    <t>PADMALAYA  KISHAN</t>
  </si>
  <si>
    <t>V31813</t>
  </si>
  <si>
    <t>KABITA  KANHER</t>
  </si>
  <si>
    <t>V31221</t>
  </si>
  <si>
    <t>CHANDRASEKHAR  BERIHA</t>
  </si>
  <si>
    <t>V31215</t>
  </si>
  <si>
    <t>SUMAN  KHADIA</t>
  </si>
  <si>
    <t>V31034</t>
  </si>
  <si>
    <t>SONIA  YADAV</t>
  </si>
  <si>
    <t>V31020</t>
  </si>
  <si>
    <t>JIKU  ADABAR</t>
  </si>
  <si>
    <t>V29448</t>
  </si>
  <si>
    <t>Jamuna  Majhi</t>
  </si>
  <si>
    <t>V46237</t>
  </si>
  <si>
    <t>Sabhya  Chamar</t>
  </si>
  <si>
    <t>V46236</t>
  </si>
  <si>
    <t>DEBANANDA  TANDIA</t>
  </si>
  <si>
    <t>V42837</t>
  </si>
  <si>
    <t>SOUMYARANJAN  MUGRI</t>
  </si>
  <si>
    <t>V41958</t>
  </si>
  <si>
    <t>JAGDISH  SETH</t>
  </si>
  <si>
    <t>V41581</t>
  </si>
  <si>
    <t>TARANI  MALLIK</t>
  </si>
  <si>
    <t>V41580</t>
  </si>
  <si>
    <t>SUSHIL  DUNGDUNG</t>
  </si>
  <si>
    <t>V40246</t>
  </si>
  <si>
    <t>BIMALA  BHOI</t>
  </si>
  <si>
    <t>V39562</t>
  </si>
  <si>
    <t>KANHU CHARAN BEHERA</t>
  </si>
  <si>
    <t>V38838</t>
  </si>
  <si>
    <t>SURYAKANTA  NAIK</t>
  </si>
  <si>
    <t>V34219</t>
  </si>
  <si>
    <t>SANA  PARWEEN</t>
  </si>
  <si>
    <t>V31846</t>
  </si>
  <si>
    <t>DEBENDRA  MAHAPATRA</t>
  </si>
  <si>
    <t>V30791</t>
  </si>
  <si>
    <t>SHIBANI  KARANDIKAR</t>
  </si>
  <si>
    <t>V30778</t>
  </si>
  <si>
    <t>SRIKANTA  NAG</t>
  </si>
  <si>
    <t>V30773</t>
  </si>
  <si>
    <t>REENA  BIBHAR</t>
  </si>
  <si>
    <t>V30768</t>
  </si>
  <si>
    <t>DILESWARI  KUDEI</t>
  </si>
  <si>
    <t>V30755</t>
  </si>
  <si>
    <t>BIKASH  BHOSAGAR</t>
  </si>
  <si>
    <t>V30751</t>
  </si>
  <si>
    <t>DAKTAR  BARIHA</t>
  </si>
  <si>
    <t>V30377</t>
  </si>
  <si>
    <t>DEEPAK  BHOI</t>
  </si>
  <si>
    <t>V29407</t>
  </si>
  <si>
    <t>BISWAMBAR  MAJHI</t>
  </si>
  <si>
    <t>V00381</t>
  </si>
  <si>
    <t>MAMATA  SINGH</t>
  </si>
  <si>
    <t>V53630</t>
  </si>
  <si>
    <t>ABHISEKH KUMAR MOHANTA</t>
  </si>
  <si>
    <t>V51996</t>
  </si>
  <si>
    <t>DEBARAJ PRANAB KUMAR SAHOO</t>
  </si>
  <si>
    <t>V50510</t>
  </si>
  <si>
    <t>Hiramani  Murmu</t>
  </si>
  <si>
    <t>V48579</t>
  </si>
  <si>
    <t>PRAMOD KUMAR SETHI</t>
  </si>
  <si>
    <t>V48578</t>
  </si>
  <si>
    <t>Puspa  Naik</t>
  </si>
  <si>
    <t>V48577</t>
  </si>
  <si>
    <t>Salkha  Hansdah</t>
  </si>
  <si>
    <t>V43309</t>
  </si>
  <si>
    <t>SHIBA CHARAN BEHERA</t>
  </si>
  <si>
    <t>V41901</t>
  </si>
  <si>
    <t>GURUBARI  BINDHANI</t>
  </si>
  <si>
    <t>V41900</t>
  </si>
  <si>
    <t>MUSULA  MURMU</t>
  </si>
  <si>
    <t>V41899</t>
  </si>
  <si>
    <t>V41616</t>
  </si>
  <si>
    <t>MANAS  LENKA</t>
  </si>
  <si>
    <t>V32064</t>
  </si>
  <si>
    <t>BIDYADHAR  GOCHHAIT</t>
  </si>
  <si>
    <t>V31038</t>
  </si>
  <si>
    <t>CHITTA RANJAN MOHANTA</t>
  </si>
  <si>
    <t>V29072</t>
  </si>
  <si>
    <t>BAIJAYANTI  SOREN</t>
  </si>
  <si>
    <t>V28983</t>
  </si>
  <si>
    <t>SAMAN KUMAR MAHANTA</t>
  </si>
  <si>
    <t>V28754</t>
  </si>
  <si>
    <t>SATYABAN  MOHANTA</t>
  </si>
  <si>
    <t>V28753</t>
  </si>
  <si>
    <t>RAJIB  SETHI</t>
  </si>
  <si>
    <t>V28637</t>
  </si>
  <si>
    <t>HRUSHIKESHA  BADHUK</t>
  </si>
  <si>
    <t>V28612</t>
  </si>
  <si>
    <t>HARIPRIYA  MOHANTA</t>
  </si>
  <si>
    <t>V28608</t>
  </si>
  <si>
    <t>SANTILATA  MOHARANA</t>
  </si>
  <si>
    <t>V28397</t>
  </si>
  <si>
    <t>RUDRA NARAYAN BINDHANI</t>
  </si>
  <si>
    <t>V28277</t>
  </si>
  <si>
    <t>PRABHUDEV  AGARWALA</t>
  </si>
  <si>
    <t>V28117</t>
  </si>
  <si>
    <t>RASHMI RANJAN PATRA</t>
  </si>
  <si>
    <t>V19901</t>
  </si>
  <si>
    <t>AJIT KUMAR BEHERA</t>
  </si>
  <si>
    <t>V17957</t>
  </si>
  <si>
    <t>SURJYANARAYAN  PANIGRAHI</t>
  </si>
  <si>
    <t>V51681</t>
  </si>
  <si>
    <t>Rajendra Kumar Behera</t>
  </si>
  <si>
    <t>V49920</t>
  </si>
  <si>
    <t>Snehasis  Rath</t>
  </si>
  <si>
    <t>V49470</t>
  </si>
  <si>
    <t>SAMBHAV  BHUE</t>
  </si>
  <si>
    <t>V44477</t>
  </si>
  <si>
    <t>ROSANI  BANJARE</t>
  </si>
  <si>
    <t>V41472</t>
  </si>
  <si>
    <t>GYANA RANJAN  BARICK</t>
  </si>
  <si>
    <t>V40361</t>
  </si>
  <si>
    <t>SUBHAM  SURYABANSHI</t>
  </si>
  <si>
    <t>V39578</t>
  </si>
  <si>
    <t>RAMESH DHARUA</t>
  </si>
  <si>
    <t>V36296</t>
  </si>
  <si>
    <t>ANIL KUMAR SABAR</t>
  </si>
  <si>
    <t>V36241</t>
  </si>
  <si>
    <t>SATYABRATA BRAHMA</t>
  </si>
  <si>
    <t>V36240</t>
  </si>
  <si>
    <t>SHANKAR  MAHANANDA</t>
  </si>
  <si>
    <t>V34376</t>
  </si>
  <si>
    <t>GOMATI  SAHU</t>
  </si>
  <si>
    <t>V34180</t>
  </si>
  <si>
    <t>SEWANTIN  SAHU</t>
  </si>
  <si>
    <t>V34179</t>
  </si>
  <si>
    <t>BHUPATBAI  SAHU</t>
  </si>
  <si>
    <t>V34177</t>
  </si>
  <si>
    <t>RAJENDRA KUMAR SANTRA</t>
  </si>
  <si>
    <t>V29119</t>
  </si>
  <si>
    <t>MANISHA  YADAV</t>
  </si>
  <si>
    <t>V28941</t>
  </si>
  <si>
    <t>ANITA  SETHI</t>
  </si>
  <si>
    <t>V28940</t>
  </si>
  <si>
    <t>POOJA  SETHI</t>
  </si>
  <si>
    <t>V28938</t>
  </si>
  <si>
    <t>DEBAKI  NAG</t>
  </si>
  <si>
    <t>V28932</t>
  </si>
  <si>
    <t>SASHIBUSANA  SABAR</t>
  </si>
  <si>
    <t>V28779</t>
  </si>
  <si>
    <t>ASHIMA  NAYAK</t>
  </si>
  <si>
    <t>V28777</t>
  </si>
  <si>
    <t>DEO KUMAR HARIJAN</t>
  </si>
  <si>
    <t>V28775</t>
  </si>
  <si>
    <t>TEJASWINEE  SUNANI</t>
  </si>
  <si>
    <t>V28773</t>
  </si>
  <si>
    <t>Ranjan Kumar Swain</t>
  </si>
  <si>
    <t>V46214</t>
  </si>
  <si>
    <t>Madhusmita  Malik</t>
  </si>
  <si>
    <t>V45892</t>
  </si>
  <si>
    <t>Jhuna  Naik</t>
  </si>
  <si>
    <t>V45890</t>
  </si>
  <si>
    <t>RAKESH  BARMAN</t>
  </si>
  <si>
    <t>V39770</t>
  </si>
  <si>
    <t>SOUMYA RANJAN MALLICK</t>
  </si>
  <si>
    <t>V39769</t>
  </si>
  <si>
    <t>KADAMBINI  DAS</t>
  </si>
  <si>
    <t>V39655</t>
  </si>
  <si>
    <t>APURBA  MANDAL</t>
  </si>
  <si>
    <t>V39209</t>
  </si>
  <si>
    <t>MADHUSUDAN GIRI</t>
  </si>
  <si>
    <t>V36462</t>
  </si>
  <si>
    <t>SUJIT KUMAR SAMAL</t>
  </si>
  <si>
    <t>V31608</t>
  </si>
  <si>
    <t>SMITARANI  MALLICK</t>
  </si>
  <si>
    <t>V31605</t>
  </si>
  <si>
    <t>PUJARANI  NAYAK</t>
  </si>
  <si>
    <t>V27778</t>
  </si>
  <si>
    <t>ABHIJIT  ROUT</t>
  </si>
  <si>
    <t>V26290</t>
  </si>
  <si>
    <t>BISWAJIT  SWAIN</t>
  </si>
  <si>
    <t>V26289</t>
  </si>
  <si>
    <t>SANDEEP  SAHOO</t>
  </si>
  <si>
    <t>V26227</t>
  </si>
  <si>
    <t>PRIYA  MANDAL</t>
  </si>
  <si>
    <t>V26154</t>
  </si>
  <si>
    <t>SMRUTIRANJAN  PATRA</t>
  </si>
  <si>
    <t>V26044</t>
  </si>
  <si>
    <t>SUBHASMITA  NAYAK</t>
  </si>
  <si>
    <t>V26040</t>
  </si>
  <si>
    <t>SANTOSH KUMAR MALLICK</t>
  </si>
  <si>
    <t>V25955</t>
  </si>
  <si>
    <t>MANOJ KANTA MALLICK</t>
  </si>
  <si>
    <t>V25935</t>
  </si>
  <si>
    <t>PARBATI  MANNA</t>
  </si>
  <si>
    <t>V25933</t>
  </si>
  <si>
    <t>MANTU  MALLICK</t>
  </si>
  <si>
    <t>V23033</t>
  </si>
  <si>
    <t>AJAYA KUMAR MAHANANDA</t>
  </si>
  <si>
    <t>V53353</t>
  </si>
  <si>
    <t>Abinash  Sahu</t>
  </si>
  <si>
    <t>V49620</t>
  </si>
  <si>
    <t>Tularam NA Kalsai</t>
  </si>
  <si>
    <t>V49604</t>
  </si>
  <si>
    <t>Rajes  Bhoi</t>
  </si>
  <si>
    <t>V49603</t>
  </si>
  <si>
    <t>Dillip  Naik</t>
  </si>
  <si>
    <t>V48451</t>
  </si>
  <si>
    <t>Premasila  Kalata</t>
  </si>
  <si>
    <t>V46235</t>
  </si>
  <si>
    <t>Sandhyarani  Chhuria</t>
  </si>
  <si>
    <t>V46234</t>
  </si>
  <si>
    <t>ANJANA BEHERA</t>
  </si>
  <si>
    <t>V35931</t>
  </si>
  <si>
    <t>SUSHIL RANA</t>
  </si>
  <si>
    <t>V35930</t>
  </si>
  <si>
    <t>BISHAL KUMURA</t>
  </si>
  <si>
    <t>V35927</t>
  </si>
  <si>
    <t>JITENDRA KUMAR SAHU</t>
  </si>
  <si>
    <t>V35661</t>
  </si>
  <si>
    <t>MS. ARCHANA BHOI</t>
  </si>
  <si>
    <t>V34830</t>
  </si>
  <si>
    <t>DIBYANAND  MUKHI</t>
  </si>
  <si>
    <t>V29659</t>
  </si>
  <si>
    <t>CHANDAN PRAKASH MUDULI</t>
  </si>
  <si>
    <t>V29658</t>
  </si>
  <si>
    <t>SUCHUSMITA  MIRDHA</t>
  </si>
  <si>
    <t>V29657</t>
  </si>
  <si>
    <t>KHIRABATI  PATTA</t>
  </si>
  <si>
    <t>V29656</t>
  </si>
  <si>
    <t>ANUPAMA  MEHER</t>
  </si>
  <si>
    <t>V29654</t>
  </si>
  <si>
    <t>GITANJALI  NAIK</t>
  </si>
  <si>
    <t>V29653</t>
  </si>
  <si>
    <t>KABITA  BARIHA</t>
  </si>
  <si>
    <t>V29649</t>
  </si>
  <si>
    <t>BIDYUT RANJAN KUMAR</t>
  </si>
  <si>
    <t>V29647</t>
  </si>
  <si>
    <t>KAMALA  ORAM</t>
  </si>
  <si>
    <t>V29626</t>
  </si>
  <si>
    <t>NISA  NAYAK</t>
  </si>
  <si>
    <t>V29624</t>
  </si>
  <si>
    <t>KHETRMANI  DHRUA</t>
  </si>
  <si>
    <t>V52734</t>
  </si>
  <si>
    <t>ANITA  NAYAK</t>
  </si>
  <si>
    <t>V46938</t>
  </si>
  <si>
    <t>SARITA  MIRDHA</t>
  </si>
  <si>
    <t>V46402</t>
  </si>
  <si>
    <t>SUMIT  BUDA</t>
  </si>
  <si>
    <t>V46245</t>
  </si>
  <si>
    <t>AJIT KUMAR CHAND</t>
  </si>
  <si>
    <t>V44335</t>
  </si>
  <si>
    <t>SWAPAN KUMAR MAHATO</t>
  </si>
  <si>
    <t>V42369</t>
  </si>
  <si>
    <t>BIRENDRA  KUMBHAR</t>
  </si>
  <si>
    <t>V42304</t>
  </si>
  <si>
    <t>NARESH BHAINSA</t>
  </si>
  <si>
    <t>V36142</t>
  </si>
  <si>
    <t>JASHOBANTA  SUNYANI</t>
  </si>
  <si>
    <t>V29472</t>
  </si>
  <si>
    <t>GAJAMATI</t>
  </si>
  <si>
    <t>V29471</t>
  </si>
  <si>
    <t>MANJU  PAN</t>
  </si>
  <si>
    <t>V29470</t>
  </si>
  <si>
    <t>JYOTI  SAHU</t>
  </si>
  <si>
    <t>V29453</t>
  </si>
  <si>
    <t>NIRMAL  BAG</t>
  </si>
  <si>
    <t>V29447</t>
  </si>
  <si>
    <t>BINATA  PADHAN</t>
  </si>
  <si>
    <t>V29406</t>
  </si>
  <si>
    <t>PRINCE  GUPTA</t>
  </si>
  <si>
    <t>V29405</t>
  </si>
  <si>
    <t>SNEHALATA  RANBIDA</t>
  </si>
  <si>
    <t>V29400</t>
  </si>
  <si>
    <t>SOVA CHANDRA NAIK</t>
  </si>
  <si>
    <t>V29003</t>
  </si>
  <si>
    <t>BISWARANJAN  BISWAL</t>
  </si>
  <si>
    <t>V28804</t>
  </si>
  <si>
    <t>SUDARSHAN  MAHANTY</t>
  </si>
  <si>
    <t>V25901</t>
  </si>
  <si>
    <t>RAJENDRA  GAYAN</t>
  </si>
  <si>
    <t>V53504</t>
  </si>
  <si>
    <t>KANAKA  PATRA</t>
  </si>
  <si>
    <t>V53503</t>
  </si>
  <si>
    <t>CHANDRA MANI THAKUR</t>
  </si>
  <si>
    <t>V52188</t>
  </si>
  <si>
    <t>Hemanta  Patra</t>
  </si>
  <si>
    <t>V45906</t>
  </si>
  <si>
    <t>Balmiki  Sethi</t>
  </si>
  <si>
    <t>V45904</t>
  </si>
  <si>
    <t>Droupadi  Patra</t>
  </si>
  <si>
    <t>V45902</t>
  </si>
  <si>
    <t>Pinky  Mahakud</t>
  </si>
  <si>
    <t>V45901</t>
  </si>
  <si>
    <t>Jajati Keshari Murmu</t>
  </si>
  <si>
    <t>V45665</t>
  </si>
  <si>
    <t>Gyanaranjan  Das</t>
  </si>
  <si>
    <t>V44197</t>
  </si>
  <si>
    <t>Kholana  Behera</t>
  </si>
  <si>
    <t>V44161</t>
  </si>
  <si>
    <t>Sabitri  Naik</t>
  </si>
  <si>
    <t>V44160</t>
  </si>
  <si>
    <t>Sandip Kumar Mahanta</t>
  </si>
  <si>
    <t>V43938</t>
  </si>
  <si>
    <t>Akshaya  Naik</t>
  </si>
  <si>
    <t>V43387</t>
  </si>
  <si>
    <t>TANMAYEE  BINDHANI</t>
  </si>
  <si>
    <t>V40545</t>
  </si>
  <si>
    <t>RAMACHANDRA  MOHANTA</t>
  </si>
  <si>
    <t>V39481</t>
  </si>
  <si>
    <t>TULANA  NAIK</t>
  </si>
  <si>
    <t>V39270</t>
  </si>
  <si>
    <t>KRUPASINDHU  MAHANTA</t>
  </si>
  <si>
    <t>V38912</t>
  </si>
  <si>
    <t>BAIDYANATH  MAHANTA</t>
  </si>
  <si>
    <t>V37324</t>
  </si>
  <si>
    <t>NILIMA  MAHAKUD</t>
  </si>
  <si>
    <t>V37212</t>
  </si>
  <si>
    <t>RANJITA NAIK</t>
  </si>
  <si>
    <t>V36802</t>
  </si>
  <si>
    <t>KADAMBINI  PATRA</t>
  </si>
  <si>
    <t>V28152</t>
  </si>
  <si>
    <t>SAIRASMITA  JENA</t>
  </si>
  <si>
    <t>V27975</t>
  </si>
  <si>
    <t>PARESH KUMAR MAHANTA</t>
  </si>
  <si>
    <t>V27055</t>
  </si>
  <si>
    <t>HIMANSHU  MOHAPATRA</t>
  </si>
  <si>
    <t>V26540</t>
  </si>
  <si>
    <t>AMIT KUMAR MUKHARJEE</t>
  </si>
  <si>
    <t>V26377</t>
  </si>
  <si>
    <t>TARANISEN  JENA</t>
  </si>
  <si>
    <t>V26027</t>
  </si>
  <si>
    <t>NIBEDITA  BARIK</t>
  </si>
  <si>
    <t>V25507</t>
  </si>
  <si>
    <t>BIJAYEENI  DANDASENA</t>
  </si>
  <si>
    <t>V25344</t>
  </si>
  <si>
    <t>SRIRAM  SUNDARAY</t>
  </si>
  <si>
    <t>V25260</t>
  </si>
  <si>
    <t>RASMITA  NAIK</t>
  </si>
  <si>
    <t>Sangram  Das</t>
  </si>
  <si>
    <t>V51107</t>
  </si>
  <si>
    <t>Jiban  Pradhan</t>
  </si>
  <si>
    <t>V51106</t>
  </si>
  <si>
    <t>B Balkrishna Das</t>
  </si>
  <si>
    <t>V51103</t>
  </si>
  <si>
    <t>Kanhei Charan Sethi</t>
  </si>
  <si>
    <t>V49847</t>
  </si>
  <si>
    <t>Samir  Majhi</t>
  </si>
  <si>
    <t>V49288</t>
  </si>
  <si>
    <t>BHANJAN  MALIK</t>
  </si>
  <si>
    <t>V46524</t>
  </si>
  <si>
    <t>Babita  Bhoi</t>
  </si>
  <si>
    <t>V46422</t>
  </si>
  <si>
    <t>HIMANSU SEKHAR SWAIN</t>
  </si>
  <si>
    <t>V43986</t>
  </si>
  <si>
    <t>PRITU  SWAIN</t>
  </si>
  <si>
    <t>V41944</t>
  </si>
  <si>
    <t>AJIT  KAR</t>
  </si>
  <si>
    <t>V41942</t>
  </si>
  <si>
    <t>KARTTIK  BEHERA</t>
  </si>
  <si>
    <t>V26569</t>
  </si>
  <si>
    <t>BISWAJIT  GUMANSINGH</t>
  </si>
  <si>
    <t>V26444</t>
  </si>
  <si>
    <t>RAJ KUMAR DIGAL</t>
  </si>
  <si>
    <t>V23611</t>
  </si>
  <si>
    <t>RITESH  JENA</t>
  </si>
  <si>
    <t>V23505</t>
  </si>
  <si>
    <t>SWADHIN KUMAR MAHUNTA</t>
  </si>
  <si>
    <t>V23400</t>
  </si>
  <si>
    <t>DEBAKI  MAHAKUD</t>
  </si>
  <si>
    <t>V23133</t>
  </si>
  <si>
    <t>BISHNU CHARAN BEHERA</t>
  </si>
  <si>
    <t>V22303</t>
  </si>
  <si>
    <t>SUSHIL KUMAR BEHERA</t>
  </si>
  <si>
    <t>V02109</t>
  </si>
  <si>
    <t>Alok  Hota</t>
  </si>
  <si>
    <t>V54024</t>
  </si>
  <si>
    <t>Himansu  Behera</t>
  </si>
  <si>
    <t>V52983</t>
  </si>
  <si>
    <t>Rajat  Bhuyan</t>
  </si>
  <si>
    <t>V50323</t>
  </si>
  <si>
    <t>T  Roshini</t>
  </si>
  <si>
    <t>V46849</t>
  </si>
  <si>
    <t>Sabita  Pradhan</t>
  </si>
  <si>
    <t>V45947</t>
  </si>
  <si>
    <t>KANHA PRASAD PRADHANI</t>
  </si>
  <si>
    <t>V40043</t>
  </si>
  <si>
    <t>NILAKANTHA  SABAR</t>
  </si>
  <si>
    <t>V39845</t>
  </si>
  <si>
    <t>TRINATH  DALAI</t>
  </si>
  <si>
    <t>V39356</t>
  </si>
  <si>
    <t>SANTILATA  PRADHAN</t>
  </si>
  <si>
    <t>V39178</t>
  </si>
  <si>
    <t>HEMANTA  MALLICK</t>
  </si>
  <si>
    <t>V39025</t>
  </si>
  <si>
    <t>RENUKA KANHAR</t>
  </si>
  <si>
    <t>V36622</t>
  </si>
  <si>
    <t>RABI  POOJARI</t>
  </si>
  <si>
    <t>V34440</t>
  </si>
  <si>
    <t>ATUL KUMAR NAYAK</t>
  </si>
  <si>
    <t>V33982</t>
  </si>
  <si>
    <t>MUNA  RAITA</t>
  </si>
  <si>
    <t>V28318</t>
  </si>
  <si>
    <t>PURUSHOTTAM  PRADHAN</t>
  </si>
  <si>
    <t>V28286</t>
  </si>
  <si>
    <t>SUSANTA  NAIK</t>
  </si>
  <si>
    <t>V28283</t>
  </si>
  <si>
    <t>ASHOK  MAHARANA</t>
  </si>
  <si>
    <t>V27415</t>
  </si>
  <si>
    <t>DEEPAK KUMAR NAYAK</t>
  </si>
  <si>
    <t>V25733</t>
  </si>
  <si>
    <t>GANESH CHANDRA BEHERA</t>
  </si>
  <si>
    <t>V25416</t>
  </si>
  <si>
    <t>KAPILESWAR  PAIK</t>
  </si>
  <si>
    <t>V24586</t>
  </si>
  <si>
    <t>SUSHANTA KUMAR SAHU</t>
  </si>
  <si>
    <t>V22785</t>
  </si>
  <si>
    <t>SRIKANTA  RAITA</t>
  </si>
  <si>
    <t>V22405</t>
  </si>
  <si>
    <t>SUDEEPTA  NAHAK</t>
  </si>
  <si>
    <t>V20519</t>
  </si>
  <si>
    <t>SUNIL KUMAR SAMAL</t>
  </si>
  <si>
    <t>V02120</t>
  </si>
  <si>
    <t>BIKASH KUMAR BHARATI</t>
  </si>
  <si>
    <t>V54134</t>
  </si>
  <si>
    <t>Badal  Bhoi</t>
  </si>
  <si>
    <t>V53268</t>
  </si>
  <si>
    <t>Pintu  Das</t>
  </si>
  <si>
    <t>V52246</t>
  </si>
  <si>
    <t>Lucky  Sahoo</t>
  </si>
  <si>
    <t>V49669</t>
  </si>
  <si>
    <t>Ramesh Chandra Das</t>
  </si>
  <si>
    <t>V45943</t>
  </si>
  <si>
    <t>Kuni  Behera</t>
  </si>
  <si>
    <t>V45942</t>
  </si>
  <si>
    <t>Debaki  Mahanandia</t>
  </si>
  <si>
    <t>V45941</t>
  </si>
  <si>
    <t>LAXMIKANTA  BEHERA</t>
  </si>
  <si>
    <t>V41080</t>
  </si>
  <si>
    <t>DHIREN  NAYAK</t>
  </si>
  <si>
    <t>V39225</t>
  </si>
  <si>
    <t>SASMITA  KANDI</t>
  </si>
  <si>
    <t>V39197</t>
  </si>
  <si>
    <t>SWAPNA  BEHERA</t>
  </si>
  <si>
    <t>V38913</t>
  </si>
  <si>
    <t>UMESH KUMAR MOHANTY</t>
  </si>
  <si>
    <t>V38433</t>
  </si>
  <si>
    <t>SASMITA  MALLIK</t>
  </si>
  <si>
    <t>V37728</t>
  </si>
  <si>
    <t>CHANDAN  SAHOO</t>
  </si>
  <si>
    <t>V31438</t>
  </si>
  <si>
    <t>TAMASA  NAYAK</t>
  </si>
  <si>
    <t>V28851</t>
  </si>
  <si>
    <t>RAJA  PRADHAN</t>
  </si>
  <si>
    <t>V28571</t>
  </si>
  <si>
    <t>SUBRAT  BARIK</t>
  </si>
  <si>
    <t>V28410</t>
  </si>
  <si>
    <t>PRAKASH  DASH</t>
  </si>
  <si>
    <t>V26495</t>
  </si>
  <si>
    <t>RANJAN KUMAR PRADHAN</t>
  </si>
  <si>
    <t>V24109</t>
  </si>
  <si>
    <t>NARAYAN  BEHERA</t>
  </si>
  <si>
    <t>V23912</t>
  </si>
  <si>
    <t>SURAJ  JENA</t>
  </si>
  <si>
    <t>V23617</t>
  </si>
  <si>
    <t>TAPASWANI  DAS</t>
  </si>
  <si>
    <t>V23203</t>
  </si>
  <si>
    <t>BARSHA PRIYADARSINI MUDULI</t>
  </si>
  <si>
    <t>V22893</t>
  </si>
  <si>
    <t>ABHISEK  KANUNGO</t>
  </si>
  <si>
    <t>V22547</t>
  </si>
  <si>
    <t>SURYAKANTA  DAS</t>
  </si>
  <si>
    <t>V21001</t>
  </si>
  <si>
    <t>SUDEEP KUMAR BHOI</t>
  </si>
  <si>
    <t>V20886</t>
  </si>
  <si>
    <t>NRUSINGHA CHARAN BEHERA</t>
  </si>
  <si>
    <t>V20639</t>
  </si>
  <si>
    <t>SIVA SANTOSH ACHARY</t>
  </si>
  <si>
    <t>V20544</t>
  </si>
  <si>
    <t>PRAKASH CHANDRA DAS</t>
  </si>
  <si>
    <t>V15575</t>
  </si>
  <si>
    <t>JNANARANJAN  JENA</t>
  </si>
  <si>
    <t>V12000</t>
  </si>
  <si>
    <t>GAJENDRA  MALLICK</t>
  </si>
  <si>
    <t>V03828</t>
  </si>
  <si>
    <t>Bhabesh Kumar Naik</t>
  </si>
  <si>
    <t>V53352</t>
  </si>
  <si>
    <t>Ritanjali  Sahoo</t>
  </si>
  <si>
    <t>V49402</t>
  </si>
  <si>
    <t>SUKANTA  MOHANTA</t>
  </si>
  <si>
    <t>V46433</t>
  </si>
  <si>
    <t>Sanjit Kumar Mohanta</t>
  </si>
  <si>
    <t>V45949</t>
  </si>
  <si>
    <t>ANUP KUMAR SI</t>
  </si>
  <si>
    <t>V42219</t>
  </si>
  <si>
    <t>PRABIN KUMAR SINGH</t>
  </si>
  <si>
    <t>V41498</t>
  </si>
  <si>
    <t>AJAY KUMAR MOHANTA</t>
  </si>
  <si>
    <t>V39172</t>
  </si>
  <si>
    <t>SUNIL  KUMAR SINGH</t>
  </si>
  <si>
    <t>V35235</t>
  </si>
  <si>
    <t>BHABAGRAHI MAHAKUD</t>
  </si>
  <si>
    <t>V35040</t>
  </si>
  <si>
    <t>MS. MEGHA PRIYADARSHINI DAS</t>
  </si>
  <si>
    <t>V34842</t>
  </si>
  <si>
    <t>MR. SADAN BEHERA</t>
  </si>
  <si>
    <t>V34678</t>
  </si>
  <si>
    <t>V34365</t>
  </si>
  <si>
    <t>DHANANJAY  MARNDI</t>
  </si>
  <si>
    <t>V31327</t>
  </si>
  <si>
    <t>MAMATA  MURMU</t>
  </si>
  <si>
    <t>V27904</t>
  </si>
  <si>
    <t>CHANDRADEV BINDHANI</t>
  </si>
  <si>
    <t>V27741</t>
  </si>
  <si>
    <t>KISHNA  SING</t>
  </si>
  <si>
    <t>V25130</t>
  </si>
  <si>
    <t>SUJIT KUMAR MARNDI</t>
  </si>
  <si>
    <t>V19465</t>
  </si>
  <si>
    <t>MUNIRAM  SING</t>
  </si>
  <si>
    <t>V19232</t>
  </si>
  <si>
    <t>SHYAM SUNDAR MOHANTY</t>
  </si>
  <si>
    <t>V18068</t>
  </si>
  <si>
    <t>LIPUN  MOHAPATRA</t>
  </si>
  <si>
    <t>V17863</t>
  </si>
  <si>
    <t>BHIMASEN  JENA</t>
  </si>
  <si>
    <t>V15777</t>
  </si>
  <si>
    <t>Ashrita  Minz</t>
  </si>
  <si>
    <t>V54281</t>
  </si>
  <si>
    <t>PADMINI  BADAIK</t>
  </si>
  <si>
    <t>V54280</t>
  </si>
  <si>
    <t>Nishant  Singh</t>
  </si>
  <si>
    <t>V54279</t>
  </si>
  <si>
    <t>SAPNA  KUMARI</t>
  </si>
  <si>
    <t>V53809</t>
  </si>
  <si>
    <t>Anupama  Kindo</t>
  </si>
  <si>
    <t>V52310</t>
  </si>
  <si>
    <t>DIBYALATA  KULLU</t>
  </si>
  <si>
    <t>V51935</t>
  </si>
  <si>
    <t>Srikant  Naik</t>
  </si>
  <si>
    <t>V51378</t>
  </si>
  <si>
    <t>Jagjiban  Singh</t>
  </si>
  <si>
    <t>V51236</t>
  </si>
  <si>
    <t>Prava  Ekka</t>
  </si>
  <si>
    <t>V50508</t>
  </si>
  <si>
    <t>Chayabati  Badaik</t>
  </si>
  <si>
    <t>V48961</t>
  </si>
  <si>
    <t>Sanjana Priya Mundary</t>
  </si>
  <si>
    <t>V48502</t>
  </si>
  <si>
    <t>Pooja  Lohar</t>
  </si>
  <si>
    <t>V48501</t>
  </si>
  <si>
    <t>Biswajit  Rout</t>
  </si>
  <si>
    <t>V47818</t>
  </si>
  <si>
    <t>MANOJ KUMAR BEHERA</t>
  </si>
  <si>
    <t>V46393</t>
  </si>
  <si>
    <t>JUNED  ALLI</t>
  </si>
  <si>
    <t>V46390</t>
  </si>
  <si>
    <t>Manju  Devi</t>
  </si>
  <si>
    <t>V46104</t>
  </si>
  <si>
    <t>Amrin  Khatun</t>
  </si>
  <si>
    <t>V46101</t>
  </si>
  <si>
    <t>SUJITA EKKA</t>
  </si>
  <si>
    <t>V35818</t>
  </si>
  <si>
    <t>PURUSOTTAM  MUKHI</t>
  </si>
  <si>
    <t>V33839</t>
  </si>
  <si>
    <t>BODRA  MURMU</t>
  </si>
  <si>
    <t>V31569</t>
  </si>
  <si>
    <t>NAKUL  TANTY</t>
  </si>
  <si>
    <t>V31568</t>
  </si>
  <si>
    <t>MELANI  LUGUN</t>
  </si>
  <si>
    <t>V29960</t>
  </si>
  <si>
    <t>NANDALAL  GOUD</t>
  </si>
  <si>
    <t>V22727</t>
  </si>
  <si>
    <t>SREEKANTA  PRADHAN</t>
  </si>
  <si>
    <t>V22590</t>
  </si>
  <si>
    <t>SUBODH  TOPPO</t>
  </si>
  <si>
    <t>V21294</t>
  </si>
  <si>
    <t>Bishwajit  Rout</t>
  </si>
  <si>
    <t>V54473</t>
  </si>
  <si>
    <t>Jitun Kumar Jena</t>
  </si>
  <si>
    <t>V53303</t>
  </si>
  <si>
    <t>DEEPAK KUMAR PATRA</t>
  </si>
  <si>
    <t>V49156</t>
  </si>
  <si>
    <t>PRITIMAYEE  SAHOO</t>
  </si>
  <si>
    <t>V48761</t>
  </si>
  <si>
    <t>SAMIR  GURU</t>
  </si>
  <si>
    <t>V48270</t>
  </si>
  <si>
    <t>Kalpana  Mohapatra</t>
  </si>
  <si>
    <t>V47721</t>
  </si>
  <si>
    <t>Sabitri  Pattnayak</t>
  </si>
  <si>
    <t>V45953</t>
  </si>
  <si>
    <t>Tikina  Baral</t>
  </si>
  <si>
    <t>V45952</t>
  </si>
  <si>
    <t>ASHUTOSH  BISWAL</t>
  </si>
  <si>
    <t>V42421</t>
  </si>
  <si>
    <t>PRADEEP  PENTHOI</t>
  </si>
  <si>
    <t>V42020</t>
  </si>
  <si>
    <t>CHITARANJAN  SWAIN</t>
  </si>
  <si>
    <t>V41545</t>
  </si>
  <si>
    <t>AKASH BALIARSINGH</t>
  </si>
  <si>
    <t>V36623</t>
  </si>
  <si>
    <t>LALKRUSHNA  DALEI</t>
  </si>
  <si>
    <t>V34225</t>
  </si>
  <si>
    <t>SUBRAT  PATASANI</t>
  </si>
  <si>
    <t>V34224</t>
  </si>
  <si>
    <t>POOJA  MOHANTY</t>
  </si>
  <si>
    <t>V34223</t>
  </si>
  <si>
    <t>RANJIT  SAHU</t>
  </si>
  <si>
    <t>V34222</t>
  </si>
  <si>
    <t>SAROJ  NAIK</t>
  </si>
  <si>
    <t>V28298</t>
  </si>
  <si>
    <t>SARALIKA  BISWAL</t>
  </si>
  <si>
    <t>V26453</t>
  </si>
  <si>
    <t>SIDHANT KUMAR SAHOO</t>
  </si>
  <si>
    <t>V26443</t>
  </si>
  <si>
    <t>GANESH SINGH</t>
  </si>
  <si>
    <t>V25207</t>
  </si>
  <si>
    <t>SUCHITRA ACHARYA</t>
  </si>
  <si>
    <t>V24890</t>
  </si>
  <si>
    <t>PRUTHIRAJ  PRADHAN</t>
  </si>
  <si>
    <t>V23889</t>
  </si>
  <si>
    <t>RADHARANI  PATALASINGH</t>
  </si>
  <si>
    <t>V23888</t>
  </si>
  <si>
    <t>SILU  NAYAK</t>
  </si>
  <si>
    <t>V23543</t>
  </si>
  <si>
    <t>SAMBIT KUMAR JENA</t>
  </si>
  <si>
    <t>V23076</t>
  </si>
  <si>
    <t>PUSPANJALI PRADHAN</t>
  </si>
  <si>
    <t>V22795</t>
  </si>
  <si>
    <t>RAKESH  PATASAHANI</t>
  </si>
  <si>
    <t>V22326</t>
  </si>
  <si>
    <t>102020955308</t>
  </si>
  <si>
    <t>SANJAY  SARDAR</t>
  </si>
  <si>
    <t>V21592</t>
  </si>
  <si>
    <t>RAMAKANTA  UTTARAY</t>
  </si>
  <si>
    <t>V02111</t>
  </si>
  <si>
    <t>JAYDEV  PATEL</t>
  </si>
  <si>
    <t>V54517</t>
  </si>
  <si>
    <t>Bhojayanti  Larang</t>
  </si>
  <si>
    <t>V46554</t>
  </si>
  <si>
    <t>Cholaganga  Sa</t>
  </si>
  <si>
    <t>V46447</t>
  </si>
  <si>
    <t>Lambini  Gardia</t>
  </si>
  <si>
    <t>V46444</t>
  </si>
  <si>
    <t>Paban Kumar Naik</t>
  </si>
  <si>
    <t>V46443</t>
  </si>
  <si>
    <t>Suresh Kumar Pradhan</t>
  </si>
  <si>
    <t>V45189</t>
  </si>
  <si>
    <t>LIPIKA  ROUT</t>
  </si>
  <si>
    <t>V40190</t>
  </si>
  <si>
    <t>RANJITA  MINZ</t>
  </si>
  <si>
    <t>V29001</t>
  </si>
  <si>
    <t>DEBASHIS  KUJUR</t>
  </si>
  <si>
    <t>V28577</t>
  </si>
  <si>
    <t>AKASHA  KUSUMA</t>
  </si>
  <si>
    <t>V28575</t>
  </si>
  <si>
    <t>BADAL  NAIK</t>
  </si>
  <si>
    <t>V28379</t>
  </si>
  <si>
    <t>HIRANYA  KISHAN</t>
  </si>
  <si>
    <t>V28378</t>
  </si>
  <si>
    <t>HARISH CHANDRA HASDA</t>
  </si>
  <si>
    <t>V26277</t>
  </si>
  <si>
    <t>MADHUMITA  KUNAR</t>
  </si>
  <si>
    <t>V23943</t>
  </si>
  <si>
    <t>SUMAN  NAIK</t>
  </si>
  <si>
    <t>V23942</t>
  </si>
  <si>
    <t>MANASI  MAHAKUL</t>
  </si>
  <si>
    <t>V22846</t>
  </si>
  <si>
    <t>BIRAJ  INDUAR</t>
  </si>
  <si>
    <t>V22267</t>
  </si>
  <si>
    <t>KESHAR  TAJAN</t>
  </si>
  <si>
    <t>V22040</t>
  </si>
  <si>
    <t>ABHIN  DUNGDUNG</t>
  </si>
  <si>
    <t>V17474</t>
  </si>
  <si>
    <t>JAGABANDHU  TAJAN</t>
  </si>
  <si>
    <t>V16251</t>
  </si>
  <si>
    <t>KISHORI  BAG</t>
  </si>
  <si>
    <t>V16245</t>
  </si>
  <si>
    <t>Chandana  Bhoi</t>
  </si>
  <si>
    <t>V46098</t>
  </si>
  <si>
    <t>PUJA PRIYADARSHINI OJHA</t>
  </si>
  <si>
    <t>V41880</t>
  </si>
  <si>
    <t>SUMANTA BEHERA</t>
  </si>
  <si>
    <t>V36942</t>
  </si>
  <si>
    <t>SIDHANTA DAS</t>
  </si>
  <si>
    <t>V36301</t>
  </si>
  <si>
    <t>BARSHA BEHERA</t>
  </si>
  <si>
    <t>V35593</t>
  </si>
  <si>
    <t>SATYANARAYAN  KARMI</t>
  </si>
  <si>
    <t>V26442</t>
  </si>
  <si>
    <t>TRILOCHAN  BEHERA</t>
  </si>
  <si>
    <t>V26441</t>
  </si>
  <si>
    <t>RANJEET KUMAR DAS</t>
  </si>
  <si>
    <t>V25696</t>
  </si>
  <si>
    <t>LAXMI PRIYA JENA</t>
  </si>
  <si>
    <t>V25289</t>
  </si>
  <si>
    <t>RAJAKISHOR  PRADHAN</t>
  </si>
  <si>
    <t>V25287</t>
  </si>
  <si>
    <t>ASHISH KUMAR SETHI</t>
  </si>
  <si>
    <t>V24946</t>
  </si>
  <si>
    <t>BIJAYALAXMI  PRADHAN</t>
  </si>
  <si>
    <t>V22976</t>
  </si>
  <si>
    <t>PINTU  CHAUDHURY</t>
  </si>
  <si>
    <t>V21631</t>
  </si>
  <si>
    <t>MENAKA  PRADHAN</t>
  </si>
  <si>
    <t>V20987</t>
  </si>
  <si>
    <t>PRAMATH KUMAR DAS</t>
  </si>
  <si>
    <t>V17983</t>
  </si>
  <si>
    <t>PINTU  TIADI</t>
  </si>
  <si>
    <t>V16075</t>
  </si>
  <si>
    <t>BIKASH  MALLICK</t>
  </si>
  <si>
    <t>V16038</t>
  </si>
  <si>
    <t>SAMAYA RANAJAN SETHI</t>
  </si>
  <si>
    <t>V16035</t>
  </si>
  <si>
    <t>Nitya Sundar Das</t>
  </si>
  <si>
    <t>V52444</t>
  </si>
  <si>
    <t>Vats  Purushottam</t>
  </si>
  <si>
    <t>V51684</t>
  </si>
  <si>
    <t>RATNAKAR  Barik</t>
  </si>
  <si>
    <t>V46668</t>
  </si>
  <si>
    <t>Niranjana  Jena</t>
  </si>
  <si>
    <t>V46456</t>
  </si>
  <si>
    <t>Sarathi  Behera</t>
  </si>
  <si>
    <t>V46451</t>
  </si>
  <si>
    <t>DASHARATH  DEHURI</t>
  </si>
  <si>
    <t>V46361</t>
  </si>
  <si>
    <t>Gurubari  Nath</t>
  </si>
  <si>
    <t>V46343</t>
  </si>
  <si>
    <t>Ranjita  Das</t>
  </si>
  <si>
    <t>V46340</t>
  </si>
  <si>
    <t>UPENDRA  SINGH</t>
  </si>
  <si>
    <t>V41242</t>
  </si>
  <si>
    <t>ASHOK  DAS</t>
  </si>
  <si>
    <t>V40848</t>
  </si>
  <si>
    <t>GUDU  SAHOO</t>
  </si>
  <si>
    <t>V40542</t>
  </si>
  <si>
    <t>SUBHASHREE  SAMAL</t>
  </si>
  <si>
    <t>V38757</t>
  </si>
  <si>
    <t>DEBENDRA GHOSH</t>
  </si>
  <si>
    <t>V36944</t>
  </si>
  <si>
    <t>NARAYAN JENA</t>
  </si>
  <si>
    <t>V36302</t>
  </si>
  <si>
    <t>CHANDAN KUMAR GHADAI</t>
  </si>
  <si>
    <t>V36284</t>
  </si>
  <si>
    <t>PRATIVA SAHOO</t>
  </si>
  <si>
    <t>V35527</t>
  </si>
  <si>
    <t>MS. SULAGNA NAYAK</t>
  </si>
  <si>
    <t>V35090</t>
  </si>
  <si>
    <t>MR. RABINARAYAN MOHAPATRA</t>
  </si>
  <si>
    <t>V35089</t>
  </si>
  <si>
    <t>CHINMAYA  MOHAPATRA</t>
  </si>
  <si>
    <t>V34220</t>
  </si>
  <si>
    <t>PUJARANI  POTHAL</t>
  </si>
  <si>
    <t>V33171</t>
  </si>
  <si>
    <t>BALARAM  PRADHAN</t>
  </si>
  <si>
    <t>V33166</t>
  </si>
  <si>
    <t>SATYABRATA  JENA</t>
  </si>
  <si>
    <t>V28129</t>
  </si>
  <si>
    <t>RABINDRA  KANDAR</t>
  </si>
  <si>
    <t>V27451</t>
  </si>
  <si>
    <t>TULASI  MOHANTY</t>
  </si>
  <si>
    <t>V26999</t>
  </si>
  <si>
    <t>BHARAT  SAHU</t>
  </si>
  <si>
    <t>V25159</t>
  </si>
  <si>
    <t>JAGANNATH  SAHOO</t>
  </si>
  <si>
    <t>V24983</t>
  </si>
  <si>
    <t>MANISHARANI  DAS</t>
  </si>
  <si>
    <t>V24114</t>
  </si>
  <si>
    <t>ANIL KUMAR MAHALIK</t>
  </si>
  <si>
    <t>V24083</t>
  </si>
  <si>
    <t>MINACHHA  PRADHAN</t>
  </si>
  <si>
    <t>V23155</t>
  </si>
  <si>
    <t>PRITAM KUMAR SAHOO</t>
  </si>
  <si>
    <t>V20923</t>
  </si>
  <si>
    <t>SANJAY KUMAR PARIDA</t>
  </si>
  <si>
    <t>V17157</t>
  </si>
  <si>
    <t>PRAKASH  NAYAK</t>
  </si>
  <si>
    <t>V10789</t>
  </si>
  <si>
    <t>Mami  Das</t>
  </si>
  <si>
    <t>V53204</t>
  </si>
  <si>
    <t>Ganga Dhar Mohanta</t>
  </si>
  <si>
    <t>V52316</t>
  </si>
  <si>
    <t>Rajendra  Moharana</t>
  </si>
  <si>
    <t>V52315</t>
  </si>
  <si>
    <t>Satyaranjan  Das</t>
  </si>
  <si>
    <t>V51660</t>
  </si>
  <si>
    <t>TUNMUN  SING</t>
  </si>
  <si>
    <t>V51659</t>
  </si>
  <si>
    <t>CHANDAN  DALEI</t>
  </si>
  <si>
    <t>V51657</t>
  </si>
  <si>
    <t>Subhrajit  Jena</t>
  </si>
  <si>
    <t>V50683</t>
  </si>
  <si>
    <t>JAGDISH  RANA</t>
  </si>
  <si>
    <t>V48361</t>
  </si>
  <si>
    <t>Purnima  Barik</t>
  </si>
  <si>
    <t>V47689</t>
  </si>
  <si>
    <t>Sumanta  Sethi</t>
  </si>
  <si>
    <t>V46339</t>
  </si>
  <si>
    <t>Ganesh  Tarei</t>
  </si>
  <si>
    <t>V45980</t>
  </si>
  <si>
    <t>Payel  Dolai</t>
  </si>
  <si>
    <t>V45979</t>
  </si>
  <si>
    <t>Shashanka Sekhar Lenka</t>
  </si>
  <si>
    <t>V45976</t>
  </si>
  <si>
    <t>Lalita  Das</t>
  </si>
  <si>
    <t>V45973</t>
  </si>
  <si>
    <t>Ranjit Kumar Das</t>
  </si>
  <si>
    <t>V45970</t>
  </si>
  <si>
    <t>Sukanti na Das</t>
  </si>
  <si>
    <t>V45968</t>
  </si>
  <si>
    <t>RASMITA  MOHAPATRA</t>
  </si>
  <si>
    <t>V42015</t>
  </si>
  <si>
    <t>LIPUN  SETHI</t>
  </si>
  <si>
    <t>V41248</t>
  </si>
  <si>
    <t>SANGRAM  SOREN</t>
  </si>
  <si>
    <t>V41247</t>
  </si>
  <si>
    <t>Suresh  Dhal</t>
  </si>
  <si>
    <t>V39302</t>
  </si>
  <si>
    <t>JANMEJAY  BEHERA</t>
  </si>
  <si>
    <t>V39294</t>
  </si>
  <si>
    <t>TANMAY  NAYAK</t>
  </si>
  <si>
    <t>V38845</t>
  </si>
  <si>
    <t>MAHESWAR  BEHERA</t>
  </si>
  <si>
    <t>V37735</t>
  </si>
  <si>
    <t>MANORANJAN  MOHANTA</t>
  </si>
  <si>
    <t>V28273</t>
  </si>
  <si>
    <t>SIBU  MAJHI</t>
  </si>
  <si>
    <t>V28114</t>
  </si>
  <si>
    <t>DHANURJAYA  SAHOO</t>
  </si>
  <si>
    <t>V27410</t>
  </si>
  <si>
    <t>SARITA  SAHOO</t>
  </si>
  <si>
    <t>V27409</t>
  </si>
  <si>
    <t>JNANENDRA  BEHERA</t>
  </si>
  <si>
    <t>V25884</t>
  </si>
  <si>
    <t>RANJIT DAS ADHIKARI</t>
  </si>
  <si>
    <t>V24685</t>
  </si>
  <si>
    <t>AJIT  BEHERA</t>
  </si>
  <si>
    <t>V23694</t>
  </si>
  <si>
    <t>BIKASH RANJAN BARIK</t>
  </si>
  <si>
    <t>V23619</t>
  </si>
  <si>
    <t>NAIBEDYA  MOHARANA</t>
  </si>
  <si>
    <t>V22462</t>
  </si>
  <si>
    <t>SAGAR KUMAR DAS</t>
  </si>
  <si>
    <t>V21737</t>
  </si>
  <si>
    <t>GURVA  HANSDAH</t>
  </si>
  <si>
    <t>V21272</t>
  </si>
  <si>
    <t>RAMESH CHANDRA BEHERA</t>
  </si>
  <si>
    <t>V19611</t>
  </si>
  <si>
    <t>GNYANA BALLAV BARIK</t>
  </si>
  <si>
    <t>V15974</t>
  </si>
  <si>
    <t>Prabhudatta  Behera</t>
  </si>
  <si>
    <t>V54432</t>
  </si>
  <si>
    <t>Shreeyarani  sahoo</t>
  </si>
  <si>
    <t>V54431</t>
  </si>
  <si>
    <t>Kusha  Mahakhud</t>
  </si>
  <si>
    <t>V54429</t>
  </si>
  <si>
    <t>Rahul  Behera</t>
  </si>
  <si>
    <t>V54427</t>
  </si>
  <si>
    <t>Babita  Nayak</t>
  </si>
  <si>
    <t>V54349</t>
  </si>
  <si>
    <t>Santosini  Dehury</t>
  </si>
  <si>
    <t>V54348</t>
  </si>
  <si>
    <t>Sunita  Behera</t>
  </si>
  <si>
    <t>V53276</t>
  </si>
  <si>
    <t>Biswajit  Barik</t>
  </si>
  <si>
    <t>V53275</t>
  </si>
  <si>
    <t>Maneesha  Naik</t>
  </si>
  <si>
    <t>V53274</t>
  </si>
  <si>
    <t>Dangi  Soren</t>
  </si>
  <si>
    <t>V52892</t>
  </si>
  <si>
    <t>Rojalin  Bhoi</t>
  </si>
  <si>
    <t>V52676</t>
  </si>
  <si>
    <t>Sushama  Naik</t>
  </si>
  <si>
    <t>V50588</t>
  </si>
  <si>
    <t>Trinath  Mukhi</t>
  </si>
  <si>
    <t>V49553</t>
  </si>
  <si>
    <t>Biswaranjan  Pradhan</t>
  </si>
  <si>
    <t>V49168</t>
  </si>
  <si>
    <t>Kuna  Behera</t>
  </si>
  <si>
    <t>V48753</t>
  </si>
  <si>
    <t>Panimani  Soren</t>
  </si>
  <si>
    <t>V48752</t>
  </si>
  <si>
    <t>KAMALINI  DEHURY</t>
  </si>
  <si>
    <t>V46346</t>
  </si>
  <si>
    <t>ASHARANI  BEHERA</t>
  </si>
  <si>
    <t>V44935</t>
  </si>
  <si>
    <t>Dipti  Sethi</t>
  </si>
  <si>
    <t>V44872</t>
  </si>
  <si>
    <t>Arup Avijit Sahu</t>
  </si>
  <si>
    <t>V44871</t>
  </si>
  <si>
    <t>Amiya Ranjan Nayak</t>
  </si>
  <si>
    <t>V44672</t>
  </si>
  <si>
    <t>Aditya Kumar Sahu</t>
  </si>
  <si>
    <t>V44290</t>
  </si>
  <si>
    <t>Biren  Naik</t>
  </si>
  <si>
    <t>V43939</t>
  </si>
  <si>
    <t>ASHOK KUMAR NAIK</t>
  </si>
  <si>
    <t>V41875</t>
  </si>
  <si>
    <t>ANITA  NAG</t>
  </si>
  <si>
    <t>V38420</t>
  </si>
  <si>
    <t>NAGEN  GOCHHAYAT</t>
  </si>
  <si>
    <t>V37509</t>
  </si>
  <si>
    <t>ANITA SUNDHI</t>
  </si>
  <si>
    <t>V35844</t>
  </si>
  <si>
    <t>KUNTI  SUNDHI</t>
  </si>
  <si>
    <t>V34471</t>
  </si>
  <si>
    <t>LOPAMUDRA  NAIK</t>
  </si>
  <si>
    <t>V34273</t>
  </si>
  <si>
    <t>LIJA  BEHERA</t>
  </si>
  <si>
    <t>V29487</t>
  </si>
  <si>
    <t>MANOJ  BEHERA</t>
  </si>
  <si>
    <t>V28981</t>
  </si>
  <si>
    <t>SANJIT  MUDULI</t>
  </si>
  <si>
    <t>V25919</t>
  </si>
  <si>
    <t>V21698</t>
  </si>
  <si>
    <t>BIPLABA  SAHOO</t>
  </si>
  <si>
    <t>V20404</t>
  </si>
  <si>
    <t>SK KHURSHID AHMED</t>
  </si>
  <si>
    <t>V19192</t>
  </si>
  <si>
    <t>PABITRA  SAHOO</t>
  </si>
  <si>
    <t>V14893</t>
  </si>
  <si>
    <t>CHIKUN KUMAR BEHERA</t>
  </si>
  <si>
    <t>V14652</t>
  </si>
  <si>
    <t>CHINMAY  DAS</t>
  </si>
  <si>
    <t>V52761</t>
  </si>
  <si>
    <t>Namrata  Majhee</t>
  </si>
  <si>
    <t>V47083</t>
  </si>
  <si>
    <t>SHUBHASMITA  MALIK</t>
  </si>
  <si>
    <t>V46487</t>
  </si>
  <si>
    <t>BADAL  MUKHI</t>
  </si>
  <si>
    <t>V46435</t>
  </si>
  <si>
    <t>Sushanta Kumar Behera</t>
  </si>
  <si>
    <t>V45912</t>
  </si>
  <si>
    <t>Basanti  Sahoo</t>
  </si>
  <si>
    <t>V45911</t>
  </si>
  <si>
    <t>SANJAY  JENA</t>
  </si>
  <si>
    <t>V43722</t>
  </si>
  <si>
    <t>BHOLANATH  MALLICK</t>
  </si>
  <si>
    <t>V43721</t>
  </si>
  <si>
    <t>SUMITRA  JENA</t>
  </si>
  <si>
    <t>V43720</t>
  </si>
  <si>
    <t>SUBALA  TARAI</t>
  </si>
  <si>
    <t>V42301</t>
  </si>
  <si>
    <t>PURNIMA  SAHOO</t>
  </si>
  <si>
    <t>V42299</t>
  </si>
  <si>
    <t>DILLIP  MOHANTY</t>
  </si>
  <si>
    <t>V41488</t>
  </si>
  <si>
    <t>SURESH KUMAR BEHERA</t>
  </si>
  <si>
    <t>V41244</t>
  </si>
  <si>
    <t>BHABANI SANKAR MALIK</t>
  </si>
  <si>
    <t>V41243</t>
  </si>
  <si>
    <t>DEBABRATA BISWAL</t>
  </si>
  <si>
    <t>V36391</t>
  </si>
  <si>
    <t>MR. MANORANJAN SING</t>
  </si>
  <si>
    <t>V34940</t>
  </si>
  <si>
    <t>MONALISA MALIK</t>
  </si>
  <si>
    <t>V34527</t>
  </si>
  <si>
    <t>ABINASH  BEHERA</t>
  </si>
  <si>
    <t>V30526</t>
  </si>
  <si>
    <t>MONALI  PRUSTY</t>
  </si>
  <si>
    <t>V28295</t>
  </si>
  <si>
    <t>RAJENDRA KUMAR BEHERA</t>
  </si>
  <si>
    <t>V28293</t>
  </si>
  <si>
    <t>SANTANU KUMAR PARIDA</t>
  </si>
  <si>
    <t>V22877</t>
  </si>
  <si>
    <t>ALOK KUMAR SAHOO</t>
  </si>
  <si>
    <t>V21396</t>
  </si>
  <si>
    <t>SADASIV  MALIK</t>
  </si>
  <si>
    <t>V12330</t>
  </si>
  <si>
    <t>Subhadarsini  Acharya</t>
  </si>
  <si>
    <t>V54595</t>
  </si>
  <si>
    <t>ANEEKET  SWAIN</t>
  </si>
  <si>
    <t>V53591</t>
  </si>
  <si>
    <t>Debendra  Nayak</t>
  </si>
  <si>
    <t>V48859</t>
  </si>
  <si>
    <t>GEETANJALI  RANA</t>
  </si>
  <si>
    <t>V48331</t>
  </si>
  <si>
    <t>Pradyumna Kumar Pradhan</t>
  </si>
  <si>
    <t>V47196</t>
  </si>
  <si>
    <t>NIRANJAN  DAS</t>
  </si>
  <si>
    <t>V45954</t>
  </si>
  <si>
    <t>MANASH KUMAR NAYAK</t>
  </si>
  <si>
    <t>V45734</t>
  </si>
  <si>
    <t>Debaki  Jani</t>
  </si>
  <si>
    <t>V43348</t>
  </si>
  <si>
    <t>Pujarani  Behera</t>
  </si>
  <si>
    <t>V43347</t>
  </si>
  <si>
    <t>Tikil  Bhoi</t>
  </si>
  <si>
    <t>V43346</t>
  </si>
  <si>
    <t>JAGAN PARIDA</t>
  </si>
  <si>
    <t>V36309</t>
  </si>
  <si>
    <t>PRITI PRAJNA SAMAL</t>
  </si>
  <si>
    <t>V35940</t>
  </si>
  <si>
    <t>MINA BHUE</t>
  </si>
  <si>
    <t>V35816</t>
  </si>
  <si>
    <t>ARUN KUMAR BEHERA</t>
  </si>
  <si>
    <t>V29000</t>
  </si>
  <si>
    <t>PRADEEP  MALLIK</t>
  </si>
  <si>
    <t>V28568</t>
  </si>
  <si>
    <t>KANCHAN  MAJHI</t>
  </si>
  <si>
    <t>V28444</t>
  </si>
  <si>
    <t>PRASANNA KUMAR SING</t>
  </si>
  <si>
    <t>V27933</t>
  </si>
  <si>
    <t>SURYAKANTA  BARIK</t>
  </si>
  <si>
    <t>V27840</t>
  </si>
  <si>
    <t>SASWAT KUMAR SAHOO</t>
  </si>
  <si>
    <t>V27533</t>
  </si>
  <si>
    <t>V25680</t>
  </si>
  <si>
    <t>MADHUSMITA  PATRA</t>
  </si>
  <si>
    <t>V24026</t>
  </si>
  <si>
    <t>PRIYAMBADA  MOHANTY</t>
  </si>
  <si>
    <t>V22648</t>
  </si>
  <si>
    <t>UTTARA  JANI</t>
  </si>
  <si>
    <t>V22394</t>
  </si>
  <si>
    <t>NAMITA  PREPAKA</t>
  </si>
  <si>
    <t>V21267</t>
  </si>
  <si>
    <t>SAMEER  ACHARI</t>
  </si>
  <si>
    <t>V16322</t>
  </si>
  <si>
    <t>SAGAR SUNDAR BARIK</t>
  </si>
  <si>
    <t>V14091</t>
  </si>
  <si>
    <t>SANJEET KUMAR TRIPATHY</t>
  </si>
  <si>
    <t>V11416</t>
  </si>
  <si>
    <t>Sarbeswar  Paramanik</t>
  </si>
  <si>
    <t>V53135</t>
  </si>
  <si>
    <t>AKSHAYA  MANGARAJ</t>
  </si>
  <si>
    <t>V51350</t>
  </si>
  <si>
    <t>Deepanjali  Pradhan</t>
  </si>
  <si>
    <t>V49762</t>
  </si>
  <si>
    <t>Susmita  Sahoo</t>
  </si>
  <si>
    <t>V48860</t>
  </si>
  <si>
    <t>JASHABANTA  NAIK</t>
  </si>
  <si>
    <t>V48377</t>
  </si>
  <si>
    <t>Abhimanyu  Khatei</t>
  </si>
  <si>
    <t>V48088</t>
  </si>
  <si>
    <t>Prakash Chandara Parhi</t>
  </si>
  <si>
    <t>V46614</t>
  </si>
  <si>
    <t>Hulas  Rout</t>
  </si>
  <si>
    <t>V46460</t>
  </si>
  <si>
    <t>DurgImani  Hembram</t>
  </si>
  <si>
    <t>V46412</t>
  </si>
  <si>
    <t>BISHAL  KHEDIA</t>
  </si>
  <si>
    <t>V41762</t>
  </si>
  <si>
    <t>PUJARANI  DAS</t>
  </si>
  <si>
    <t>V41323</t>
  </si>
  <si>
    <t>BASANTA  SAHOO</t>
  </si>
  <si>
    <t>V39787</t>
  </si>
  <si>
    <t>TAPABANDHAN  MAHARANA</t>
  </si>
  <si>
    <t>V39529</t>
  </si>
  <si>
    <t>CHITRASEN  MALLICK</t>
  </si>
  <si>
    <t>V37749</t>
  </si>
  <si>
    <t>SIBASUNDAR SETHI</t>
  </si>
  <si>
    <t>V36413</t>
  </si>
  <si>
    <t>DEEPAK SING</t>
  </si>
  <si>
    <t>V36412</t>
  </si>
  <si>
    <t>V35610</t>
  </si>
  <si>
    <t>RASMITA  PAREK</t>
  </si>
  <si>
    <t>V28569</t>
  </si>
  <si>
    <t>RAJESWAR  JANI</t>
  </si>
  <si>
    <t>V27944</t>
  </si>
  <si>
    <t>SURAJ  RAKSHIT</t>
  </si>
  <si>
    <t>V26018</t>
  </si>
  <si>
    <t>MANINI  DIGAL</t>
  </si>
  <si>
    <t>V25319</t>
  </si>
  <si>
    <t>DEEPAK KUMAR MUDULI</t>
  </si>
  <si>
    <t>V23086</t>
  </si>
  <si>
    <t>DEBASISH  PARIDA</t>
  </si>
  <si>
    <t>V22622</t>
  </si>
  <si>
    <t>MANOJ KUMAR SAHOO</t>
  </si>
  <si>
    <t>V22621</t>
  </si>
  <si>
    <t>SUKANT KUMAR ROUT</t>
  </si>
  <si>
    <t>V22582</t>
  </si>
  <si>
    <t>DEEPAK KUMAR SAHOO</t>
  </si>
  <si>
    <t>V21827</t>
  </si>
  <si>
    <t>102020955878</t>
  </si>
  <si>
    <t>SAMIR KUMAR RAUT</t>
  </si>
  <si>
    <t>V20548</t>
  </si>
  <si>
    <t>PRADIPTA  MUDULI</t>
  </si>
  <si>
    <t>V16165</t>
  </si>
  <si>
    <t>PANCHALI  SETHI</t>
  </si>
  <si>
    <t>V14515</t>
  </si>
  <si>
    <t>PRADIP KUMAR PATNAYAK</t>
  </si>
  <si>
    <t>V14484</t>
  </si>
  <si>
    <t>PRABIN  SAHOO</t>
  </si>
  <si>
    <t>V13644</t>
  </si>
  <si>
    <t>MAHESWAR  SETHI</t>
  </si>
  <si>
    <t>V10933</t>
  </si>
  <si>
    <t>SUJIT  NAYAK</t>
  </si>
  <si>
    <t>V10586</t>
  </si>
  <si>
    <t>Balaram  Gadaba</t>
  </si>
  <si>
    <t>V50197</t>
  </si>
  <si>
    <t>JITU  MATTAM</t>
  </si>
  <si>
    <t>V48759</t>
  </si>
  <si>
    <t>Madhu  Penthia</t>
  </si>
  <si>
    <t>V47801</t>
  </si>
  <si>
    <t>Sunita  Khora</t>
  </si>
  <si>
    <t>V47799</t>
  </si>
  <si>
    <t>Sukanti  Maharana</t>
  </si>
  <si>
    <t>V45951</t>
  </si>
  <si>
    <t>Rukumani  Khosla</t>
  </si>
  <si>
    <t>V45950</t>
  </si>
  <si>
    <t>DILLIP KUMAR SAHOO</t>
  </si>
  <si>
    <t>V38920</t>
  </si>
  <si>
    <t>TULASIRAM  PANGI</t>
  </si>
  <si>
    <t>V34439</t>
  </si>
  <si>
    <t>KARNA  KUMBHAR</t>
  </si>
  <si>
    <t>V24352</t>
  </si>
  <si>
    <t>MANASMITA  KHARA</t>
  </si>
  <si>
    <t>V22722</t>
  </si>
  <si>
    <t>KARTIK  KHILLO</t>
  </si>
  <si>
    <t>V20894</t>
  </si>
  <si>
    <t>GAYA CHAND SETHY</t>
  </si>
  <si>
    <t>V20767</t>
  </si>
  <si>
    <t>GOBINDA  KHILLO</t>
  </si>
  <si>
    <t>V20543</t>
  </si>
  <si>
    <t>RAJENDRA  KHILO</t>
  </si>
  <si>
    <t>V13445</t>
  </si>
  <si>
    <t>SASMITA  NAG</t>
  </si>
  <si>
    <t>V13384</t>
  </si>
  <si>
    <t>SIBA  MAJHI</t>
  </si>
  <si>
    <t>V13169</t>
  </si>
  <si>
    <t>RABI  PRADHANI</t>
  </si>
  <si>
    <t>V12146</t>
  </si>
  <si>
    <t>NIKHIL  NAIK</t>
  </si>
  <si>
    <t>V11777</t>
  </si>
  <si>
    <t>JEETENDRA KUMAR SAHU</t>
  </si>
  <si>
    <t>V10035</t>
  </si>
  <si>
    <t>SUJIT KUMAR SWAIN</t>
  </si>
  <si>
    <t>V02178</t>
  </si>
  <si>
    <t>Lipsa  Das</t>
  </si>
  <si>
    <t>V54346</t>
  </si>
  <si>
    <t>Sagar  Soren</t>
  </si>
  <si>
    <t>V54135</t>
  </si>
  <si>
    <t>DINABANDHU  MADKAMI</t>
  </si>
  <si>
    <t>V53449</t>
  </si>
  <si>
    <t>BARIAL  BESHRA</t>
  </si>
  <si>
    <t>V53448</t>
  </si>
  <si>
    <t>Jagannath  Nayak</t>
  </si>
  <si>
    <t>V52994</t>
  </si>
  <si>
    <t>Jagadish  Sahoo</t>
  </si>
  <si>
    <t>V52799</t>
  </si>
  <si>
    <t>Sanjoy  Paul</t>
  </si>
  <si>
    <t>V52790</t>
  </si>
  <si>
    <t>PRITI RANJAN NAYAK</t>
  </si>
  <si>
    <t>V51793</t>
  </si>
  <si>
    <t>SUMALA  NAYAK</t>
  </si>
  <si>
    <t>V51545</t>
  </si>
  <si>
    <t>Rudra Pratap Maharana</t>
  </si>
  <si>
    <t>V50257</t>
  </si>
  <si>
    <t>Jayant  Pattanaik</t>
  </si>
  <si>
    <t>V47048</t>
  </si>
  <si>
    <t>V45939</t>
  </si>
  <si>
    <t>Sania  Baliarsingh</t>
  </si>
  <si>
    <t>V45938</t>
  </si>
  <si>
    <t>RACHANA  BEHERA</t>
  </si>
  <si>
    <t>V39607</t>
  </si>
  <si>
    <t>GAYATRI  BEJ</t>
  </si>
  <si>
    <t>V37865</t>
  </si>
  <si>
    <t>MENAKA  PADHAN</t>
  </si>
  <si>
    <t>V37864</t>
  </si>
  <si>
    <t>JITARANJAN BEHERA</t>
  </si>
  <si>
    <t>V37003</t>
  </si>
  <si>
    <t>BARSHARANI ROUT</t>
  </si>
  <si>
    <t>V35327</t>
  </si>
  <si>
    <t>DIPAK  MALIK</t>
  </si>
  <si>
    <t>V30045</t>
  </si>
  <si>
    <t>ANAJA  PRADHAN</t>
  </si>
  <si>
    <t>V28920</t>
  </si>
  <si>
    <t>MADHUSMITA  SWAIN</t>
  </si>
  <si>
    <t>V28303</t>
  </si>
  <si>
    <t>DILLIP KUMAR PANI</t>
  </si>
  <si>
    <t>V26192</t>
  </si>
  <si>
    <t>RAJENDRA  HEMBRAM</t>
  </si>
  <si>
    <t>V25264</t>
  </si>
  <si>
    <t>SANTOSH KUMAR MAHARATHI</t>
  </si>
  <si>
    <t>V19266</t>
  </si>
  <si>
    <t>SIDHANT KUMAR PADHAN</t>
  </si>
  <si>
    <t>V18176</t>
  </si>
  <si>
    <t>CHINTU  DIGAL</t>
  </si>
  <si>
    <t>V17922</t>
  </si>
  <si>
    <t>RAMA CHANDRA MOHAPATRA</t>
  </si>
  <si>
    <t>V10545</t>
  </si>
  <si>
    <t>AMULYA KUMAR JANA</t>
  </si>
  <si>
    <t>V09469</t>
  </si>
  <si>
    <t>ASHOK KUMAR DUTTA</t>
  </si>
  <si>
    <t>V08403</t>
  </si>
  <si>
    <t>V08387</t>
  </si>
  <si>
    <t>MD TALIB HUSSAIN</t>
  </si>
  <si>
    <t>V53888</t>
  </si>
  <si>
    <t>SAIRAM  MOHANTY</t>
  </si>
  <si>
    <t>V52206</t>
  </si>
  <si>
    <t>DEBASHIS  RAY</t>
  </si>
  <si>
    <t>V52205</t>
  </si>
  <si>
    <t>Rabindra  Sahoo</t>
  </si>
  <si>
    <t>V50135</t>
  </si>
  <si>
    <t>Biswaranjan  Rout</t>
  </si>
  <si>
    <t>V49497</t>
  </si>
  <si>
    <t>Sujan  Patra</t>
  </si>
  <si>
    <t>V47373</t>
  </si>
  <si>
    <t>Saumyadip  Satyasorup</t>
  </si>
  <si>
    <t>V47369</t>
  </si>
  <si>
    <t>ARJUN  MEHER</t>
  </si>
  <si>
    <t>V46777</t>
  </si>
  <si>
    <t>SARITA  BEHURIA</t>
  </si>
  <si>
    <t>V46776</t>
  </si>
  <si>
    <t>NANDINI  PATRA</t>
  </si>
  <si>
    <t>V45895</t>
  </si>
  <si>
    <t>JAYANTI  DAS</t>
  </si>
  <si>
    <t>V45894</t>
  </si>
  <si>
    <t>SARADA PRASAD NAYAK</t>
  </si>
  <si>
    <t>V38626</t>
  </si>
  <si>
    <t>MONALI  PRADHAN</t>
  </si>
  <si>
    <t>V38001</t>
  </si>
  <si>
    <t>RAHUL SAHOO</t>
  </si>
  <si>
    <t>V35779</t>
  </si>
  <si>
    <t>BADAL  SASMAL</t>
  </si>
  <si>
    <t>V35140</t>
  </si>
  <si>
    <t>SASMITA  NAYAK</t>
  </si>
  <si>
    <t>V28140</t>
  </si>
  <si>
    <t>RASMITA  SAMAL</t>
  </si>
  <si>
    <t>V23031</t>
  </si>
  <si>
    <t>SHAIKH  BASIT</t>
  </si>
  <si>
    <t>V22975</t>
  </si>
  <si>
    <t>SURYAKANTA  JENA</t>
  </si>
  <si>
    <t>V22974</t>
  </si>
  <si>
    <t>RANJIT  SWAIN</t>
  </si>
  <si>
    <t>V22223</t>
  </si>
  <si>
    <t>PRADEEP  BEHERA</t>
  </si>
  <si>
    <t>V21376</t>
  </si>
  <si>
    <t>SOUMYAJIT  SAHOO</t>
  </si>
  <si>
    <t>V20514</t>
  </si>
  <si>
    <t>ANIL KUMAR CHAND</t>
  </si>
  <si>
    <t>V18141</t>
  </si>
  <si>
    <t>BINATA  MALLICK</t>
  </si>
  <si>
    <t>V14831</t>
  </si>
  <si>
    <t>RAJESH KUMAR BARIK</t>
  </si>
  <si>
    <t>V03829</t>
  </si>
  <si>
    <t>SUBHALAXMI  DHALA</t>
  </si>
  <si>
    <t>V01817</t>
  </si>
  <si>
    <t>BASUDEV  MAHAPATRA</t>
  </si>
  <si>
    <t>V01806</t>
  </si>
  <si>
    <t>Papun Kumar Parida</t>
  </si>
  <si>
    <t>V54440</t>
  </si>
  <si>
    <t>RUPAK KUMAR  JENA</t>
  </si>
  <si>
    <t>V53302</t>
  </si>
  <si>
    <t>MILTON  PARICHHA</t>
  </si>
  <si>
    <t>V53299</t>
  </si>
  <si>
    <t>Atiniel  Gamango</t>
  </si>
  <si>
    <t>V53298</t>
  </si>
  <si>
    <t>DEEPI  GOUDA</t>
  </si>
  <si>
    <t>V53297</t>
  </si>
  <si>
    <t>B KALI DAS</t>
  </si>
  <si>
    <t>V53296</t>
  </si>
  <si>
    <t>Bebina  Bhuyan</t>
  </si>
  <si>
    <t>V53137</t>
  </si>
  <si>
    <t>Kaspar  Mandal</t>
  </si>
  <si>
    <t>V53136</t>
  </si>
  <si>
    <t>Deepak Kumar Das</t>
  </si>
  <si>
    <t>V52681</t>
  </si>
  <si>
    <t>Jisaya  Dalabehera</t>
  </si>
  <si>
    <t>V52679</t>
  </si>
  <si>
    <t>D PRATAP  RAO</t>
  </si>
  <si>
    <t>V51933</t>
  </si>
  <si>
    <t>VICKY  SAHU</t>
  </si>
  <si>
    <t>V51306</t>
  </si>
  <si>
    <t>Pramod Kumar Patra</t>
  </si>
  <si>
    <t>V49858</t>
  </si>
  <si>
    <t>Sudhira  Raita</t>
  </si>
  <si>
    <t>V49856</t>
  </si>
  <si>
    <t>Sudam  Mandal</t>
  </si>
  <si>
    <t>V49351</t>
  </si>
  <si>
    <t>Sagar  Nayak</t>
  </si>
  <si>
    <t>V49349</t>
  </si>
  <si>
    <t>Jugal Kishor Sethia</t>
  </si>
  <si>
    <t>V49252</t>
  </si>
  <si>
    <t>SIBANI  SAHU</t>
  </si>
  <si>
    <t>V48448</t>
  </si>
  <si>
    <t>PRABHATI  NAIK</t>
  </si>
  <si>
    <t>V41550</t>
  </si>
  <si>
    <t>PINKI  GAMANGO</t>
  </si>
  <si>
    <t>V40993</t>
  </si>
  <si>
    <t>T.RANJAN  PATRA</t>
  </si>
  <si>
    <t>V40406</t>
  </si>
  <si>
    <t>ALOK  MAHARANA</t>
  </si>
  <si>
    <t>V39470</t>
  </si>
  <si>
    <t>MAMATA  SETHY</t>
  </si>
  <si>
    <t>V37348</t>
  </si>
  <si>
    <t>MR. SHAKTI PRASAD DAS</t>
  </si>
  <si>
    <t>V34670</t>
  </si>
  <si>
    <t>SANJAN  SETHI</t>
  </si>
  <si>
    <t>V32579</t>
  </si>
  <si>
    <t>BALAKRISHNA  LENKA</t>
  </si>
  <si>
    <t>V30380</t>
  </si>
  <si>
    <t>BIRENDRA KUMAR MANDAL</t>
  </si>
  <si>
    <t>V29583</t>
  </si>
  <si>
    <t>ABINASH  MOHARANA</t>
  </si>
  <si>
    <t>V28039</t>
  </si>
  <si>
    <t>ASHOK KUMAR MANDAL</t>
  </si>
  <si>
    <t>V26074</t>
  </si>
  <si>
    <t>MITHUN  GOUDA</t>
  </si>
  <si>
    <t>V25763</t>
  </si>
  <si>
    <t>SUSHAMA SETHY SETHY</t>
  </si>
  <si>
    <t>V24171</t>
  </si>
  <si>
    <t>BULU  DAKUA</t>
  </si>
  <si>
    <t>V24119</t>
  </si>
  <si>
    <t>SRIKANTA  SABAR</t>
  </si>
  <si>
    <t>V23379</t>
  </si>
  <si>
    <t>SUBRAT  PENTHOI</t>
  </si>
  <si>
    <t>V22304</t>
  </si>
  <si>
    <t>SURANJAN  SABAR</t>
  </si>
  <si>
    <t>V21817</t>
  </si>
  <si>
    <t>TAPAN KUMAR BARIK</t>
  </si>
  <si>
    <t>V20008</t>
  </si>
  <si>
    <t>SIBASISH  PADHI</t>
  </si>
  <si>
    <t>V18392</t>
  </si>
  <si>
    <t>ASHUTOSH KUMAR PADHY</t>
  </si>
  <si>
    <t>V17942</t>
  </si>
  <si>
    <t>SIBABRATA  PATNAIK</t>
  </si>
  <si>
    <t>V09486</t>
  </si>
  <si>
    <t>KAMAL LOCHAN PATRA</t>
  </si>
  <si>
    <t>V08374</t>
  </si>
  <si>
    <t>SATYA NARAYAN NAYAK</t>
  </si>
  <si>
    <t>V00521</t>
  </si>
  <si>
    <t>Sarangthem Malemnganba Singh</t>
  </si>
  <si>
    <t>V45749</t>
  </si>
  <si>
    <t>Dibakar  Deb</t>
  </si>
  <si>
    <t>V54619</t>
  </si>
  <si>
    <t>Sumit  Das</t>
  </si>
  <si>
    <t>V52935</t>
  </si>
  <si>
    <t>CHONGTHAM PRIYANKA DEVI</t>
  </si>
  <si>
    <t>V51891</t>
  </si>
  <si>
    <t>CAROLIN  KHAIDEM</t>
  </si>
  <si>
    <t>V51890</t>
  </si>
  <si>
    <t>Mangsadam  Lucky</t>
  </si>
  <si>
    <t>V46176</t>
  </si>
  <si>
    <t>Md Wakip Ahmed</t>
  </si>
  <si>
    <t>V45748</t>
  </si>
  <si>
    <t>Yumkhaibam Mangalsana Meitei</t>
  </si>
  <si>
    <t>V45747</t>
  </si>
  <si>
    <t>Thounaojam Chingkheinganba Meitei</t>
  </si>
  <si>
    <t>V45746</t>
  </si>
  <si>
    <t>Thokchom  Tinglam</t>
  </si>
  <si>
    <t>V45649</t>
  </si>
  <si>
    <t>Taniya  Leimapokpam</t>
  </si>
  <si>
    <t>V45648</t>
  </si>
  <si>
    <t>SAMADRAM THOIBI CHANU</t>
  </si>
  <si>
    <t>V45647</t>
  </si>
  <si>
    <t>Ahongshangbam Sonia Chanu</t>
  </si>
  <si>
    <t>V45130</t>
  </si>
  <si>
    <t>Hidam Sheitabala Devi</t>
  </si>
  <si>
    <t>V45111</t>
  </si>
  <si>
    <t>Yambem Roshan Singh</t>
  </si>
  <si>
    <t>V44532</t>
  </si>
  <si>
    <t>Lourembam Daina Devi</t>
  </si>
  <si>
    <t>V44528</t>
  </si>
  <si>
    <t>Jangsinliu  Kamei</t>
  </si>
  <si>
    <t>V44496</t>
  </si>
  <si>
    <t>Khadangbam Jenish Devi</t>
  </si>
  <si>
    <t>V44441</t>
  </si>
  <si>
    <t>Prasanto  Das</t>
  </si>
  <si>
    <t>V44440</t>
  </si>
  <si>
    <t>Leimapokpam Manisana Singh</t>
  </si>
  <si>
    <t>V44439</t>
  </si>
  <si>
    <t>Moirangthem Nehru Singh</t>
  </si>
  <si>
    <t>V44435</t>
  </si>
  <si>
    <t>Sarangthem Plato Meitei</t>
  </si>
  <si>
    <t>V44433</t>
  </si>
  <si>
    <t>TEISOVILIE</t>
  </si>
  <si>
    <t>V52099</t>
  </si>
  <si>
    <t>PRANJYOTI  RAY</t>
  </si>
  <si>
    <t>V42186</t>
  </si>
  <si>
    <t>PALLAB  DAS</t>
  </si>
  <si>
    <t>V40481</t>
  </si>
  <si>
    <t>ANKUR  DAS</t>
  </si>
  <si>
    <t>V33848</t>
  </si>
  <si>
    <t>Pauzaigumbe</t>
  </si>
  <si>
    <t>V53295</t>
  </si>
  <si>
    <t>Akash  Mili</t>
  </si>
  <si>
    <t>V52908</t>
  </si>
  <si>
    <t>SHAMPA N KONYAK</t>
  </si>
  <si>
    <t>V52906</t>
  </si>
  <si>
    <t>MOPA C KONYAK</t>
  </si>
  <si>
    <t>V52901</t>
  </si>
  <si>
    <t>Debandra  Mili</t>
  </si>
  <si>
    <t>V52657</t>
  </si>
  <si>
    <t>Promot  Kagyung</t>
  </si>
  <si>
    <t>V52440</t>
  </si>
  <si>
    <t>ABINASH  DOLY</t>
  </si>
  <si>
    <t>V52404</t>
  </si>
  <si>
    <t>Jerry M Kikon</t>
  </si>
  <si>
    <t>V50309</t>
  </si>
  <si>
    <t>Kulboto  Kulnu</t>
  </si>
  <si>
    <t>V50073</t>
  </si>
  <si>
    <t>Keertan  Thapa</t>
  </si>
  <si>
    <t>V50071</t>
  </si>
  <si>
    <t>Subam  Kar</t>
  </si>
  <si>
    <t>V50015</t>
  </si>
  <si>
    <t>Ilungdiak</t>
  </si>
  <si>
    <t>V49757</t>
  </si>
  <si>
    <t>Kuputo N Sumi</t>
  </si>
  <si>
    <t>V49756</t>
  </si>
  <si>
    <t>Benica  Sumi</t>
  </si>
  <si>
    <t>V48004</t>
  </si>
  <si>
    <t>Kewinkiune</t>
  </si>
  <si>
    <t>V48003</t>
  </si>
  <si>
    <t>Winchai  Phom</t>
  </si>
  <si>
    <t>V47622</t>
  </si>
  <si>
    <t>Phangnyu  Phom</t>
  </si>
  <si>
    <t>V47621</t>
  </si>
  <si>
    <t>Soniya  Gupta</t>
  </si>
  <si>
    <t>V47066</t>
  </si>
  <si>
    <t>Kivito</t>
  </si>
  <si>
    <t>V46105</t>
  </si>
  <si>
    <t>Priya  Gurung</t>
  </si>
  <si>
    <t>V45078</t>
  </si>
  <si>
    <t>Shanti  Debnath</t>
  </si>
  <si>
    <t>V44593</t>
  </si>
  <si>
    <t>Ganesh  Basumatary</t>
  </si>
  <si>
    <t>V44078</t>
  </si>
  <si>
    <t>EMMANUEL  YEPTHOMI</t>
  </si>
  <si>
    <t>V42401</t>
  </si>
  <si>
    <t>Dibakar  Nayak</t>
  </si>
  <si>
    <t>V41060</t>
  </si>
  <si>
    <t>ROSELIN  KIPGEN</t>
  </si>
  <si>
    <t>V39985</t>
  </si>
  <si>
    <t>MAIDING  JIGDUNG</t>
  </si>
  <si>
    <t>V39079</t>
  </si>
  <si>
    <t>KASSAN  SANGMA</t>
  </si>
  <si>
    <t>V39078</t>
  </si>
  <si>
    <t>DENLONG Y  PHOM</t>
  </si>
  <si>
    <t>V38974</t>
  </si>
  <si>
    <t>LOVITO K  SWU</t>
  </si>
  <si>
    <t>V38973</t>
  </si>
  <si>
    <t>LAAM  B</t>
  </si>
  <si>
    <t>V38963</t>
  </si>
  <si>
    <t>P JULIVI JULIVI SUMI</t>
  </si>
  <si>
    <t>V38829</t>
  </si>
  <si>
    <t>MR. DIPAK BORGOHAIN</t>
  </si>
  <si>
    <t>V34913</t>
  </si>
  <si>
    <t>SUNTANU  HAZARIKA</t>
  </si>
  <si>
    <t>V13903</t>
  </si>
  <si>
    <t>Biki  Nag</t>
  </si>
  <si>
    <t>V54479</t>
  </si>
  <si>
    <t>RAJKUMAR  CHOUHAN</t>
  </si>
  <si>
    <t>V53490</t>
  </si>
  <si>
    <t>GRACESTER  DAIMARI</t>
  </si>
  <si>
    <t>V51611</t>
  </si>
  <si>
    <t>MERISHA  BASUMATARI</t>
  </si>
  <si>
    <t>V51610</t>
  </si>
  <si>
    <t>Julina  Daimari</t>
  </si>
  <si>
    <t>V50390</t>
  </si>
  <si>
    <t>Dhananjoy  Ghosh</t>
  </si>
  <si>
    <t>V50273</t>
  </si>
  <si>
    <t>Himashree  Pathak</t>
  </si>
  <si>
    <t>V50271</t>
  </si>
  <si>
    <t>Ankur  Baruah</t>
  </si>
  <si>
    <t>V50268</t>
  </si>
  <si>
    <t>Bikram  Daimari</t>
  </si>
  <si>
    <t>V50256</t>
  </si>
  <si>
    <t>Modotsha  Daimary</t>
  </si>
  <si>
    <t>V50191</t>
  </si>
  <si>
    <t>Sibithai  Daimary</t>
  </si>
  <si>
    <t>V50190</t>
  </si>
  <si>
    <t>Gopal  Rabha</t>
  </si>
  <si>
    <t>V50189</t>
  </si>
  <si>
    <t>Pranjit  Rabha</t>
  </si>
  <si>
    <t>V50188</t>
  </si>
  <si>
    <t>Jafungshar  Basumatary</t>
  </si>
  <si>
    <t>V50187</t>
  </si>
  <si>
    <t>Parag  Baishya</t>
  </si>
  <si>
    <t>V50064</t>
  </si>
  <si>
    <t>Nerswn  Basumatary</t>
  </si>
  <si>
    <t>V49828</t>
  </si>
  <si>
    <t>Guneswari  Swargiari</t>
  </si>
  <si>
    <t>V49827</t>
  </si>
  <si>
    <t>Bilifang  Basumatary</t>
  </si>
  <si>
    <t>V49637</t>
  </si>
  <si>
    <t>Dipali  Goyary</t>
  </si>
  <si>
    <t>V49636</t>
  </si>
  <si>
    <t>Gopal  Boro</t>
  </si>
  <si>
    <t>V49634</t>
  </si>
  <si>
    <t>Kaushik  Kalita</t>
  </si>
  <si>
    <t>V49632</t>
  </si>
  <si>
    <t>Rinkumoni  Das</t>
  </si>
  <si>
    <t>V49629</t>
  </si>
  <si>
    <t>Trinayan  Rabha</t>
  </si>
  <si>
    <t>V49609</t>
  </si>
  <si>
    <t>Bornali  Changmai</t>
  </si>
  <si>
    <t>V49608</t>
  </si>
  <si>
    <t>Himjit  Deka</t>
  </si>
  <si>
    <t>V49299</t>
  </si>
  <si>
    <t>Dip  Chutia</t>
  </si>
  <si>
    <t>V49135</t>
  </si>
  <si>
    <t>TILAK  CHETRI</t>
  </si>
  <si>
    <t>V48171</t>
  </si>
  <si>
    <t>PRANAV  RABHA</t>
  </si>
  <si>
    <t>V47176</t>
  </si>
  <si>
    <t>Pranjal  Boruah</t>
  </si>
  <si>
    <t>V44374</t>
  </si>
  <si>
    <t>KRIPANANDA  NATH</t>
  </si>
  <si>
    <t>V53761</t>
  </si>
  <si>
    <t>Parag  Nath</t>
  </si>
  <si>
    <t>V52500</t>
  </si>
  <si>
    <t>Diku  Nath</t>
  </si>
  <si>
    <t>V52498</t>
  </si>
  <si>
    <t>Tafikar  Rahman</t>
  </si>
  <si>
    <t>V51881</t>
  </si>
  <si>
    <t>Dharmendra  Nath</t>
  </si>
  <si>
    <t>V51336</t>
  </si>
  <si>
    <t>GAYETRI  BORA</t>
  </si>
  <si>
    <t>V51335</t>
  </si>
  <si>
    <t>HIRAK JYOTI  DEAORI</t>
  </si>
  <si>
    <t>V51334</t>
  </si>
  <si>
    <t>MADHURJYA  KAKATI</t>
  </si>
  <si>
    <t>V51333</t>
  </si>
  <si>
    <t>Susmita  Barman</t>
  </si>
  <si>
    <t>V51058</t>
  </si>
  <si>
    <t>Hasmir Rafsanjani Ahmed</t>
  </si>
  <si>
    <t>V50573</t>
  </si>
  <si>
    <t>Gyandeep  Bora</t>
  </si>
  <si>
    <t>V47742</t>
  </si>
  <si>
    <t>Bubu  Bordoloi</t>
  </si>
  <si>
    <t>V47739</t>
  </si>
  <si>
    <t>Bijoy  Deka</t>
  </si>
  <si>
    <t>V47738</t>
  </si>
  <si>
    <t>Jayanta  Dutta</t>
  </si>
  <si>
    <t>V47078</t>
  </si>
  <si>
    <t>Niharika Devi Biswas</t>
  </si>
  <si>
    <t>V46016</t>
  </si>
  <si>
    <t>Niharika  Patar</t>
  </si>
  <si>
    <t>V45850</t>
  </si>
  <si>
    <t>Garima  Deka</t>
  </si>
  <si>
    <t>V45833</t>
  </si>
  <si>
    <t>NIRUPAM  SENAPATI</t>
  </si>
  <si>
    <t>V43765</t>
  </si>
  <si>
    <t>RABITA  DEVI</t>
  </si>
  <si>
    <t>V30527</t>
  </si>
  <si>
    <t>DIGANTA  TANTI</t>
  </si>
  <si>
    <t>V29604</t>
  </si>
  <si>
    <t>DHAN MANI BAISHYA</t>
  </si>
  <si>
    <t>V24578</t>
  </si>
  <si>
    <t>Rahul  Duwara</t>
  </si>
  <si>
    <t>V51056</t>
  </si>
  <si>
    <t>Azizul  Hoque</t>
  </si>
  <si>
    <t>V51055</t>
  </si>
  <si>
    <t>Layan  Boro</t>
  </si>
  <si>
    <t>V50435</t>
  </si>
  <si>
    <t>Rima  Begum</t>
  </si>
  <si>
    <t>V50434</t>
  </si>
  <si>
    <t>Pulak  Bania</t>
  </si>
  <si>
    <t>V48454</t>
  </si>
  <si>
    <t>Ankit Kumar Rai</t>
  </si>
  <si>
    <t>V47201</t>
  </si>
  <si>
    <t>Maniruddin  Ahmed</t>
  </si>
  <si>
    <t>V47199</t>
  </si>
  <si>
    <t>Kukil  Deka</t>
  </si>
  <si>
    <t>V47195</t>
  </si>
  <si>
    <t>Neha Deb Nath</t>
  </si>
  <si>
    <t>V47006</t>
  </si>
  <si>
    <t>Tridip  Deka</t>
  </si>
  <si>
    <t>V47004</t>
  </si>
  <si>
    <t>Saklin  Mustak</t>
  </si>
  <si>
    <t>V47003</t>
  </si>
  <si>
    <t>Ashraful  Islam</t>
  </si>
  <si>
    <t>V47002</t>
  </si>
  <si>
    <t>Bhagya Lakhi Bania</t>
  </si>
  <si>
    <t>V47001</t>
  </si>
  <si>
    <t>Mrigangka  Nath</t>
  </si>
  <si>
    <t>V46998</t>
  </si>
  <si>
    <t>Pampi  Nath</t>
  </si>
  <si>
    <t>V46997</t>
  </si>
  <si>
    <t>Parismita  Saharia</t>
  </si>
  <si>
    <t>V46996</t>
  </si>
  <si>
    <t>Mainu  Das</t>
  </si>
  <si>
    <t>V46992</t>
  </si>
  <si>
    <t>NITUL  MEDHI</t>
  </si>
  <si>
    <t>V46454</t>
  </si>
  <si>
    <t>Abidur  Rohaman</t>
  </si>
  <si>
    <t>V45744</t>
  </si>
  <si>
    <t>UTTAM  CHOUDHURY</t>
  </si>
  <si>
    <t>V23770</t>
  </si>
  <si>
    <t>Shanku  saikia</t>
  </si>
  <si>
    <t>V51689</t>
  </si>
  <si>
    <t>NITUL  ALI</t>
  </si>
  <si>
    <t>V51223</t>
  </si>
  <si>
    <t>Ankita  Sharma</t>
  </si>
  <si>
    <t>V50241</t>
  </si>
  <si>
    <t>Tonmoy  Gogoi</t>
  </si>
  <si>
    <t>V49657</t>
  </si>
  <si>
    <t>Dimpal  Gogoi</t>
  </si>
  <si>
    <t>V49607</t>
  </si>
  <si>
    <t>Papu  Gogoi</t>
  </si>
  <si>
    <t>V45572</t>
  </si>
  <si>
    <t>Gyandeep  Neog</t>
  </si>
  <si>
    <t>V45506</t>
  </si>
  <si>
    <t>Sneha Bora Mohan</t>
  </si>
  <si>
    <t>V45441</t>
  </si>
  <si>
    <t>Priyakhi  Khanikar</t>
  </si>
  <si>
    <t>V45372</t>
  </si>
  <si>
    <t>Abyashree  Das</t>
  </si>
  <si>
    <t>V44970</t>
  </si>
  <si>
    <t>Jatin  Sahu</t>
  </si>
  <si>
    <t>V44865</t>
  </si>
  <si>
    <t>Rashmi  Chutia</t>
  </si>
  <si>
    <t>V44850</t>
  </si>
  <si>
    <t>Perona  Mili</t>
  </si>
  <si>
    <t>V44847</t>
  </si>
  <si>
    <t>Sanjoy  Duarah</t>
  </si>
  <si>
    <t>V44845</t>
  </si>
  <si>
    <t>Sivam  Singh</t>
  </si>
  <si>
    <t>V44841</t>
  </si>
  <si>
    <t>Bijit  Tanti</t>
  </si>
  <si>
    <t>V44836</t>
  </si>
  <si>
    <t>Madhurjya  Phukon</t>
  </si>
  <si>
    <t>V44831</t>
  </si>
  <si>
    <t>Nitin  Gowala</t>
  </si>
  <si>
    <t>V44155</t>
  </si>
  <si>
    <t>BIDYAJYOTI  MECH</t>
  </si>
  <si>
    <t>V37988</t>
  </si>
  <si>
    <t>PIKU  HAZARIKA</t>
  </si>
  <si>
    <t>V31925</t>
  </si>
  <si>
    <t>Chandan  Saikia</t>
  </si>
  <si>
    <t>V53159</t>
  </si>
  <si>
    <t>Gunamoni  Bora</t>
  </si>
  <si>
    <t>V53155</t>
  </si>
  <si>
    <t>Madhurjya  Saikia</t>
  </si>
  <si>
    <t>V53152</t>
  </si>
  <si>
    <t>Debajit  Das</t>
  </si>
  <si>
    <t>V52925</t>
  </si>
  <si>
    <t>Preety Kumari Singh</t>
  </si>
  <si>
    <t>V52923</t>
  </si>
  <si>
    <t>Nabanita  Chetia</t>
  </si>
  <si>
    <t>V52922</t>
  </si>
  <si>
    <t>Abinash  Hazarika</t>
  </si>
  <si>
    <t>V52899</t>
  </si>
  <si>
    <t>ASISH  NAG</t>
  </si>
  <si>
    <t>V50882</t>
  </si>
  <si>
    <t>Jubin  Gohain</t>
  </si>
  <si>
    <t>V50003</t>
  </si>
  <si>
    <t>Rukmini  Das</t>
  </si>
  <si>
    <t>V49194</t>
  </si>
  <si>
    <t>Ritu  Khonikor</t>
  </si>
  <si>
    <t>V49127</t>
  </si>
  <si>
    <t>Rahul Raj Borbora</t>
  </si>
  <si>
    <t>V45041</t>
  </si>
  <si>
    <t>Ranjan  Konwar</t>
  </si>
  <si>
    <t>V44426</t>
  </si>
  <si>
    <t>Muzzamil  Hussain</t>
  </si>
  <si>
    <t>V44369</t>
  </si>
  <si>
    <t>Sidhartha Pratim Bora</t>
  </si>
  <si>
    <t>V43415</t>
  </si>
  <si>
    <t>Dipankar  Bora</t>
  </si>
  <si>
    <t>V43414</t>
  </si>
  <si>
    <t>Priyakhi  Chutia</t>
  </si>
  <si>
    <t>V43269</t>
  </si>
  <si>
    <t>Bishwajit  Das</t>
  </si>
  <si>
    <t>V43258</t>
  </si>
  <si>
    <t>Lipi  Gogoi</t>
  </si>
  <si>
    <t>V43257</t>
  </si>
  <si>
    <t>Palash  Gogoi</t>
  </si>
  <si>
    <t>V43256</t>
  </si>
  <si>
    <t>Gaichangthai  Rongmei</t>
  </si>
  <si>
    <t>V53065</t>
  </si>
  <si>
    <t>Zianchuilung  Phaomei</t>
  </si>
  <si>
    <t>V52770</t>
  </si>
  <si>
    <t>Longjam Mahesh Meetei</t>
  </si>
  <si>
    <t>V52038</t>
  </si>
  <si>
    <t>Hidam Lakhsana Singh</t>
  </si>
  <si>
    <t>V52034</t>
  </si>
  <si>
    <t>Longjam Tomthin Meetei</t>
  </si>
  <si>
    <t>V47222</t>
  </si>
  <si>
    <t>Kumar Jajo Tangkhul</t>
  </si>
  <si>
    <t>V46749</t>
  </si>
  <si>
    <t>Hidam Bikram Singh</t>
  </si>
  <si>
    <t>V45099</t>
  </si>
  <si>
    <t>Thangjam Jinita Chanu</t>
  </si>
  <si>
    <t>V44096</t>
  </si>
  <si>
    <t>Vivek  Thapa</t>
  </si>
  <si>
    <t>V43923</t>
  </si>
  <si>
    <t>Ch  Arif</t>
  </si>
  <si>
    <t>V43886</t>
  </si>
  <si>
    <t>NAOREM SWEETY DEVI</t>
  </si>
  <si>
    <t>V43647</t>
  </si>
  <si>
    <t>KHADANGBAM MONIKA DEVI</t>
  </si>
  <si>
    <t>V43641</t>
  </si>
  <si>
    <t>ELANGBAM ANANDKUMAR SINGH</t>
  </si>
  <si>
    <t>V43640</t>
  </si>
  <si>
    <t>KHAIDEM JINA DEVI</t>
  </si>
  <si>
    <t>V43635</t>
  </si>
  <si>
    <t>NIKITA  KAR</t>
  </si>
  <si>
    <t>V43634</t>
  </si>
  <si>
    <t>KONSAM SHEITARANI DEVI</t>
  </si>
  <si>
    <t>V43633</t>
  </si>
  <si>
    <t>SAMSON  SAIKHOM</t>
  </si>
  <si>
    <t>V43632</t>
  </si>
  <si>
    <t>LAISHRAM ALBASH SINGH</t>
  </si>
  <si>
    <t>V43631</t>
  </si>
  <si>
    <t>NONGTHOMBAM RITA DEVI</t>
  </si>
  <si>
    <t>V43619</t>
  </si>
  <si>
    <t>PUKHRIMAYUM  ROHIT</t>
  </si>
  <si>
    <t>V43618</t>
  </si>
  <si>
    <t>Khaidem Boinao Singh</t>
  </si>
  <si>
    <t>V43222</t>
  </si>
  <si>
    <t>GULIATH  BHARALUNGA</t>
  </si>
  <si>
    <t>V51564</t>
  </si>
  <si>
    <t>Kakuli  Gogoi</t>
  </si>
  <si>
    <t>V50270</t>
  </si>
  <si>
    <t>Alam  Ali</t>
  </si>
  <si>
    <t>V48556</t>
  </si>
  <si>
    <t>RIPUPRATIM  BORAH</t>
  </si>
  <si>
    <t>V48437</t>
  </si>
  <si>
    <t>DIPALI  SAIKIA</t>
  </si>
  <si>
    <t>V48436</t>
  </si>
  <si>
    <t>IKRAMUL  HUSSAIN</t>
  </si>
  <si>
    <t>V48366</t>
  </si>
  <si>
    <t>SIKHA  DAS</t>
  </si>
  <si>
    <t>V48365</t>
  </si>
  <si>
    <t>LAKHYAJIT  KONWAR</t>
  </si>
  <si>
    <t>V48364</t>
  </si>
  <si>
    <t>Bhaskar  Hazarika</t>
  </si>
  <si>
    <t>V45034</t>
  </si>
  <si>
    <t>SINTU  BORAH</t>
  </si>
  <si>
    <t>V44323</t>
  </si>
  <si>
    <t>Ratul  Gogoi</t>
  </si>
  <si>
    <t>V43952</t>
  </si>
  <si>
    <t>Dibya  Das</t>
  </si>
  <si>
    <t>V43903</t>
  </si>
  <si>
    <t>MITALI  TAID</t>
  </si>
  <si>
    <t>V43799</t>
  </si>
  <si>
    <t>Lipi  Saikia</t>
  </si>
  <si>
    <t>V43798</t>
  </si>
  <si>
    <t>Gourav  Buragohain</t>
  </si>
  <si>
    <t>V43796</t>
  </si>
  <si>
    <t>Jenny  Saikia</t>
  </si>
  <si>
    <t>V43794</t>
  </si>
  <si>
    <t>Chinu  Hatiboruah</t>
  </si>
  <si>
    <t>V43793</t>
  </si>
  <si>
    <t>Manash  Das</t>
  </si>
  <si>
    <t>V43779</t>
  </si>
  <si>
    <t>Susmita  Sonowal</t>
  </si>
  <si>
    <t>V43772</t>
  </si>
  <si>
    <t>Dulumoni  Saikia</t>
  </si>
  <si>
    <t>V43771</t>
  </si>
  <si>
    <t>MUKUNDA  SAIKIA</t>
  </si>
  <si>
    <t>V43514</t>
  </si>
  <si>
    <t>BILIN  PATGIRI</t>
  </si>
  <si>
    <t>V35111</t>
  </si>
  <si>
    <t>Arun  Kalita</t>
  </si>
  <si>
    <t>V54538</t>
  </si>
  <si>
    <t>Joyshree  Mahato</t>
  </si>
  <si>
    <t>V49695</t>
  </si>
  <si>
    <t>Ashraful  Hoque</t>
  </si>
  <si>
    <t>V49694</t>
  </si>
  <si>
    <t>Sankar Rabi Das</t>
  </si>
  <si>
    <t>V49693</t>
  </si>
  <si>
    <t>Bikram  Hajong</t>
  </si>
  <si>
    <t>V49691</t>
  </si>
  <si>
    <t>Chaitanya  Das</t>
  </si>
  <si>
    <t>V48680</t>
  </si>
  <si>
    <t>Shibani  Das</t>
  </si>
  <si>
    <t>V47271</t>
  </si>
  <si>
    <t>Ankur  Rabha</t>
  </si>
  <si>
    <t>V47269</t>
  </si>
  <si>
    <t>BARAKHA  RABHA</t>
  </si>
  <si>
    <t>V46865</t>
  </si>
  <si>
    <t>Bikram  Ray</t>
  </si>
  <si>
    <t>V45759</t>
  </si>
  <si>
    <t>Mahabir  Rabha</t>
  </si>
  <si>
    <t>V45758</t>
  </si>
  <si>
    <t>Mahesh  Tanti</t>
  </si>
  <si>
    <t>V44522</t>
  </si>
  <si>
    <t>Jitadittya  Mukherjee</t>
  </si>
  <si>
    <t>V43928</t>
  </si>
  <si>
    <t>AMRIT  DAS</t>
  </si>
  <si>
    <t>V41908</t>
  </si>
  <si>
    <t>ANIRUDHA  RABHA</t>
  </si>
  <si>
    <t>V41905</t>
  </si>
  <si>
    <t>AKON  RAY</t>
  </si>
  <si>
    <t>V38798</t>
  </si>
  <si>
    <t>DEBOJIT  RABHA</t>
  </si>
  <si>
    <t>V38797</t>
  </si>
  <si>
    <t>ARINDAM  RABHA</t>
  </si>
  <si>
    <t>V38674</t>
  </si>
  <si>
    <t>SIDDHARTH  NATH</t>
  </si>
  <si>
    <t>V38644</t>
  </si>
  <si>
    <t>SUDIP  DEKA</t>
  </si>
  <si>
    <t>V38642</t>
  </si>
  <si>
    <t>SMRITI LATA DAS</t>
  </si>
  <si>
    <t>V38479</t>
  </si>
  <si>
    <t>KABITA  CHOUDHURY</t>
  </si>
  <si>
    <t>V38475</t>
  </si>
  <si>
    <t>MRIGEN  PATHAK</t>
  </si>
  <si>
    <t>V26500</t>
  </si>
  <si>
    <t>Raj  Gupta</t>
  </si>
  <si>
    <t>V52478</t>
  </si>
  <si>
    <t>Puja  Das</t>
  </si>
  <si>
    <t>V50311</t>
  </si>
  <si>
    <t>Syamunesha  Begum</t>
  </si>
  <si>
    <t>V49566</t>
  </si>
  <si>
    <t>Dulen  Orang</t>
  </si>
  <si>
    <t>V48274</t>
  </si>
  <si>
    <t>Kaku Moni Das Borah</t>
  </si>
  <si>
    <t>V48273</t>
  </si>
  <si>
    <t>Inzarul  Islam</t>
  </si>
  <si>
    <t>V47519</t>
  </si>
  <si>
    <t>Tinku  Dutta</t>
  </si>
  <si>
    <t>V46465</t>
  </si>
  <si>
    <t>LUCKY  SONOWAL</t>
  </si>
  <si>
    <t>V40991</t>
  </si>
  <si>
    <t>DIPSIKHA  BORAH</t>
  </si>
  <si>
    <t>V40989</t>
  </si>
  <si>
    <t>RUPAM  KASHYAP</t>
  </si>
  <si>
    <t>V40940</t>
  </si>
  <si>
    <t>UTPAL NATH</t>
  </si>
  <si>
    <t>V35832</t>
  </si>
  <si>
    <t>DIPIKA MILI</t>
  </si>
  <si>
    <t>V35348</t>
  </si>
  <si>
    <t>MR. PRANJAL RAJKHOWA</t>
  </si>
  <si>
    <t>V34961</t>
  </si>
  <si>
    <t>MS. RASHMI DAS</t>
  </si>
  <si>
    <t>V34959</t>
  </si>
  <si>
    <t>MR. MOJAMIL ANSARI</t>
  </si>
  <si>
    <t>V34957</t>
  </si>
  <si>
    <t>MR. GIRINDRA GOGOI</t>
  </si>
  <si>
    <t>V34896</t>
  </si>
  <si>
    <t>MR. SASANKA BARUAH</t>
  </si>
  <si>
    <t>V34895</t>
  </si>
  <si>
    <t>MR. KAJU KAKOTY</t>
  </si>
  <si>
    <t>V34894</t>
  </si>
  <si>
    <t>MR. JUGAL ENGTI</t>
  </si>
  <si>
    <t>V34890</t>
  </si>
  <si>
    <t>GANGA  RAI</t>
  </si>
  <si>
    <t>V33110</t>
  </si>
  <si>
    <t>Sandeep Kumar Sharma</t>
  </si>
  <si>
    <t>V47572</t>
  </si>
  <si>
    <t>FIRAJ UDDIN AHMED</t>
  </si>
  <si>
    <t>V33418</t>
  </si>
  <si>
    <t>SHAZAMAL SAMSUL HOQUE</t>
  </si>
  <si>
    <t>V22999</t>
  </si>
  <si>
    <t>PRASENJIT  SARKAR</t>
  </si>
  <si>
    <t>V11808</t>
  </si>
  <si>
    <t>Uttam  Rai</t>
  </si>
  <si>
    <t>V53942</t>
  </si>
  <si>
    <t>Pallav  Rajkumar</t>
  </si>
  <si>
    <t>V53777</t>
  </si>
  <si>
    <t>parinita  das</t>
  </si>
  <si>
    <t>V53464</t>
  </si>
  <si>
    <t>BIKRAM  RAI</t>
  </si>
  <si>
    <t>V53459</t>
  </si>
  <si>
    <t>Hafijul  Haque</t>
  </si>
  <si>
    <t>V53402</t>
  </si>
  <si>
    <t>Dipak  Telenga</t>
  </si>
  <si>
    <t>V53173</t>
  </si>
  <si>
    <t>Diganta  Pathak</t>
  </si>
  <si>
    <t>V53172</t>
  </si>
  <si>
    <t>Javedul  Khan</t>
  </si>
  <si>
    <t>V53141</t>
  </si>
  <si>
    <t>Anup  Singha</t>
  </si>
  <si>
    <t>V52599</t>
  </si>
  <si>
    <t>Hrishikesh  Adhikary</t>
  </si>
  <si>
    <t>V52297</t>
  </si>
  <si>
    <t>PRIYA  ARYA</t>
  </si>
  <si>
    <t>V52044</t>
  </si>
  <si>
    <t>BAHRUL  HUSSAIN</t>
  </si>
  <si>
    <t>V25981</t>
  </si>
  <si>
    <t>Manowar  Hussain</t>
  </si>
  <si>
    <t>V54017</t>
  </si>
  <si>
    <t>SIMI CHAMUAH HAZARIKA</t>
  </si>
  <si>
    <t>V52878</t>
  </si>
  <si>
    <t>Akash  Das</t>
  </si>
  <si>
    <t>V52877</t>
  </si>
  <si>
    <t>Papu  Das</t>
  </si>
  <si>
    <t>V52866</t>
  </si>
  <si>
    <t>Rahul  Das</t>
  </si>
  <si>
    <t>V50803</t>
  </si>
  <si>
    <t>Abhijit  Bora</t>
  </si>
  <si>
    <t>V49679</t>
  </si>
  <si>
    <t>Mukut Kumar Borah</t>
  </si>
  <si>
    <t>V49678</t>
  </si>
  <si>
    <t>Linashree  Gogoi</t>
  </si>
  <si>
    <t>V49316</t>
  </si>
  <si>
    <t>Shikha Moni Das Sarkar</t>
  </si>
  <si>
    <t>V46316</t>
  </si>
  <si>
    <t>RUMA  MONDAL</t>
  </si>
  <si>
    <t>V44471</t>
  </si>
  <si>
    <t>Munmi  Saikia</t>
  </si>
  <si>
    <t>V44469</t>
  </si>
  <si>
    <t>Pranjal  Saikia</t>
  </si>
  <si>
    <t>V44363</t>
  </si>
  <si>
    <t>Deepak  Borah</t>
  </si>
  <si>
    <t>V44279</t>
  </si>
  <si>
    <t>Ratul  Bora</t>
  </si>
  <si>
    <t>V43924</t>
  </si>
  <si>
    <t>Priyanka  Das</t>
  </si>
  <si>
    <t>V43859</t>
  </si>
  <si>
    <t>NURAHAMED ALI DEWAN</t>
  </si>
  <si>
    <t>V41418</t>
  </si>
  <si>
    <t>MR. RITIK TOSSA</t>
  </si>
  <si>
    <t>V34886</t>
  </si>
  <si>
    <t>JINTU  DOLEY</t>
  </si>
  <si>
    <t>V31926</t>
  </si>
  <si>
    <t>PINTU  TAMULI</t>
  </si>
  <si>
    <t>V25162</t>
  </si>
  <si>
    <t>TRIDIP  NATH</t>
  </si>
  <si>
    <t>V24334</t>
  </si>
  <si>
    <t>Piyush  Kirtania</t>
  </si>
  <si>
    <t>V54011</t>
  </si>
  <si>
    <t>Subham  Bhadra</t>
  </si>
  <si>
    <t>V53947</t>
  </si>
  <si>
    <t>Amor  Majumder</t>
  </si>
  <si>
    <t>V52722</t>
  </si>
  <si>
    <t>Puja Kumari Gupta</t>
  </si>
  <si>
    <t>V52640</t>
  </si>
  <si>
    <t>Rinku Moni Biswas</t>
  </si>
  <si>
    <t>V52638</t>
  </si>
  <si>
    <t>Sushmita  Das</t>
  </si>
  <si>
    <t>V52635</t>
  </si>
  <si>
    <t>Monika  Sharma</t>
  </si>
  <si>
    <t>V50360</t>
  </si>
  <si>
    <t>Debjyoti  Das</t>
  </si>
  <si>
    <t>V50227</t>
  </si>
  <si>
    <t>Soitoram  Tisso</t>
  </si>
  <si>
    <t>V50210</t>
  </si>
  <si>
    <t>Rangsina  Bey</t>
  </si>
  <si>
    <t>V50041</t>
  </si>
  <si>
    <t>APURBA  Das</t>
  </si>
  <si>
    <t>V49899</t>
  </si>
  <si>
    <t>Jayanta  Debroy</t>
  </si>
  <si>
    <t>V49594</t>
  </si>
  <si>
    <t>Jina  Devi</t>
  </si>
  <si>
    <t>V49495</t>
  </si>
  <si>
    <t>Tanmoy  Das</t>
  </si>
  <si>
    <t>V49391</t>
  </si>
  <si>
    <t>Arpita  Debnath</t>
  </si>
  <si>
    <t>V49302</t>
  </si>
  <si>
    <t>MITHU LAL CHOWHAN</t>
  </si>
  <si>
    <t>V47599</t>
  </si>
  <si>
    <t>KHRIMANATA  RAJBONGSHI</t>
  </si>
  <si>
    <t>V40927</t>
  </si>
  <si>
    <t>INDRAJIT  THAKURIA</t>
  </si>
  <si>
    <t>V37979</t>
  </si>
  <si>
    <t>SURAJ SINGHA</t>
  </si>
  <si>
    <t>V36232</t>
  </si>
  <si>
    <t>DHRITIDEEP  PURKAYASTHA</t>
  </si>
  <si>
    <t>V24093</t>
  </si>
  <si>
    <t>Raju  Datta</t>
  </si>
  <si>
    <t>V54625</t>
  </si>
  <si>
    <t>SOFIKUL  ISLAM</t>
  </si>
  <si>
    <t>V53471</t>
  </si>
  <si>
    <t>Udipta  Das</t>
  </si>
  <si>
    <t>V52486</t>
  </si>
  <si>
    <t>ABU BAKKAR SIDDIQUE</t>
  </si>
  <si>
    <t>V52187</t>
  </si>
  <si>
    <t>RAMEZ  ALI</t>
  </si>
  <si>
    <t>V51666</t>
  </si>
  <si>
    <t>Tapash  Das</t>
  </si>
  <si>
    <t>V49271</t>
  </si>
  <si>
    <t>Mashidur  Rahman</t>
  </si>
  <si>
    <t>V48784</t>
  </si>
  <si>
    <t>Sk  Farid</t>
  </si>
  <si>
    <t>V47845</t>
  </si>
  <si>
    <t>AFIZ KHANDAKAR  KHANDAKAR</t>
  </si>
  <si>
    <t>V47436</t>
  </si>
  <si>
    <t>AZIFA  RAHMAN</t>
  </si>
  <si>
    <t>V47435</t>
  </si>
  <si>
    <t>SONU  CHOUDHURY</t>
  </si>
  <si>
    <t>V39221</t>
  </si>
  <si>
    <t>MAHAMUD  ALOM</t>
  </si>
  <si>
    <t>V37994</t>
  </si>
  <si>
    <t>RAJU  NATH</t>
  </si>
  <si>
    <t>V33787</t>
  </si>
  <si>
    <t>RAKIBUL  ISLAM</t>
  </si>
  <si>
    <t>V33569</t>
  </si>
  <si>
    <t>ARFINA  AHMED</t>
  </si>
  <si>
    <t>V33565</t>
  </si>
  <si>
    <t>REZINA  SULTANA</t>
  </si>
  <si>
    <t>V33515</t>
  </si>
  <si>
    <t>RAJIBUR  SARKAR</t>
  </si>
  <si>
    <t>V33276</t>
  </si>
  <si>
    <t>SHAHADOT ALI SK</t>
  </si>
  <si>
    <t>V33270</t>
  </si>
  <si>
    <t>JAHIR  KHAN</t>
  </si>
  <si>
    <t>V33268</t>
  </si>
  <si>
    <t>MIZANUR RAHMAN HAZARIKA</t>
  </si>
  <si>
    <t>V33267</t>
  </si>
  <si>
    <t>PUJA  SARKAR</t>
  </si>
  <si>
    <t>V33264</t>
  </si>
  <si>
    <t>SHOHALE  SK</t>
  </si>
  <si>
    <t>V31411</t>
  </si>
  <si>
    <t>Gaurab  Sonowal</t>
  </si>
  <si>
    <t>V50569</t>
  </si>
  <si>
    <t>Nripen  Das</t>
  </si>
  <si>
    <t>V50318</t>
  </si>
  <si>
    <t>Partha Protim Mohan</t>
  </si>
  <si>
    <t>V50077</t>
  </si>
  <si>
    <t>Dipmoni  Gogoi</t>
  </si>
  <si>
    <t>V49790</t>
  </si>
  <si>
    <t>Utpal  Hazarika</t>
  </si>
  <si>
    <t>V49645</t>
  </si>
  <si>
    <t>NIRANJAN  HAZARIKA</t>
  </si>
  <si>
    <t>V47766</t>
  </si>
  <si>
    <t>LAKHINDRA  DAS</t>
  </si>
  <si>
    <t>V47104</t>
  </si>
  <si>
    <t>TULAN JYOTI  SONOWAL</t>
  </si>
  <si>
    <t>V46844</t>
  </si>
  <si>
    <t>David  Saikia</t>
  </si>
  <si>
    <t>V44420</t>
  </si>
  <si>
    <t>NUMALI  DAS</t>
  </si>
  <si>
    <t>V44419</t>
  </si>
  <si>
    <t>JULI  KALONDI</t>
  </si>
  <si>
    <t>V44311</t>
  </si>
  <si>
    <t>SHIVANI  BHUJEL</t>
  </si>
  <si>
    <t>V40008</t>
  </si>
  <si>
    <t>KRISHNA  BORGOHAIN</t>
  </si>
  <si>
    <t>V39009</t>
  </si>
  <si>
    <t>DIGANTA  DAS</t>
  </si>
  <si>
    <t>V38882</t>
  </si>
  <si>
    <t>MRIDUSMITA  BORAH</t>
  </si>
  <si>
    <t>V34257</t>
  </si>
  <si>
    <t>JINTU  KONWAR</t>
  </si>
  <si>
    <t>V33948</t>
  </si>
  <si>
    <t>NIKITA  DAS</t>
  </si>
  <si>
    <t>V33849</t>
  </si>
  <si>
    <t>DISHA  BARUAH</t>
  </si>
  <si>
    <t>V33509</t>
  </si>
  <si>
    <t>SANTANU DAS</t>
  </si>
  <si>
    <t>V33501</t>
  </si>
  <si>
    <t>SMITA  GHOSH</t>
  </si>
  <si>
    <t>V33438</t>
  </si>
  <si>
    <t>DHANADA  SONOWAL</t>
  </si>
  <si>
    <t>V33435</t>
  </si>
  <si>
    <t>HEMANTA  BORAH</t>
  </si>
  <si>
    <t>V19168</t>
  </si>
  <si>
    <t>Sarimul  Haque</t>
  </si>
  <si>
    <t>V50707</t>
  </si>
  <si>
    <t>Alak  Das</t>
  </si>
  <si>
    <t>V48705</t>
  </si>
  <si>
    <t>Miton  Suklabaidya</t>
  </si>
  <si>
    <t>V48545</t>
  </si>
  <si>
    <t>Rajib Das Gupta</t>
  </si>
  <si>
    <t>V48494</t>
  </si>
  <si>
    <t>Hussain Md Shaikar Ahmed</t>
  </si>
  <si>
    <t>V48458</t>
  </si>
  <si>
    <t>ASHIM  NATH</t>
  </si>
  <si>
    <t>V48201</t>
  </si>
  <si>
    <t>RATI  DAS</t>
  </si>
  <si>
    <t>V48200</t>
  </si>
  <si>
    <t>ROHIT  DEB</t>
  </si>
  <si>
    <t>V48123</t>
  </si>
  <si>
    <t>ABHIJIT  ROY</t>
  </si>
  <si>
    <t>V48122</t>
  </si>
  <si>
    <t>Pitam  Malakar</t>
  </si>
  <si>
    <t>V48084</t>
  </si>
  <si>
    <t>Bishal  Roy</t>
  </si>
  <si>
    <t>V48083</t>
  </si>
  <si>
    <t>Tusar  Das</t>
  </si>
  <si>
    <t>V47961</t>
  </si>
  <si>
    <t>Susmita  Das</t>
  </si>
  <si>
    <t>V47958</t>
  </si>
  <si>
    <t>Biswarup  Das</t>
  </si>
  <si>
    <t>V47957</t>
  </si>
  <si>
    <t>Bijoy  Das</t>
  </si>
  <si>
    <t>V47909</t>
  </si>
  <si>
    <t>Ranjit  Adhikary</t>
  </si>
  <si>
    <t>V47853</t>
  </si>
  <si>
    <t>Shibu  Das</t>
  </si>
  <si>
    <t>V47780</t>
  </si>
  <si>
    <t>Kishor  Das</t>
  </si>
  <si>
    <t>V47778</t>
  </si>
  <si>
    <t>Kartik  Acharjee</t>
  </si>
  <si>
    <t>V47777</t>
  </si>
  <si>
    <t>Uma Tara Adhikari</t>
  </si>
  <si>
    <t>V47774</t>
  </si>
  <si>
    <t>Ruhel  Ahmed</t>
  </si>
  <si>
    <t>V47773</t>
  </si>
  <si>
    <t>PUJA  DAS</t>
  </si>
  <si>
    <t>V46911</t>
  </si>
  <si>
    <t>TANUSREE KANGHSHA BANIK</t>
  </si>
  <si>
    <t>V46725</t>
  </si>
  <si>
    <t>SHEKHAR  NAMASUDRA</t>
  </si>
  <si>
    <t>V46581</t>
  </si>
  <si>
    <t>RAJIV  GUPTA</t>
  </si>
  <si>
    <t>V40453</t>
  </si>
  <si>
    <t>HIMANGSHU DAS</t>
  </si>
  <si>
    <t>V20301</t>
  </si>
  <si>
    <t>Lakheswar  Choudhury</t>
  </si>
  <si>
    <t>V49676</t>
  </si>
  <si>
    <t>Bishal  Sharma</t>
  </si>
  <si>
    <t>V49270</t>
  </si>
  <si>
    <t>Ritumoni  Baruah</t>
  </si>
  <si>
    <t>V48940</t>
  </si>
  <si>
    <t>Nabajit  Barman</t>
  </si>
  <si>
    <t>V48788</t>
  </si>
  <si>
    <t>Sajal  Mazumdar</t>
  </si>
  <si>
    <t>V48521</t>
  </si>
  <si>
    <t>Rahul  Biswas</t>
  </si>
  <si>
    <t>V48520</t>
  </si>
  <si>
    <t>Anup Kr Ray</t>
  </si>
  <si>
    <t>V48430</t>
  </si>
  <si>
    <t>Pabitra  Baruah</t>
  </si>
  <si>
    <t>V48339</t>
  </si>
  <si>
    <t>Sumitra  Biswas</t>
  </si>
  <si>
    <t>V47718</t>
  </si>
  <si>
    <t>Geeta  Joswal</t>
  </si>
  <si>
    <t>V47640</t>
  </si>
  <si>
    <t>MOHIT  SINGHA</t>
  </si>
  <si>
    <t>V39124</t>
  </si>
  <si>
    <t>DHANANJOY  KALITA</t>
  </si>
  <si>
    <t>V38495</t>
  </si>
  <si>
    <t>KITIKA  KUMARI</t>
  </si>
  <si>
    <t>V38461</t>
  </si>
  <si>
    <t>DIPTI  ADHIKARY</t>
  </si>
  <si>
    <t>V37980</t>
  </si>
  <si>
    <t>DIPANJALI  SINGHA</t>
  </si>
  <si>
    <t>V37881</t>
  </si>
  <si>
    <t>RASHMI  DAY</t>
  </si>
  <si>
    <t>V33570</t>
  </si>
  <si>
    <t>GOUTAM  RAY</t>
  </si>
  <si>
    <t>V30409</t>
  </si>
  <si>
    <t>CHATRAJIT BARMAN</t>
  </si>
  <si>
    <t>V29924</t>
  </si>
  <si>
    <t>MAMPI  MANDAL</t>
  </si>
  <si>
    <t>V29831</t>
  </si>
  <si>
    <t>PRANJIT  ADHIKARY</t>
  </si>
  <si>
    <t>V28512</t>
  </si>
  <si>
    <t>PALLAB KALITA</t>
  </si>
  <si>
    <t>V27553</t>
  </si>
  <si>
    <t>LAKSHYADHAR  RAJBONGSHI</t>
  </si>
  <si>
    <t>V27259</t>
  </si>
  <si>
    <t>BIMAL ROHI DAS</t>
  </si>
  <si>
    <t>V25640</t>
  </si>
  <si>
    <t>Longbir  Singnar</t>
  </si>
  <si>
    <t>V50042</t>
  </si>
  <si>
    <t>Godwin  Timung</t>
  </si>
  <si>
    <t>V50040</t>
  </si>
  <si>
    <t>Shivo  Engti</t>
  </si>
  <si>
    <t>V49366</t>
  </si>
  <si>
    <t>Jirsong  Taro</t>
  </si>
  <si>
    <t>V49360</t>
  </si>
  <si>
    <t>Solomon  Rongpi</t>
  </si>
  <si>
    <t>V45820</t>
  </si>
  <si>
    <t>Bikrom  Teron</t>
  </si>
  <si>
    <t>V45819</t>
  </si>
  <si>
    <t>Sumoni  Timungpi</t>
  </si>
  <si>
    <t>V45684</t>
  </si>
  <si>
    <t>David  Timung</t>
  </si>
  <si>
    <t>V45670</t>
  </si>
  <si>
    <t>Jirjalin  Rongpipi</t>
  </si>
  <si>
    <t>V45026</t>
  </si>
  <si>
    <t>SEMSON  ENGLENG</t>
  </si>
  <si>
    <t>V39906</t>
  </si>
  <si>
    <t>LIRBON  ENGTIPI</t>
  </si>
  <si>
    <t>V39901</t>
  </si>
  <si>
    <t>MUKUNDA DEORI</t>
  </si>
  <si>
    <t>V36398</t>
  </si>
  <si>
    <t>BIKROM  TERANG</t>
  </si>
  <si>
    <t>V29180</t>
  </si>
  <si>
    <t>HARMON  TERON</t>
  </si>
  <si>
    <t>V26479</t>
  </si>
  <si>
    <t>JIRSONG  RONGPI</t>
  </si>
  <si>
    <t>V26476</t>
  </si>
  <si>
    <t>JIRSONG  BEY</t>
  </si>
  <si>
    <t>V26329</t>
  </si>
  <si>
    <t>PASCAL  TERANG</t>
  </si>
  <si>
    <t>V26215</t>
  </si>
  <si>
    <t>Ramen  Haloi</t>
  </si>
  <si>
    <t>V48949</t>
  </si>
  <si>
    <t>Hasina  Wajed</t>
  </si>
  <si>
    <t>V47850</t>
  </si>
  <si>
    <t>Juri  Begum</t>
  </si>
  <si>
    <t>V47848</t>
  </si>
  <si>
    <t>Nayan  Das</t>
  </si>
  <si>
    <t>V47710</t>
  </si>
  <si>
    <t>Dhrubangana  Sarma</t>
  </si>
  <si>
    <t>V47709</t>
  </si>
  <si>
    <t>Dhritiman  Talukdar</t>
  </si>
  <si>
    <t>V44564</t>
  </si>
  <si>
    <t>Bhabesh  Deka</t>
  </si>
  <si>
    <t>V44413</t>
  </si>
  <si>
    <t>MADHURJYA JYOTI CHOUDHURY</t>
  </si>
  <si>
    <t>V34845</t>
  </si>
  <si>
    <t>BANAJIT KALITA</t>
  </si>
  <si>
    <t>V28828</t>
  </si>
  <si>
    <t>REJAZUL HAQUE</t>
  </si>
  <si>
    <t>V28825</t>
  </si>
  <si>
    <t>RAJU  RAJBONGSHI</t>
  </si>
  <si>
    <t>V28105</t>
  </si>
  <si>
    <t>NABAJIT  DEKA</t>
  </si>
  <si>
    <t>V27292</t>
  </si>
  <si>
    <t>KAUSTAB  PATOWARY</t>
  </si>
  <si>
    <t>V27288</t>
  </si>
  <si>
    <t>PRIYANKA  BARMAN</t>
  </si>
  <si>
    <t>V27249</t>
  </si>
  <si>
    <t>SAMIRAN  MEDHI</t>
  </si>
  <si>
    <t>V27247</t>
  </si>
  <si>
    <t>BISMITA  HALOI</t>
  </si>
  <si>
    <t>V27245</t>
  </si>
  <si>
    <t>ASHIM  SARMA</t>
  </si>
  <si>
    <t>V27241</t>
  </si>
  <si>
    <t>SAURAV  KALITA</t>
  </si>
  <si>
    <t>V27239</t>
  </si>
  <si>
    <t>CHANDANA  MANDAL</t>
  </si>
  <si>
    <t>V27238</t>
  </si>
  <si>
    <t>NEHA  BEGUM</t>
  </si>
  <si>
    <t>V27237</t>
  </si>
  <si>
    <t>ALIMUDDIN  AHMED</t>
  </si>
  <si>
    <t>V27235</t>
  </si>
  <si>
    <t>BISHNUJIT  BAISHYA</t>
  </si>
  <si>
    <t>V27234</t>
  </si>
  <si>
    <t>DEEP JYOTI BAISHYA</t>
  </si>
  <si>
    <t>V27233</t>
  </si>
  <si>
    <t>BANJIT  KALITA</t>
  </si>
  <si>
    <t>V27232</t>
  </si>
  <si>
    <t>JAHNU  TALUKDAR</t>
  </si>
  <si>
    <t>V27186</t>
  </si>
  <si>
    <t>SATYAJEET  KALITA</t>
  </si>
  <si>
    <t>V27068</t>
  </si>
  <si>
    <t>Niral  Singha</t>
  </si>
  <si>
    <t>V54407</t>
  </si>
  <si>
    <t>Nayanmoni  Hondique</t>
  </si>
  <si>
    <t>V53114</t>
  </si>
  <si>
    <t>Rekha Moni Chetia</t>
  </si>
  <si>
    <t>V49977</t>
  </si>
  <si>
    <t>Puja  Borah</t>
  </si>
  <si>
    <t>V49567</t>
  </si>
  <si>
    <t>GEETANJALI  SONOWAL</t>
  </si>
  <si>
    <t>V48360</t>
  </si>
  <si>
    <t>Puja  Chetia</t>
  </si>
  <si>
    <t>V47366</t>
  </si>
  <si>
    <t>Pahi  Gogoi</t>
  </si>
  <si>
    <t>V46038</t>
  </si>
  <si>
    <t>Dipankar  Borah</t>
  </si>
  <si>
    <t>V46036</t>
  </si>
  <si>
    <t>Emran  Hussain</t>
  </si>
  <si>
    <t>V44986</t>
  </si>
  <si>
    <t>Kakali  Choudhury</t>
  </si>
  <si>
    <t>V44754</t>
  </si>
  <si>
    <t>Rupam  Bharali</t>
  </si>
  <si>
    <t>V44751</t>
  </si>
  <si>
    <t>Manashjyoti  Gogoi</t>
  </si>
  <si>
    <t>V44655</t>
  </si>
  <si>
    <t>MOUSOM  GOGOI</t>
  </si>
  <si>
    <t>V43574</t>
  </si>
  <si>
    <t>HITRIKA  SONOWAL</t>
  </si>
  <si>
    <t>V39279</t>
  </si>
  <si>
    <t>KRISHNA KANTA GOHAIN</t>
  </si>
  <si>
    <t>V33503</t>
  </si>
  <si>
    <t>KALPA JYOTI SAIKIA</t>
  </si>
  <si>
    <t>V20369</t>
  </si>
  <si>
    <t>Rohan  Das</t>
  </si>
  <si>
    <t>V49802</t>
  </si>
  <si>
    <t>Bhaskar Jyoti Deka</t>
  </si>
  <si>
    <t>V49673</t>
  </si>
  <si>
    <t>Tanuja  Mech</t>
  </si>
  <si>
    <t>V49563</t>
  </si>
  <si>
    <t>V47343</t>
  </si>
  <si>
    <t>JUNAM  DAS</t>
  </si>
  <si>
    <t>V46530</t>
  </si>
  <si>
    <t>SUMAN  NAG</t>
  </si>
  <si>
    <t>V46528</t>
  </si>
  <si>
    <t>Kalpana  Rava</t>
  </si>
  <si>
    <t>V46263</t>
  </si>
  <si>
    <t>Babita  Shiba</t>
  </si>
  <si>
    <t>V46262</t>
  </si>
  <si>
    <t>Priyanshu  Basumatari</t>
  </si>
  <si>
    <t>V45681</t>
  </si>
  <si>
    <t>RINTI  DAS</t>
  </si>
  <si>
    <t>V41747</t>
  </si>
  <si>
    <t>MONJIT  KEOT</t>
  </si>
  <si>
    <t>V40911</t>
  </si>
  <si>
    <t>AMIT  BAROI</t>
  </si>
  <si>
    <t>V39023</t>
  </si>
  <si>
    <t>JAMUNA  RABHA</t>
  </si>
  <si>
    <t>V32519</t>
  </si>
  <si>
    <t>RINA  KUMARI</t>
  </si>
  <si>
    <t>V31710</t>
  </si>
  <si>
    <t>NAYAN  DEY</t>
  </si>
  <si>
    <t>V25769</t>
  </si>
  <si>
    <t>DULAL SAHANI</t>
  </si>
  <si>
    <t>V25471</t>
  </si>
  <si>
    <t>NABAJYOTI  MECH</t>
  </si>
  <si>
    <t>V25469</t>
  </si>
  <si>
    <t>BEAUTI  BASUMATARY</t>
  </si>
  <si>
    <t>V25468</t>
  </si>
  <si>
    <t>MANALISHA  HAZARIKA</t>
  </si>
  <si>
    <t>V25447</t>
  </si>
  <si>
    <t>PRANAB  HAZARIKA</t>
  </si>
  <si>
    <t>V13538</t>
  </si>
  <si>
    <t>Kamal  Das</t>
  </si>
  <si>
    <t>V50103</t>
  </si>
  <si>
    <t>Sahil Mustak Ahmed</t>
  </si>
  <si>
    <t>V49276</t>
  </si>
  <si>
    <t>Abdullah  Hassan</t>
  </si>
  <si>
    <t>V48789</t>
  </si>
  <si>
    <t>PANKAJ  THAKURIA</t>
  </si>
  <si>
    <t>V48613</t>
  </si>
  <si>
    <t>Ramjan  Ali</t>
  </si>
  <si>
    <t>V47796</t>
  </si>
  <si>
    <t>Ankhang  Basumatary</t>
  </si>
  <si>
    <t>V47422</t>
  </si>
  <si>
    <t>Mariyam  Khatun</t>
  </si>
  <si>
    <t>V47246</t>
  </si>
  <si>
    <t>RINKU  TALIKDAR</t>
  </si>
  <si>
    <t>V47244</t>
  </si>
  <si>
    <t>TASLIMA  KHATUN</t>
  </si>
  <si>
    <t>V41902</t>
  </si>
  <si>
    <t>PHANIN  BASUMATARY</t>
  </si>
  <si>
    <t>V41365</t>
  </si>
  <si>
    <t>DIPANKAR  DAS</t>
  </si>
  <si>
    <t>V33338</t>
  </si>
  <si>
    <t>MANJIT  DAS</t>
  </si>
  <si>
    <t>V32186</t>
  </si>
  <si>
    <t>UTPAL  KHERKATARY</t>
  </si>
  <si>
    <t>V31404</t>
  </si>
  <si>
    <t>BANADEEP  SARKAR</t>
  </si>
  <si>
    <t>V27149</t>
  </si>
  <si>
    <t>LALIT KUMAR SHAH</t>
  </si>
  <si>
    <t>V25472</t>
  </si>
  <si>
    <t>JINTI MONI DAS</t>
  </si>
  <si>
    <t>V24917</t>
  </si>
  <si>
    <t>BIPUL  GHOSH</t>
  </si>
  <si>
    <t>V24705</t>
  </si>
  <si>
    <t>RIYA  KARMAKAR</t>
  </si>
  <si>
    <t>V24618</t>
  </si>
  <si>
    <t>HARIDEV  DAS</t>
  </si>
  <si>
    <t>V24299</t>
  </si>
  <si>
    <t>BABY  BRAHMA</t>
  </si>
  <si>
    <t>V24289</t>
  </si>
  <si>
    <t>BARASHA  PATHAK</t>
  </si>
  <si>
    <t>V24276</t>
  </si>
  <si>
    <t>PALLABI  DAS</t>
  </si>
  <si>
    <t>V24273</t>
  </si>
  <si>
    <t>KRISHNA  SARKAR</t>
  </si>
  <si>
    <t>V21976</t>
  </si>
  <si>
    <t>MOHIBUL  HUSSAIN</t>
  </si>
  <si>
    <t>V21308</t>
  </si>
  <si>
    <t>Kundan  Thapa</t>
  </si>
  <si>
    <t>V53325</t>
  </si>
  <si>
    <t>Aibansara  Kharsohtun</t>
  </si>
  <si>
    <t>V52596</t>
  </si>
  <si>
    <t>Roberth T Sangma</t>
  </si>
  <si>
    <t>V49112</t>
  </si>
  <si>
    <t>Tengchak  Momin</t>
  </si>
  <si>
    <t>V48733</t>
  </si>
  <si>
    <t>Jagat Kumar Thapa</t>
  </si>
  <si>
    <t>V47746</t>
  </si>
  <si>
    <t>TAPAN  DAS</t>
  </si>
  <si>
    <t>V47097</t>
  </si>
  <si>
    <t>Wilber G Sangma</t>
  </si>
  <si>
    <t>V46742</t>
  </si>
  <si>
    <t>GAMCHI S SANGMA</t>
  </si>
  <si>
    <t>V46441</t>
  </si>
  <si>
    <t>Sanjay  Bhattacharjee</t>
  </si>
  <si>
    <t>V44451</t>
  </si>
  <si>
    <t>Reuven Osmond Marbaniang</t>
  </si>
  <si>
    <t>V44449</t>
  </si>
  <si>
    <t>PRIYA DAJEL MARAK</t>
  </si>
  <si>
    <t>V41419</t>
  </si>
  <si>
    <t>JIUS T SANGMA</t>
  </si>
  <si>
    <t>V39145</t>
  </si>
  <si>
    <t>SENGWALSRIK B MARAK</t>
  </si>
  <si>
    <t>V37952</t>
  </si>
  <si>
    <t>AJOY  CHONDO</t>
  </si>
  <si>
    <t>V37949</t>
  </si>
  <si>
    <t>MR. SILGRIM U. MARAK</t>
  </si>
  <si>
    <t>V34848</t>
  </si>
  <si>
    <t>RANGCHI R. SANGMA</t>
  </si>
  <si>
    <t>V33314</t>
  </si>
  <si>
    <t>VINISHA  LYNGDOH</t>
  </si>
  <si>
    <t>V32836</t>
  </si>
  <si>
    <t>PHILIP CHERAN N</t>
  </si>
  <si>
    <t>V32728</t>
  </si>
  <si>
    <t>LASIEWSPAH  SUTING</t>
  </si>
  <si>
    <t>V29834</t>
  </si>
  <si>
    <t>PRAKASH  RAI</t>
  </si>
  <si>
    <t>V28215</t>
  </si>
  <si>
    <t>TENY J SANGMA</t>
  </si>
  <si>
    <t>V26590</t>
  </si>
  <si>
    <t>RUDY A SANGMA</t>
  </si>
  <si>
    <t>V25438</t>
  </si>
  <si>
    <t>RIDALIN  MARBANIANG</t>
  </si>
  <si>
    <t>V24200</t>
  </si>
  <si>
    <t>NERUS  MOMIN</t>
  </si>
  <si>
    <t>V19574</t>
  </si>
  <si>
    <t>GOBINDA  DAS</t>
  </si>
  <si>
    <t>V54034</t>
  </si>
  <si>
    <t>Sourab  Roy</t>
  </si>
  <si>
    <t>V50034</t>
  </si>
  <si>
    <t>Binay  Sunar</t>
  </si>
  <si>
    <t>V49329</t>
  </si>
  <si>
    <t>Rinki  Das</t>
  </si>
  <si>
    <t>V49275</t>
  </si>
  <si>
    <t>ABU IRFAN MAZUMDER</t>
  </si>
  <si>
    <t>V48186</t>
  </si>
  <si>
    <t>CHINGTHANG KHOMBA SINGHA</t>
  </si>
  <si>
    <t>V46183</t>
  </si>
  <si>
    <t>PINKI  DEY</t>
  </si>
  <si>
    <t>V46172</t>
  </si>
  <si>
    <t>Samima Begum Laskar</t>
  </si>
  <si>
    <t>V44550</t>
  </si>
  <si>
    <t>SUMON CHANDA</t>
  </si>
  <si>
    <t>V31069</t>
  </si>
  <si>
    <t>AAKANSHA  GUPTA</t>
  </si>
  <si>
    <t>V28228</t>
  </si>
  <si>
    <t>REEDEMON LATAM</t>
  </si>
  <si>
    <t>V28018</t>
  </si>
  <si>
    <t>BISHAL  DAS</t>
  </si>
  <si>
    <t>V26571</t>
  </si>
  <si>
    <t>VICKY CHUTIA</t>
  </si>
  <si>
    <t>V26547</t>
  </si>
  <si>
    <t>V20390</t>
  </si>
  <si>
    <t>JAGAT BABU SINHA</t>
  </si>
  <si>
    <t>V20365</t>
  </si>
  <si>
    <t>KRISHNA SINGHA</t>
  </si>
  <si>
    <t>V20356</t>
  </si>
  <si>
    <t>DIPIKA PAUL</t>
  </si>
  <si>
    <t>V19553</t>
  </si>
  <si>
    <t>SANKAR DAS</t>
  </si>
  <si>
    <t>V10381</t>
  </si>
  <si>
    <t>SATYAJIT  SINHA</t>
  </si>
  <si>
    <t>V06930</t>
  </si>
  <si>
    <t>Anjali  Debnath</t>
  </si>
  <si>
    <t>V53124</t>
  </si>
  <si>
    <t>Amit  Mog</t>
  </si>
  <si>
    <t>V51536</t>
  </si>
  <si>
    <t>SUSHEN  TRIPURA</t>
  </si>
  <si>
    <t>V51534</t>
  </si>
  <si>
    <t>Sayan  Bhattacharjee</t>
  </si>
  <si>
    <t>V50288</t>
  </si>
  <si>
    <t>Uday Kumar Das</t>
  </si>
  <si>
    <t>V50030</t>
  </si>
  <si>
    <t>Tanujit  Das</t>
  </si>
  <si>
    <t>V48894</t>
  </si>
  <si>
    <t>Suchitra  Roy</t>
  </si>
  <si>
    <t>V48872</t>
  </si>
  <si>
    <t>Deb Narayan Ghosh</t>
  </si>
  <si>
    <t>V48640</t>
  </si>
  <si>
    <t>Suprita Paul Das</t>
  </si>
  <si>
    <t>V47865</t>
  </si>
  <si>
    <t>Rupan  Debbarma</t>
  </si>
  <si>
    <t>V46196</t>
  </si>
  <si>
    <t>Dip  Debnath</t>
  </si>
  <si>
    <t>V44046</t>
  </si>
  <si>
    <t>ARUP  DAS</t>
  </si>
  <si>
    <t>V40200</t>
  </si>
  <si>
    <t>NANDITA  SAHA</t>
  </si>
  <si>
    <t>V39223</t>
  </si>
  <si>
    <t>UDAY RUDRA PAUL</t>
  </si>
  <si>
    <t>V37788</t>
  </si>
  <si>
    <t>ABIJIT  DEBNATH</t>
  </si>
  <si>
    <t>V37787</t>
  </si>
  <si>
    <t>JOHN  DEBBARMA</t>
  </si>
  <si>
    <t>V37786</t>
  </si>
  <si>
    <t>ASHIS DAS</t>
  </si>
  <si>
    <t>V33346</t>
  </si>
  <si>
    <t>MANJITA  REANG</t>
  </si>
  <si>
    <t>V28183</t>
  </si>
  <si>
    <t>RAJU DAS</t>
  </si>
  <si>
    <t>V26973</t>
  </si>
  <si>
    <t>PRANAY  SARKAR</t>
  </si>
  <si>
    <t>V26161</t>
  </si>
  <si>
    <t>PRAKASH  ROY</t>
  </si>
  <si>
    <t>V21505</t>
  </si>
  <si>
    <t>ALOK  BANIK</t>
  </si>
  <si>
    <t>V21198</t>
  </si>
  <si>
    <t>HARI BHAJAN BARMAN</t>
  </si>
  <si>
    <t>V21102</t>
  </si>
  <si>
    <t>PRANAB  SHARMA</t>
  </si>
  <si>
    <t>V18602</t>
  </si>
  <si>
    <t>PRIYANKAR  GHOSH</t>
  </si>
  <si>
    <t>V16426</t>
  </si>
  <si>
    <t>SARUP SARKAR</t>
  </si>
  <si>
    <t>V09499</t>
  </si>
  <si>
    <t>SUMA BANIK PAL</t>
  </si>
  <si>
    <t>V07562</t>
  </si>
  <si>
    <t>JANMONI  MEDHI</t>
  </si>
  <si>
    <t>V48140</t>
  </si>
  <si>
    <t>PANKAJ  DAS</t>
  </si>
  <si>
    <t>V48139</t>
  </si>
  <si>
    <t>CHITRA  SARKAR</t>
  </si>
  <si>
    <t>V48137</t>
  </si>
  <si>
    <t>Pranabjyoti  Kalita</t>
  </si>
  <si>
    <t>V47840</t>
  </si>
  <si>
    <t>Satyajit  Patowary</t>
  </si>
  <si>
    <t>V47833</t>
  </si>
  <si>
    <t>Nabanita  Devi</t>
  </si>
  <si>
    <t>V47529</t>
  </si>
  <si>
    <t>Dipanbita  Rajbongshi</t>
  </si>
  <si>
    <t>V46629</t>
  </si>
  <si>
    <t>Injamul  Haque</t>
  </si>
  <si>
    <t>V45705</t>
  </si>
  <si>
    <t>Bibek  Thakuria</t>
  </si>
  <si>
    <t>V45031</t>
  </si>
  <si>
    <t>ANJAN  DAS</t>
  </si>
  <si>
    <t>V41349</t>
  </si>
  <si>
    <t>UPAMA  BASUMATARY</t>
  </si>
  <si>
    <t>V39989</t>
  </si>
  <si>
    <t>RUHUL  AMIN</t>
  </si>
  <si>
    <t>V39463</t>
  </si>
  <si>
    <t>PINKI DAS</t>
  </si>
  <si>
    <t>V39453</t>
  </si>
  <si>
    <t>V37329</t>
  </si>
  <si>
    <t>MEGHALI DEKA</t>
  </si>
  <si>
    <t>V35343</t>
  </si>
  <si>
    <t>JOGIEN RISHI</t>
  </si>
  <si>
    <t>V30372</t>
  </si>
  <si>
    <t>RAKESH  HAZARIKA</t>
  </si>
  <si>
    <t>V27242</t>
  </si>
  <si>
    <t>BARBI  KALITA</t>
  </si>
  <si>
    <t>V26573</t>
  </si>
  <si>
    <t>JOY CHANDRA DAS</t>
  </si>
  <si>
    <t>V16311</t>
  </si>
  <si>
    <t>PRANAB KUMAR ROY</t>
  </si>
  <si>
    <t>V13539</t>
  </si>
  <si>
    <t>PRANAY JYOTI KHATANIAR</t>
  </si>
  <si>
    <t>V05762</t>
  </si>
  <si>
    <t>Diganta  Chutia</t>
  </si>
  <si>
    <t>V53739</t>
  </si>
  <si>
    <t>Ratul  Patir</t>
  </si>
  <si>
    <t>V52524</t>
  </si>
  <si>
    <t>Biplob  Doley</t>
  </si>
  <si>
    <t>V52523</t>
  </si>
  <si>
    <t>BITUPAN  DAS</t>
  </si>
  <si>
    <t>V50985</t>
  </si>
  <si>
    <t>Akashdeep  Kardong</t>
  </si>
  <si>
    <t>V50315</t>
  </si>
  <si>
    <t>Bishal  Kardong</t>
  </si>
  <si>
    <t>V50312</t>
  </si>
  <si>
    <t>Bashanta  Deuri</t>
  </si>
  <si>
    <t>V50221</t>
  </si>
  <si>
    <t>Dipankor  Saikia</t>
  </si>
  <si>
    <t>V50220</t>
  </si>
  <si>
    <t>V50078</t>
  </si>
  <si>
    <t>Juli Saikia GOGOI</t>
  </si>
  <si>
    <t>V48008</t>
  </si>
  <si>
    <t>NIJARA JYOTI BORA</t>
  </si>
  <si>
    <t>V48007</t>
  </si>
  <si>
    <t>Pemba  Sherpa</t>
  </si>
  <si>
    <t>V46272</t>
  </si>
  <si>
    <t>MONALISHA  PEGU</t>
  </si>
  <si>
    <t>V41305</t>
  </si>
  <si>
    <t>NASBIN  BEGUM</t>
  </si>
  <si>
    <t>V41294</t>
  </si>
  <si>
    <t>DIPSHIKHA  BORA</t>
  </si>
  <si>
    <t>V41293</t>
  </si>
  <si>
    <t>RAHUL  PEGU</t>
  </si>
  <si>
    <t>V40181</t>
  </si>
  <si>
    <t>POLLOBI  GOGOI</t>
  </si>
  <si>
    <t>V38762</t>
  </si>
  <si>
    <t>SOUROV  CHETIA</t>
  </si>
  <si>
    <t>V33318</t>
  </si>
  <si>
    <t>JANMONI  PAHADI</t>
  </si>
  <si>
    <t>V32897</t>
  </si>
  <si>
    <t>SAMUJJAL  GOGOI</t>
  </si>
  <si>
    <t>V23925</t>
  </si>
  <si>
    <t>SUBODHA KR BAIDYA</t>
  </si>
  <si>
    <t>V02891</t>
  </si>
  <si>
    <t>DILSAN  BARUAH</t>
  </si>
  <si>
    <t>V49274</t>
  </si>
  <si>
    <t>DEWAN  SUFIAN</t>
  </si>
  <si>
    <t>V48942</t>
  </si>
  <si>
    <t>MIRCHAD  ALI</t>
  </si>
  <si>
    <t>V48610</t>
  </si>
  <si>
    <t>RUPAM  MEDHI</t>
  </si>
  <si>
    <t>V48337</t>
  </si>
  <si>
    <t>RAHUL  SUTRADHAR</t>
  </si>
  <si>
    <t>V47639</t>
  </si>
  <si>
    <t>KALYAN  DAS</t>
  </si>
  <si>
    <t>V47421</t>
  </si>
  <si>
    <t>JESMINA  KHATUN</t>
  </si>
  <si>
    <t>V39696</t>
  </si>
  <si>
    <t>DIPTI  DAS</t>
  </si>
  <si>
    <t>V34245</t>
  </si>
  <si>
    <t>TOPAN  DAS</t>
  </si>
  <si>
    <t>V33398</t>
  </si>
  <si>
    <t>RAHIDUL  ALI</t>
  </si>
  <si>
    <t>V33397</t>
  </si>
  <si>
    <t>V33334</t>
  </si>
  <si>
    <t>UDIT NARAYAN DAS</t>
  </si>
  <si>
    <t>V33007</t>
  </si>
  <si>
    <t>RAJDIP  DAS</t>
  </si>
  <si>
    <t>V30440</t>
  </si>
  <si>
    <t>SUNIL  BORO</t>
  </si>
  <si>
    <t>V26977</t>
  </si>
  <si>
    <t>KUNAL  MAZUMDAR</t>
  </si>
  <si>
    <t>V26934</t>
  </si>
  <si>
    <t>PRITAM  DAS</t>
  </si>
  <si>
    <t>V26870</t>
  </si>
  <si>
    <t>PURABI  DAS</t>
  </si>
  <si>
    <t>V24297</t>
  </si>
  <si>
    <t>CHILA DAS</t>
  </si>
  <si>
    <t>V22707</t>
  </si>
  <si>
    <t>SHAHIDUL  ISLAM</t>
  </si>
  <si>
    <t>V21979</t>
  </si>
  <si>
    <t>ABHIJIT  BAISHYA</t>
  </si>
  <si>
    <t>V21311</t>
  </si>
  <si>
    <t>UTPAL  DAS</t>
  </si>
  <si>
    <t>V21310</t>
  </si>
  <si>
    <t>MRIGANGA  DAS</t>
  </si>
  <si>
    <t>V21309</t>
  </si>
  <si>
    <t>BHUDEV  MEDHI</t>
  </si>
  <si>
    <t>V14352</t>
  </si>
  <si>
    <t>V12371</t>
  </si>
  <si>
    <t>MD ALEF RABBANI</t>
  </si>
  <si>
    <t>V11810</t>
  </si>
  <si>
    <t>MINTU MANI MAZUMDAR</t>
  </si>
  <si>
    <t>V11807</t>
  </si>
  <si>
    <t>DHANJIT  TALUKDAR</t>
  </si>
  <si>
    <t>V11805</t>
  </si>
  <si>
    <t>CHIRANJIB  DAS</t>
  </si>
  <si>
    <t>V11804</t>
  </si>
  <si>
    <t>MITHU  DAS</t>
  </si>
  <si>
    <t>V11794</t>
  </si>
  <si>
    <t>101003730336</t>
  </si>
  <si>
    <t>Barnali  Debnath</t>
  </si>
  <si>
    <t>V49449</t>
  </si>
  <si>
    <t>Rajdeep  Sinha</t>
  </si>
  <si>
    <t>V49446</t>
  </si>
  <si>
    <t>Rajib  Singha</t>
  </si>
  <si>
    <t>V49153</t>
  </si>
  <si>
    <t>Bibek  Singha</t>
  </si>
  <si>
    <t>V49152</t>
  </si>
  <si>
    <t>Shanta  Sinha</t>
  </si>
  <si>
    <t>V48673</t>
  </si>
  <si>
    <t>Swapan  Das</t>
  </si>
  <si>
    <t>V48671</t>
  </si>
  <si>
    <t>Nirupam  Ghosh</t>
  </si>
  <si>
    <t>V48497</t>
  </si>
  <si>
    <t>Pinaki  Malakar</t>
  </si>
  <si>
    <t>V47803</t>
  </si>
  <si>
    <t>Amit  Paul</t>
  </si>
  <si>
    <t>V46868</t>
  </si>
  <si>
    <t>RANABIR  SINGHA</t>
  </si>
  <si>
    <t>V46193</t>
  </si>
  <si>
    <t>RANJIT  DAS</t>
  </si>
  <si>
    <t>V45096</t>
  </si>
  <si>
    <t>RAJIB  RABIDAS</t>
  </si>
  <si>
    <t>V44801</t>
  </si>
  <si>
    <t>SIMA  CHOUDHURY</t>
  </si>
  <si>
    <t>V44799</t>
  </si>
  <si>
    <t>LUCKY  DAS</t>
  </si>
  <si>
    <t>V44639</t>
  </si>
  <si>
    <t>HAPPY  DAS</t>
  </si>
  <si>
    <t>V43617</t>
  </si>
  <si>
    <t>SONI  DAS</t>
  </si>
  <si>
    <t>V40176</t>
  </si>
  <si>
    <t>RUPAM DAS</t>
  </si>
  <si>
    <t>V40174</t>
  </si>
  <si>
    <t>BIKASHJYOTI  RABHA</t>
  </si>
  <si>
    <t>V38392</t>
  </si>
  <si>
    <t>ANJALI NATH</t>
  </si>
  <si>
    <t>V36614</t>
  </si>
  <si>
    <t>SOURABH DAS</t>
  </si>
  <si>
    <t>V34189</t>
  </si>
  <si>
    <t>RATI  BARMAN</t>
  </si>
  <si>
    <t>V33356</t>
  </si>
  <si>
    <t>JOYDIP  PAUL</t>
  </si>
  <si>
    <t>V30489</t>
  </si>
  <si>
    <t>SRIBASH SENGUPTA</t>
  </si>
  <si>
    <t>V28013</t>
  </si>
  <si>
    <t>SUMITA  BEGUM</t>
  </si>
  <si>
    <t>V25133</t>
  </si>
  <si>
    <t>ANKIT  SUKLABAIDYA</t>
  </si>
  <si>
    <t>V24804</t>
  </si>
  <si>
    <t>SANATOMBI  SINGHA</t>
  </si>
  <si>
    <t>V54013</t>
  </si>
  <si>
    <t>Rohit  Brijia</t>
  </si>
  <si>
    <t>V52397</t>
  </si>
  <si>
    <t>Mompi  Sarkar</t>
  </si>
  <si>
    <t>V47528</t>
  </si>
  <si>
    <t>Amit Kumar Tiwari</t>
  </si>
  <si>
    <t>V45916</t>
  </si>
  <si>
    <t>Konthoujam Aruna Devi</t>
  </si>
  <si>
    <t>V45562</t>
  </si>
  <si>
    <t>NOGEN MANIK MOLSOM</t>
  </si>
  <si>
    <t>V43623</t>
  </si>
  <si>
    <t>KAMAL  KALITA</t>
  </si>
  <si>
    <t>V41426</t>
  </si>
  <si>
    <t>BRAJEN  LAHKAR</t>
  </si>
  <si>
    <t>V40486</t>
  </si>
  <si>
    <t>BHASKAR BARUAH</t>
  </si>
  <si>
    <t>V35682</t>
  </si>
  <si>
    <t>MR. RAJIB HALOI</t>
  </si>
  <si>
    <t>V34754</t>
  </si>
  <si>
    <t>PURABI  DEKA</t>
  </si>
  <si>
    <t>V34090</t>
  </si>
  <si>
    <t>MR. SASHI KUMAR</t>
  </si>
  <si>
    <t>V31515</t>
  </si>
  <si>
    <t>HIRAK JYOTI DEKA</t>
  </si>
  <si>
    <t>V30282</t>
  </si>
  <si>
    <t>RAM PRAKASH TIWARI</t>
  </si>
  <si>
    <t>V29865</t>
  </si>
  <si>
    <t>TIKUMONI  DEKA</t>
  </si>
  <si>
    <t>V28086</t>
  </si>
  <si>
    <t>MONJIT  BORAH</t>
  </si>
  <si>
    <t>V26906</t>
  </si>
  <si>
    <t>DEBOSRI  RABHA</t>
  </si>
  <si>
    <t>V26482</t>
  </si>
  <si>
    <t>CHAYANIKA  KALITA</t>
  </si>
  <si>
    <t>V25983</t>
  </si>
  <si>
    <t>NEHA  KUMARI</t>
  </si>
  <si>
    <t>V25605</t>
  </si>
  <si>
    <t>JOGESWAR  NATH</t>
  </si>
  <si>
    <t>V23991</t>
  </si>
  <si>
    <t>TAPASHI  HALOI</t>
  </si>
  <si>
    <t>V22700</t>
  </si>
  <si>
    <t>HIMA  DEVI</t>
  </si>
  <si>
    <t>V22699</t>
  </si>
  <si>
    <t>SUSHANTA  SINHA</t>
  </si>
  <si>
    <t>V12413</t>
  </si>
  <si>
    <t>ABUL  KASIM</t>
  </si>
  <si>
    <t>V07870</t>
  </si>
  <si>
    <t>CHAMPA  LAMA</t>
  </si>
  <si>
    <t>V03494</t>
  </si>
  <si>
    <t>LAKSHMIRANI  DAS</t>
  </si>
  <si>
    <t>V03007</t>
  </si>
  <si>
    <t>SATYABAN  BAIDYA</t>
  </si>
  <si>
    <t>V02997</t>
  </si>
  <si>
    <t>Nakul  Chak</t>
  </si>
  <si>
    <t>V54689</t>
  </si>
  <si>
    <t>Aman  Kaushal</t>
  </si>
  <si>
    <t>V54642</t>
  </si>
  <si>
    <t>Anirudh  Rathor</t>
  </si>
  <si>
    <t>V53910</t>
  </si>
  <si>
    <t>Mohini  Sharma</t>
  </si>
  <si>
    <t>V53907</t>
  </si>
  <si>
    <t>Ramu  Kushwah</t>
  </si>
  <si>
    <t>V53064</t>
  </si>
  <si>
    <t>Rahul Singh Narwar</t>
  </si>
  <si>
    <t>V52624</t>
  </si>
  <si>
    <t>Hemant  Rajoriya</t>
  </si>
  <si>
    <t>V52617</t>
  </si>
  <si>
    <t>Suraj  Kushwah</t>
  </si>
  <si>
    <t>V52614</t>
  </si>
  <si>
    <t>Ajay  Kushwah</t>
  </si>
  <si>
    <t>V52611</t>
  </si>
  <si>
    <t>Vinay  Singh</t>
  </si>
  <si>
    <t>V52609</t>
  </si>
  <si>
    <t>Mahaveer  Yadav</t>
  </si>
  <si>
    <t>V52521</t>
  </si>
  <si>
    <t>Nitesh  Bansal</t>
  </si>
  <si>
    <t>V52467</t>
  </si>
  <si>
    <t>Akash  Jatav</t>
  </si>
  <si>
    <t>V52367</t>
  </si>
  <si>
    <t>Sonu  Jatav</t>
  </si>
  <si>
    <t>V52366</t>
  </si>
  <si>
    <t>Saloni  Sikarwar</t>
  </si>
  <si>
    <t>V52365</t>
  </si>
  <si>
    <t>V52222</t>
  </si>
  <si>
    <t>Surendra  Singh</t>
  </si>
  <si>
    <t>V52218</t>
  </si>
  <si>
    <t>Brijesh Singh Tomar</t>
  </si>
  <si>
    <t>V52082</t>
  </si>
  <si>
    <t>Radheshyam  Yadav</t>
  </si>
  <si>
    <t>V52079</t>
  </si>
  <si>
    <t>Sachin  Narwar</t>
  </si>
  <si>
    <t>V52016</t>
  </si>
  <si>
    <t>Monu  Balmik</t>
  </si>
  <si>
    <t>V52015</t>
  </si>
  <si>
    <t>AMIT  PANDEY</t>
  </si>
  <si>
    <t>V50737</t>
  </si>
  <si>
    <t>Mukesh  Rawat</t>
  </si>
  <si>
    <t>V49887</t>
  </si>
  <si>
    <t>Shivom  Choudhary</t>
  </si>
  <si>
    <t>V54033</t>
  </si>
  <si>
    <t>Dhanraj  Ahirwar</t>
  </si>
  <si>
    <t>V53600</t>
  </si>
  <si>
    <t>VASNTA  SIRSAM</t>
  </si>
  <si>
    <t>V53500</t>
  </si>
  <si>
    <t>KIRAN  UIKEY</t>
  </si>
  <si>
    <t>V53497</t>
  </si>
  <si>
    <t>DEVYANI  KADU</t>
  </si>
  <si>
    <t>V53443</t>
  </si>
  <si>
    <t>ROSHAN  GAJBHIYE</t>
  </si>
  <si>
    <t>V53224</t>
  </si>
  <si>
    <t>PRANAY  WANJARI</t>
  </si>
  <si>
    <t>V53223</t>
  </si>
  <si>
    <t>Pritesh  Lokhande</t>
  </si>
  <si>
    <t>V53222</t>
  </si>
  <si>
    <t>MANISH  THAWRE</t>
  </si>
  <si>
    <t>V53220</t>
  </si>
  <si>
    <t>SATISH  BIRGHADE</t>
  </si>
  <si>
    <t>V53219</t>
  </si>
  <si>
    <t>Kirti  Binjhade</t>
  </si>
  <si>
    <t>V53167</t>
  </si>
  <si>
    <t>Harshika  Vankhade</t>
  </si>
  <si>
    <t>V53154</t>
  </si>
  <si>
    <t>Vinod  Rajguru</t>
  </si>
  <si>
    <t>V53090</t>
  </si>
  <si>
    <t>Abhishek  Kumre</t>
  </si>
  <si>
    <t>V53002</t>
  </si>
  <si>
    <t>Sumit  Salame</t>
  </si>
  <si>
    <t>V52712</t>
  </si>
  <si>
    <t>Jitendra  Kharwade</t>
  </si>
  <si>
    <t>V52708</t>
  </si>
  <si>
    <t>Soniya  Uikey</t>
  </si>
  <si>
    <t>V52706</t>
  </si>
  <si>
    <t>Nilima  Babulkar</t>
  </si>
  <si>
    <t>V52702</t>
  </si>
  <si>
    <t>Diksha  Paradkar</t>
  </si>
  <si>
    <t>V52701</t>
  </si>
  <si>
    <t>Asif  Shah</t>
  </si>
  <si>
    <t>V52466</t>
  </si>
  <si>
    <t>Manisha  Iraskar</t>
  </si>
  <si>
    <t>V52465</t>
  </si>
  <si>
    <t>Atish  Kamde</t>
  </si>
  <si>
    <t>V52462</t>
  </si>
  <si>
    <t>Vinita  Suryavanshi</t>
  </si>
  <si>
    <t>V52384</t>
  </si>
  <si>
    <t>SHEIKH  AFTAB</t>
  </si>
  <si>
    <t>V51969</t>
  </si>
  <si>
    <t>MANISH  RAJGURU</t>
  </si>
  <si>
    <t>V51946</t>
  </si>
  <si>
    <t>SUDHIR  KAWLE</t>
  </si>
  <si>
    <t>V51878</t>
  </si>
  <si>
    <t>Aditya Ramhardey Mishra</t>
  </si>
  <si>
    <t>V47830</t>
  </si>
  <si>
    <t>RISHI  NIRAPURE</t>
  </si>
  <si>
    <t>V35231</t>
  </si>
  <si>
    <t>GANESH  LILHARE</t>
  </si>
  <si>
    <t>V31647</t>
  </si>
  <si>
    <t>Deepak  More</t>
  </si>
  <si>
    <t>Devmani  Sharma</t>
  </si>
  <si>
    <t>V52977</t>
  </si>
  <si>
    <t>Deepak  Pathak</t>
  </si>
  <si>
    <t>V52934</t>
  </si>
  <si>
    <t>Rajkumar  Ahirwar</t>
  </si>
  <si>
    <t>V50711</t>
  </si>
  <si>
    <t>KARAN  SENGAR</t>
  </si>
  <si>
    <t>V33591</t>
  </si>
  <si>
    <t>Rahul  Savita</t>
  </si>
  <si>
    <t>V54653</t>
  </si>
  <si>
    <t>Hotam  Mahor</t>
  </si>
  <si>
    <t>V54622</t>
  </si>
  <si>
    <t>Anand Rao Bhosle</t>
  </si>
  <si>
    <t>V52981</t>
  </si>
  <si>
    <t>MAHENDRA KUMAR JAIN</t>
  </si>
  <si>
    <t>V53632</t>
  </si>
  <si>
    <t>V53447</t>
  </si>
  <si>
    <t>NILEESH  BERAGI</t>
  </si>
  <si>
    <t>V53255</t>
  </si>
  <si>
    <t>NEERAJ MALOTIYA</t>
  </si>
  <si>
    <t>V35602</t>
  </si>
  <si>
    <t>GOVIND  KUSHWAH</t>
  </si>
  <si>
    <t>V53347</t>
  </si>
  <si>
    <t>AAKANKSHA  BAGHEL</t>
  </si>
  <si>
    <t>V53346</t>
  </si>
  <si>
    <t>Manisha  Jatav</t>
  </si>
  <si>
    <t>V53345</t>
  </si>
  <si>
    <t>Karan  Kalosiya</t>
  </si>
  <si>
    <t>V52363</t>
  </si>
  <si>
    <t>Nikhil  Ojha</t>
  </si>
  <si>
    <t>V51834</t>
  </si>
  <si>
    <t>Pan Bai Ahirwar</t>
  </si>
  <si>
    <t>V50604</t>
  </si>
  <si>
    <t>Aman  Namdev</t>
  </si>
  <si>
    <t>V50501</t>
  </si>
  <si>
    <t>Somdev somdev Baghel</t>
  </si>
  <si>
    <t>V50405</t>
  </si>
  <si>
    <t>Abhishek  Chandel</t>
  </si>
  <si>
    <t>V50389</t>
  </si>
  <si>
    <t>Sunita  Barela</t>
  </si>
  <si>
    <t>V50388</t>
  </si>
  <si>
    <t>Ramdas  Ahirwar</t>
  </si>
  <si>
    <t>V50353</t>
  </si>
  <si>
    <t>Prayadum  Chandel</t>
  </si>
  <si>
    <t>V50352</t>
  </si>
  <si>
    <t>Divyansh Ojha Ojha</t>
  </si>
  <si>
    <t>V49711</t>
  </si>
  <si>
    <t>Preeti Mahadik Mahadik</t>
  </si>
  <si>
    <t>V49705</t>
  </si>
  <si>
    <t>Kuldeep Malviya Malviya</t>
  </si>
  <si>
    <t>V49704</t>
  </si>
  <si>
    <t>Neeraj Singh Chidar</t>
  </si>
  <si>
    <t>V49703</t>
  </si>
  <si>
    <t>Abhishek Chandel Chandel</t>
  </si>
  <si>
    <t>V49702</t>
  </si>
  <si>
    <t>Nishant  Dhuriya</t>
  </si>
  <si>
    <t>V49668</t>
  </si>
  <si>
    <t>Lokesh RAJPUT Rajput</t>
  </si>
  <si>
    <t>V49667</t>
  </si>
  <si>
    <t>Umesh  Manjhi</t>
  </si>
  <si>
    <t>V49666</t>
  </si>
  <si>
    <t>Dishant  Dhuriya</t>
  </si>
  <si>
    <t>V49659</t>
  </si>
  <si>
    <t>Abhay  Choure</t>
  </si>
  <si>
    <t>V49656</t>
  </si>
  <si>
    <t>Vijay  Jatav</t>
  </si>
  <si>
    <t>V49617</t>
  </si>
  <si>
    <t>Pawan Rajak Rajak</t>
  </si>
  <si>
    <t>V49614</t>
  </si>
  <si>
    <t>V49471</t>
  </si>
  <si>
    <t>Santosh Kumar Kumar</t>
  </si>
  <si>
    <t>V48748</t>
  </si>
  <si>
    <t>Santosh  Kushwah</t>
  </si>
  <si>
    <t>V48632</t>
  </si>
  <si>
    <t>Sumit Rajput Rajput</t>
  </si>
  <si>
    <t>V48547</t>
  </si>
  <si>
    <t>Pramod  Yadav</t>
  </si>
  <si>
    <t>V48546</t>
  </si>
  <si>
    <t>Preeti  Bhargav</t>
  </si>
  <si>
    <t>V54391</t>
  </si>
  <si>
    <t>Rachna</t>
  </si>
  <si>
    <t>V54323</t>
  </si>
  <si>
    <t>Neha  Yadav</t>
  </si>
  <si>
    <t>V54322</t>
  </si>
  <si>
    <t>Radha  Sahu</t>
  </si>
  <si>
    <t>V53965</t>
  </si>
  <si>
    <t>V53964</t>
  </si>
  <si>
    <t>Himanshu  Varma</t>
  </si>
  <si>
    <t>V53963</t>
  </si>
  <si>
    <t>BHAVNA  JATVA</t>
  </si>
  <si>
    <t>V53694</t>
  </si>
  <si>
    <t>Seema  Malviya</t>
  </si>
  <si>
    <t>V53693</t>
  </si>
  <si>
    <t>arjun  Bharole</t>
  </si>
  <si>
    <t>V53692</t>
  </si>
  <si>
    <t>SAWAN  JADHAW</t>
  </si>
  <si>
    <t>V53691</t>
  </si>
  <si>
    <t>Sona  Vishwakarma</t>
  </si>
  <si>
    <t>V53502</t>
  </si>
  <si>
    <t>VANSH  TIROLE</t>
  </si>
  <si>
    <t>V52018</t>
  </si>
  <si>
    <t>SATYAM  PATKAR</t>
  </si>
  <si>
    <t>V51983</t>
  </si>
  <si>
    <t>chandani  sunhare</t>
  </si>
  <si>
    <t>V51981</t>
  </si>
  <si>
    <t>mamta  mourya</t>
  </si>
  <si>
    <t>V51973</t>
  </si>
  <si>
    <t>Darshna  Lodhi</t>
  </si>
  <si>
    <t>V51972</t>
  </si>
  <si>
    <t>Priyanshi  singh</t>
  </si>
  <si>
    <t>V51970</t>
  </si>
  <si>
    <t>ANITA  CHUHAN</t>
  </si>
  <si>
    <t>V51859</t>
  </si>
  <si>
    <t>indira  banodiya</t>
  </si>
  <si>
    <t>V51764</t>
  </si>
  <si>
    <t>Mansi Tembhurne  Tembhurne</t>
  </si>
  <si>
    <t>V51763</t>
  </si>
  <si>
    <t>Nandani  ujle</t>
  </si>
  <si>
    <t>V51701</t>
  </si>
  <si>
    <t>SUMITRA  SOLANKI</t>
  </si>
  <si>
    <t>V51574</t>
  </si>
  <si>
    <t>Pavitra  Dangi</t>
  </si>
  <si>
    <t>V51264</t>
  </si>
  <si>
    <t>Sameer</t>
  </si>
  <si>
    <t>V51263</t>
  </si>
  <si>
    <t>Vivek  Mewada</t>
  </si>
  <si>
    <t>V50931</t>
  </si>
  <si>
    <t>RASHMI  DHOLKAR</t>
  </si>
  <si>
    <t>V50706</t>
  </si>
  <si>
    <t>TUSHAL  AMARWAD</t>
  </si>
  <si>
    <t>V50403</t>
  </si>
  <si>
    <t>V50402</t>
  </si>
  <si>
    <t>Aadrash</t>
  </si>
  <si>
    <t>V50401</t>
  </si>
  <si>
    <t>Sagar  Choudhary</t>
  </si>
  <si>
    <t>V50145</t>
  </si>
  <si>
    <t>Rajesh Kumar Lovanshi</t>
  </si>
  <si>
    <t>V50122</t>
  </si>
  <si>
    <t>Roja  Rawat</t>
  </si>
  <si>
    <t>V49880</t>
  </si>
  <si>
    <t>Kanchan  Verma</t>
  </si>
  <si>
    <t>V49743</t>
  </si>
  <si>
    <t>Swati  Rathor</t>
  </si>
  <si>
    <t>V49719</t>
  </si>
  <si>
    <t>Mauni</t>
  </si>
  <si>
    <t>V49718</t>
  </si>
  <si>
    <t>Hari Om Sahu</t>
  </si>
  <si>
    <t>V49717</t>
  </si>
  <si>
    <t>Vikas  Yadav</t>
  </si>
  <si>
    <t>V49689</t>
  </si>
  <si>
    <t>NAVEEN KUMAR BEN</t>
  </si>
  <si>
    <t>V48131</t>
  </si>
  <si>
    <t>Sunita  Kalyane</t>
  </si>
  <si>
    <t>V48017</t>
  </si>
  <si>
    <t>Shiv Kumar Sharma</t>
  </si>
  <si>
    <t>V47077</t>
  </si>
  <si>
    <t>NARENDRA  PAWAR</t>
  </si>
  <si>
    <t>V29268</t>
  </si>
  <si>
    <t>KAMAL  KISHOR</t>
  </si>
  <si>
    <t>V53116</t>
  </si>
  <si>
    <t>V53066</t>
  </si>
  <si>
    <t>Nikita  Balmik</t>
  </si>
  <si>
    <t>V52382</t>
  </si>
  <si>
    <t>PINKI</t>
  </si>
  <si>
    <t>Akshra sharma</t>
  </si>
  <si>
    <t>V50927</t>
  </si>
  <si>
    <t>Rajat  Tomar</t>
  </si>
  <si>
    <t>V50469</t>
  </si>
  <si>
    <t>Chandraprakash  Shakya</t>
  </si>
  <si>
    <t>V50417</t>
  </si>
  <si>
    <t>Laxmi  Baghel</t>
  </si>
  <si>
    <t>V50377</t>
  </si>
  <si>
    <t>Love  Shivhare</t>
  </si>
  <si>
    <t>V50084</t>
  </si>
  <si>
    <t>Neetesh  Arya</t>
  </si>
  <si>
    <t>V50083</t>
  </si>
  <si>
    <t>Ritik  Rai</t>
  </si>
  <si>
    <t>V50006</t>
  </si>
  <si>
    <t>Shanvi  Goswami</t>
  </si>
  <si>
    <t>V50005</t>
  </si>
  <si>
    <t>Ajay  Taksande</t>
  </si>
  <si>
    <t>V50004</t>
  </si>
  <si>
    <t>Abhishek  Sharma</t>
  </si>
  <si>
    <t>V49684</t>
  </si>
  <si>
    <t>Premvati  Baghel</t>
  </si>
  <si>
    <t>V49383</t>
  </si>
  <si>
    <t>Rishav  Mane</t>
  </si>
  <si>
    <t>V49304</t>
  </si>
  <si>
    <t>Rohit  Kushwah</t>
  </si>
  <si>
    <t>V49103</t>
  </si>
  <si>
    <t>Laxmi</t>
  </si>
  <si>
    <t>V48629</t>
  </si>
  <si>
    <t>Akash  Rajpoot</t>
  </si>
  <si>
    <t>V48119</t>
  </si>
  <si>
    <t>Naina  Jatav</t>
  </si>
  <si>
    <t>V47983</t>
  </si>
  <si>
    <t>V37063</t>
  </si>
  <si>
    <t>RANJEET</t>
  </si>
  <si>
    <t>V53853</t>
  </si>
  <si>
    <t>Sonu  Chouhan</t>
  </si>
  <si>
    <t>V52801</t>
  </si>
  <si>
    <t>Lalita</t>
  </si>
  <si>
    <t>V52800</t>
  </si>
  <si>
    <t>Dhanraj  Rajak</t>
  </si>
  <si>
    <t>V52571</t>
  </si>
  <si>
    <t>Mishri  Bai</t>
  </si>
  <si>
    <t>V52561</t>
  </si>
  <si>
    <t>Aaditya  Vishvakarma</t>
  </si>
  <si>
    <t>V52560</t>
  </si>
  <si>
    <t>Arvind  Rajput</t>
  </si>
  <si>
    <t>V52559</t>
  </si>
  <si>
    <t>Pooja  Vishvakarma</t>
  </si>
  <si>
    <t>V52463</t>
  </si>
  <si>
    <t>Sahil  Meena</t>
  </si>
  <si>
    <t>V52107</t>
  </si>
  <si>
    <t>Nandani  Kushwah</t>
  </si>
  <si>
    <t>V52106</t>
  </si>
  <si>
    <t>V51577</t>
  </si>
  <si>
    <t>ANIVESH</t>
  </si>
  <si>
    <t>V51435</t>
  </si>
  <si>
    <t>V50806</t>
  </si>
  <si>
    <t>Chotu</t>
  </si>
  <si>
    <t>V50487</t>
  </si>
  <si>
    <t>Pankaj  Ahirwar</t>
  </si>
  <si>
    <t>V50259</t>
  </si>
  <si>
    <t>Jaydeep  Paliwal</t>
  </si>
  <si>
    <t>V50219</t>
  </si>
  <si>
    <t>Aryan  Parsodiya</t>
  </si>
  <si>
    <t>V50136</t>
  </si>
  <si>
    <t>Gyan  Singh</t>
  </si>
  <si>
    <t>V50114</t>
  </si>
  <si>
    <t>Samuel  Paul</t>
  </si>
  <si>
    <t>V49687</t>
  </si>
  <si>
    <t>Deepak Singh Rajpoot</t>
  </si>
  <si>
    <t>V49332</t>
  </si>
  <si>
    <t>Mohit Kumar Parsodiya</t>
  </si>
  <si>
    <t>V48384</t>
  </si>
  <si>
    <t>TEESA  YADAV</t>
  </si>
  <si>
    <t>V48149</t>
  </si>
  <si>
    <t>ANJALI  SHAKYA</t>
  </si>
  <si>
    <t>V48098</t>
  </si>
  <si>
    <t>Prem Shila Minj</t>
  </si>
  <si>
    <t>V48011</t>
  </si>
  <si>
    <t>V47994</t>
  </si>
  <si>
    <t>Narendra  Ahirwar</t>
  </si>
  <si>
    <t>V47819</t>
  </si>
  <si>
    <t>ROSHAN SINGH LODHI</t>
  </si>
  <si>
    <t>V39585</t>
  </si>
  <si>
    <t>NARENDRA  DHAKAD</t>
  </si>
  <si>
    <t>V29605</t>
  </si>
  <si>
    <t>ASHUTOSH TIWARI</t>
  </si>
  <si>
    <t>V29414</t>
  </si>
  <si>
    <t>RAJENDRA  SINGH</t>
  </si>
  <si>
    <t>VISHNU  LAL</t>
  </si>
  <si>
    <t>V51885</t>
  </si>
  <si>
    <t>V51883</t>
  </si>
  <si>
    <t>JAGNARAYAN  SINGH</t>
  </si>
  <si>
    <t>V51882</t>
  </si>
  <si>
    <t>Pawan Kumar Shah</t>
  </si>
  <si>
    <t>V47667</t>
  </si>
  <si>
    <t>Harishchand  Vishwakarma</t>
  </si>
  <si>
    <t>V47551</t>
  </si>
  <si>
    <t>Dinesh Kumar Shah</t>
  </si>
  <si>
    <t>V47398</t>
  </si>
  <si>
    <t>Deepak Kumar Prajapati</t>
  </si>
  <si>
    <t>V47379</t>
  </si>
  <si>
    <t>Ashok Kumar Shah</t>
  </si>
  <si>
    <t>V47119</t>
  </si>
  <si>
    <t>Sangeeta  Prajapati</t>
  </si>
  <si>
    <t>V46940</t>
  </si>
  <si>
    <t>Lakshmi  Shah</t>
  </si>
  <si>
    <t>V46932</t>
  </si>
  <si>
    <t>Vikram  Kasyp</t>
  </si>
  <si>
    <t>V46930</t>
  </si>
  <si>
    <t>Mukesh Kumar Singh</t>
  </si>
  <si>
    <t>V46929</t>
  </si>
  <si>
    <t>Vikash Kumar Shah</t>
  </si>
  <si>
    <t>V46381</t>
  </si>
  <si>
    <t>Sunil Kumar Shah</t>
  </si>
  <si>
    <t>V46017</t>
  </si>
  <si>
    <t>Sonu Kumar Patel</t>
  </si>
  <si>
    <t>V45990</t>
  </si>
  <si>
    <t>Deepak Singh Parihar</t>
  </si>
  <si>
    <t>V45444</t>
  </si>
  <si>
    <t>V43750</t>
  </si>
  <si>
    <t>Shailesh  Shukla</t>
  </si>
  <si>
    <t>V50406</t>
  </si>
  <si>
    <t>Virendra  Parmar</t>
  </si>
  <si>
    <t>V53569</t>
  </si>
  <si>
    <t>Deepak  Thakur</t>
  </si>
  <si>
    <t>V52797</t>
  </si>
  <si>
    <t>Rajendra  Kumar</t>
  </si>
  <si>
    <t>V51655</t>
  </si>
  <si>
    <t>Gourishankar  Vishwakarma</t>
  </si>
  <si>
    <t>V50944</t>
  </si>
  <si>
    <t>Hemraj  Kalar</t>
  </si>
  <si>
    <t>V49479</t>
  </si>
  <si>
    <t>Nirmala</t>
  </si>
  <si>
    <t>V47950</t>
  </si>
  <si>
    <t>V47692</t>
  </si>
  <si>
    <t>Digvijay  Gehlot</t>
  </si>
  <si>
    <t>V47385</t>
  </si>
  <si>
    <t>Rohit  MAKWANA</t>
  </si>
  <si>
    <t>V45849</t>
  </si>
  <si>
    <t>Pruthvi Raj Singh Chouhan</t>
  </si>
  <si>
    <t>V44387</t>
  </si>
  <si>
    <t>Rohit  Choudhary</t>
  </si>
  <si>
    <t>V44362</t>
  </si>
  <si>
    <t>Sunil  Choudhary</t>
  </si>
  <si>
    <t>V44041</t>
  </si>
  <si>
    <t>Kishor  Lal</t>
  </si>
  <si>
    <t>V43037</t>
  </si>
  <si>
    <t>V41889</t>
  </si>
  <si>
    <t>ganesh</t>
  </si>
  <si>
    <t>V41843</t>
  </si>
  <si>
    <t>Krishan  kumar</t>
  </si>
  <si>
    <t>V41842</t>
  </si>
  <si>
    <t>lokendra  ahirwar</t>
  </si>
  <si>
    <t>V41816</t>
  </si>
  <si>
    <t>Deepak  rathor</t>
  </si>
  <si>
    <t>V41815</t>
  </si>
  <si>
    <t>Ranjeet  parihar</t>
  </si>
  <si>
    <t>V41185</t>
  </si>
  <si>
    <t>Shivani  Porwal</t>
  </si>
  <si>
    <t>V41150</t>
  </si>
  <si>
    <t>SHUBHAM  BHANWAR</t>
  </si>
  <si>
    <t>V33584</t>
  </si>
  <si>
    <t>SHIYA BAI CHAUDHARI</t>
  </si>
  <si>
    <t>V48160</t>
  </si>
  <si>
    <t>PRATIMA  BENS</t>
  </si>
  <si>
    <t>V46028</t>
  </si>
  <si>
    <t>PRAMOD KUMAR BAGRI</t>
  </si>
  <si>
    <t>V46025</t>
  </si>
  <si>
    <t>JAY KUMAR KUSHWAHA</t>
  </si>
  <si>
    <t>V43200</t>
  </si>
  <si>
    <t>SHIVENDRA  SINGH</t>
  </si>
  <si>
    <t>V42846</t>
  </si>
  <si>
    <t>ADARSH  DWIVEDI</t>
  </si>
  <si>
    <t>V42744</t>
  </si>
  <si>
    <t>SATYA NARAYAN  TIWARI</t>
  </si>
  <si>
    <t>V42743</t>
  </si>
  <si>
    <t>PRAVEEN KUMAR PANDEY</t>
  </si>
  <si>
    <t>V42683</t>
  </si>
  <si>
    <t>NILESH  SINGH</t>
  </si>
  <si>
    <t>V42682</t>
  </si>
  <si>
    <t>UMESH  CHAUDHARY</t>
  </si>
  <si>
    <t>V42681</t>
  </si>
  <si>
    <t>PRANSHU  PANDEY</t>
  </si>
  <si>
    <t>V42642</t>
  </si>
  <si>
    <t>KAPIL KUMAR SHRUNGI</t>
  </si>
  <si>
    <t>V42588</t>
  </si>
  <si>
    <t>PRIYANKA  PANDEY</t>
  </si>
  <si>
    <t>V42586</t>
  </si>
  <si>
    <t>ANURADHA  PANDEY</t>
  </si>
  <si>
    <t>V42585</t>
  </si>
  <si>
    <t>V42584</t>
  </si>
  <si>
    <t>MOHIT KUMAR NAMDEV</t>
  </si>
  <si>
    <t>V42583</t>
  </si>
  <si>
    <t>V42582</t>
  </si>
  <si>
    <t>ABHISHESH PRATAP SINGH</t>
  </si>
  <si>
    <t>V42581</t>
  </si>
  <si>
    <t>SACHIN  AHIRWAR</t>
  </si>
  <si>
    <t>V42580</t>
  </si>
  <si>
    <t>ANJNA KUSHWAHA</t>
  </si>
  <si>
    <t>V42578</t>
  </si>
  <si>
    <t>ANAND  CHAUDHARI</t>
  </si>
  <si>
    <t>V42432</t>
  </si>
  <si>
    <t>ANIL  KUSHWAHA</t>
  </si>
  <si>
    <t>V42430</t>
  </si>
  <si>
    <t>JAGDEESH PRASAD PATEL</t>
  </si>
  <si>
    <t>V42041</t>
  </si>
  <si>
    <t>SATYENDRA KUMAR CHAUDHARY</t>
  </si>
  <si>
    <t>V41555</t>
  </si>
  <si>
    <t>ANKIT  VISHWAKARMA</t>
  </si>
  <si>
    <t>V40758</t>
  </si>
  <si>
    <t>GENDLAL  SAKET</t>
  </si>
  <si>
    <t>V24843</t>
  </si>
  <si>
    <t>RAGHAVENDRA  SAKET</t>
  </si>
  <si>
    <t>V14936</t>
  </si>
  <si>
    <t>Gotam Ji Rajak</t>
  </si>
  <si>
    <t>V52832</t>
  </si>
  <si>
    <t>Ritesh  Marko</t>
  </si>
  <si>
    <t>V48958</t>
  </si>
  <si>
    <t>Karan  Aheer</t>
  </si>
  <si>
    <t>V48394</t>
  </si>
  <si>
    <t>Tulsiram</t>
  </si>
  <si>
    <t>V47715</t>
  </si>
  <si>
    <t>Khushi  Mahra</t>
  </si>
  <si>
    <t>V47517</t>
  </si>
  <si>
    <t>Ayush  Kundy</t>
  </si>
  <si>
    <t>V47516</t>
  </si>
  <si>
    <t>Sujeet  Patel</t>
  </si>
  <si>
    <t>V45998</t>
  </si>
  <si>
    <t>Jitendra  Uike</t>
  </si>
  <si>
    <t>V45713</t>
  </si>
  <si>
    <t>Satyendra Kumar Dhurve</t>
  </si>
  <si>
    <t>V45707</t>
  </si>
  <si>
    <t>Lekha  Uikey</t>
  </si>
  <si>
    <t>V45604</t>
  </si>
  <si>
    <t>DEEPANSHU  RAIKWAR</t>
  </si>
  <si>
    <t>V39911</t>
  </si>
  <si>
    <t>SURBHI  PATEL</t>
  </si>
  <si>
    <t>V39800</t>
  </si>
  <si>
    <t>NISHITA  YADAV</t>
  </si>
  <si>
    <t>V39798</t>
  </si>
  <si>
    <t>V39434</t>
  </si>
  <si>
    <t>SHIVA  BARMAN</t>
  </si>
  <si>
    <t>V39205</t>
  </si>
  <si>
    <t>RAHUL  AHIRWAR</t>
  </si>
  <si>
    <t>V38965</t>
  </si>
  <si>
    <t>ABHISHEK  VISHWAKARMA</t>
  </si>
  <si>
    <t>V38957</t>
  </si>
  <si>
    <t>SONU  DHAMEJA</t>
  </si>
  <si>
    <t>V38717</t>
  </si>
  <si>
    <t>JYOTI  KUSHWAHA</t>
  </si>
  <si>
    <t>V38716</t>
  </si>
  <si>
    <t>RISHIKA  LAKHERA</t>
  </si>
  <si>
    <t>V38711</t>
  </si>
  <si>
    <t>YASHWANT  MARAVI</t>
  </si>
  <si>
    <t>V38706</t>
  </si>
  <si>
    <t>ARCHANA  DHURVE</t>
  </si>
  <si>
    <t>V38620</t>
  </si>
  <si>
    <t>SATENDRA KUMAR MARAVI</t>
  </si>
  <si>
    <t>V24007</t>
  </si>
  <si>
    <t>YOGESH  AHIRWAR</t>
  </si>
  <si>
    <t>V10767</t>
  </si>
  <si>
    <t>V09428</t>
  </si>
  <si>
    <t>RAJESH  JHARIYA</t>
  </si>
  <si>
    <t>V09076</t>
  </si>
  <si>
    <t>NITESH  MEHRA</t>
  </si>
  <si>
    <t>V53553</t>
  </si>
  <si>
    <t>Bhanu  Shri</t>
  </si>
  <si>
    <t>V52669</t>
  </si>
  <si>
    <t>SOURABH  YADAV</t>
  </si>
  <si>
    <t>V38374</t>
  </si>
  <si>
    <t>SATVAN  BAGHEL</t>
  </si>
  <si>
    <t>V30536</t>
  </si>
  <si>
    <t>JHAGDU LAL KURMI</t>
  </si>
  <si>
    <t>V54375</t>
  </si>
  <si>
    <t>PIYUSH  RAIKWAR</t>
  </si>
  <si>
    <t>V53144</t>
  </si>
  <si>
    <t>Ankit  Rajpoot</t>
  </si>
  <si>
    <t>V53047</t>
  </si>
  <si>
    <t>Nikhil  Ben</t>
  </si>
  <si>
    <t>V52298</t>
  </si>
  <si>
    <t>Ajay  Bansal</t>
  </si>
  <si>
    <t>V46324</t>
  </si>
  <si>
    <t>Rahul  Thakur</t>
  </si>
  <si>
    <t>V46010</t>
  </si>
  <si>
    <t>PAVAN  UPADHYAY</t>
  </si>
  <si>
    <t>V41819</t>
  </si>
  <si>
    <t>BABULAL VISHWAKARMA</t>
  </si>
  <si>
    <t>V36109</t>
  </si>
  <si>
    <t>AMAN  RAJAK</t>
  </si>
  <si>
    <t>V33890</t>
  </si>
  <si>
    <t>DEEPESH  GOSWAMI</t>
  </si>
  <si>
    <t>V33670</t>
  </si>
  <si>
    <t>SHIVAL  KURMI</t>
  </si>
  <si>
    <t>V33669</t>
  </si>
  <si>
    <t>PRASANN  AADARSH</t>
  </si>
  <si>
    <t>V32916</t>
  </si>
  <si>
    <t>ASHISH  AHIRWAR</t>
  </si>
  <si>
    <t>V32670</t>
  </si>
  <si>
    <t>SHUBHAM  AHIRWAR</t>
  </si>
  <si>
    <t>V32446</t>
  </si>
  <si>
    <t>SATYAM  CHOUBEY</t>
  </si>
  <si>
    <t>V32318</t>
  </si>
  <si>
    <t>PRAVEEN  CHOURDHARY</t>
  </si>
  <si>
    <t>V32313</t>
  </si>
  <si>
    <t>MUSHKAN  VISHWAKARMA</t>
  </si>
  <si>
    <t>V32309</t>
  </si>
  <si>
    <t>HARI KRISHNA LODHI</t>
  </si>
  <si>
    <t>V32302</t>
  </si>
  <si>
    <t>HANEEF KHA BEHNA</t>
  </si>
  <si>
    <t>V32301</t>
  </si>
  <si>
    <t>ABHISHEK  AHIWAR</t>
  </si>
  <si>
    <t>V32228</t>
  </si>
  <si>
    <t>V26816</t>
  </si>
  <si>
    <t>ARUN  AHIRWAR</t>
  </si>
  <si>
    <t>V22210</t>
  </si>
  <si>
    <t>SANTOSH  AHIRWAR</t>
  </si>
  <si>
    <t>V20411</t>
  </si>
  <si>
    <t>TULSIRAM  RATHORE</t>
  </si>
  <si>
    <t>V16796</t>
  </si>
  <si>
    <t>SUBHASH</t>
  </si>
  <si>
    <t>V09111</t>
  </si>
  <si>
    <t>Aman  Verma</t>
  </si>
  <si>
    <t>V54027</t>
  </si>
  <si>
    <t>Varsha  Bai</t>
  </si>
  <si>
    <t>V48739</t>
  </si>
  <si>
    <t>abhishek  meena</t>
  </si>
  <si>
    <t>V48558</t>
  </si>
  <si>
    <t>Manish  Verma</t>
  </si>
  <si>
    <t>V46461</t>
  </si>
  <si>
    <t>ISHAWAR</t>
  </si>
  <si>
    <t>V40155</t>
  </si>
  <si>
    <t>ABHISHEK  VERMA</t>
  </si>
  <si>
    <t>V40153</t>
  </si>
  <si>
    <t>Devendra Kumar</t>
  </si>
  <si>
    <t>V36332</t>
  </si>
  <si>
    <t>GAJENDRA</t>
  </si>
  <si>
    <t>V36331</t>
  </si>
  <si>
    <t>MR. NIKESH VERMA</t>
  </si>
  <si>
    <t>V34662</t>
  </si>
  <si>
    <t>MR. MUKESH VERMA</t>
  </si>
  <si>
    <t>V34660</t>
  </si>
  <si>
    <t>MR. DEEPAK KUMAR</t>
  </si>
  <si>
    <t>V34657</t>
  </si>
  <si>
    <t>MR. ANAND VERMA</t>
  </si>
  <si>
    <t>V34651</t>
  </si>
  <si>
    <t>MS. HARSHITA VISHWAKARMA</t>
  </si>
  <si>
    <t>V34649</t>
  </si>
  <si>
    <t>MR. RAJKUMAR</t>
  </si>
  <si>
    <t>V34639</t>
  </si>
  <si>
    <t>MR. VIJAY</t>
  </si>
  <si>
    <t>V34636</t>
  </si>
  <si>
    <t>MS. SARMILA</t>
  </si>
  <si>
    <t>V34634</t>
  </si>
  <si>
    <t>MR. SONU KUSHWAHA</t>
  </si>
  <si>
    <t>V34633</t>
  </si>
  <si>
    <t>MS. SANGITA</t>
  </si>
  <si>
    <t>V34629</t>
  </si>
  <si>
    <t>MR. RAVISHANKAR</t>
  </si>
  <si>
    <t>V34628</t>
  </si>
  <si>
    <t>MR. ANKIT</t>
  </si>
  <si>
    <t>V34627</t>
  </si>
  <si>
    <t>AJAY VERMA</t>
  </si>
  <si>
    <t>V34046</t>
  </si>
  <si>
    <t>Jagdish  Dhakad</t>
  </si>
  <si>
    <t>V54528</t>
  </si>
  <si>
    <t>V53868</t>
  </si>
  <si>
    <t>AMAN  MARKE</t>
  </si>
  <si>
    <t>V51902</t>
  </si>
  <si>
    <t>Gokal  Bai</t>
  </si>
  <si>
    <t>V49564</t>
  </si>
  <si>
    <t>Akshunjai  Rathore</t>
  </si>
  <si>
    <t>V48914</t>
  </si>
  <si>
    <t>Sarswati</t>
  </si>
  <si>
    <t>V48060</t>
  </si>
  <si>
    <t>MANISH  Parmar</t>
  </si>
  <si>
    <t>V38910</t>
  </si>
  <si>
    <t>V38357</t>
  </si>
  <si>
    <t>MANOHAR LAL GAWALI</t>
  </si>
  <si>
    <t>V36458</t>
  </si>
  <si>
    <t>HARSH PARIHAR</t>
  </si>
  <si>
    <t>V35817</t>
  </si>
  <si>
    <t>SACHIN  YADAV</t>
  </si>
  <si>
    <t>V35015</t>
  </si>
  <si>
    <t>RAHUL  BAIS</t>
  </si>
  <si>
    <t>V33621</t>
  </si>
  <si>
    <t>MUSKAN  CHOUDHARY</t>
  </si>
  <si>
    <t>V33378</t>
  </si>
  <si>
    <t>ANKIT  YADAV</t>
  </si>
  <si>
    <t>V33365</t>
  </si>
  <si>
    <t>AJAY  YADAV</t>
  </si>
  <si>
    <t>V33363</t>
  </si>
  <si>
    <t>AASHA  HADA</t>
  </si>
  <si>
    <t>V33362</t>
  </si>
  <si>
    <t>Santiram  Store</t>
  </si>
  <si>
    <t>V54021</t>
  </si>
  <si>
    <t>Vijay  Nayak</t>
  </si>
  <si>
    <t>V53049</t>
  </si>
  <si>
    <t>RAKESH</t>
  </si>
  <si>
    <t>V51633</t>
  </si>
  <si>
    <t>V51571</t>
  </si>
  <si>
    <t>LALSINGH  KHODE</t>
  </si>
  <si>
    <t>V51466</t>
  </si>
  <si>
    <t>Hemant  Bakawale</t>
  </si>
  <si>
    <t>V49486</t>
  </si>
  <si>
    <t>Mahi  KUSHWAH</t>
  </si>
  <si>
    <t>V48992</t>
  </si>
  <si>
    <t>Amit Kumar Soni</t>
  </si>
  <si>
    <t>V48896</t>
  </si>
  <si>
    <t>Amrata  Dawar</t>
  </si>
  <si>
    <t>V48087</t>
  </si>
  <si>
    <t>Milan  Chouhan</t>
  </si>
  <si>
    <t>V48086</t>
  </si>
  <si>
    <t>Vikas  Madrosiya</t>
  </si>
  <si>
    <t>V41484</t>
  </si>
  <si>
    <t>MOHAN  RANDHAWE</t>
  </si>
  <si>
    <t>V39020</t>
  </si>
  <si>
    <t>RITIK  TILTHE</t>
  </si>
  <si>
    <t>V38872</t>
  </si>
  <si>
    <t>HEMLATA  CHOUHAN</t>
  </si>
  <si>
    <t>V32000</t>
  </si>
  <si>
    <t>VIKRAM  SISODIYA</t>
  </si>
  <si>
    <t>V31995</t>
  </si>
  <si>
    <t>SANJAY  CHOUHAN</t>
  </si>
  <si>
    <t>V31909</t>
  </si>
  <si>
    <t>ANITA  RAWAT</t>
  </si>
  <si>
    <t>V31908</t>
  </si>
  <si>
    <t>MUNNA  LAL</t>
  </si>
  <si>
    <t>V31474</t>
  </si>
  <si>
    <t>Vishal  Dubey</t>
  </si>
  <si>
    <t>V54378</t>
  </si>
  <si>
    <t>V53552</t>
  </si>
  <si>
    <t>SHIVA  DIWAKAR</t>
  </si>
  <si>
    <t>V53283</t>
  </si>
  <si>
    <t>Manoj Kumar Choudhary</t>
  </si>
  <si>
    <t>V52666</t>
  </si>
  <si>
    <t>DURGA  BAI</t>
  </si>
  <si>
    <t>V51568</t>
  </si>
  <si>
    <t>Kavita  Longre</t>
  </si>
  <si>
    <t>V50168</t>
  </si>
  <si>
    <t>Dheeraj  Meena</t>
  </si>
  <si>
    <t>V48977</t>
  </si>
  <si>
    <t>Jeevak  Patil</t>
  </si>
  <si>
    <t>V47549</t>
  </si>
  <si>
    <t>Anushka  Dwivedi</t>
  </si>
  <si>
    <t>V44286</t>
  </si>
  <si>
    <t>Rahul  Pali</t>
  </si>
  <si>
    <t>V44053</t>
  </si>
  <si>
    <t>ANUJ  KAHAR</t>
  </si>
  <si>
    <t>V43287</t>
  </si>
  <si>
    <t>SHIVAM  RAGHUWANSHI</t>
  </si>
  <si>
    <t>V42799</t>
  </si>
  <si>
    <t>SUNIL  SAHU</t>
  </si>
  <si>
    <t>V41014</t>
  </si>
  <si>
    <t>V38060</t>
  </si>
  <si>
    <t>ADARSH  VAMDELE</t>
  </si>
  <si>
    <t>V37636</t>
  </si>
  <si>
    <t>V37344</t>
  </si>
  <si>
    <t>HARSH  SHARMA</t>
  </si>
  <si>
    <t>V37155</t>
  </si>
  <si>
    <t>ARUN KUMAR</t>
  </si>
  <si>
    <t>V36987</t>
  </si>
  <si>
    <t>DEEPAK GOUR</t>
  </si>
  <si>
    <t>V36982</t>
  </si>
  <si>
    <t>MUSKAN PAWAR</t>
  </si>
  <si>
    <t>V36681</t>
  </si>
  <si>
    <t>SHIVAM TIWARI</t>
  </si>
  <si>
    <t>V36680</t>
  </si>
  <si>
    <t>GOVIND DEEWAR</t>
  </si>
  <si>
    <t>V36359</t>
  </si>
  <si>
    <t>AMAN SINGH RAJPUT</t>
  </si>
  <si>
    <t>V53855</t>
  </si>
  <si>
    <t>Arun  Yadav</t>
  </si>
  <si>
    <t>V53112</t>
  </si>
  <si>
    <t>Mahendra  Ingle</t>
  </si>
  <si>
    <t>V52864</t>
  </si>
  <si>
    <t>Mohammad Anas Ansari</t>
  </si>
  <si>
    <t>V52862</t>
  </si>
  <si>
    <t>VISHAL  MAGARDE</t>
  </si>
  <si>
    <t>V51832</t>
  </si>
  <si>
    <t>Heera  Suryawanshi</t>
  </si>
  <si>
    <t>V51831</t>
  </si>
  <si>
    <t>Vijay  Pawar</t>
  </si>
  <si>
    <t>V49365</t>
  </si>
  <si>
    <t>Sunil  Rai</t>
  </si>
  <si>
    <t>V48568</t>
  </si>
  <si>
    <t>Seema  Bachle</t>
  </si>
  <si>
    <t>V46735</t>
  </si>
  <si>
    <t>LOKESH  THAKRE</t>
  </si>
  <si>
    <t>V42720</t>
  </si>
  <si>
    <t>KETAN  PANDOLE</t>
  </si>
  <si>
    <t>V42205</t>
  </si>
  <si>
    <t>SAGAR  SATPUTE</t>
  </si>
  <si>
    <t>V40094</t>
  </si>
  <si>
    <t>PRAVIN</t>
  </si>
  <si>
    <t>V36594</t>
  </si>
  <si>
    <t>SHEKH AYAN</t>
  </si>
  <si>
    <t>V36049</t>
  </si>
  <si>
    <t>MS. NEELAM SATANKAR</t>
  </si>
  <si>
    <t>V34807</t>
  </si>
  <si>
    <t>MR. RAHUL MAHATE</t>
  </si>
  <si>
    <t>V34806</t>
  </si>
  <si>
    <t>MS. PREMIKA BISONE</t>
  </si>
  <si>
    <t>V34804</t>
  </si>
  <si>
    <t>MR. VASUDEV DHAKAD</t>
  </si>
  <si>
    <t>V34788</t>
  </si>
  <si>
    <t>MS. SAPANA EVENE</t>
  </si>
  <si>
    <t>V34780</t>
  </si>
  <si>
    <t>MS. PRATIBHA</t>
  </si>
  <si>
    <t>V34731</t>
  </si>
  <si>
    <t>MR. ANKIT ATULKAR</t>
  </si>
  <si>
    <t>V34726</t>
  </si>
  <si>
    <t>Nitin  Mehra</t>
  </si>
  <si>
    <t>V54041</t>
  </si>
  <si>
    <t>Saurabh  Kumar</t>
  </si>
  <si>
    <t>V52643</t>
  </si>
  <si>
    <t>Ankit  Kahar</t>
  </si>
  <si>
    <t>V52332</t>
  </si>
  <si>
    <t>Sahil  Prajapati</t>
  </si>
  <si>
    <t>V52058</t>
  </si>
  <si>
    <t>V47687</t>
  </si>
  <si>
    <t>Shashank  Shrivas</t>
  </si>
  <si>
    <t>V47115</t>
  </si>
  <si>
    <t>ANKIT  LODHI</t>
  </si>
  <si>
    <t>V33808</t>
  </si>
  <si>
    <t>V32043</t>
  </si>
  <si>
    <t>SURAJ  KAHAR</t>
  </si>
  <si>
    <t>V31012</t>
  </si>
  <si>
    <t>AAKASH  MEHRA</t>
  </si>
  <si>
    <t>V31011</t>
  </si>
  <si>
    <t>NANDANI  KAHAR</t>
  </si>
  <si>
    <t>V30908</t>
  </si>
  <si>
    <t>RAMESHVAR</t>
  </si>
  <si>
    <t>V30872</t>
  </si>
  <si>
    <t>AJAY KUMAR VANSHKAR</t>
  </si>
  <si>
    <t>V30863</t>
  </si>
  <si>
    <t>V30677</t>
  </si>
  <si>
    <t>JITENDRA  SILAWAT</t>
  </si>
  <si>
    <t>V30675</t>
  </si>
  <si>
    <t>ROHIT KUMAR LODHI</t>
  </si>
  <si>
    <t>V30674</t>
  </si>
  <si>
    <t>ABHISHEK  JHARIYA</t>
  </si>
  <si>
    <t>V30672</t>
  </si>
  <si>
    <t>LUCKY  MAHOBIYA</t>
  </si>
  <si>
    <t>V30671</t>
  </si>
  <si>
    <t>RISHI  BARMAIYA</t>
  </si>
  <si>
    <t>V30014</t>
  </si>
  <si>
    <t>MOHD MATEEN KASAI</t>
  </si>
  <si>
    <t>V21897</t>
  </si>
  <si>
    <t>ANIKET  YADAV</t>
  </si>
  <si>
    <t>V20982</t>
  </si>
  <si>
    <t>AMIT Kumar Savita</t>
  </si>
  <si>
    <t>V53939</t>
  </si>
  <si>
    <t>Rahul  Ahirwar</t>
  </si>
  <si>
    <t>V52535</t>
  </si>
  <si>
    <t>SANKALP  TIWARI</t>
  </si>
  <si>
    <t>V50489</t>
  </si>
  <si>
    <t>Praveen  Bundela</t>
  </si>
  <si>
    <t>V50438</t>
  </si>
  <si>
    <t>Vijay  Jha</t>
  </si>
  <si>
    <t>V49377</t>
  </si>
  <si>
    <t>Akash  Tripathi</t>
  </si>
  <si>
    <t>V47702</t>
  </si>
  <si>
    <t>V47526</t>
  </si>
  <si>
    <t>NAKUL  RATHORE</t>
  </si>
  <si>
    <t>V42774</t>
  </si>
  <si>
    <t>BALWANT JATAV</t>
  </si>
  <si>
    <t>V40547</t>
  </si>
  <si>
    <t>V40051</t>
  </si>
  <si>
    <t>AMAN  KHAN</t>
  </si>
  <si>
    <t>V39244</t>
  </si>
  <si>
    <t>MUSKAN  KUSHWAH</t>
  </si>
  <si>
    <t>V39243</t>
  </si>
  <si>
    <t>MS. MUSKAN SHAKYA</t>
  </si>
  <si>
    <t>V34995</t>
  </si>
  <si>
    <t>MR. LALIT AMBEY</t>
  </si>
  <si>
    <t>V34994</t>
  </si>
  <si>
    <t>V34081</t>
  </si>
  <si>
    <t>BOBBY  JATAV</t>
  </si>
  <si>
    <t>V34080</t>
  </si>
  <si>
    <t>FAREED  KHAN</t>
  </si>
  <si>
    <t>V33995</t>
  </si>
  <si>
    <t>VIVEK  RAWAT</t>
  </si>
  <si>
    <t>V33968</t>
  </si>
  <si>
    <t>SANJAY  SINGH</t>
  </si>
  <si>
    <t>V33701</t>
  </si>
  <si>
    <t>BRAJENDRA  DOHRE</t>
  </si>
  <si>
    <t>V33588</t>
  </si>
  <si>
    <t>RAKHI  MAHAUNE</t>
  </si>
  <si>
    <t>V33579</t>
  </si>
  <si>
    <t>RAHUL  RAJAWAT</t>
  </si>
  <si>
    <t>V33578</t>
  </si>
  <si>
    <t>PANKAJ  JATAV</t>
  </si>
  <si>
    <t>V33546</t>
  </si>
  <si>
    <t>MOHIT  JATAV</t>
  </si>
  <si>
    <t>V33545</t>
  </si>
  <si>
    <t>SUNNY  KETHOLYA</t>
  </si>
  <si>
    <t>V32932</t>
  </si>
  <si>
    <t>V53962</t>
  </si>
  <si>
    <t>Puspa  Barman</t>
  </si>
  <si>
    <t>V49166</t>
  </si>
  <si>
    <t>Mukul</t>
  </si>
  <si>
    <t>V46678</t>
  </si>
  <si>
    <t>Shanti Bai Chakrawarti Kumhar</t>
  </si>
  <si>
    <t>V46063</t>
  </si>
  <si>
    <t>Rajesh Kumar Namdev</t>
  </si>
  <si>
    <t>V46062</t>
  </si>
  <si>
    <t>V42610</t>
  </si>
  <si>
    <t>VIPAT SINGH GOND</t>
  </si>
  <si>
    <t>V42599</t>
  </si>
  <si>
    <t>SANGEETA  YADAV</t>
  </si>
  <si>
    <t>V42598</t>
  </si>
  <si>
    <t>DEEPAK KUMAR KUMAR</t>
  </si>
  <si>
    <t>V36940</t>
  </si>
  <si>
    <t>RAVENDRA KUSHWAHA</t>
  </si>
  <si>
    <t>V36931</t>
  </si>
  <si>
    <t>KRISHAN KUMAR SONI</t>
  </si>
  <si>
    <t>V36360</t>
  </si>
  <si>
    <t>PANKAJ KUMAR VERMA</t>
  </si>
  <si>
    <t>V35522</t>
  </si>
  <si>
    <t>MR. NISHITH KURMI</t>
  </si>
  <si>
    <t>V34852</t>
  </si>
  <si>
    <t>MR. BAL MUKUND</t>
  </si>
  <si>
    <t>V34850</t>
  </si>
  <si>
    <t>V30013</t>
  </si>
  <si>
    <t>SAGAR</t>
  </si>
  <si>
    <t>V30012</t>
  </si>
  <si>
    <t>HITESH  BARMAN</t>
  </si>
  <si>
    <t>V30009</t>
  </si>
  <si>
    <t>ANSHIKA  TRIPATHI</t>
  </si>
  <si>
    <t>V29946</t>
  </si>
  <si>
    <t>RAMESH KUMAR KACHHI</t>
  </si>
  <si>
    <t>V29895</t>
  </si>
  <si>
    <t>102159041539</t>
  </si>
  <si>
    <t>VEDANT  GARODIA</t>
  </si>
  <si>
    <t>V29739</t>
  </si>
  <si>
    <t>Sandhya  Marskole</t>
  </si>
  <si>
    <t>V53055</t>
  </si>
  <si>
    <t>Chetana  Yadav</t>
  </si>
  <si>
    <t>V52919</t>
  </si>
  <si>
    <t>Umesh  AHIRWAR</t>
  </si>
  <si>
    <t>V52884</t>
  </si>
  <si>
    <t>Punam  DONGRE</t>
  </si>
  <si>
    <t>V52813</t>
  </si>
  <si>
    <t>Vivek  Ahirwar</t>
  </si>
  <si>
    <t>V52802</t>
  </si>
  <si>
    <t>Siddharath</t>
  </si>
  <si>
    <t>V52636</t>
  </si>
  <si>
    <t>Manthan  Mansoriya</t>
  </si>
  <si>
    <t>V51760</t>
  </si>
  <si>
    <t>Ashish Sharma Sharma</t>
  </si>
  <si>
    <t>V51189</t>
  </si>
  <si>
    <t>SAGAR  SARATHE</t>
  </si>
  <si>
    <t>V50798</t>
  </si>
  <si>
    <t>Sona Bai  Yadav</t>
  </si>
  <si>
    <t>V48769</t>
  </si>
  <si>
    <t>Devesh  Keshwani</t>
  </si>
  <si>
    <t>V48767</t>
  </si>
  <si>
    <t>Shivendra Kumar Mishra</t>
  </si>
  <si>
    <t>V48710</t>
  </si>
  <si>
    <t>Anita  Kewat</t>
  </si>
  <si>
    <t>V47875</t>
  </si>
  <si>
    <t>Suraj  Yadav</t>
  </si>
  <si>
    <t>V43291</t>
  </si>
  <si>
    <t>V43282</t>
  </si>
  <si>
    <t>SHIV KUMAR AHIRWAR</t>
  </si>
  <si>
    <t>V42973</t>
  </si>
  <si>
    <t>UDAY  TANTWAR</t>
  </si>
  <si>
    <t>V40385</t>
  </si>
  <si>
    <t>SIDHDARTH  MEHARA</t>
  </si>
  <si>
    <t>V40384</t>
  </si>
  <si>
    <t>SUDAMA JATAV</t>
  </si>
  <si>
    <t>V37831</t>
  </si>
  <si>
    <t>SHIVAM  PAL</t>
  </si>
  <si>
    <t>V30818</t>
  </si>
  <si>
    <t>DHEERAJ  RAIKWAR</t>
  </si>
  <si>
    <t>V30803</t>
  </si>
  <si>
    <t>DEV  SONA</t>
  </si>
  <si>
    <t>V30802</t>
  </si>
  <si>
    <t>DURGESH  CHANDELE</t>
  </si>
  <si>
    <t>V26688</t>
  </si>
  <si>
    <t>ANKIT  SARATHE</t>
  </si>
  <si>
    <t>V51923</t>
  </si>
  <si>
    <t>V51162</t>
  </si>
  <si>
    <t>Hemant  Baghel</t>
  </si>
  <si>
    <t>V47609</t>
  </si>
  <si>
    <t>Khurshid  Khan</t>
  </si>
  <si>
    <t>V45879</t>
  </si>
  <si>
    <t>Vinay  Bramhbhatt</t>
  </si>
  <si>
    <t>V45878</t>
  </si>
  <si>
    <t>ADARSH  SHUKLA</t>
  </si>
  <si>
    <t>V42431</t>
  </si>
  <si>
    <t>PANKAJ KUMAR CHATURVEDI</t>
  </si>
  <si>
    <t>V39256</t>
  </si>
  <si>
    <t>RAJAHARISHCHAND VERMA</t>
  </si>
  <si>
    <t>V35306</t>
  </si>
  <si>
    <t>V34402</t>
  </si>
  <si>
    <t>VISHAL  KAHAR</t>
  </si>
  <si>
    <t>V31755</t>
  </si>
  <si>
    <t>PRIYANKA  AMRAWANSHI</t>
  </si>
  <si>
    <t>V31662</t>
  </si>
  <si>
    <t>GOPAL  YADUWANSHI</t>
  </si>
  <si>
    <t>V31657</t>
  </si>
  <si>
    <t>KAMLESHWARI  DEHARIYA</t>
  </si>
  <si>
    <t>V31656</t>
  </si>
  <si>
    <t>RANJIT</t>
  </si>
  <si>
    <t>V31653</t>
  </si>
  <si>
    <t>V30958</t>
  </si>
  <si>
    <t>ADARSH</t>
  </si>
  <si>
    <t>V30957</t>
  </si>
  <si>
    <t>PRAYAG  AHIRWAR</t>
  </si>
  <si>
    <t>V30954</t>
  </si>
  <si>
    <t>MANISH  THAKRE</t>
  </si>
  <si>
    <t>V30953</t>
  </si>
  <si>
    <t>V30942</t>
  </si>
  <si>
    <t>SANT  KUMAR</t>
  </si>
  <si>
    <t>V30940</t>
  </si>
  <si>
    <t>ANMOL  SAHU</t>
  </si>
  <si>
    <t>V30399</t>
  </si>
  <si>
    <t>ROHAN  BIDIYARE</t>
  </si>
  <si>
    <t>V47606</t>
  </si>
  <si>
    <t>Sagar  Pawar</t>
  </si>
  <si>
    <t>V47605</t>
  </si>
  <si>
    <t>PAWAN  Shreevastav</t>
  </si>
  <si>
    <t>V47604</t>
  </si>
  <si>
    <t>V47577</t>
  </si>
  <si>
    <t>Lalit  Sanyas</t>
  </si>
  <si>
    <t>V46541</t>
  </si>
  <si>
    <t>AJAY  NILE</t>
  </si>
  <si>
    <t>V46539</t>
  </si>
  <si>
    <t>Pinky  Bodade</t>
  </si>
  <si>
    <t>V46033</t>
  </si>
  <si>
    <t>Manish Kumar Srivastava</t>
  </si>
  <si>
    <t>V43317</t>
  </si>
  <si>
    <t>NANDLAL GOPAL MAHAJAN</t>
  </si>
  <si>
    <t>V41522</t>
  </si>
  <si>
    <t>V39624</t>
  </si>
  <si>
    <t>PAVAN NARAYAN VERMA</t>
  </si>
  <si>
    <t>V39397</t>
  </si>
  <si>
    <t>KHUSHBU NAGEEN</t>
  </si>
  <si>
    <t>V38630</t>
  </si>
  <si>
    <t>AMAN GOUR</t>
  </si>
  <si>
    <t>V35600</t>
  </si>
  <si>
    <t>TUSHAR  SEN</t>
  </si>
  <si>
    <t>V29385</t>
  </si>
  <si>
    <t>ARUN  KHANDARE</t>
  </si>
  <si>
    <t>V29345</t>
  </si>
  <si>
    <t>SHEKH AJAHAR MANSURI</t>
  </si>
  <si>
    <t>V29343</t>
  </si>
  <si>
    <t>YOGESH  MAHAJAN</t>
  </si>
  <si>
    <t>V29336</t>
  </si>
  <si>
    <t>RITIK GHETE</t>
  </si>
  <si>
    <t>V29327</t>
  </si>
  <si>
    <t>MANGESH  MAHAJAN</t>
  </si>
  <si>
    <t>V29297</t>
  </si>
  <si>
    <t>NARENDRA</t>
  </si>
  <si>
    <t>V29276</t>
  </si>
  <si>
    <t>Akhilesh Kumar Mehar</t>
  </si>
  <si>
    <t>V54028</t>
  </si>
  <si>
    <t>Ritik  Dhakad</t>
  </si>
  <si>
    <t>V53951</t>
  </si>
  <si>
    <t>RAJKUMAR  NAGAR</t>
  </si>
  <si>
    <t>V53257</t>
  </si>
  <si>
    <t>Ranjeet</t>
  </si>
  <si>
    <t>V53011</t>
  </si>
  <si>
    <t>ANAS  KHAN</t>
  </si>
  <si>
    <t>V52854</t>
  </si>
  <si>
    <t>Shivam  Kalawat</t>
  </si>
  <si>
    <t>V52442</t>
  </si>
  <si>
    <t>Nikita  Parihar</t>
  </si>
  <si>
    <t>V49490</t>
  </si>
  <si>
    <t>Nitesh  Sharma</t>
  </si>
  <si>
    <t>V49150</t>
  </si>
  <si>
    <t>ARENDRA  Dhakar</t>
  </si>
  <si>
    <t>V48145</t>
  </si>
  <si>
    <t>Manoj  Mehar</t>
  </si>
  <si>
    <t>V46007</t>
  </si>
  <si>
    <t>Koulsalya Bai Kushwaha</t>
  </si>
  <si>
    <t>V45915</t>
  </si>
  <si>
    <t>Lakhanlal  Rajak</t>
  </si>
  <si>
    <t>V45848</t>
  </si>
  <si>
    <t>Meenu Bai Pasi</t>
  </si>
  <si>
    <t>V45845</t>
  </si>
  <si>
    <t>Versha  Shakya</t>
  </si>
  <si>
    <t>V45796</t>
  </si>
  <si>
    <t>Vikash  Dangi</t>
  </si>
  <si>
    <t>V44249</t>
  </si>
  <si>
    <t>neha  yadav</t>
  </si>
  <si>
    <t>V39636</t>
  </si>
  <si>
    <t>TEJSINGH  AHIRWAR</t>
  </si>
  <si>
    <t>V37891</t>
  </si>
  <si>
    <t>SANTOSHI  SAVNER</t>
  </si>
  <si>
    <t>V37142</t>
  </si>
  <si>
    <t>MR ANIKET JATAV</t>
  </si>
  <si>
    <t>V36893</t>
  </si>
  <si>
    <t>RAMGOPAL  NAGVANSHI</t>
  </si>
  <si>
    <t>V30831</t>
  </si>
  <si>
    <t>ANKUSH  MEHARA</t>
  </si>
  <si>
    <t>V30549</t>
  </si>
  <si>
    <t>RASHMI  CHOURASIYA</t>
  </si>
  <si>
    <t>V30164</t>
  </si>
  <si>
    <t>JAGDEESH SINGH RAJPUT</t>
  </si>
  <si>
    <t>V29860</t>
  </si>
  <si>
    <t>NANDKISHOR  MEHER</t>
  </si>
  <si>
    <t>V29145</t>
  </si>
  <si>
    <t>BHAGIRAT  AHIRWAR</t>
  </si>
  <si>
    <t>V29126</t>
  </si>
  <si>
    <t>V29046</t>
  </si>
  <si>
    <t>ANIKET  SAHU</t>
  </si>
  <si>
    <t>V28875</t>
  </si>
  <si>
    <t>RISHABH  SAHU</t>
  </si>
  <si>
    <t>V28858</t>
  </si>
  <si>
    <t>TEEKARAM  MAINA</t>
  </si>
  <si>
    <t>V28671</t>
  </si>
  <si>
    <t>MONA  BHARTI</t>
  </si>
  <si>
    <t>V28669</t>
  </si>
  <si>
    <t>JAIPRAKASH  CHOURASIYA</t>
  </si>
  <si>
    <t>V28496</t>
  </si>
  <si>
    <t>RAKESH  RAJPUT</t>
  </si>
  <si>
    <t>V28428</t>
  </si>
  <si>
    <t>Deepika  Bardiya</t>
  </si>
  <si>
    <t>V54235</t>
  </si>
  <si>
    <t>MAYA</t>
  </si>
  <si>
    <t>V51950</t>
  </si>
  <si>
    <t>Payal  Tayde</t>
  </si>
  <si>
    <t>V51749</t>
  </si>
  <si>
    <t>ARPIT  LOVANSHI</t>
  </si>
  <si>
    <t>V51747</t>
  </si>
  <si>
    <t>Anita  Verma</t>
  </si>
  <si>
    <t>V50453</t>
  </si>
  <si>
    <t>Roshani  Sharma</t>
  </si>
  <si>
    <t>V49699</t>
  </si>
  <si>
    <t>Deepesh  Yadav</t>
  </si>
  <si>
    <t>V49688</t>
  </si>
  <si>
    <t>Savita  Malviya</t>
  </si>
  <si>
    <t>V49443</t>
  </si>
  <si>
    <t>Atul  Shrivastava</t>
  </si>
  <si>
    <t>V48932</t>
  </si>
  <si>
    <t>Susheel  lowanshi</t>
  </si>
  <si>
    <t>V48909</t>
  </si>
  <si>
    <t>Saurabh  Ahirwar</t>
  </si>
  <si>
    <t>V48902</t>
  </si>
  <si>
    <t>Radharaman  Tiwari</t>
  </si>
  <si>
    <t>V48626</t>
  </si>
  <si>
    <t>Surendra  Arya</t>
  </si>
  <si>
    <t>V46054</t>
  </si>
  <si>
    <t>AADITYA  SHUKLA</t>
  </si>
  <si>
    <t>V42920</t>
  </si>
  <si>
    <t>V42088</t>
  </si>
  <si>
    <t>PANKAJ  KAHAR</t>
  </si>
  <si>
    <t>V41144</t>
  </si>
  <si>
    <t>DEV  YADAV</t>
  </si>
  <si>
    <t>V39761</t>
  </si>
  <si>
    <t>DHARMENDRA  TOPLE</t>
  </si>
  <si>
    <t>V38034</t>
  </si>
  <si>
    <t>SANKET  TURKAR</t>
  </si>
  <si>
    <t>V37867</t>
  </si>
  <si>
    <t>RAJESH  THAKUR</t>
  </si>
  <si>
    <t>V37227</t>
  </si>
  <si>
    <t>V37145</t>
  </si>
  <si>
    <t>VISHAL BAGHEL</t>
  </si>
  <si>
    <t>V35811</t>
  </si>
  <si>
    <t>KAPIL  GURJAR</t>
  </si>
  <si>
    <t>V32989</t>
  </si>
  <si>
    <t>DEEKSHA  RATHORE</t>
  </si>
  <si>
    <t>V30578</t>
  </si>
  <si>
    <t>MAHESH  THAKUR</t>
  </si>
  <si>
    <t>V30573</t>
  </si>
  <si>
    <t>ASHA  DHAKAD</t>
  </si>
  <si>
    <t>V30548</t>
  </si>
  <si>
    <t>SOMNATH  THAKUR</t>
  </si>
  <si>
    <t>V30534</t>
  </si>
  <si>
    <t>Ganesh  Kumar</t>
  </si>
  <si>
    <t>V48550</t>
  </si>
  <si>
    <t>ATIT KUMAR PANDEY</t>
  </si>
  <si>
    <t>V48130</t>
  </si>
  <si>
    <t>KARAN  SHRIWAS</t>
  </si>
  <si>
    <t>V46003</t>
  </si>
  <si>
    <t>Balram  Sangole</t>
  </si>
  <si>
    <t>V45100</t>
  </si>
  <si>
    <t>MANISH  BARETHA</t>
  </si>
  <si>
    <t>V39954</t>
  </si>
  <si>
    <t>JITENDRA SANGULE</t>
  </si>
  <si>
    <t>V39949</t>
  </si>
  <si>
    <t>DURGESH</t>
  </si>
  <si>
    <t>V39473</t>
  </si>
  <si>
    <t>V39376</t>
  </si>
  <si>
    <t>KALASH  DHARMIK</t>
  </si>
  <si>
    <t>V39371</t>
  </si>
  <si>
    <t>V39368</t>
  </si>
  <si>
    <t>UMER  ALI</t>
  </si>
  <si>
    <t>V39365</t>
  </si>
  <si>
    <t>SAHAB SINGH THAKUR</t>
  </si>
  <si>
    <t>V36969</t>
  </si>
  <si>
    <t>DURGA  MALVIYA</t>
  </si>
  <si>
    <t>V31883</t>
  </si>
  <si>
    <t>AKSHAY  CHOUHAN</t>
  </si>
  <si>
    <t>V31882</t>
  </si>
  <si>
    <t>VINOD  PAWAR</t>
  </si>
  <si>
    <t>V27023</t>
  </si>
  <si>
    <t>SHEKHAR  KACHNARE</t>
  </si>
  <si>
    <t>V26798</t>
  </si>
  <si>
    <t>SANJAY  SARVARE</t>
  </si>
  <si>
    <t>V26796</t>
  </si>
  <si>
    <t>SHUBHAM  BAMNE</t>
  </si>
  <si>
    <t>V26795</t>
  </si>
  <si>
    <t>SHASHANK  DHARMIK</t>
  </si>
  <si>
    <t>V26794</t>
  </si>
  <si>
    <t>V26789</t>
  </si>
  <si>
    <t>SACHIN  SOLANKI</t>
  </si>
  <si>
    <t>V26759</t>
  </si>
  <si>
    <t>KAMAL  DAMAADE</t>
  </si>
  <si>
    <t>V26754</t>
  </si>
  <si>
    <t>YOGESH</t>
  </si>
  <si>
    <t>V26750</t>
  </si>
  <si>
    <t>HEMRAJ  KULHARE</t>
  </si>
  <si>
    <t>V26743</t>
  </si>
  <si>
    <t>V26699</t>
  </si>
  <si>
    <t>RAVINDRA  KOUSHIK</t>
  </si>
  <si>
    <t>V26685</t>
  </si>
  <si>
    <t>BHAGATRAM  CHOURE</t>
  </si>
  <si>
    <t>V26281</t>
  </si>
  <si>
    <t>Pramod Kumar Dwivedi</t>
  </si>
  <si>
    <t>V51515</t>
  </si>
  <si>
    <t>Shivendra  Patel</t>
  </si>
  <si>
    <t>V50560</t>
  </si>
  <si>
    <t>Prince  Sen</t>
  </si>
  <si>
    <t>V50559</t>
  </si>
  <si>
    <t>Adarsh Kumar Upadhyay</t>
  </si>
  <si>
    <t>V49753</t>
  </si>
  <si>
    <t>AMARNATH  TIWARI</t>
  </si>
  <si>
    <t>V46021</t>
  </si>
  <si>
    <t>ROHIT  PATHAK</t>
  </si>
  <si>
    <t>V40159</t>
  </si>
  <si>
    <t>LALJE  PATEL</t>
  </si>
  <si>
    <t>V39727</t>
  </si>
  <si>
    <t>SAMARJEET SINGH</t>
  </si>
  <si>
    <t>V36544</t>
  </si>
  <si>
    <t>SANTOSH KUMAR KUSHWAHA</t>
  </si>
  <si>
    <t>V30040</t>
  </si>
  <si>
    <t>YUVRAJ KUMAR MISHRA</t>
  </si>
  <si>
    <t>V29413</t>
  </si>
  <si>
    <t>AAKRITI  MISHRA</t>
  </si>
  <si>
    <t>V28710</t>
  </si>
  <si>
    <t>DILEEP  DWIVEDI</t>
  </si>
  <si>
    <t>V27433</t>
  </si>
  <si>
    <t>SUHANI  DWIVEDI</t>
  </si>
  <si>
    <t>V26268</t>
  </si>
  <si>
    <t>SANDEEP RAMPRAKASH VISHWAKARMA</t>
  </si>
  <si>
    <t>V24844</t>
  </si>
  <si>
    <t>PRAVEEN  KUSHWAHA</t>
  </si>
  <si>
    <t>V23705</t>
  </si>
  <si>
    <t>RAVIKANT  DAHIYA</t>
  </si>
  <si>
    <t>V21876</t>
  </si>
  <si>
    <t>102020955995</t>
  </si>
  <si>
    <t>ARUN KUMAR PATEL</t>
  </si>
  <si>
    <t>V21387</t>
  </si>
  <si>
    <t>RAJENDRA KUMAR SAKET</t>
  </si>
  <si>
    <t>V19811</t>
  </si>
  <si>
    <t>PAPPI  BEGAM</t>
  </si>
  <si>
    <t>V16303</t>
  </si>
  <si>
    <t>V14575</t>
  </si>
  <si>
    <t>Sumit  Patel</t>
  </si>
  <si>
    <t>V54252</t>
  </si>
  <si>
    <t>GANGA  VANSHKAR</t>
  </si>
  <si>
    <t>V53929</t>
  </si>
  <si>
    <t>ARYAN  MANDAL</t>
  </si>
  <si>
    <t>V51367</t>
  </si>
  <si>
    <t>Ritik  Khatik</t>
  </si>
  <si>
    <t>V50097</t>
  </si>
  <si>
    <t>Mahak  Bhatt</t>
  </si>
  <si>
    <t>V49209</t>
  </si>
  <si>
    <t>Aadi  Bathre</t>
  </si>
  <si>
    <t>V49149</t>
  </si>
  <si>
    <t>Harsh  Dhanuk</t>
  </si>
  <si>
    <t>V48900</t>
  </si>
  <si>
    <t>Ankush Kumar Uikey</t>
  </si>
  <si>
    <t>V48899</t>
  </si>
  <si>
    <t>DHIRENDRA  SONWANI</t>
  </si>
  <si>
    <t>V48225</t>
  </si>
  <si>
    <t>Indravati  Patel</t>
  </si>
  <si>
    <t>V47500</t>
  </si>
  <si>
    <t>Kanchan  Malik</t>
  </si>
  <si>
    <t>V47499</t>
  </si>
  <si>
    <t>Pappu  Ben</t>
  </si>
  <si>
    <t>V47239</t>
  </si>
  <si>
    <t>Laxmi  Banshkar</t>
  </si>
  <si>
    <t>V47100</t>
  </si>
  <si>
    <t>Kareena  Bhavedi</t>
  </si>
  <si>
    <t>V47099</t>
  </si>
  <si>
    <t>Montu  Chouksey</t>
  </si>
  <si>
    <t>V46838</t>
  </si>
  <si>
    <t>Sahil  Patel</t>
  </si>
  <si>
    <t>V44699</t>
  </si>
  <si>
    <t>VIKRAM  BASOR</t>
  </si>
  <si>
    <t>V42364</t>
  </si>
  <si>
    <t>AKASH  THAKUR</t>
  </si>
  <si>
    <t>V42203</t>
  </si>
  <si>
    <t>HARSH KUMAR LARIYA</t>
  </si>
  <si>
    <t>V40171</t>
  </si>
  <si>
    <t>KANHA  KARTIKEY</t>
  </si>
  <si>
    <t>V39125</t>
  </si>
  <si>
    <t>LALIT KUMAR YADAV</t>
  </si>
  <si>
    <t>V32667</t>
  </si>
  <si>
    <t>AAKASH  NAMDEO</t>
  </si>
  <si>
    <t>V31171</t>
  </si>
  <si>
    <t>RAJNISH  USRETE</t>
  </si>
  <si>
    <t>V30679</t>
  </si>
  <si>
    <t>RISHAB  GIRI</t>
  </si>
  <si>
    <t>V29722</t>
  </si>
  <si>
    <t>ATUL  GARG</t>
  </si>
  <si>
    <t>V25201</t>
  </si>
  <si>
    <t>NAVEEN KUMAR PATHAK</t>
  </si>
  <si>
    <t>V20217</t>
  </si>
  <si>
    <t>ANKIT  PATEL</t>
  </si>
  <si>
    <t>V17789</t>
  </si>
  <si>
    <t>SANDEEP  SHIVHARE</t>
  </si>
  <si>
    <t>V09070</t>
  </si>
  <si>
    <t>Amit  Mondal</t>
  </si>
  <si>
    <t>V54153</t>
  </si>
  <si>
    <t>ARJUN  SINGH</t>
  </si>
  <si>
    <t>Surajsinh VijaySinh Kachhavah</t>
  </si>
  <si>
    <t>V54422</t>
  </si>
  <si>
    <t>Raghwendra Laxman Chaudhari</t>
  </si>
  <si>
    <t>V54421</t>
  </si>
  <si>
    <t>Jivabhai Vasudev Dolis</t>
  </si>
  <si>
    <t>V54420</t>
  </si>
  <si>
    <t>Ketan Laxmanbhai Nai</t>
  </si>
  <si>
    <t>V54419</t>
  </si>
  <si>
    <t>Bhavesh R Jariwala</t>
  </si>
  <si>
    <t>V54418</t>
  </si>
  <si>
    <t>Jyotsana Ashokbhai Parmar</t>
  </si>
  <si>
    <t>V54416</t>
  </si>
  <si>
    <t>Deepak  Damle</t>
  </si>
  <si>
    <t>V54203</t>
  </si>
  <si>
    <t>Bhavanaben Harishbhai Solanki</t>
  </si>
  <si>
    <t>V54048</t>
  </si>
  <si>
    <t>Payal Ankush Gayakvad</t>
  </si>
  <si>
    <t>V54006</t>
  </si>
  <si>
    <t>Anuradha Shankar Jadav</t>
  </si>
  <si>
    <t>V54004</t>
  </si>
  <si>
    <t>Shah Giril Samirkumar</t>
  </si>
  <si>
    <t>V54003</t>
  </si>
  <si>
    <t>Umeshkumar Banvari Vaishnav</t>
  </si>
  <si>
    <t>V53995</t>
  </si>
  <si>
    <t>Meetkumar Kishorbhai Katariya</t>
  </si>
  <si>
    <t>V53788</t>
  </si>
  <si>
    <t>MAKWANA SNEHA KISHANBHAI</t>
  </si>
  <si>
    <t>V53681</t>
  </si>
  <si>
    <t>Mohammadtofail Mohammadhanif Pathan</t>
  </si>
  <si>
    <t>V53680</t>
  </si>
  <si>
    <t>Lokesh Kumar Awadhiya</t>
  </si>
  <si>
    <t>V53579</t>
  </si>
  <si>
    <t>VAISHALI VIKESHBHAI RATHOD</t>
  </si>
  <si>
    <t>V53324</t>
  </si>
  <si>
    <t>MOHMADSAHIR  FARUKHAHMAD SHAIKH</t>
  </si>
  <si>
    <t>V53321</t>
  </si>
  <si>
    <t>Pooja Dharmeshbhai Sapte</t>
  </si>
  <si>
    <t>V52871</t>
  </si>
  <si>
    <t>Keval Devang Raval</t>
  </si>
  <si>
    <t>V52870</t>
  </si>
  <si>
    <t>Shani Amitkumar Belsare</t>
  </si>
  <si>
    <t>V52869</t>
  </si>
  <si>
    <t>Parth Vinodbhai Chavda</t>
  </si>
  <si>
    <t>V52868</t>
  </si>
  <si>
    <t>Sarita Dahyabhai Gohil</t>
  </si>
  <si>
    <t>V52867</t>
  </si>
  <si>
    <t>Nisha  Roy</t>
  </si>
  <si>
    <t>V52798</t>
  </si>
  <si>
    <t>Patel Miralkumar Bharatbhai</t>
  </si>
  <si>
    <t>V52627</t>
  </si>
  <si>
    <t>Pancholi  Hemang</t>
  </si>
  <si>
    <t>Bhoi Chandrakant Jinabhai</t>
  </si>
  <si>
    <t>V54423</t>
  </si>
  <si>
    <t>Dhrumil Suthar Suthar</t>
  </si>
  <si>
    <t>V54401</t>
  </si>
  <si>
    <t>Raghvendra  Singh</t>
  </si>
  <si>
    <t>V53884</t>
  </si>
  <si>
    <t>Vasava Hardik Bhikhabhai</t>
  </si>
  <si>
    <t>V53780</t>
  </si>
  <si>
    <t>Jay Prakash Prajapati</t>
  </si>
  <si>
    <t>V53604</t>
  </si>
  <si>
    <t>Ankush Raj  Singh</t>
  </si>
  <si>
    <t>V53597</t>
  </si>
  <si>
    <t>PRATIK RATIBHAN SINGH</t>
  </si>
  <si>
    <t>V53590</t>
  </si>
  <si>
    <t>BHOI DAXABEN  BEN CHANDRAKANT</t>
  </si>
  <si>
    <t>V53438</t>
  </si>
  <si>
    <t>yashbhan  singh</t>
  </si>
  <si>
    <t>V53043</t>
  </si>
  <si>
    <t>solanki dinesh kumar ashok bhai</t>
  </si>
  <si>
    <t>V53040</t>
  </si>
  <si>
    <t>dhirendra pratap singh</t>
  </si>
  <si>
    <t>V53039</t>
  </si>
  <si>
    <t>Himanshu  Vyas</t>
  </si>
  <si>
    <t>V52920</t>
  </si>
  <si>
    <t>Nukte Mahendrabhai Mahendrabhai</t>
  </si>
  <si>
    <t>V52903</t>
  </si>
  <si>
    <t>Jayantibhai Jashbhai Padhiar</t>
  </si>
  <si>
    <t>V52902</t>
  </si>
  <si>
    <t>Amit Kumar Gautam</t>
  </si>
  <si>
    <t>V52733</t>
  </si>
  <si>
    <t>GOVIND KUMAR JHA</t>
  </si>
  <si>
    <t>V50715</t>
  </si>
  <si>
    <t>Parmar  Anshkumar</t>
  </si>
  <si>
    <t>V54558</t>
  </si>
  <si>
    <t>Munna  Kumar</t>
  </si>
  <si>
    <t>V54313</t>
  </si>
  <si>
    <t>Darshana Gopalbhai Nikam</t>
  </si>
  <si>
    <t>V53393</t>
  </si>
  <si>
    <t>Vaishnavi Satishbhai Vende</t>
  </si>
  <si>
    <t>V53391</t>
  </si>
  <si>
    <t>Chaudhari Ayushbhai Yogeshbhai</t>
  </si>
  <si>
    <t>V53387</t>
  </si>
  <si>
    <t>Chaudhari Brijen Rajeshbhai</t>
  </si>
  <si>
    <t>V53383</t>
  </si>
  <si>
    <t>Nerkar Kalpanaben Narayanbhai</t>
  </si>
  <si>
    <t>V53060</t>
  </si>
  <si>
    <t>Sing Priyaben Anilbhai</t>
  </si>
  <si>
    <t>V53052</t>
  </si>
  <si>
    <t>Jyotiprakash  Saini</t>
  </si>
  <si>
    <t>V52759</t>
  </si>
  <si>
    <t>Thakor  Vikram</t>
  </si>
  <si>
    <t>V52537</t>
  </si>
  <si>
    <t>Patel  Rahul</t>
  </si>
  <si>
    <t>V52461</t>
  </si>
  <si>
    <t>V51169</t>
  </si>
  <si>
    <t>Vijaysinh Sardarsinh Chauhan</t>
  </si>
  <si>
    <t>V54516</t>
  </si>
  <si>
    <t>Joshi Jigneshkumar Naranbhai</t>
  </si>
  <si>
    <t>V54506</t>
  </si>
  <si>
    <t>Parmar Priteshbhai Moghaljibhai</t>
  </si>
  <si>
    <t>V54501</t>
  </si>
  <si>
    <t>Solanki Laxmiben Sevenbhai</t>
  </si>
  <si>
    <t>V54472</t>
  </si>
  <si>
    <t>Rana Sachin Kantibhai</t>
  </si>
  <si>
    <t>V54326</t>
  </si>
  <si>
    <t>Dasharathbhai B Mali</t>
  </si>
  <si>
    <t>V54325</t>
  </si>
  <si>
    <t>Kanubhai Bababhai Raval</t>
  </si>
  <si>
    <t>V54324</t>
  </si>
  <si>
    <t>Vansola Kanubhai P</t>
  </si>
  <si>
    <t>V54308</t>
  </si>
  <si>
    <t>Solanki Karan Rameshbhai</t>
  </si>
  <si>
    <t>V54304</t>
  </si>
  <si>
    <t>Punamchand Madhabhai Bareeya</t>
  </si>
  <si>
    <t>V54271</t>
  </si>
  <si>
    <t>HARSHITA BEN NITIN BHAI RUPALA</t>
  </si>
  <si>
    <t>V54227</t>
  </si>
  <si>
    <t>Sumitbhai Sureshbhai Patani</t>
  </si>
  <si>
    <t>V54221</t>
  </si>
  <si>
    <t>Parmar Ashvinkumar Vasharambhai</t>
  </si>
  <si>
    <t>V54219</t>
  </si>
  <si>
    <t>Darji Kaushikkumar Manojbhai</t>
  </si>
  <si>
    <t>V54186</t>
  </si>
  <si>
    <t>BAROT RAJESHKUMAR RAMESHBHAI</t>
  </si>
  <si>
    <t>V53588</t>
  </si>
  <si>
    <t>Shaileshkumar Bhikhabhai Makvana</t>
  </si>
  <si>
    <t>V52520</t>
  </si>
  <si>
    <t>Riyaben Vaghabhai Prajapati</t>
  </si>
  <si>
    <t>V52418</t>
  </si>
  <si>
    <t>Jagdishbhai Prakashbhai Parmar</t>
  </si>
  <si>
    <t>V52414</t>
  </si>
  <si>
    <t>Rameshkumar Amrutlal Chhatraliya</t>
  </si>
  <si>
    <t>V52412</t>
  </si>
  <si>
    <t>Chauhan Prakashkumar Vinodbhai</t>
  </si>
  <si>
    <t>V52230</t>
  </si>
  <si>
    <t>Jethachi Ganeshabhai Chavdhary</t>
  </si>
  <si>
    <t>V52227</t>
  </si>
  <si>
    <t>LOHANI AEJAJMIYA ANUBHAI</t>
  </si>
  <si>
    <t>V52151</t>
  </si>
  <si>
    <t>PARMAR UTSAVKUMAR KUMAR</t>
  </si>
  <si>
    <t>V52150</t>
  </si>
  <si>
    <t>KAGADATAR MEHULKUMAR RADHUJI</t>
  </si>
  <si>
    <t>V52126</t>
  </si>
  <si>
    <t>PARMAR SACHIN KUMAR RAMESHBHAI</t>
  </si>
  <si>
    <t>V52125</t>
  </si>
  <si>
    <t>jaimini ben mahendra bhai THAKOR</t>
  </si>
  <si>
    <t>V52122</t>
  </si>
  <si>
    <t>RATANA  RAM</t>
  </si>
  <si>
    <t>V51837</t>
  </si>
  <si>
    <t>SAJAN KUMAR  PATANI</t>
  </si>
  <si>
    <t>V51320</t>
  </si>
  <si>
    <t>Namwar  Singh</t>
  </si>
  <si>
    <t>V45574</t>
  </si>
  <si>
    <t>Malakar  Yogesh</t>
  </si>
  <si>
    <t>V54601</t>
  </si>
  <si>
    <t>Rajbhar Jugesh Rajesh</t>
  </si>
  <si>
    <t>V54484</t>
  </si>
  <si>
    <t>Kanhu Charan Nayak</t>
  </si>
  <si>
    <t>V54483</t>
  </si>
  <si>
    <t>Aaditya  YADAV</t>
  </si>
  <si>
    <t>V54343</t>
  </si>
  <si>
    <t>Vikash Prakash Pardhi</t>
  </si>
  <si>
    <t>V54342</t>
  </si>
  <si>
    <t>Chanchal Lavkush Maurya</t>
  </si>
  <si>
    <t>V54341</t>
  </si>
  <si>
    <t>SHIVAM  MISHRA</t>
  </si>
  <si>
    <t>V54154</t>
  </si>
  <si>
    <t>Roshan Manilal Vaghela</t>
  </si>
  <si>
    <t>V53859</t>
  </si>
  <si>
    <t>Prerana  Singh</t>
  </si>
  <si>
    <t>V53699</t>
  </si>
  <si>
    <t>Sima</t>
  </si>
  <si>
    <t>V53696</t>
  </si>
  <si>
    <t>Pandey Shubham Ramgopal</t>
  </si>
  <si>
    <t>V52840</t>
  </si>
  <si>
    <t>Reema  Yadav</t>
  </si>
  <si>
    <t>V52833</t>
  </si>
  <si>
    <t>Shivam  Yadav</t>
  </si>
  <si>
    <t>V50008</t>
  </si>
  <si>
    <t>Ashok Waman Tagawale</t>
  </si>
  <si>
    <t>V49305</t>
  </si>
  <si>
    <t>Subham  Das</t>
  </si>
  <si>
    <t>V49054</t>
  </si>
  <si>
    <t>Pal Muskan Virendra</t>
  </si>
  <si>
    <t>V48923</t>
  </si>
  <si>
    <t>Yadav Ranjudevi Manoj</t>
  </si>
  <si>
    <t>V48544</t>
  </si>
  <si>
    <t>SURAJ  PAL</t>
  </si>
  <si>
    <t>V48534</t>
  </si>
  <si>
    <t>hariom  varma</t>
  </si>
  <si>
    <t>V48300</t>
  </si>
  <si>
    <t>V48264</t>
  </si>
  <si>
    <t>Chitra  kanojiya</t>
  </si>
  <si>
    <t>V48076</t>
  </si>
  <si>
    <t>Ram  Kishor</t>
  </si>
  <si>
    <t>V48021</t>
  </si>
  <si>
    <t>Arti  Devi</t>
  </si>
  <si>
    <t>V47974</t>
  </si>
  <si>
    <t>Angura  Bandhu</t>
  </si>
  <si>
    <t>V47432</t>
  </si>
  <si>
    <t>Dubey Akash Ramshiroman</t>
  </si>
  <si>
    <t>V43215</t>
  </si>
  <si>
    <t>MANJUBEN CHATURBHAI PARMAR</t>
  </si>
  <si>
    <t>V51796</t>
  </si>
  <si>
    <t>PARASMANI KUMAR JAYKUMAR</t>
  </si>
  <si>
    <t>V51696</t>
  </si>
  <si>
    <t>Vipulkumar Kantilal Patel</t>
  </si>
  <si>
    <t>V51669</t>
  </si>
  <si>
    <t>SUMITRABEN SUMITRA BEN LALIT KUMAR MAKWAN</t>
  </si>
  <si>
    <t>V51502</t>
  </si>
  <si>
    <t>BHUMIKABEN BALABHAI PARMAR</t>
  </si>
  <si>
    <t>V51501</t>
  </si>
  <si>
    <t>SAMIR HASUBEG MOGAL</t>
  </si>
  <si>
    <t>V51499</t>
  </si>
  <si>
    <t>KISHANJI RANGAJI THAKOR</t>
  </si>
  <si>
    <t>V51497</t>
  </si>
  <si>
    <t>JAYESHBHAI PRAHALDBHAI RAVAL</t>
  </si>
  <si>
    <t>V51430</t>
  </si>
  <si>
    <t>PARMAR PARMAR MOHINI</t>
  </si>
  <si>
    <t>V51428</t>
  </si>
  <si>
    <t>BHUPENDRAKUMAR REVABHAI RAVAT</t>
  </si>
  <si>
    <t>V51427</t>
  </si>
  <si>
    <t>HINANABEN SEVANTIBHAI SOLANKI</t>
  </si>
  <si>
    <t>V51425</t>
  </si>
  <si>
    <t>BHARGVKUMAR NARESHBHAI PARMAR</t>
  </si>
  <si>
    <t>V51423</t>
  </si>
  <si>
    <t>PARMAR  KISHANBHAI</t>
  </si>
  <si>
    <t>V51251</t>
  </si>
  <si>
    <t>PARMAR  NILAMBEN</t>
  </si>
  <si>
    <t>V51250</t>
  </si>
  <si>
    <t>PATANI KAMLESH MUKESHBAI</t>
  </si>
  <si>
    <t>V51225</t>
  </si>
  <si>
    <t>Senma Nikunjkumar Prahaladbhai</t>
  </si>
  <si>
    <t>V51205</t>
  </si>
  <si>
    <t>VALMIKI SHAILESHBHAI JAGDISHBHAI</t>
  </si>
  <si>
    <t>V50871</t>
  </si>
  <si>
    <t>PARMAR  KOMALBEN</t>
  </si>
  <si>
    <t>V50869</t>
  </si>
  <si>
    <t>SENAMA  SHAHILKUMAR</t>
  </si>
  <si>
    <t>V50868</t>
  </si>
  <si>
    <t>VAGHELA INAJI  SHIVAJI</t>
  </si>
  <si>
    <t>V50866</t>
  </si>
  <si>
    <t>MAULIKKUMAR PARSOTTAMBHAI PARMAR</t>
  </si>
  <si>
    <t>V50858</t>
  </si>
  <si>
    <t>PATANI CHIRAG BAKULBHAI</t>
  </si>
  <si>
    <t>V50838</t>
  </si>
  <si>
    <t>MUKESH KUMAR PANDEY</t>
  </si>
  <si>
    <t>V29162</t>
  </si>
  <si>
    <t>ARVIND  ARVINDARVIND</t>
  </si>
  <si>
    <t>V54194</t>
  </si>
  <si>
    <t>Vishal Dineshbhai Parmar</t>
  </si>
  <si>
    <t>V53665</t>
  </si>
  <si>
    <t>Suresh Somabhai Talpada</t>
  </si>
  <si>
    <t>V52947</t>
  </si>
  <si>
    <t>Fakir Arsh Mahammadsha</t>
  </si>
  <si>
    <t>V52811</t>
  </si>
  <si>
    <t>Fakir Ayan Mahammadsha</t>
  </si>
  <si>
    <t>V52351</t>
  </si>
  <si>
    <t>Tusharkumar  Solanki</t>
  </si>
  <si>
    <t>V52012</t>
  </si>
  <si>
    <t>SOLANKI  AJAYKUMAR</t>
  </si>
  <si>
    <t>V51581</t>
  </si>
  <si>
    <t>RIYABEN VIRALBHAI jadav</t>
  </si>
  <si>
    <t>V51495</t>
  </si>
  <si>
    <t>SANJAY  TALPADA</t>
  </si>
  <si>
    <t>V51280</t>
  </si>
  <si>
    <t>PARMAR  AJAYBHAI</t>
  </si>
  <si>
    <t>V51278</t>
  </si>
  <si>
    <t>DEVENDRA  PATIDAR</t>
  </si>
  <si>
    <t>V51163</t>
  </si>
  <si>
    <t>Sunilbhai Ramanbhai Talpada</t>
  </si>
  <si>
    <t>V50978</t>
  </si>
  <si>
    <t>Patel Jaykumar Anilbhai</t>
  </si>
  <si>
    <t>V50977</t>
  </si>
  <si>
    <t>Talpada Jayendrakumar Manojbhai</t>
  </si>
  <si>
    <t>V50948</t>
  </si>
  <si>
    <t>tomar bhartiben sureshbhai</t>
  </si>
  <si>
    <t>V50854</t>
  </si>
  <si>
    <t>Sodha Ashokkumar Ajitsinh</t>
  </si>
  <si>
    <t>V50637</t>
  </si>
  <si>
    <t>Ajaykumar Maheshbhai Parmar</t>
  </si>
  <si>
    <t>V50600</t>
  </si>
  <si>
    <t>Jadav Sujalbhai Bhaveshbhai</t>
  </si>
  <si>
    <t>V50598</t>
  </si>
  <si>
    <t>VAGHELA Laxmiben JITENDRABHAI</t>
  </si>
  <si>
    <t>V50597</t>
  </si>
  <si>
    <t>Prajapati Foram Krunalkumar</t>
  </si>
  <si>
    <t>V50595</t>
  </si>
  <si>
    <t>Vaghela Diya Kalpeshbhai</t>
  </si>
  <si>
    <t>V50593</t>
  </si>
  <si>
    <t>Pathan Shahbazkhan Faridkhan</t>
  </si>
  <si>
    <t>V50592</t>
  </si>
  <si>
    <t>Tosifhusen Tofikhusen Malek</t>
  </si>
  <si>
    <t>V50591</t>
  </si>
  <si>
    <t>Suthar Ishitaben Girishbhai</t>
  </si>
  <si>
    <t>V50485</t>
  </si>
  <si>
    <t>MEHUL KUMAR  PRAJAPATI</t>
  </si>
  <si>
    <t>V51766</t>
  </si>
  <si>
    <t>PARMAR KRISHN  KUMAR</t>
  </si>
  <si>
    <t>V51762</t>
  </si>
  <si>
    <t>MAKWANA  BHAVIKA</t>
  </si>
  <si>
    <t>V51261</t>
  </si>
  <si>
    <t>YADAV SUMITKUMAR PRAMODKUMAR</t>
  </si>
  <si>
    <t>V51260</t>
  </si>
  <si>
    <t>VIKRAMKUMAR  TALPADA</t>
  </si>
  <si>
    <t>V50721</t>
  </si>
  <si>
    <t>Chauhan  Palakben</t>
  </si>
  <si>
    <t>V50011</t>
  </si>
  <si>
    <t>Parmar  Ashaben</t>
  </si>
  <si>
    <t>V50010</t>
  </si>
  <si>
    <t>Shaikh  Tanviroddin</t>
  </si>
  <si>
    <t>V49805</t>
  </si>
  <si>
    <t>Dhruvilkumar  Patel</t>
  </si>
  <si>
    <t>V49803</t>
  </si>
  <si>
    <t>Macwan  Sakshi</t>
  </si>
  <si>
    <t>V49059</t>
  </si>
  <si>
    <t>Sumitkumar  Chavada</t>
  </si>
  <si>
    <t>V48207</t>
  </si>
  <si>
    <t>hetalben  rathod</t>
  </si>
  <si>
    <t>V48206</t>
  </si>
  <si>
    <t>Paltan Monikhan Bismillakhan</t>
  </si>
  <si>
    <t>V48166</t>
  </si>
  <si>
    <t>Javedmiya Ilyasmiya Thakor</t>
  </si>
  <si>
    <t>V48164</t>
  </si>
  <si>
    <t>TUSHAR  MAKWANA</t>
  </si>
  <si>
    <t>V48158</t>
  </si>
  <si>
    <t>KIRANBHAI  PARMAR</t>
  </si>
  <si>
    <t>V48153</t>
  </si>
  <si>
    <t>KRISH  SOLANKI</t>
  </si>
  <si>
    <t>V48150</t>
  </si>
  <si>
    <t>Shaikh  Tahirhusen</t>
  </si>
  <si>
    <t>V48047</t>
  </si>
  <si>
    <t>Rathod  Dhruvkumar</t>
  </si>
  <si>
    <t>V48024</t>
  </si>
  <si>
    <t>Daxaben  Solanki</t>
  </si>
  <si>
    <t>V47980</t>
  </si>
  <si>
    <t>Shaikh  Saddammiya</t>
  </si>
  <si>
    <t>V47956</t>
  </si>
  <si>
    <t>Harsh  Solanki</t>
  </si>
  <si>
    <t>V47884</t>
  </si>
  <si>
    <t>Kishanbhai  Vadi</t>
  </si>
  <si>
    <t>V47883</t>
  </si>
  <si>
    <t>Estiyak  Mondal</t>
  </si>
  <si>
    <t>V47817</t>
  </si>
  <si>
    <t>Dhartiben Maheshbhai Upadhyay</t>
  </si>
  <si>
    <t>V47745</t>
  </si>
  <si>
    <t>Soni Niraliben Vishalkumar</t>
  </si>
  <si>
    <t>V47744</t>
  </si>
  <si>
    <t>Drashti  Soni</t>
  </si>
  <si>
    <t>V47743</t>
  </si>
  <si>
    <t>Irfanuddin Ruknuddin Shaikh</t>
  </si>
  <si>
    <t>V47732</t>
  </si>
  <si>
    <t>Shekh  Altafhusen</t>
  </si>
  <si>
    <t>V47589</t>
  </si>
  <si>
    <t>MR. SHIVAM MISHRA</t>
  </si>
  <si>
    <t>V34580</t>
  </si>
  <si>
    <t>Abhishek Kumar Tiwari</t>
  </si>
  <si>
    <t>V54594</t>
  </si>
  <si>
    <t>Monika  Yadav</t>
  </si>
  <si>
    <t>V54358</t>
  </si>
  <si>
    <t>Bokde Mayuri Nattubhai</t>
  </si>
  <si>
    <t>V54049</t>
  </si>
  <si>
    <t>MISHRA  ANJALI</t>
  </si>
  <si>
    <t>V53530</t>
  </si>
  <si>
    <t>ADARSH  TIWARI</t>
  </si>
  <si>
    <t>V53396</t>
  </si>
  <si>
    <t>ARTEE  DEVI</t>
  </si>
  <si>
    <t>V53395</t>
  </si>
  <si>
    <t>PRINCE  YADAV</t>
  </si>
  <si>
    <t>V53394</t>
  </si>
  <si>
    <t>PANDEY  AKASH</t>
  </si>
  <si>
    <t>V53091</t>
  </si>
  <si>
    <t>YADAV SHEETAL</t>
  </si>
  <si>
    <t>V52499</t>
  </si>
  <si>
    <t>Shubham Shankar Pandaya</t>
  </si>
  <si>
    <t>V51174</t>
  </si>
  <si>
    <t>V48118</t>
  </si>
  <si>
    <t>KRISHNA  SHETTIGAR</t>
  </si>
  <si>
    <t>V53596</t>
  </si>
  <si>
    <t>Tanay S Kumar</t>
  </si>
  <si>
    <t>V53760</t>
  </si>
  <si>
    <t>Mohan M E</t>
  </si>
  <si>
    <t>V53759</t>
  </si>
  <si>
    <t>Nishank</t>
  </si>
  <si>
    <t>V53756</t>
  </si>
  <si>
    <t>Mayur Gowda H N</t>
  </si>
  <si>
    <t>V52845</t>
  </si>
  <si>
    <t>Pramod L S</t>
  </si>
  <si>
    <t>V52647</t>
  </si>
  <si>
    <t>Kavitha  S</t>
  </si>
  <si>
    <t>V52371</t>
  </si>
  <si>
    <t>Chandana M K</t>
  </si>
  <si>
    <t>V52313</t>
  </si>
  <si>
    <t>NM  Uday Kumar</t>
  </si>
  <si>
    <t>V52048</t>
  </si>
  <si>
    <t>Sindhu  CN</t>
  </si>
  <si>
    <t>V51955</t>
  </si>
  <si>
    <t>Bharathi  C</t>
  </si>
  <si>
    <t>V51953</t>
  </si>
  <si>
    <t>Manohara  P</t>
  </si>
  <si>
    <t>V51614</t>
  </si>
  <si>
    <t>Chethana  TK</t>
  </si>
  <si>
    <t>V51612</t>
  </si>
  <si>
    <t>Sathish  S</t>
  </si>
  <si>
    <t>V51535</t>
  </si>
  <si>
    <t>Nandish  B</t>
  </si>
  <si>
    <t>V51460</t>
  </si>
  <si>
    <t>C R Pallavi</t>
  </si>
  <si>
    <t>V50661</t>
  </si>
  <si>
    <t>Shruthi  V</t>
  </si>
  <si>
    <t>V50278</t>
  </si>
  <si>
    <t>Varalakshmi M B</t>
  </si>
  <si>
    <t>V50276</t>
  </si>
  <si>
    <t>Chandana C N</t>
  </si>
  <si>
    <t>V50272</t>
  </si>
  <si>
    <t>Annapoorna A P</t>
  </si>
  <si>
    <t>V50269</t>
  </si>
  <si>
    <t>Madhu K N</t>
  </si>
  <si>
    <t>V50267</t>
  </si>
  <si>
    <t>Varunkumar T M</t>
  </si>
  <si>
    <t>V50265</t>
  </si>
  <si>
    <t>Bhagyamma</t>
  </si>
  <si>
    <t>V48535</t>
  </si>
  <si>
    <t>V48407</t>
  </si>
  <si>
    <t>Naresh  Kumar</t>
  </si>
  <si>
    <t>V47550</t>
  </si>
  <si>
    <t>102105133984</t>
  </si>
  <si>
    <t>BACHA NAVEEN KUMAR</t>
  </si>
  <si>
    <t>V53010</t>
  </si>
  <si>
    <t>V45456</t>
  </si>
  <si>
    <t>Renuka</t>
  </si>
  <si>
    <t>V45380</t>
  </si>
  <si>
    <t>Pradeep</t>
  </si>
  <si>
    <t>V45306</t>
  </si>
  <si>
    <t>V45303</t>
  </si>
  <si>
    <t>V45301</t>
  </si>
  <si>
    <t>Vinayak</t>
  </si>
  <si>
    <t>V45254</t>
  </si>
  <si>
    <t>Asif  Ahmed</t>
  </si>
  <si>
    <t>V45073</t>
  </si>
  <si>
    <t>Ravikanth</t>
  </si>
  <si>
    <t>V45072</t>
  </si>
  <si>
    <t>Sandesh</t>
  </si>
  <si>
    <t>V45069</t>
  </si>
  <si>
    <t>Lata</t>
  </si>
  <si>
    <t>V45056</t>
  </si>
  <si>
    <t>Keertiraj  Kudre</t>
  </si>
  <si>
    <t>V44999</t>
  </si>
  <si>
    <t>Bhagyashri Baburao Waghmare</t>
  </si>
  <si>
    <t>V44996</t>
  </si>
  <si>
    <t>M A Kalam</t>
  </si>
  <si>
    <t>V44994</t>
  </si>
  <si>
    <t>V44984</t>
  </si>
  <si>
    <t>TUKARAM</t>
  </si>
  <si>
    <t>V44884</t>
  </si>
  <si>
    <t>V44771</t>
  </si>
  <si>
    <t>Vidhyasagar</t>
  </si>
  <si>
    <t>V44626</t>
  </si>
  <si>
    <t>Md  Masiuddin</t>
  </si>
  <si>
    <t>V44008</t>
  </si>
  <si>
    <t>CHANDRAKANTH</t>
  </si>
  <si>
    <t>V39261</t>
  </si>
  <si>
    <t>Swati Suresh Surapalli</t>
  </si>
  <si>
    <t>V53726</t>
  </si>
  <si>
    <t>PRIYANKA  KUMARI</t>
  </si>
  <si>
    <t>ARATI  GOMANACHE</t>
  </si>
  <si>
    <t>V53516</t>
  </si>
  <si>
    <t>102178686078</t>
  </si>
  <si>
    <t>Mohammad Rehain Javid Iqbal Mulla</t>
  </si>
  <si>
    <t>V53403</t>
  </si>
  <si>
    <t>MALAVWA BHIM GADIVADDAR</t>
  </si>
  <si>
    <t>V51934</t>
  </si>
  <si>
    <t>SHRINIVAS PITAMBAR PATIL</t>
  </si>
  <si>
    <t>V48461</t>
  </si>
  <si>
    <t>SHABANA RAFIQ HEBBALI</t>
  </si>
  <si>
    <t>V45888</t>
  </si>
  <si>
    <t>Fakeerappa Durgappa Jangati</t>
  </si>
  <si>
    <t>V45620</t>
  </si>
  <si>
    <t>VIJENDRA SINGH</t>
  </si>
  <si>
    <t>V43663</t>
  </si>
  <si>
    <t>ARPIT JINNAPPA MANE</t>
  </si>
  <si>
    <t>V42038</t>
  </si>
  <si>
    <t>Ganesh Sadanand Madiwalar</t>
  </si>
  <si>
    <t>V41256</t>
  </si>
  <si>
    <t>RUSHIKESH RAJU PATIL</t>
  </si>
  <si>
    <t>V31718</t>
  </si>
  <si>
    <t>GANESH BHUJANG GOUDA</t>
  </si>
  <si>
    <t>V26593</t>
  </si>
  <si>
    <t>102091906652</t>
  </si>
  <si>
    <t>MALIK SHAKEELAHMED SOUNDATTI</t>
  </si>
  <si>
    <t>V26034</t>
  </si>
  <si>
    <t>ASLAM BABUSAB MULLA</t>
  </si>
  <si>
    <t>V24020</t>
  </si>
  <si>
    <t>UDAY PRAGAS CHAUDHARI</t>
  </si>
  <si>
    <t>V16320</t>
  </si>
  <si>
    <t>SHASHIKUMAR  BIDRALLI</t>
  </si>
  <si>
    <t>V12051</t>
  </si>
  <si>
    <t>BHAGYASHREE  NIKAM</t>
  </si>
  <si>
    <t>V10974</t>
  </si>
  <si>
    <t>D Sivasankara vara prasad</t>
  </si>
  <si>
    <t>V50762</t>
  </si>
  <si>
    <t>Jayprakash  Patel</t>
  </si>
  <si>
    <t>V54232</t>
  </si>
  <si>
    <t>Ezriyal</t>
  </si>
  <si>
    <t>V53609</t>
  </si>
  <si>
    <t>V53291</t>
  </si>
  <si>
    <t>Vanitha  M</t>
  </si>
  <si>
    <t>V52447</t>
  </si>
  <si>
    <t>Vivek Kumar Bharti</t>
  </si>
  <si>
    <t>V51021</t>
  </si>
  <si>
    <t>Sagar  Raj</t>
  </si>
  <si>
    <t>V50372</t>
  </si>
  <si>
    <t>V50117</t>
  </si>
  <si>
    <t>Rajesh  Mahato</t>
  </si>
  <si>
    <t>V50115</t>
  </si>
  <si>
    <t>Anitha  R</t>
  </si>
  <si>
    <t>V49331</t>
  </si>
  <si>
    <t>Kirana</t>
  </si>
  <si>
    <t>V49057</t>
  </si>
  <si>
    <t>Chaithra  S</t>
  </si>
  <si>
    <t>V49051</t>
  </si>
  <si>
    <t>GANESH  KUMAR</t>
  </si>
  <si>
    <t>V47571</t>
  </si>
  <si>
    <t>SK SABIR HOSSAIN</t>
  </si>
  <si>
    <t>V46628</t>
  </si>
  <si>
    <t>Meenakshi  J S</t>
  </si>
  <si>
    <t>V43334</t>
  </si>
  <si>
    <t>BHANNUPRIYA  Y L</t>
  </si>
  <si>
    <t>V42832</t>
  </si>
  <si>
    <t>V41594</t>
  </si>
  <si>
    <t>Gayathri  S</t>
  </si>
  <si>
    <t>V41593</t>
  </si>
  <si>
    <t>Manjula</t>
  </si>
  <si>
    <t>V54141</t>
  </si>
  <si>
    <t>Akshaya  A</t>
  </si>
  <si>
    <t>V54007</t>
  </si>
  <si>
    <t>Sneha  p</t>
  </si>
  <si>
    <t>V53244</t>
  </si>
  <si>
    <t>Kavya B L</t>
  </si>
  <si>
    <t>V53243</t>
  </si>
  <si>
    <t>Anthony  G</t>
  </si>
  <si>
    <t>V52378</t>
  </si>
  <si>
    <t>shashank C R</t>
  </si>
  <si>
    <t>V50505</t>
  </si>
  <si>
    <t>Ajay Pavan G</t>
  </si>
  <si>
    <t>V50364</t>
  </si>
  <si>
    <t>Lokeshwaran C K</t>
  </si>
  <si>
    <t>V50363</t>
  </si>
  <si>
    <t>SUJAN  U</t>
  </si>
  <si>
    <t>V50161</t>
  </si>
  <si>
    <t>Ambika G B</t>
  </si>
  <si>
    <t>V49206</t>
  </si>
  <si>
    <t>V47724</t>
  </si>
  <si>
    <t>V47719</t>
  </si>
  <si>
    <t>Ramesh  R</t>
  </si>
  <si>
    <t>V45874</t>
  </si>
  <si>
    <t>Savitha  B J</t>
  </si>
  <si>
    <t>V45869</t>
  </si>
  <si>
    <t>MOHAMMED ARHAN</t>
  </si>
  <si>
    <t>V43555</t>
  </si>
  <si>
    <t>Soumya  S</t>
  </si>
  <si>
    <t>V43401</t>
  </si>
  <si>
    <t>VIVEK  AWASTHI</t>
  </si>
  <si>
    <t>V41643</t>
  </si>
  <si>
    <t>Shashank  Shetty</t>
  </si>
  <si>
    <t>V39743</t>
  </si>
  <si>
    <t>Anitha K E</t>
  </si>
  <si>
    <t>V38737</t>
  </si>
  <si>
    <t>DEVARAJ</t>
  </si>
  <si>
    <t>V38514</t>
  </si>
  <si>
    <t>Rajashekhar H S</t>
  </si>
  <si>
    <t>V54573</t>
  </si>
  <si>
    <t>R S Subhash Kumar</t>
  </si>
  <si>
    <t>V54569</t>
  </si>
  <si>
    <t>DURUGAMMA  DURUGAMMA</t>
  </si>
  <si>
    <t>V53587</t>
  </si>
  <si>
    <t>Pavana Kumara K H</t>
  </si>
  <si>
    <t>V53400</t>
  </si>
  <si>
    <t>Chakali  Suresh</t>
  </si>
  <si>
    <t>V52485</t>
  </si>
  <si>
    <t>V  Manikanta</t>
  </si>
  <si>
    <t>V49989</t>
  </si>
  <si>
    <t>Shivaji R Olekar</t>
  </si>
  <si>
    <t>V48670</t>
  </si>
  <si>
    <t>Koushalya</t>
  </si>
  <si>
    <t>V44676</t>
  </si>
  <si>
    <t>V  Ganesha</t>
  </si>
  <si>
    <t>V43375</t>
  </si>
  <si>
    <t>Vinodakumar Sadashiva Patil</t>
  </si>
  <si>
    <t>V43374</t>
  </si>
  <si>
    <t>Naveen  Kumar</t>
  </si>
  <si>
    <t>V43373</t>
  </si>
  <si>
    <t>Virupaksha  H</t>
  </si>
  <si>
    <t>V43372</t>
  </si>
  <si>
    <t>Girish  G</t>
  </si>
  <si>
    <t>V43311</t>
  </si>
  <si>
    <t>Somashekhar</t>
  </si>
  <si>
    <t>V43155</t>
  </si>
  <si>
    <t>MERENNA</t>
  </si>
  <si>
    <t>V41767</t>
  </si>
  <si>
    <t>JEERA. CHARAN RAJU</t>
  </si>
  <si>
    <t>V39109</t>
  </si>
  <si>
    <t>K  Yugesh</t>
  </si>
  <si>
    <t>V39091</t>
  </si>
  <si>
    <t>M  RAMAKRISHNA</t>
  </si>
  <si>
    <t>V37736</t>
  </si>
  <si>
    <t>DEEPU</t>
  </si>
  <si>
    <t>V53505</t>
  </si>
  <si>
    <t>MADHU KUMAR  G S</t>
  </si>
  <si>
    <t>V51924</t>
  </si>
  <si>
    <t>Chandana  G S</t>
  </si>
  <si>
    <t>V51905</t>
  </si>
  <si>
    <t>Shilpa  H M</t>
  </si>
  <si>
    <t>V51904</t>
  </si>
  <si>
    <t>M  Adithya</t>
  </si>
  <si>
    <t>V49936</t>
  </si>
  <si>
    <t>Devamma M M</t>
  </si>
  <si>
    <t>V47631</t>
  </si>
  <si>
    <t>Ajay K P</t>
  </si>
  <si>
    <t>V46445</t>
  </si>
  <si>
    <t>Roopa B R</t>
  </si>
  <si>
    <t>V46355</t>
  </si>
  <si>
    <t>Adithya  C.N</t>
  </si>
  <si>
    <t>V46169</t>
  </si>
  <si>
    <t>NIKHITHA</t>
  </si>
  <si>
    <t>V39658</t>
  </si>
  <si>
    <t>MAHADEVASWAMY  P</t>
  </si>
  <si>
    <t>V39622</t>
  </si>
  <si>
    <t>CHANDRASHEKHAR N M</t>
  </si>
  <si>
    <t>V39422</t>
  </si>
  <si>
    <t>VIKASH N S</t>
  </si>
  <si>
    <t>V39420</t>
  </si>
  <si>
    <t>JAHNAVI</t>
  </si>
  <si>
    <t>V38441</t>
  </si>
  <si>
    <t>Spurthi  B</t>
  </si>
  <si>
    <t>V37239</t>
  </si>
  <si>
    <t>RASHMI G S</t>
  </si>
  <si>
    <t>V25063</t>
  </si>
  <si>
    <t>SUNIL H S</t>
  </si>
  <si>
    <t>V24998</t>
  </si>
  <si>
    <t>Tribhuvan  Kumar</t>
  </si>
  <si>
    <t>V54603</t>
  </si>
  <si>
    <t>Bibi Ayeesha Hussain K D</t>
  </si>
  <si>
    <t>V54058</t>
  </si>
  <si>
    <t>Riya  Kumari</t>
  </si>
  <si>
    <t>V51027</t>
  </si>
  <si>
    <t>Puneet Ishwar Moger</t>
  </si>
  <si>
    <t>V50392</t>
  </si>
  <si>
    <t>Vavitikala  Sankar</t>
  </si>
  <si>
    <t>V49339</t>
  </si>
  <si>
    <t>Savitha</t>
  </si>
  <si>
    <t>V49330</t>
  </si>
  <si>
    <t>V49158</t>
  </si>
  <si>
    <t>V49067</t>
  </si>
  <si>
    <t>Sanjit Kumar Paswan</t>
  </si>
  <si>
    <t>V48987</t>
  </si>
  <si>
    <t>Asif  Raza</t>
  </si>
  <si>
    <t>V48837</t>
  </si>
  <si>
    <t>Dipmala  Devi</t>
  </si>
  <si>
    <t>V48836</t>
  </si>
  <si>
    <t>Jeslin Anna Thomas</t>
  </si>
  <si>
    <t>V48834</t>
  </si>
  <si>
    <t>V48333</t>
  </si>
  <si>
    <t>Swapna</t>
  </si>
  <si>
    <t>V46109</t>
  </si>
  <si>
    <t>Ranjitha</t>
  </si>
  <si>
    <t>V45624</t>
  </si>
  <si>
    <t>102177339322</t>
  </si>
  <si>
    <t>Amit  Jadhav</t>
  </si>
  <si>
    <t>V45538</t>
  </si>
  <si>
    <t>ANGSHUMAN  CHOUDHURY</t>
  </si>
  <si>
    <t>V43778</t>
  </si>
  <si>
    <t>PAVITHRA  N</t>
  </si>
  <si>
    <t>V43152</t>
  </si>
  <si>
    <t>LAKSHMAN  KUMAR</t>
  </si>
  <si>
    <t>V27284</t>
  </si>
  <si>
    <t>Sharanappa  myagalamani</t>
  </si>
  <si>
    <t>V54584</t>
  </si>
  <si>
    <t>Bharamappa BARMA MAPPPA</t>
  </si>
  <si>
    <t>V54583</t>
  </si>
  <si>
    <t>PARASHURAMA  K</t>
  </si>
  <si>
    <t>V51175</t>
  </si>
  <si>
    <t>Gavisiddappa</t>
  </si>
  <si>
    <t>V46202</t>
  </si>
  <si>
    <t>Gulemma</t>
  </si>
  <si>
    <t>V45430</t>
  </si>
  <si>
    <t>HANUMAKKA</t>
  </si>
  <si>
    <t>V42615</t>
  </si>
  <si>
    <t>SANTOSH CHALUVADI</t>
  </si>
  <si>
    <t>V42614</t>
  </si>
  <si>
    <t>HANUMANTAPPA</t>
  </si>
  <si>
    <t>V42233</t>
  </si>
  <si>
    <t>KOTRESH</t>
  </si>
  <si>
    <t>V39930</t>
  </si>
  <si>
    <t>MUTTANNA</t>
  </si>
  <si>
    <t>V35795</t>
  </si>
  <si>
    <t>AMEENUDIN KAHSIMSAB MASOOTI</t>
  </si>
  <si>
    <t>V35794</t>
  </si>
  <si>
    <t>SHARANAPPA SANGANNAVAR</t>
  </si>
  <si>
    <t>V35490</t>
  </si>
  <si>
    <t>SHIVKUMAR</t>
  </si>
  <si>
    <t>V35488</t>
  </si>
  <si>
    <t>SINDHU</t>
  </si>
  <si>
    <t>V35482</t>
  </si>
  <si>
    <t>SANGEETA</t>
  </si>
  <si>
    <t>V35480</t>
  </si>
  <si>
    <t>MARDAN ALI</t>
  </si>
  <si>
    <t>V35477</t>
  </si>
  <si>
    <t>V35473</t>
  </si>
  <si>
    <t>PREETI</t>
  </si>
  <si>
    <t>V35404</t>
  </si>
  <si>
    <t>JYOTHI</t>
  </si>
  <si>
    <t>V35399</t>
  </si>
  <si>
    <t>Hanumantha Bhimappa Rathoda</t>
  </si>
  <si>
    <t>V52413</t>
  </si>
  <si>
    <t>Sachin Iranna Kuragod</t>
  </si>
  <si>
    <t>V49125</t>
  </si>
  <si>
    <t>Afreenbanu Ahmadkhan Pathan</t>
  </si>
  <si>
    <t>V46877</t>
  </si>
  <si>
    <t>Hanamant Somappa Anawial</t>
  </si>
  <si>
    <t>V46495</t>
  </si>
  <si>
    <t>Kousar Shafiq Dapedar</t>
  </si>
  <si>
    <t>V46493</t>
  </si>
  <si>
    <t>SIDDHARAM  KORASAGAON</t>
  </si>
  <si>
    <t>V40541</t>
  </si>
  <si>
    <t>SURESH HALLI</t>
  </si>
  <si>
    <t>V37015</t>
  </si>
  <si>
    <t>MR. MAHMADYUSAF MAIBOOBSAB DALAWAI</t>
  </si>
  <si>
    <t>V34999</t>
  </si>
  <si>
    <t>MR. RAHUL SUNIL TELI</t>
  </si>
  <si>
    <t>V34998</t>
  </si>
  <si>
    <t>MR. AVINASH MANAGULI</t>
  </si>
  <si>
    <t>V34942</t>
  </si>
  <si>
    <t>MAHAMMADISUF  HULLUR</t>
  </si>
  <si>
    <t>V34230</t>
  </si>
  <si>
    <t>HITESH PARASHURAM CHAVAN</t>
  </si>
  <si>
    <t>V34094</t>
  </si>
  <si>
    <t>102186582799</t>
  </si>
  <si>
    <t>GEETA CHANDRASHEKHAR RATHOD</t>
  </si>
  <si>
    <t>V33797</t>
  </si>
  <si>
    <t>102186582775</t>
  </si>
  <si>
    <t>SUDHA KUBBANNA LAMANI</t>
  </si>
  <si>
    <t>V33761</t>
  </si>
  <si>
    <t>SHIVANAND  CHANDAPPANAVAR</t>
  </si>
  <si>
    <t>V33639</t>
  </si>
  <si>
    <t>102186582734</t>
  </si>
  <si>
    <t>REKHA  AMBIGER</t>
  </si>
  <si>
    <t>V33637</t>
  </si>
  <si>
    <t>RAJESH BASAVARAJ GENNUR</t>
  </si>
  <si>
    <t>V33636</t>
  </si>
  <si>
    <t>BASAVARAJA SIDRAMAPPA HANDI</t>
  </si>
  <si>
    <t>V33594</t>
  </si>
  <si>
    <t>102186582527</t>
  </si>
  <si>
    <t>SAYED AFFRID KAZI</t>
  </si>
  <si>
    <t>V33592</t>
  </si>
  <si>
    <t>102186582515</t>
  </si>
  <si>
    <t>SHRINIVAS  DASAR</t>
  </si>
  <si>
    <t>V33561</t>
  </si>
  <si>
    <t>NIRMALA PRAVEEN BADIGER</t>
  </si>
  <si>
    <t>V54211</t>
  </si>
  <si>
    <t>Punith  Karibhimannanavar</t>
  </si>
  <si>
    <t>V53749</t>
  </si>
  <si>
    <t>Kavita Shivaputrappa Angadi</t>
  </si>
  <si>
    <t>V53229</t>
  </si>
  <si>
    <t>Kartik Shivappa Kalasad</t>
  </si>
  <si>
    <t>V53228</t>
  </si>
  <si>
    <t>PRAJWAL M GOUDAR</t>
  </si>
  <si>
    <t>V53227</t>
  </si>
  <si>
    <t>Savitra  Aralimarad</t>
  </si>
  <si>
    <t>V52623</t>
  </si>
  <si>
    <t>Khazamainuddin  Yerimani</t>
  </si>
  <si>
    <t>V52622</t>
  </si>
  <si>
    <t>Anilkumar ningappa Benchihalli</t>
  </si>
  <si>
    <t>V51274</t>
  </si>
  <si>
    <t>Sharad  Tummannanavar</t>
  </si>
  <si>
    <t>V51273</t>
  </si>
  <si>
    <t>Ashwini  N</t>
  </si>
  <si>
    <t>V50172</t>
  </si>
  <si>
    <t>NIYAZAHEMAD SUIEMANBASHA MELMURI</t>
  </si>
  <si>
    <t>V47913</t>
  </si>
  <si>
    <t>MS. SHAYITA MANTUR</t>
  </si>
  <si>
    <t>V34953</t>
  </si>
  <si>
    <t>102180565700</t>
  </si>
  <si>
    <t>AKASH HEMANT SHAH</t>
  </si>
  <si>
    <t>V31726</t>
  </si>
  <si>
    <t>MATTIIIALLI  NANDISHA</t>
  </si>
  <si>
    <t>V31707</t>
  </si>
  <si>
    <t>102179753131</t>
  </si>
  <si>
    <t>KHAJABANDENAVAZ  UKKUND</t>
  </si>
  <si>
    <t>V30991</t>
  </si>
  <si>
    <t>MAHAMMADTIBIN  MULLA</t>
  </si>
  <si>
    <t>V30987</t>
  </si>
  <si>
    <t>Hanamantray  Zalaki</t>
  </si>
  <si>
    <t>V54386</t>
  </si>
  <si>
    <t>Jasten</t>
  </si>
  <si>
    <t>V52405</t>
  </si>
  <si>
    <t>Shethy Dipak Govindbhai</t>
  </si>
  <si>
    <t>V51486</t>
  </si>
  <si>
    <t>Manjunath  B</t>
  </si>
  <si>
    <t>V51183</t>
  </si>
  <si>
    <t>Veeraganteppa</t>
  </si>
  <si>
    <t>V50553</t>
  </si>
  <si>
    <t>Devaraj</t>
  </si>
  <si>
    <t>V50552</t>
  </si>
  <si>
    <t>Darshan  K</t>
  </si>
  <si>
    <t>V49172</t>
  </si>
  <si>
    <t>102186581858</t>
  </si>
  <si>
    <t>Afreen  Banu</t>
  </si>
  <si>
    <t>V49036</t>
  </si>
  <si>
    <t>Raja  S</t>
  </si>
  <si>
    <t>V46663</t>
  </si>
  <si>
    <t>JYOTIBA  NAIK</t>
  </si>
  <si>
    <t>V45640</t>
  </si>
  <si>
    <t>Chandan Kumar G K</t>
  </si>
  <si>
    <t>V43252</t>
  </si>
  <si>
    <t>Kalpana  S</t>
  </si>
  <si>
    <t>V42936</t>
  </si>
  <si>
    <t>HARIJANA  MANIKYAMMA</t>
  </si>
  <si>
    <t>V39310</t>
  </si>
  <si>
    <t>SANJAY KUMAR</t>
  </si>
  <si>
    <t>V38414</t>
  </si>
  <si>
    <t>SOUJANYA  S</t>
  </si>
  <si>
    <t>V34135</t>
  </si>
  <si>
    <t>102187375839</t>
  </si>
  <si>
    <t>MUNIYAMMA  P</t>
  </si>
  <si>
    <t>V33918</t>
  </si>
  <si>
    <t>VARNITHA D M</t>
  </si>
  <si>
    <t>V33801</t>
  </si>
  <si>
    <t>102186581836</t>
  </si>
  <si>
    <t>SHILPA  P</t>
  </si>
  <si>
    <t>V33630</t>
  </si>
  <si>
    <t>BINDU  G</t>
  </si>
  <si>
    <t>V33389</t>
  </si>
  <si>
    <t>SIDDIQA  YASMEEN</t>
  </si>
  <si>
    <t>V33384</t>
  </si>
  <si>
    <t>Kashinath  Rayabagi</t>
  </si>
  <si>
    <t>V54138</t>
  </si>
  <si>
    <t>Shankar  Gudimani</t>
  </si>
  <si>
    <t>V51381</t>
  </si>
  <si>
    <t>Danamma Basappa Gudasalmani</t>
  </si>
  <si>
    <t>V49333</t>
  </si>
  <si>
    <t>Sunilkumar U Pastay</t>
  </si>
  <si>
    <t>V49191</t>
  </si>
  <si>
    <t>Shrinivas  Goudar</t>
  </si>
  <si>
    <t>V46966</t>
  </si>
  <si>
    <t>Savita Budnayak</t>
  </si>
  <si>
    <t>V45834</t>
  </si>
  <si>
    <t>MANOJ  YARAMASAL</t>
  </si>
  <si>
    <t>V42740</t>
  </si>
  <si>
    <t>MINAKSHI MALTESH ELAVAGI</t>
  </si>
  <si>
    <t>V42737</t>
  </si>
  <si>
    <t>MOHAMMADSADIQ SAIYEDSAB ATTAR</t>
  </si>
  <si>
    <t>V42239</t>
  </si>
  <si>
    <t>SIDDAPPA L HALASAGII</t>
  </si>
  <si>
    <t>V37590</t>
  </si>
  <si>
    <t>ANJUMA KHALANDARSAB NADAF</t>
  </si>
  <si>
    <t>V35233</t>
  </si>
  <si>
    <t>ROSHAN PADMANJAY BANJARA</t>
  </si>
  <si>
    <t>V35106</t>
  </si>
  <si>
    <t>SHEKHAR  RATHOD</t>
  </si>
  <si>
    <t>V35105</t>
  </si>
  <si>
    <t>RESHMA HAJARESAB LOOTIYAVAR</t>
  </si>
  <si>
    <t>V33616</t>
  </si>
  <si>
    <t>102177338989</t>
  </si>
  <si>
    <t>SANA SUBHANI SHAIKH</t>
  </si>
  <si>
    <t>V31112</t>
  </si>
  <si>
    <t>102128490983</t>
  </si>
  <si>
    <t>DARSHAN  PALIM</t>
  </si>
  <si>
    <t>V28484</t>
  </si>
  <si>
    <t>RAM  VEER</t>
  </si>
  <si>
    <t>V27589</t>
  </si>
  <si>
    <t>SOURABH  TOPAGI</t>
  </si>
  <si>
    <t>V20441</t>
  </si>
  <si>
    <t>MANJUNATH HANAMANTAPPA SORATUR</t>
  </si>
  <si>
    <t>V16625</t>
  </si>
  <si>
    <t>Shaik  Ahad</t>
  </si>
  <si>
    <t>V53572</t>
  </si>
  <si>
    <t>NARESH</t>
  </si>
  <si>
    <t>V51937</t>
  </si>
  <si>
    <t>Mohammed  Ashfak</t>
  </si>
  <si>
    <t>V49205</t>
  </si>
  <si>
    <t>Anitha</t>
  </si>
  <si>
    <t>V48634</t>
  </si>
  <si>
    <t>SOHEL</t>
  </si>
  <si>
    <t>V46563</t>
  </si>
  <si>
    <t>KONGARI  SWATHI</t>
  </si>
  <si>
    <t>V44677</t>
  </si>
  <si>
    <t>NASREEN  BEGUM</t>
  </si>
  <si>
    <t>V43554</t>
  </si>
  <si>
    <t>B N  CHETHAN</t>
  </si>
  <si>
    <t>V41400</t>
  </si>
  <si>
    <t>MD FATHE ALAM</t>
  </si>
  <si>
    <t>V39425</t>
  </si>
  <si>
    <t>V39424</t>
  </si>
  <si>
    <t>RAMESH</t>
  </si>
  <si>
    <t>V39423</t>
  </si>
  <si>
    <t>NARASIMHA NAYAK</t>
  </si>
  <si>
    <t>V37046</t>
  </si>
  <si>
    <t>NIRANJAN</t>
  </si>
  <si>
    <t>V36739</t>
  </si>
  <si>
    <t>DHANRAJ K</t>
  </si>
  <si>
    <t>V36502</t>
  </si>
  <si>
    <t>MR. AKASH HIREMATH</t>
  </si>
  <si>
    <t>V34881</t>
  </si>
  <si>
    <t>102186579684</t>
  </si>
  <si>
    <t>K MAHENDRA REDDY</t>
  </si>
  <si>
    <t>V32729</t>
  </si>
  <si>
    <t>V30358</t>
  </si>
  <si>
    <t>102169499406</t>
  </si>
  <si>
    <t>NARASHIMHA</t>
  </si>
  <si>
    <t>V30166</t>
  </si>
  <si>
    <t>102147707710</t>
  </si>
  <si>
    <t>R  MOHAN</t>
  </si>
  <si>
    <t>V29428</t>
  </si>
  <si>
    <t>102136664993</t>
  </si>
  <si>
    <t>MOHAMMED  FAHIMUDDIN</t>
  </si>
  <si>
    <t>V29248</t>
  </si>
  <si>
    <t>102079757634</t>
  </si>
  <si>
    <t>MOHAMMED  REZWANULLAHA</t>
  </si>
  <si>
    <t>V27369</t>
  </si>
  <si>
    <t>V27368</t>
  </si>
  <si>
    <t>102105108639</t>
  </si>
  <si>
    <t>MOHAMMED  JALAL</t>
  </si>
  <si>
    <t>V26895</t>
  </si>
  <si>
    <t>MOHAMMED IBRAHIM SOHAIB</t>
  </si>
  <si>
    <t>V26855</t>
  </si>
  <si>
    <t>102091926468</t>
  </si>
  <si>
    <t>DEVENDRA</t>
  </si>
  <si>
    <t>V26275</t>
  </si>
  <si>
    <t>102079757739</t>
  </si>
  <si>
    <t>ABDUL  SAMEER</t>
  </si>
  <si>
    <t>V25719</t>
  </si>
  <si>
    <t>102079757623</t>
  </si>
  <si>
    <t>INDRA</t>
  </si>
  <si>
    <t>V25579</t>
  </si>
  <si>
    <t>Rajashree siddarth melinamani</t>
  </si>
  <si>
    <t>V38063</t>
  </si>
  <si>
    <t>Abhishek sanju jadhav</t>
  </si>
  <si>
    <t>V38062</t>
  </si>
  <si>
    <t>MR. DANESH SHRISHAIL BISKANAVAR</t>
  </si>
  <si>
    <t>V35083</t>
  </si>
  <si>
    <t>B UMESHA</t>
  </si>
  <si>
    <t>V35025</t>
  </si>
  <si>
    <t>MAHESH SHARMA</t>
  </si>
  <si>
    <t>V33924</t>
  </si>
  <si>
    <t>102186578118</t>
  </si>
  <si>
    <t>YANKAVVA  DALAVAYI</t>
  </si>
  <si>
    <t>V33923</t>
  </si>
  <si>
    <t>102186578102</t>
  </si>
  <si>
    <t>RANJEETA LAXMAN MALI</t>
  </si>
  <si>
    <t>V33885</t>
  </si>
  <si>
    <t>ANANT  DODAMANI</t>
  </si>
  <si>
    <t>V33291</t>
  </si>
  <si>
    <t>SANGAPPA BALAPPA CHINAGUNDI</t>
  </si>
  <si>
    <t>V33287</t>
  </si>
  <si>
    <t>102187375825</t>
  </si>
  <si>
    <t>SALAVUDDIN  SANADI</t>
  </si>
  <si>
    <t>V33022</t>
  </si>
  <si>
    <t>102177851683</t>
  </si>
  <si>
    <t>ANIL DASHARATHA MADAR</t>
  </si>
  <si>
    <t>V31930</t>
  </si>
  <si>
    <t>102178686389</t>
  </si>
  <si>
    <t>DEEPA HANAMANT DINNIMANI</t>
  </si>
  <si>
    <t>V31699</t>
  </si>
  <si>
    <t>AYISHA  LODI</t>
  </si>
  <si>
    <t>V31698</t>
  </si>
  <si>
    <t>UMARATOUFIQ  RABAKAVI</t>
  </si>
  <si>
    <t>V31644</t>
  </si>
  <si>
    <t>102177851677</t>
  </si>
  <si>
    <t>PRAJWAL RAMESH NAIK</t>
  </si>
  <si>
    <t>V31640</t>
  </si>
  <si>
    <t>RAMESH  MATHAPATI</t>
  </si>
  <si>
    <t>V30613</t>
  </si>
  <si>
    <t>ABHISHEK SUBHAS BEVINGIDAD</t>
  </si>
  <si>
    <t>V30606</t>
  </si>
  <si>
    <t>RAJU ADALATTI</t>
  </si>
  <si>
    <t>V30304</t>
  </si>
  <si>
    <t>Puneeth  Kumar</t>
  </si>
  <si>
    <t>V54047</t>
  </si>
  <si>
    <t>Jyothi</t>
  </si>
  <si>
    <t>V53231</t>
  </si>
  <si>
    <t>GEETHA</t>
  </si>
  <si>
    <t>V53230</t>
  </si>
  <si>
    <t>Rajeswari  N</t>
  </si>
  <si>
    <t>V52312</t>
  </si>
  <si>
    <t>AISHWARYA  C</t>
  </si>
  <si>
    <t>V50968</t>
  </si>
  <si>
    <t>Akash  NA</t>
  </si>
  <si>
    <t>V50967</t>
  </si>
  <si>
    <t>PREMALATHA M M</t>
  </si>
  <si>
    <t>V50947</t>
  </si>
  <si>
    <t>Doreswamy G S</t>
  </si>
  <si>
    <t>V50235</t>
  </si>
  <si>
    <t>Kavya CHINNAPPA S R</t>
  </si>
  <si>
    <t>V48840</t>
  </si>
  <si>
    <t>Shivaswamy</t>
  </si>
  <si>
    <t>V44540</t>
  </si>
  <si>
    <t>DILEEP  B.C</t>
  </si>
  <si>
    <t>V42634</t>
  </si>
  <si>
    <t>ASHA  HK</t>
  </si>
  <si>
    <t>V41077</t>
  </si>
  <si>
    <t>SUBRAMANYACHAR</t>
  </si>
  <si>
    <t>V37270</t>
  </si>
  <si>
    <t>MS. HEMA M M</t>
  </si>
  <si>
    <t>V34949</t>
  </si>
  <si>
    <t>PRAJNASACHI K S</t>
  </si>
  <si>
    <t>V30410</t>
  </si>
  <si>
    <t>ANUSHA</t>
  </si>
  <si>
    <t>V30330</t>
  </si>
  <si>
    <t>SARVESH  PATHAK</t>
  </si>
  <si>
    <t>V22579</t>
  </si>
  <si>
    <t>SANTOSH  SHILLIKYAT</t>
  </si>
  <si>
    <t>V53571</t>
  </si>
  <si>
    <t>KRISHNA B RAHUT</t>
  </si>
  <si>
    <t>V53451</t>
  </si>
  <si>
    <t>Govind  Lamani</t>
  </si>
  <si>
    <t>V53277</t>
  </si>
  <si>
    <t>Chetan  Talawar</t>
  </si>
  <si>
    <t>V52284</t>
  </si>
  <si>
    <t>Maruti Gadakari Gadakari</t>
  </si>
  <si>
    <t>V52278</t>
  </si>
  <si>
    <t>Nijaguni Chanabasappa Ingalahalli</t>
  </si>
  <si>
    <t>V52277</t>
  </si>
  <si>
    <t>Shreedhar Siddharood Tallur</t>
  </si>
  <si>
    <t>V50134</t>
  </si>
  <si>
    <t>Praveen Krishna Khanapuri</t>
  </si>
  <si>
    <t>V49037</t>
  </si>
  <si>
    <t>Manshi Mahesh Birje</t>
  </si>
  <si>
    <t>V48756</t>
  </si>
  <si>
    <t>KAVITA ARUN KOLAKAR</t>
  </si>
  <si>
    <t>V47703</t>
  </si>
  <si>
    <t>Shakuntala S Manjalkar</t>
  </si>
  <si>
    <t>V46787</t>
  </si>
  <si>
    <t>Pooja Gajanan Dhavale</t>
  </si>
  <si>
    <t>V45931</t>
  </si>
  <si>
    <t>102091906681</t>
  </si>
  <si>
    <t>IRFAN S BEFARI</t>
  </si>
  <si>
    <t>V26223</t>
  </si>
  <si>
    <t>102067874844</t>
  </si>
  <si>
    <t>ADIVEPPA SADEPPA UPPARATTI</t>
  </si>
  <si>
    <t>V25241</t>
  </si>
  <si>
    <t>SAPANA HANUMANT AYREKAR</t>
  </si>
  <si>
    <t>V25106</t>
  </si>
  <si>
    <t>SANTOSHAKUMAR HANAMANT CHAVAN</t>
  </si>
  <si>
    <t>V24965</t>
  </si>
  <si>
    <t>DHANRAJ JHA</t>
  </si>
  <si>
    <t>V24117</t>
  </si>
  <si>
    <t>AKSHATA KEMPANNA HOSAMANI</t>
  </si>
  <si>
    <t>V24004</t>
  </si>
  <si>
    <t>KUMAR LAMANI</t>
  </si>
  <si>
    <t>V22378</t>
  </si>
  <si>
    <t>SUSHANT RAVI CHAVAN</t>
  </si>
  <si>
    <t>V11152</t>
  </si>
  <si>
    <t>Mahesh CHANDRU Raval</t>
  </si>
  <si>
    <t>V53908</t>
  </si>
  <si>
    <t>Siddaram</t>
  </si>
  <si>
    <t>V52591</t>
  </si>
  <si>
    <t>Athar Hussain Shapur</t>
  </si>
  <si>
    <t>V50215</t>
  </si>
  <si>
    <t>Pallavi Chandrashekhar Aravalad</t>
  </si>
  <si>
    <t>V50159</t>
  </si>
  <si>
    <t>CHETAN Suresh Moreppanavar</t>
  </si>
  <si>
    <t>V49283</t>
  </si>
  <si>
    <t>Allvuddin Haidarsab Hullur</t>
  </si>
  <si>
    <t>V47531</t>
  </si>
  <si>
    <t>Pavitra Basavaneppa Talavar</t>
  </si>
  <si>
    <t>V45821</t>
  </si>
  <si>
    <t>KIRAN GURUSIDIPPA TUMAGERI</t>
  </si>
  <si>
    <t>V41236</t>
  </si>
  <si>
    <t>KARTIK ARUN MUDNUR</t>
  </si>
  <si>
    <t>V37253</t>
  </si>
  <si>
    <t>MR. MALTESH YALLAPPA SHETTENNAVAR</t>
  </si>
  <si>
    <t>V34910</t>
  </si>
  <si>
    <t>NAGARAJ RAGAHVENDR HEBBARE</t>
  </si>
  <si>
    <t>V32160</t>
  </si>
  <si>
    <t>RAJU PRAKASH BHAJANTRI</t>
  </si>
  <si>
    <t>V30255</t>
  </si>
  <si>
    <t>102128570236</t>
  </si>
  <si>
    <t>PRASAD SHIVAPPA TALLUR</t>
  </si>
  <si>
    <t>V28281</t>
  </si>
  <si>
    <t>MASHAKASA HUSENSAB NADAF</t>
  </si>
  <si>
    <t>V28068</t>
  </si>
  <si>
    <t>SHYAM CHANDRA KARMAHAPATRA</t>
  </si>
  <si>
    <t>V25819</t>
  </si>
  <si>
    <t>VISHNU TAYAPPA MADARAKALL</t>
  </si>
  <si>
    <t>V23713</t>
  </si>
  <si>
    <t>Abhilash</t>
  </si>
  <si>
    <t>V54150</t>
  </si>
  <si>
    <t>V52280</t>
  </si>
  <si>
    <t>ASHA  RANI</t>
  </si>
  <si>
    <t>V45962</t>
  </si>
  <si>
    <t>Reshma  Bai</t>
  </si>
  <si>
    <t>V45961</t>
  </si>
  <si>
    <t>V45960</t>
  </si>
  <si>
    <t>102186582042</t>
  </si>
  <si>
    <t>AHMED</t>
  </si>
  <si>
    <t>V33794</t>
  </si>
  <si>
    <t>102136662423</t>
  </si>
  <si>
    <t>MD  SAHIL</t>
  </si>
  <si>
    <t>V29091</t>
  </si>
  <si>
    <t>MOHAMMED  IBRAHIM</t>
  </si>
  <si>
    <t>V24406</t>
  </si>
  <si>
    <t>VIVEKANAND</t>
  </si>
  <si>
    <t>V24405</t>
  </si>
  <si>
    <t>NAGARAJ  PATIL</t>
  </si>
  <si>
    <t>V24404</t>
  </si>
  <si>
    <t>MD  FURKHAN</t>
  </si>
  <si>
    <t>V24403</t>
  </si>
  <si>
    <t>AJAY  CHAUHAN</t>
  </si>
  <si>
    <t>V24399</t>
  </si>
  <si>
    <t>SHOAIL</t>
  </si>
  <si>
    <t>V23681</t>
  </si>
  <si>
    <t>SHAIK TAUSEF AHMED</t>
  </si>
  <si>
    <t>V23193</t>
  </si>
  <si>
    <t>MD  IMTIYAZ</t>
  </si>
  <si>
    <t>V21484</t>
  </si>
  <si>
    <t>ASHFAK</t>
  </si>
  <si>
    <t>V19895</t>
  </si>
  <si>
    <t>MOHAMMED  MOIZ</t>
  </si>
  <si>
    <t>V15910</t>
  </si>
  <si>
    <t>PRASHANT</t>
  </si>
  <si>
    <t>V13769</t>
  </si>
  <si>
    <t>AVINASH</t>
  </si>
  <si>
    <t>V13097</t>
  </si>
  <si>
    <t>MD  MOOHASIN</t>
  </si>
  <si>
    <t>V13094</t>
  </si>
  <si>
    <t>PRAFULL</t>
  </si>
  <si>
    <t>V13089</t>
  </si>
  <si>
    <t>MEHBOOB</t>
  </si>
  <si>
    <t>V13084</t>
  </si>
  <si>
    <t>SYED IMRAN AHMED</t>
  </si>
  <si>
    <t>V13083</t>
  </si>
  <si>
    <t>MOHAMMED MOHSIN AHMED</t>
  </si>
  <si>
    <t>V13082</t>
  </si>
  <si>
    <t>MOHAMMAD  MUSHRAF</t>
  </si>
  <si>
    <t>V13081</t>
  </si>
  <si>
    <t>ALFAF  SHEKHA</t>
  </si>
  <si>
    <t>V13080</t>
  </si>
  <si>
    <t>MOHAMMED ZUBAIR KHAN</t>
  </si>
  <si>
    <t>V13071</t>
  </si>
  <si>
    <t>MOHAMMED  ANWAR</t>
  </si>
  <si>
    <t>V13068</t>
  </si>
  <si>
    <t>AZMAT  ALI</t>
  </si>
  <si>
    <t>V12779</t>
  </si>
  <si>
    <t>MUNEER  PATEL</t>
  </si>
  <si>
    <t>V12772</t>
  </si>
  <si>
    <t>SOMANING  MANE</t>
  </si>
  <si>
    <t>V53350</t>
  </si>
  <si>
    <t>Mahantayya Subhayya Math</t>
  </si>
  <si>
    <t>V52339</t>
  </si>
  <si>
    <t>JAKIRAHUSEN  NADAF</t>
  </si>
  <si>
    <t>V51073</t>
  </si>
  <si>
    <t>102186581938</t>
  </si>
  <si>
    <t>Ankush  Hegde</t>
  </si>
  <si>
    <t>V49588</t>
  </si>
  <si>
    <t>Shivanand  Aldi</t>
  </si>
  <si>
    <t>V49534</t>
  </si>
  <si>
    <t>VISHWAKIRAN SHAMBHULINGAPPA GEDAGERI</t>
  </si>
  <si>
    <t>V48163</t>
  </si>
  <si>
    <t>SHIVARAJKUMAR PRABHU MADASE</t>
  </si>
  <si>
    <t>V42641</t>
  </si>
  <si>
    <t>SIDDHARAM BHIMASHANKAR MANG</t>
  </si>
  <si>
    <t>V42640</t>
  </si>
  <si>
    <t>PARASURAM ASHOK SHIVASHARN</t>
  </si>
  <si>
    <t>V41405</t>
  </si>
  <si>
    <t>PRAVEEN PRAKASH SHIVASHARAN</t>
  </si>
  <si>
    <t>V38347</t>
  </si>
  <si>
    <t>AJIT  NAIK</t>
  </si>
  <si>
    <t>V37982</t>
  </si>
  <si>
    <t>102186581929</t>
  </si>
  <si>
    <t>SACHIN  CHAVAN</t>
  </si>
  <si>
    <t>V33091</t>
  </si>
  <si>
    <t>VEERABHADRAPPA K HONAKERI</t>
  </si>
  <si>
    <t>V31187</t>
  </si>
  <si>
    <t>VIKAS NATHU RATHOD</t>
  </si>
  <si>
    <t>V29192</t>
  </si>
  <si>
    <t>102136664051</t>
  </si>
  <si>
    <t>MAYAKKA JATTEPPA PUJARI</t>
  </si>
  <si>
    <t>V28969</t>
  </si>
  <si>
    <t>SHIVANAND GANGADAR KYATANAKERI</t>
  </si>
  <si>
    <t>V19881</t>
  </si>
  <si>
    <t>ANIL  RATHOD</t>
  </si>
  <si>
    <t>V19116</t>
  </si>
  <si>
    <t>RAGHAVENDRA  HELAWAR</t>
  </si>
  <si>
    <t>V18655</t>
  </si>
  <si>
    <t>PRALHAD DHANSING RATHOD</t>
  </si>
  <si>
    <t>V12433</t>
  </si>
  <si>
    <t>Vinod S Kuragod</t>
  </si>
  <si>
    <t>V50000</t>
  </si>
  <si>
    <t>Diwakar S Mane</t>
  </si>
  <si>
    <t>V48774</t>
  </si>
  <si>
    <t>DATTATREYA BADDI</t>
  </si>
  <si>
    <t>V46654</t>
  </si>
  <si>
    <t>SANTOSHKUMAR BASAVARAJ KASHETTI</t>
  </si>
  <si>
    <t>V46582</t>
  </si>
  <si>
    <t>Manoj  Waleekar</t>
  </si>
  <si>
    <t>V44485</t>
  </si>
  <si>
    <t>Kartika  Chavhan</t>
  </si>
  <si>
    <t>V44476</t>
  </si>
  <si>
    <t>Usha  Kumari</t>
  </si>
  <si>
    <t>V43386</t>
  </si>
  <si>
    <t>P. SHIVAKANYA</t>
  </si>
  <si>
    <t>V42671</t>
  </si>
  <si>
    <t>Raghavendra  Yalanji</t>
  </si>
  <si>
    <t>V40659</t>
  </si>
  <si>
    <t>Santosh  Madiwalar</t>
  </si>
  <si>
    <t>V40657</t>
  </si>
  <si>
    <t>Somesh Ashok Angadi</t>
  </si>
  <si>
    <t>V37634</t>
  </si>
  <si>
    <t>Shabana Mulagund</t>
  </si>
  <si>
    <t>V36648</t>
  </si>
  <si>
    <t>MR. AMIT RAMESH JAMBOTKAR</t>
  </si>
  <si>
    <t>V34879</t>
  </si>
  <si>
    <t>KIRAN  BADAGI</t>
  </si>
  <si>
    <t>V34335</t>
  </si>
  <si>
    <t>MABUBSAB DASTAGIRISAB HOMBAL</t>
  </si>
  <si>
    <t>V33620</t>
  </si>
  <si>
    <t>NAVEENKUMAR</t>
  </si>
  <si>
    <t>V33617</t>
  </si>
  <si>
    <t>PINKI DEVI NAVLESH</t>
  </si>
  <si>
    <t>V33576</t>
  </si>
  <si>
    <t>MANJUNATH NINGAPPA KALAGHATAGI</t>
  </si>
  <si>
    <t>V30188</t>
  </si>
  <si>
    <t>102091871253</t>
  </si>
  <si>
    <t>MARENNA MAHADEVAPPA GWATAGI</t>
  </si>
  <si>
    <t>V26021</t>
  </si>
  <si>
    <t>LAXMI  KALAKANI</t>
  </si>
  <si>
    <t>V25109</t>
  </si>
  <si>
    <t>NANDA VEERANAGOUDA PATIL</t>
  </si>
  <si>
    <t>V25005</t>
  </si>
  <si>
    <t>ABHISHEK  UPPAR</t>
  </si>
  <si>
    <t>V25003</t>
  </si>
  <si>
    <t>ANUSHA  PALAKAR</t>
  </si>
  <si>
    <t>V24490</t>
  </si>
  <si>
    <t>MAHESH  ANCHI</t>
  </si>
  <si>
    <t>V19413</t>
  </si>
  <si>
    <t>ABHISHEK  MULE</t>
  </si>
  <si>
    <t>V19337</t>
  </si>
  <si>
    <t>ABHISHEK  SHIGLI</t>
  </si>
  <si>
    <t>V12402</t>
  </si>
  <si>
    <t>SALMA  NAVALGUND</t>
  </si>
  <si>
    <t>V02935</t>
  </si>
  <si>
    <t>BHOLA  YADAV</t>
  </si>
  <si>
    <t>V01210</t>
  </si>
  <si>
    <t>AARTI  KUMARI</t>
  </si>
  <si>
    <t>Bablu  Paswan</t>
  </si>
  <si>
    <t>V53191</t>
  </si>
  <si>
    <t>SUJIT  PRASAD</t>
  </si>
  <si>
    <t>V51921</t>
  </si>
  <si>
    <t>nandalal  pasavan</t>
  </si>
  <si>
    <t>V51920</t>
  </si>
  <si>
    <t>Ashish  Patel</t>
  </si>
  <si>
    <t>V50760</t>
  </si>
  <si>
    <t>Ramesh  Bhuiyan</t>
  </si>
  <si>
    <t>V50535</t>
  </si>
  <si>
    <t>Surendra  Paswan</t>
  </si>
  <si>
    <t>V49916</t>
  </si>
  <si>
    <t>Pankaj Kumar Sahni</t>
  </si>
  <si>
    <t>V49913</t>
  </si>
  <si>
    <t>Suraj  Kumar</t>
  </si>
  <si>
    <t>V49886</t>
  </si>
  <si>
    <t>Anand  Gorai</t>
  </si>
  <si>
    <t>V49853</t>
  </si>
  <si>
    <t>Shamsun  Nisha</t>
  </si>
  <si>
    <t>V49852</t>
  </si>
  <si>
    <t>Rakesh  Mandal</t>
  </si>
  <si>
    <t>V49758</t>
  </si>
  <si>
    <t>Shankar  Ravidas</t>
  </si>
  <si>
    <t>V49652</t>
  </si>
  <si>
    <t>Sadhan Kumar Ruj</t>
  </si>
  <si>
    <t>V49649</t>
  </si>
  <si>
    <t>Rasik  Baski</t>
  </si>
  <si>
    <t>V49425</t>
  </si>
  <si>
    <t>V49424</t>
  </si>
  <si>
    <t>RAJESH KUMAR ROY</t>
  </si>
  <si>
    <t>V49376</t>
  </si>
  <si>
    <t>Ravi  Chouhan</t>
  </si>
  <si>
    <t>V49296</t>
  </si>
  <si>
    <t>PIYUSH  KUMAR</t>
  </si>
  <si>
    <t>V49061</t>
  </si>
  <si>
    <t>ROCKY KUMAR DAS</t>
  </si>
  <si>
    <t>V49060</t>
  </si>
  <si>
    <t>V49016</t>
  </si>
  <si>
    <t>PUJA  KUMARI</t>
  </si>
  <si>
    <t>V49013</t>
  </si>
  <si>
    <t>ASHISH  MANDAL</t>
  </si>
  <si>
    <t>V49011</t>
  </si>
  <si>
    <t>MENKA  DEVI</t>
  </si>
  <si>
    <t>V49008</t>
  </si>
  <si>
    <t>PREM KUMAR MAHATO</t>
  </si>
  <si>
    <t>V49007</t>
  </si>
  <si>
    <t>NAND KISHOR GIRI</t>
  </si>
  <si>
    <t>V49006</t>
  </si>
  <si>
    <t>Akash Kumar Mahato</t>
  </si>
  <si>
    <t>V49004</t>
  </si>
  <si>
    <t>Mihir Kumar Paul</t>
  </si>
  <si>
    <t>V48777</t>
  </si>
  <si>
    <t>SHALU  BASKI</t>
  </si>
  <si>
    <t>V48703</t>
  </si>
  <si>
    <t>Sudha  Kumari</t>
  </si>
  <si>
    <t>V48061</t>
  </si>
  <si>
    <t>V46784</t>
  </si>
  <si>
    <t>V43920</t>
  </si>
  <si>
    <t>KAMALJEET KUMAR SINGH</t>
  </si>
  <si>
    <t>V38907</t>
  </si>
  <si>
    <t>SANTOSH KUMAR MAHTO</t>
  </si>
  <si>
    <t>V32735</t>
  </si>
  <si>
    <t>HARUN KUMAR DAS</t>
  </si>
  <si>
    <t>V32056</t>
  </si>
  <si>
    <t>DEVENDRA  HEMBROM</t>
  </si>
  <si>
    <t>V53211</t>
  </si>
  <si>
    <t>SUNIL  MURMU</t>
  </si>
  <si>
    <t>V49530</t>
  </si>
  <si>
    <t>DINESH MARAIYA</t>
  </si>
  <si>
    <t>V47653</t>
  </si>
  <si>
    <t>BHARAT KUMAR THAKUR</t>
  </si>
  <si>
    <t>V39762</t>
  </si>
  <si>
    <t>V39062</t>
  </si>
  <si>
    <t>AMAR  KUMAR</t>
  </si>
  <si>
    <t>V39052</t>
  </si>
  <si>
    <t>CHANCHAL KUMAR DUTTA</t>
  </si>
  <si>
    <t>V39049</t>
  </si>
  <si>
    <t>NIKKY  MIRDHA</t>
  </si>
  <si>
    <t>V39046</t>
  </si>
  <si>
    <t>V39042</t>
  </si>
  <si>
    <t>TINKU KUMAR THAKUR</t>
  </si>
  <si>
    <t>V39039</t>
  </si>
  <si>
    <t>ROHIT KUMAR JHA</t>
  </si>
  <si>
    <t>V38904</t>
  </si>
  <si>
    <t>SHARAVAN KUMAR SAH</t>
  </si>
  <si>
    <t>V38903</t>
  </si>
  <si>
    <t>ALKA  KUMARI</t>
  </si>
  <si>
    <t>V38900</t>
  </si>
  <si>
    <t>SONI  MARANDI</t>
  </si>
  <si>
    <t>V38899</t>
  </si>
  <si>
    <t>SUKUMAR  MANDAL</t>
  </si>
  <si>
    <t>V38082</t>
  </si>
  <si>
    <t>LAKSHMAN KUMAR TANTI</t>
  </si>
  <si>
    <t>V24699</t>
  </si>
  <si>
    <t>UMAKANT MANDAL</t>
  </si>
  <si>
    <t>V12846</t>
  </si>
  <si>
    <t>V11064</t>
  </si>
  <si>
    <t>V52487</t>
  </si>
  <si>
    <t>V51730</t>
  </si>
  <si>
    <t>V51493</t>
  </si>
  <si>
    <t>Bijay Kumar Sharma</t>
  </si>
  <si>
    <t>V50490</t>
  </si>
  <si>
    <t>DEEPAK KUMAR ROY</t>
  </si>
  <si>
    <t>V50170</t>
  </si>
  <si>
    <t>Babita  Devi</t>
  </si>
  <si>
    <t>V49964</t>
  </si>
  <si>
    <t>Arvind Kumar Pandey</t>
  </si>
  <si>
    <t>V49472</t>
  </si>
  <si>
    <t>Prince Kumar Gupta</t>
  </si>
  <si>
    <t>V49083</t>
  </si>
  <si>
    <t>NIKHAT  PRAVIN</t>
  </si>
  <si>
    <t>V49082</t>
  </si>
  <si>
    <t>Manish Kumar Sharma</t>
  </si>
  <si>
    <t>V49043</t>
  </si>
  <si>
    <t>Sanjay Kumar Das</t>
  </si>
  <si>
    <t>V49019</t>
  </si>
  <si>
    <t>KUNDAN  SHAW</t>
  </si>
  <si>
    <t>V47521</t>
  </si>
  <si>
    <t>SANTOSH KUMAR YADAV</t>
  </si>
  <si>
    <t>V47520</t>
  </si>
  <si>
    <t>Shibu Kumar Das</t>
  </si>
  <si>
    <t>V44925</t>
  </si>
  <si>
    <t>Kundan Kumar Rajak</t>
  </si>
  <si>
    <t>V44891</t>
  </si>
  <si>
    <t>Pankaj  Thakur</t>
  </si>
  <si>
    <t>V43971</t>
  </si>
  <si>
    <t>Sandeep Kumar Tiwari</t>
  </si>
  <si>
    <t>V43967</t>
  </si>
  <si>
    <t>AJAY  BAITHA</t>
  </si>
  <si>
    <t>V42387</t>
  </si>
  <si>
    <t>DHEERAJ  KUMAR</t>
  </si>
  <si>
    <t>V42316</t>
  </si>
  <si>
    <t>KOMOLIKAA  RANI</t>
  </si>
  <si>
    <t>V41723</t>
  </si>
  <si>
    <t>SUNITA  MURMU</t>
  </si>
  <si>
    <t>V41639</t>
  </si>
  <si>
    <t>UPENDRA  MANDAL</t>
  </si>
  <si>
    <t>V40066</t>
  </si>
  <si>
    <t>SHUBHAM KUMAR PATHAK</t>
  </si>
  <si>
    <t>V39292</t>
  </si>
  <si>
    <t>ROSHAN KUMAR</t>
  </si>
  <si>
    <t>V37091</t>
  </si>
  <si>
    <t>V27511</t>
  </si>
  <si>
    <t>CHANDAN KUMAR ASH</t>
  </si>
  <si>
    <t>V25887</t>
  </si>
  <si>
    <t>Bablu Kumar Saw</t>
  </si>
  <si>
    <t>V54142</t>
  </si>
  <si>
    <t>Ranjit  Mahto</t>
  </si>
  <si>
    <t>V53816</t>
  </si>
  <si>
    <t>Milan  Kumar</t>
  </si>
  <si>
    <t>V53814</t>
  </si>
  <si>
    <t>ANJU  TOPPO</t>
  </si>
  <si>
    <t>V53032</t>
  </si>
  <si>
    <t>Arun  Oraon</t>
  </si>
  <si>
    <t>V51587</t>
  </si>
  <si>
    <t>Krishna  Nayak</t>
  </si>
  <si>
    <t>V49958</t>
  </si>
  <si>
    <t>Karan  Nayak</t>
  </si>
  <si>
    <t>V49952</t>
  </si>
  <si>
    <t>Santosh Kumar Pandey</t>
  </si>
  <si>
    <t>V49478</t>
  </si>
  <si>
    <t>SOSHILA  DEVI</t>
  </si>
  <si>
    <t>V45334</t>
  </si>
  <si>
    <t>Suman  Kumari</t>
  </si>
  <si>
    <t>V44649</t>
  </si>
  <si>
    <t>RAJEEV RANJAN DUBEY</t>
  </si>
  <si>
    <t>V41153</t>
  </si>
  <si>
    <t>V40412</t>
  </si>
  <si>
    <t>NIMMI  KUMARI</t>
  </si>
  <si>
    <t>V40411</t>
  </si>
  <si>
    <t>MUKESH KUMAR MAHTO</t>
  </si>
  <si>
    <t>V39301</t>
  </si>
  <si>
    <t>SUNAINA  ORAON</t>
  </si>
  <si>
    <t>V33877</t>
  </si>
  <si>
    <t>RITIKA  KUMARI</t>
  </si>
  <si>
    <t>V28526</t>
  </si>
  <si>
    <t>101682942886</t>
  </si>
  <si>
    <t>MUKESH KUMAR SONY</t>
  </si>
  <si>
    <t>V21454</t>
  </si>
  <si>
    <t>V53329</t>
  </si>
  <si>
    <t>SAMAN  KUMAR</t>
  </si>
  <si>
    <t>V53327</t>
  </si>
  <si>
    <t>Sourav Kumar Soni</t>
  </si>
  <si>
    <t>V52646</t>
  </si>
  <si>
    <t>Baiju  Kumar</t>
  </si>
  <si>
    <t>V50223</t>
  </si>
  <si>
    <t>Laxmi  Kumari</t>
  </si>
  <si>
    <t>V49992</t>
  </si>
  <si>
    <t>Ankit  Oraon</t>
  </si>
  <si>
    <t>V46949</t>
  </si>
  <si>
    <t>V45474</t>
  </si>
  <si>
    <t>V45320</t>
  </si>
  <si>
    <t>Bindu  Devi</t>
  </si>
  <si>
    <t>V45267</t>
  </si>
  <si>
    <t>Dinesh  Bedia</t>
  </si>
  <si>
    <t>V45266</t>
  </si>
  <si>
    <t>SHOBHA  KUMARI</t>
  </si>
  <si>
    <t>V40585</t>
  </si>
  <si>
    <t>RANI  KUMARI</t>
  </si>
  <si>
    <t>V39273</t>
  </si>
  <si>
    <t>SOURAV  KUMAR</t>
  </si>
  <si>
    <t>V39271</t>
  </si>
  <si>
    <t>SONU KUMAR BEDIYA</t>
  </si>
  <si>
    <t>V35313</t>
  </si>
  <si>
    <t>ANJALI KUMARI</t>
  </si>
  <si>
    <t>V35297</t>
  </si>
  <si>
    <t>MUJAFFAR ALI</t>
  </si>
  <si>
    <t>V35296</t>
  </si>
  <si>
    <t>SUSANA TUTI</t>
  </si>
  <si>
    <t>V35284</t>
  </si>
  <si>
    <t>NIKITA  VERMA</t>
  </si>
  <si>
    <t>V35271</t>
  </si>
  <si>
    <t>RISHABH  KUMAR</t>
  </si>
  <si>
    <t>V35211</t>
  </si>
  <si>
    <t>SANDEEP  KUMAR  MAHLI</t>
  </si>
  <si>
    <t>V35135</t>
  </si>
  <si>
    <t>ANKIT  SHARMA</t>
  </si>
  <si>
    <t>V35132</t>
  </si>
  <si>
    <t>DEOBRAT  KEWAT</t>
  </si>
  <si>
    <t>V35122</t>
  </si>
  <si>
    <t>PUSHPA KUMARI</t>
  </si>
  <si>
    <t>V35119</t>
  </si>
  <si>
    <t>NAND JI KUMAR</t>
  </si>
  <si>
    <t>V29338</t>
  </si>
  <si>
    <t>CHANDRASHEKHAR  SINGH</t>
  </si>
  <si>
    <t>V26169</t>
  </si>
  <si>
    <t>MINTU  SOREN</t>
  </si>
  <si>
    <t>V21756</t>
  </si>
  <si>
    <t>Deepak Kumar Chauhan</t>
  </si>
  <si>
    <t>V53069</t>
  </si>
  <si>
    <t>LOBIN  KUMHAR</t>
  </si>
  <si>
    <t>V47216</t>
  </si>
  <si>
    <t>SATISH  BAURI</t>
  </si>
  <si>
    <t>V46858</t>
  </si>
  <si>
    <t>SOBIN  KUMHAR</t>
  </si>
  <si>
    <t>V46253</t>
  </si>
  <si>
    <t>NAGEENA  DEVI</t>
  </si>
  <si>
    <t>V46081</t>
  </si>
  <si>
    <t>PRASHANT KUMAR DAS</t>
  </si>
  <si>
    <t>V45397</t>
  </si>
  <si>
    <t>SULENDRA  KUMAR</t>
  </si>
  <si>
    <t>V45396</t>
  </si>
  <si>
    <t>MUKESH  HARI</t>
  </si>
  <si>
    <t>V45395</t>
  </si>
  <si>
    <t>UDAY  NONIA</t>
  </si>
  <si>
    <t>V41696</t>
  </si>
  <si>
    <t>SHIVA KUMAR MAHATO</t>
  </si>
  <si>
    <t>V41345</t>
  </si>
  <si>
    <t>MIHIR KUMAR ROY</t>
  </si>
  <si>
    <t>V38648</t>
  </si>
  <si>
    <t>RAM PRASAD MAHATO</t>
  </si>
  <si>
    <t>V37161</t>
  </si>
  <si>
    <t>BISHWAJIT KUMAR DAS</t>
  </si>
  <si>
    <t>V37160</t>
  </si>
  <si>
    <t>ABHISHEK KUMAR RAWANI</t>
  </si>
  <si>
    <t>V36842</t>
  </si>
  <si>
    <t>AVINASH SINGH</t>
  </si>
  <si>
    <t>V36564</t>
  </si>
  <si>
    <t>DHARMENDRA RAJAK</t>
  </si>
  <si>
    <t>V35136</t>
  </si>
  <si>
    <t>ALPANA  KUMARI</t>
  </si>
  <si>
    <t>V34488</t>
  </si>
  <si>
    <t>BIJAY  DAS</t>
  </si>
  <si>
    <t>V33704</t>
  </si>
  <si>
    <t>NIRMAL  THAKUR</t>
  </si>
  <si>
    <t>V33136</t>
  </si>
  <si>
    <t>ABHIMANYU  SINGH</t>
  </si>
  <si>
    <t>V33134</t>
  </si>
  <si>
    <t>V33131</t>
  </si>
  <si>
    <t>AMARDEEP  GORAI</t>
  </si>
  <si>
    <t>V32720</t>
  </si>
  <si>
    <t>RAHUL KUMAR NAPIT</t>
  </si>
  <si>
    <t>V32113</t>
  </si>
  <si>
    <t>DEV  KUMAR</t>
  </si>
  <si>
    <t>V32110</t>
  </si>
  <si>
    <t>MONIKA  KUMARI</t>
  </si>
  <si>
    <t>V31744</t>
  </si>
  <si>
    <t>AMOD  KUMAR</t>
  </si>
  <si>
    <t>V31741</t>
  </si>
  <si>
    <t>REKHA  KUMARI</t>
  </si>
  <si>
    <t>V29358</t>
  </si>
  <si>
    <t>MUKESH KUMAR RAVI</t>
  </si>
  <si>
    <t>V17225</t>
  </si>
  <si>
    <t>Sapna  Sardar</t>
  </si>
  <si>
    <t>V49658</t>
  </si>
  <si>
    <t>Ajit  Mahato</t>
  </si>
  <si>
    <t>V49648</t>
  </si>
  <si>
    <t>AMIT KUMAR GUPTA</t>
  </si>
  <si>
    <t>V48382</t>
  </si>
  <si>
    <t>UTTAM  MANDAL</t>
  </si>
  <si>
    <t>V48247</t>
  </si>
  <si>
    <t>Rawde  Kisku</t>
  </si>
  <si>
    <t>V46034</t>
  </si>
  <si>
    <t>Kajal  Hembram</t>
  </si>
  <si>
    <t>V45991</t>
  </si>
  <si>
    <t>Seema  Murmu</t>
  </si>
  <si>
    <t>V45989</t>
  </si>
  <si>
    <t>NILIM  MURMU</t>
  </si>
  <si>
    <t>V45987</t>
  </si>
  <si>
    <t>KAJAL  HANSDA</t>
  </si>
  <si>
    <t>V40279</t>
  </si>
  <si>
    <t>ROHIT KUMAR DAS</t>
  </si>
  <si>
    <t>V39177</t>
  </si>
  <si>
    <t>KRISHNA  MAHATO</t>
  </si>
  <si>
    <t>V39004</t>
  </si>
  <si>
    <t>SANWRI  HANSDA</t>
  </si>
  <si>
    <t>V31172</t>
  </si>
  <si>
    <t>VIKKI  CHOURASIYA</t>
  </si>
  <si>
    <t>V31046</t>
  </si>
  <si>
    <t>RAHUL  BESRA</t>
  </si>
  <si>
    <t>V30636</t>
  </si>
  <si>
    <t>AJAY  MAHATO</t>
  </si>
  <si>
    <t>V30517</t>
  </si>
  <si>
    <t>AKHILESH  MAHATO</t>
  </si>
  <si>
    <t>V30515</t>
  </si>
  <si>
    <t>LALIT  LENKA</t>
  </si>
  <si>
    <t>V30513</t>
  </si>
  <si>
    <t>RINKU  KUMAR</t>
  </si>
  <si>
    <t>V30508</t>
  </si>
  <si>
    <t>MUKESH  MISHRA</t>
  </si>
  <si>
    <t>V30501</t>
  </si>
  <si>
    <t>ASHUTOSH  JHA</t>
  </si>
  <si>
    <t>V27558</t>
  </si>
  <si>
    <t>KESHAV CHANDRA MAHTO</t>
  </si>
  <si>
    <t>V23624</t>
  </si>
  <si>
    <t>PRITISH KUMAR MAHATO</t>
  </si>
  <si>
    <t>V23537</t>
  </si>
  <si>
    <t>Nitesh  ORAON</t>
  </si>
  <si>
    <t>V54037</t>
  </si>
  <si>
    <t>V52612</t>
  </si>
  <si>
    <t>Pintu  Bhuin</t>
  </si>
  <si>
    <t>V52600</t>
  </si>
  <si>
    <t>PANKAJ KUMAR SINGH</t>
  </si>
  <si>
    <t>V51640</t>
  </si>
  <si>
    <t>Shivam Kumar Giri</t>
  </si>
  <si>
    <t>V50819</t>
  </si>
  <si>
    <t>Rupmani  Devi</t>
  </si>
  <si>
    <t>V48357</t>
  </si>
  <si>
    <t>Ritesh  Mahto</t>
  </si>
  <si>
    <t>V48354</t>
  </si>
  <si>
    <t>Nisha  Kumari</t>
  </si>
  <si>
    <t>V47911</t>
  </si>
  <si>
    <t>Priti  Kumari</t>
  </si>
  <si>
    <t>V47894</t>
  </si>
  <si>
    <t>Shivani KUMARI Kumari</t>
  </si>
  <si>
    <t>V47893</t>
  </si>
  <si>
    <t>V46277</t>
  </si>
  <si>
    <t>Birsa  Oraon</t>
  </si>
  <si>
    <t>V46273</t>
  </si>
  <si>
    <t>Sukarmuni  Devi</t>
  </si>
  <si>
    <t>V45798</t>
  </si>
  <si>
    <t>Pankaj  Oraon</t>
  </si>
  <si>
    <t>V45797</t>
  </si>
  <si>
    <t>Ritesh  Yadav</t>
  </si>
  <si>
    <t>V44448</t>
  </si>
  <si>
    <t>UJJWAL KUMAR PANDAY</t>
  </si>
  <si>
    <t>V43437</t>
  </si>
  <si>
    <t>MR. AMIT ORAON</t>
  </si>
  <si>
    <t>V34585</t>
  </si>
  <si>
    <t>SAMSAD  ANSARI</t>
  </si>
  <si>
    <t>V34321</t>
  </si>
  <si>
    <t>PAWAN KUMAR SAHA</t>
  </si>
  <si>
    <t>V21088</t>
  </si>
  <si>
    <t>Arvind  Lakra</t>
  </si>
  <si>
    <t>V50789</t>
  </si>
  <si>
    <t>MAMTA  DEVI</t>
  </si>
  <si>
    <t>V46359</t>
  </si>
  <si>
    <t>Santosh  Mukhi</t>
  </si>
  <si>
    <t>V46357</t>
  </si>
  <si>
    <t>Padma  Devi</t>
  </si>
  <si>
    <t>V46356</t>
  </si>
  <si>
    <t>ADITYA RAJ TIWARI</t>
  </si>
  <si>
    <t>V45575</t>
  </si>
  <si>
    <t>HIMANSHU KUMAR</t>
  </si>
  <si>
    <t>V37905</t>
  </si>
  <si>
    <t>RAJARAM MAHTO</t>
  </si>
  <si>
    <t>V35829</t>
  </si>
  <si>
    <t>PAWAN KOYA</t>
  </si>
  <si>
    <t>V34526</t>
  </si>
  <si>
    <t>NILKANTH MUKHI</t>
  </si>
  <si>
    <t>V34525</t>
  </si>
  <si>
    <t>BIRENDRA KUMAR SAW</t>
  </si>
  <si>
    <t>V34103</t>
  </si>
  <si>
    <t>SHAMBHU  MANDAL</t>
  </si>
  <si>
    <t>V32242</t>
  </si>
  <si>
    <t>ANJALI  GOPE</t>
  </si>
  <si>
    <t>V32241</t>
  </si>
  <si>
    <t>PRATIMA  NAYAK</t>
  </si>
  <si>
    <t>V32239</t>
  </si>
  <si>
    <t>MARKAS  BARJO</t>
  </si>
  <si>
    <t>V31103</t>
  </si>
  <si>
    <t>DEV  DEEP</t>
  </si>
  <si>
    <t>V31102</t>
  </si>
  <si>
    <t>ISHU  MUKHI</t>
  </si>
  <si>
    <t>V30532</t>
  </si>
  <si>
    <t>RAJESH  MUNDA</t>
  </si>
  <si>
    <t>V30322</t>
  </si>
  <si>
    <t>RADHESHYAM  MANDAL</t>
  </si>
  <si>
    <t>V30143</t>
  </si>
  <si>
    <t>ANIL  MUKHI</t>
  </si>
  <si>
    <t>V30142</t>
  </si>
  <si>
    <t>ANUJ  HEMBROM</t>
  </si>
  <si>
    <t>V30140</t>
  </si>
  <si>
    <t>SHAKTIDHAR  MAHTO</t>
  </si>
  <si>
    <t>V29984</t>
  </si>
  <si>
    <t>ABHISHEK  PASWAN</t>
  </si>
  <si>
    <t>V29977</t>
  </si>
  <si>
    <t>VIDYADHAR  MAHTO</t>
  </si>
  <si>
    <t>V29976</t>
  </si>
  <si>
    <t>VINJAY  HO</t>
  </si>
  <si>
    <t>V29956</t>
  </si>
  <si>
    <t>RATAN  SAMAD</t>
  </si>
  <si>
    <t>V29954</t>
  </si>
  <si>
    <t>SURESH KUMAR YADAV</t>
  </si>
  <si>
    <t>V23739</t>
  </si>
  <si>
    <t>DULAL  HANSDAH</t>
  </si>
  <si>
    <t>V28862</t>
  </si>
  <si>
    <t>Shivam Deep Kumar Bauri</t>
  </si>
  <si>
    <t>V54687</t>
  </si>
  <si>
    <t>Sanjay Kumar Ram</t>
  </si>
  <si>
    <t>V52873</t>
  </si>
  <si>
    <t>V50455</t>
  </si>
  <si>
    <t>ROHIT KUMAR GUPTA</t>
  </si>
  <si>
    <t>V49010</t>
  </si>
  <si>
    <t>VEDPRAKASH  SINGH</t>
  </si>
  <si>
    <t>V48216</t>
  </si>
  <si>
    <t>VIKASH KUMAR CHOUHAN</t>
  </si>
  <si>
    <t>V46573</t>
  </si>
  <si>
    <t>V45578</t>
  </si>
  <si>
    <t>Om  Kumar</t>
  </si>
  <si>
    <t>V45427</t>
  </si>
  <si>
    <t>RAVI KUMAR</t>
  </si>
  <si>
    <t>V42478</t>
  </si>
  <si>
    <t>NIRANJAN KUMAR DAS</t>
  </si>
  <si>
    <t>V42367</t>
  </si>
  <si>
    <t>AMAN KUMAR DAS</t>
  </si>
  <si>
    <t>V40743</t>
  </si>
  <si>
    <t>V38777</t>
  </si>
  <si>
    <t>ASHOK KUMAR MAHTO</t>
  </si>
  <si>
    <t>V38002</t>
  </si>
  <si>
    <t>RUPANKAR  ROY</t>
  </si>
  <si>
    <t>V32727</t>
  </si>
  <si>
    <t>RAM PRASAD YADAV</t>
  </si>
  <si>
    <t>V31632</t>
  </si>
  <si>
    <t>KALYAN  SADHU</t>
  </si>
  <si>
    <t>V30258</t>
  </si>
  <si>
    <t>MEENA  DEVI</t>
  </si>
  <si>
    <t>V29361</t>
  </si>
  <si>
    <t>SUNIL  CHOUHAN</t>
  </si>
  <si>
    <t>V29360</t>
  </si>
  <si>
    <t>PRAKASH  MAHATO</t>
  </si>
  <si>
    <t>V29354</t>
  </si>
  <si>
    <t>RUBI  DEVI</t>
  </si>
  <si>
    <t>V29353</t>
  </si>
  <si>
    <t>Sudhanshu  Gorai</t>
  </si>
  <si>
    <t>V54602</t>
  </si>
  <si>
    <t>Kumari  Roshni</t>
  </si>
  <si>
    <t>V52380</t>
  </si>
  <si>
    <t>Sudip  Dutta</t>
  </si>
  <si>
    <t>V50333</t>
  </si>
  <si>
    <t>MITHUN  HEMBROM</t>
  </si>
  <si>
    <t>V48383</t>
  </si>
  <si>
    <t>Ganesh  Koleth</t>
  </si>
  <si>
    <t>V47159</t>
  </si>
  <si>
    <t>Ahalya  Karmakar</t>
  </si>
  <si>
    <t>V45454</t>
  </si>
  <si>
    <t>HABIL ANTONY TOPNO</t>
  </si>
  <si>
    <t>V40816</t>
  </si>
  <si>
    <t>ROHIT  OJHA</t>
  </si>
  <si>
    <t>V40675</t>
  </si>
  <si>
    <t>RAJKISHOR  GOPE</t>
  </si>
  <si>
    <t>V40664</t>
  </si>
  <si>
    <t>RANJEET MAJHI</t>
  </si>
  <si>
    <t>V35259</t>
  </si>
  <si>
    <t>MANOJ  BIRUA</t>
  </si>
  <si>
    <t>V32833</t>
  </si>
  <si>
    <t>DEEPAK  HANSDA</t>
  </si>
  <si>
    <t>V28525</t>
  </si>
  <si>
    <t>ASHISH  SOY</t>
  </si>
  <si>
    <t>V28519</t>
  </si>
  <si>
    <t>CHOTI  SANGA</t>
  </si>
  <si>
    <t>V28489</t>
  </si>
  <si>
    <t>ARJUN  BURIULY</t>
  </si>
  <si>
    <t>V28098</t>
  </si>
  <si>
    <t>RAJESH  GORAI</t>
  </si>
  <si>
    <t>V27142</t>
  </si>
  <si>
    <t>CHAITAN  BHENGRA</t>
  </si>
  <si>
    <t>V26851</t>
  </si>
  <si>
    <t>BUDHRAM  PURTY</t>
  </si>
  <si>
    <t>V26763</t>
  </si>
  <si>
    <t>BIJAY  SOREN</t>
  </si>
  <si>
    <t>V26672</t>
  </si>
  <si>
    <t>SANDEEP KUMAR SAHU</t>
  </si>
  <si>
    <t>V26662</t>
  </si>
  <si>
    <t>SOURAV  ACHARYA</t>
  </si>
  <si>
    <t>V26661</t>
  </si>
  <si>
    <t>V26660</t>
  </si>
  <si>
    <t>BABLU  MAJHI</t>
  </si>
  <si>
    <t>V26596</t>
  </si>
  <si>
    <t>MOHAMMAD  SAFI</t>
  </si>
  <si>
    <t>V13746</t>
  </si>
  <si>
    <t>ROHIT  ORAON</t>
  </si>
  <si>
    <t>V13586</t>
  </si>
  <si>
    <t>VIJAY  SAH</t>
  </si>
  <si>
    <t>V01286</t>
  </si>
  <si>
    <t>Vishnu  Kumar</t>
  </si>
  <si>
    <t>V54374</t>
  </si>
  <si>
    <t>Punam  Kumari</t>
  </si>
  <si>
    <t>V54373</t>
  </si>
  <si>
    <t>V53755</t>
  </si>
  <si>
    <t>V53753</t>
  </si>
  <si>
    <t>ARYAN  KUMAR</t>
  </si>
  <si>
    <t>V53323</t>
  </si>
  <si>
    <t>RAJENDRA  TUDU</t>
  </si>
  <si>
    <t>V53320</t>
  </si>
  <si>
    <t>AYUSH KUMAR THAKUR</t>
  </si>
  <si>
    <t>V51593</t>
  </si>
  <si>
    <t>Krishna Kumar Bhogta</t>
  </si>
  <si>
    <t>V50090</t>
  </si>
  <si>
    <t>Sagen  Murmu</t>
  </si>
  <si>
    <t>V50085</t>
  </si>
  <si>
    <t>GAUTAM KUMAR BHOGTA</t>
  </si>
  <si>
    <t>V50065</t>
  </si>
  <si>
    <t>Karan  Karmali</t>
  </si>
  <si>
    <t>V47174</t>
  </si>
  <si>
    <t>Vijay  Lakra</t>
  </si>
  <si>
    <t>V45816</t>
  </si>
  <si>
    <t>JAYANTI  TOPPO</t>
  </si>
  <si>
    <t>V39842</t>
  </si>
  <si>
    <t>ARPITA KUMARI</t>
  </si>
  <si>
    <t>V36772</t>
  </si>
  <si>
    <t>GUDDU KUMAR RAJAK</t>
  </si>
  <si>
    <t>V35691</t>
  </si>
  <si>
    <t>PARDEEP KUMAR KARMALI</t>
  </si>
  <si>
    <t>V28796</t>
  </si>
  <si>
    <t>VISHNU PRASAD SINGH</t>
  </si>
  <si>
    <t>V28795</t>
  </si>
  <si>
    <t>KULDEEP  LAKRA</t>
  </si>
  <si>
    <t>V28684</t>
  </si>
  <si>
    <t>AMIT RANJAN KUMAR</t>
  </si>
  <si>
    <t>V28028</t>
  </si>
  <si>
    <t>PRAKASH  KARMALI</t>
  </si>
  <si>
    <t>V26945</t>
  </si>
  <si>
    <t>SUSHMA  ORAON</t>
  </si>
  <si>
    <t>V25556</t>
  </si>
  <si>
    <t>MEENU  BAGE</t>
  </si>
  <si>
    <t>V25461</t>
  </si>
  <si>
    <t>NIKITA  KUMARI</t>
  </si>
  <si>
    <t>V25411</t>
  </si>
  <si>
    <t>PRATIMA  KUMARI</t>
  </si>
  <si>
    <t>V25410</t>
  </si>
  <si>
    <t>SANJAY  RAJAK</t>
  </si>
  <si>
    <t>V25332</t>
  </si>
  <si>
    <t>SURYA  ORAM</t>
  </si>
  <si>
    <t>V25215</t>
  </si>
  <si>
    <t>KHUSHABU  KUMARI</t>
  </si>
  <si>
    <t>V24726</t>
  </si>
  <si>
    <t>102020955694</t>
  </si>
  <si>
    <t>MUKESH KUMAR SINGH</t>
  </si>
  <si>
    <t>V21453</t>
  </si>
  <si>
    <t>AAKASH KUMAR VERMA</t>
  </si>
  <si>
    <t>V20867</t>
  </si>
  <si>
    <t>V20179</t>
  </si>
  <si>
    <t>JOTISH  MUNDUIYA</t>
  </si>
  <si>
    <t>V52400</t>
  </si>
  <si>
    <t>KUNDAN KUMAR PANDEY</t>
  </si>
  <si>
    <t>V50254</t>
  </si>
  <si>
    <t>Sonu  Hansda</t>
  </si>
  <si>
    <t>V50207</t>
  </si>
  <si>
    <t>Sumitra  Kaika</t>
  </si>
  <si>
    <t>V50144</t>
  </si>
  <si>
    <t>Abhinash  Mandal</t>
  </si>
  <si>
    <t>V50143</t>
  </si>
  <si>
    <t>V49371</t>
  </si>
  <si>
    <t>Khushbu  Kumari</t>
  </si>
  <si>
    <t>V49102</t>
  </si>
  <si>
    <t>PRIYANSHU KUMARI SINGH</t>
  </si>
  <si>
    <t>V48288</t>
  </si>
  <si>
    <t>Anita  Ghatuwal</t>
  </si>
  <si>
    <t>V45115</t>
  </si>
  <si>
    <t>Asha  Singh</t>
  </si>
  <si>
    <t>V45114</t>
  </si>
  <si>
    <t>DEVA  MUKHI</t>
  </si>
  <si>
    <t>V40766</t>
  </si>
  <si>
    <t>CHANDNI  KUMARI</t>
  </si>
  <si>
    <t>V40105</t>
  </si>
  <si>
    <t>AJEET  PATRO</t>
  </si>
  <si>
    <t>V38066</t>
  </si>
  <si>
    <t>101660726940</t>
  </si>
  <si>
    <t>RAUSHAN  KUMAR</t>
  </si>
  <si>
    <t>V32650</t>
  </si>
  <si>
    <t>SANDEEP KUMAR PRAMANIK</t>
  </si>
  <si>
    <t>V32540</t>
  </si>
  <si>
    <t>SWETA  TANTY</t>
  </si>
  <si>
    <t>V28738</t>
  </si>
  <si>
    <t>SUNIL  MARNDI</t>
  </si>
  <si>
    <t>V27993</t>
  </si>
  <si>
    <t>RAKESH  BARA</t>
  </si>
  <si>
    <t>V25859</t>
  </si>
  <si>
    <t>LEELA  SARDAR</t>
  </si>
  <si>
    <t>V25192</t>
  </si>
  <si>
    <t>ANKIT  SANGA</t>
  </si>
  <si>
    <t>V25110</t>
  </si>
  <si>
    <t>DHANO  MURMU</t>
  </si>
  <si>
    <t>V25016</t>
  </si>
  <si>
    <t>VISHAL KUMAR SINHA</t>
  </si>
  <si>
    <t>V24901</t>
  </si>
  <si>
    <t>PARVATI  BHUMIJ</t>
  </si>
  <si>
    <t>V23856</t>
  </si>
  <si>
    <t>PRIYA  BESHRA</t>
  </si>
  <si>
    <t>V23849</t>
  </si>
  <si>
    <t>SACHIN  MAHATO</t>
  </si>
  <si>
    <t>V23625</t>
  </si>
  <si>
    <t>KISHAN KUMAR SHAW</t>
  </si>
  <si>
    <t>V23066</t>
  </si>
  <si>
    <t>MANGAL SINGH BURIULY</t>
  </si>
  <si>
    <t>V23059</t>
  </si>
  <si>
    <t>SURAJ PRASAD SINGH</t>
  </si>
  <si>
    <t>V01054</t>
  </si>
  <si>
    <t>Nayan  Pal</t>
  </si>
  <si>
    <t>V52771</t>
  </si>
  <si>
    <t>V50897</t>
  </si>
  <si>
    <t>Pandav Kumar Bauri</t>
  </si>
  <si>
    <t>V47699</t>
  </si>
  <si>
    <t>SUFAL CHANDRA DAS</t>
  </si>
  <si>
    <t>V46476</t>
  </si>
  <si>
    <t>Sangeeta  Devi</t>
  </si>
  <si>
    <t>V46180</t>
  </si>
  <si>
    <t>Shalni Kumari</t>
  </si>
  <si>
    <t>V46179</t>
  </si>
  <si>
    <t>Rakesh  Kumar</t>
  </si>
  <si>
    <t>V45726</t>
  </si>
  <si>
    <t>Tarun Kumar Bauri</t>
  </si>
  <si>
    <t>V45389</t>
  </si>
  <si>
    <t>HARI NARAYAN  GOPE</t>
  </si>
  <si>
    <t>V41870</t>
  </si>
  <si>
    <t>V40493</t>
  </si>
  <si>
    <t>BIKRAM KUMAR BAURI</t>
  </si>
  <si>
    <t>V39586</t>
  </si>
  <si>
    <t>SHUBHAM  KUMAR DUBEY</t>
  </si>
  <si>
    <t>V35049</t>
  </si>
  <si>
    <t>RAKESH KUMAR PAUL</t>
  </si>
  <si>
    <t>V27996</t>
  </si>
  <si>
    <t>MUKESH KUMAR MAHATO</t>
  </si>
  <si>
    <t>V27994</t>
  </si>
  <si>
    <t>VISHAL CHANDRA MAHATO</t>
  </si>
  <si>
    <t>V26271</t>
  </si>
  <si>
    <t>V20969</t>
  </si>
  <si>
    <t>V18069</t>
  </si>
  <si>
    <t>V14829</t>
  </si>
  <si>
    <t>V12129</t>
  </si>
  <si>
    <t>MANOJ KUMAR GOPE</t>
  </si>
  <si>
    <t>V11509</t>
  </si>
  <si>
    <t>SUJIT  KUMAR</t>
  </si>
  <si>
    <t>V08701</t>
  </si>
  <si>
    <t>SABODI  MARANDI</t>
  </si>
  <si>
    <t>V41915</t>
  </si>
  <si>
    <t>NITESH  KUMAR</t>
  </si>
  <si>
    <t>V40463</t>
  </si>
  <si>
    <t>LAKHAN KUMAR MANDAL</t>
  </si>
  <si>
    <t>V39442</t>
  </si>
  <si>
    <t>BIRENDRA KUMAR BAIDH</t>
  </si>
  <si>
    <t>V38873</t>
  </si>
  <si>
    <t>RENUKA KUMAR KISKU</t>
  </si>
  <si>
    <t>V37315</t>
  </si>
  <si>
    <t>SUBUDH  BASKI</t>
  </si>
  <si>
    <t>V32743</t>
  </si>
  <si>
    <t>RAMESH  KUMAR</t>
  </si>
  <si>
    <t>V32715</t>
  </si>
  <si>
    <t>GANESH  RAJWAR</t>
  </si>
  <si>
    <t>V32648</t>
  </si>
  <si>
    <t>DINANATH PANJIYARA</t>
  </si>
  <si>
    <t>V28748</t>
  </si>
  <si>
    <t>ASHISH  MONDAL</t>
  </si>
  <si>
    <t>V28449</t>
  </si>
  <si>
    <t>ANMOL ANAND KISKU</t>
  </si>
  <si>
    <t>V28448</t>
  </si>
  <si>
    <t>ALOK KUMAR TUDU</t>
  </si>
  <si>
    <t>V28272</t>
  </si>
  <si>
    <t>AMIT SOREN</t>
  </si>
  <si>
    <t>V26307</t>
  </si>
  <si>
    <t>NEELAM  MURMU</t>
  </si>
  <si>
    <t>V25879</t>
  </si>
  <si>
    <t>SHIV MARAIYA</t>
  </si>
  <si>
    <t>V25685</t>
  </si>
  <si>
    <t>ROHIT KUMAR MANDAL</t>
  </si>
  <si>
    <t>V23266</t>
  </si>
  <si>
    <t>PINTU KUMAR MANJHI</t>
  </si>
  <si>
    <t>V22738</t>
  </si>
  <si>
    <t>SANJIV  MARANDI</t>
  </si>
  <si>
    <t>V21757</t>
  </si>
  <si>
    <t>MOHAN  MARAIYA</t>
  </si>
  <si>
    <t>V21755</t>
  </si>
  <si>
    <t>BHUMESHWAR PANDIT</t>
  </si>
  <si>
    <t>V19928</t>
  </si>
  <si>
    <t>SUNIL KUMAR RAKSHIT</t>
  </si>
  <si>
    <t>V19927</t>
  </si>
  <si>
    <t>BINOD BESRA</t>
  </si>
  <si>
    <t>V13011</t>
  </si>
  <si>
    <t>KISHAN KUMAR CHAND</t>
  </si>
  <si>
    <t>V13007</t>
  </si>
  <si>
    <t>V12869</t>
  </si>
  <si>
    <t>KUNDAN MANDAL</t>
  </si>
  <si>
    <t>V12857</t>
  </si>
  <si>
    <t>RAM SHANKAR MANDAL</t>
  </si>
  <si>
    <t>V12856</t>
  </si>
  <si>
    <t>AJAY KUMAR MANDAL</t>
  </si>
  <si>
    <t>V12853</t>
  </si>
  <si>
    <t>JAY PRAKASH TIWARI</t>
  </si>
  <si>
    <t>V01590</t>
  </si>
  <si>
    <t>LAXMAN KUMAR DAS</t>
  </si>
  <si>
    <t>V53261</t>
  </si>
  <si>
    <t>REKHA  DEVI</t>
  </si>
  <si>
    <t>V46942</t>
  </si>
  <si>
    <t>DEWANTI  DEVI</t>
  </si>
  <si>
    <t>V46842</t>
  </si>
  <si>
    <t>RAJ KUMAR YADAV</t>
  </si>
  <si>
    <t>V46841</t>
  </si>
  <si>
    <t>V40363</t>
  </si>
  <si>
    <t>SANJAY KUMAR DAS</t>
  </si>
  <si>
    <t>V40071</t>
  </si>
  <si>
    <t>JITENDRA KUMAR CHOUDHARY</t>
  </si>
  <si>
    <t>V33296</t>
  </si>
  <si>
    <t>PRABHANJAN  KUMAR</t>
  </si>
  <si>
    <t>V33295</t>
  </si>
  <si>
    <t>PINKY  DEVI</t>
  </si>
  <si>
    <t>V33293</t>
  </si>
  <si>
    <t>JUHI  KUMARI</t>
  </si>
  <si>
    <t>V27907</t>
  </si>
  <si>
    <t>V27512</t>
  </si>
  <si>
    <t>V26733</t>
  </si>
  <si>
    <t>SAKSHI  SHARMA</t>
  </si>
  <si>
    <t>V26071</t>
  </si>
  <si>
    <t>KRISHNA  RAJAK</t>
  </si>
  <si>
    <t>V25939</t>
  </si>
  <si>
    <t>RAM RANJAN JHA</t>
  </si>
  <si>
    <t>V25938</t>
  </si>
  <si>
    <t>RAVI RANJAN KUMAR UPADHAYAY</t>
  </si>
  <si>
    <t>V23593</t>
  </si>
  <si>
    <t>V22276</t>
  </si>
  <si>
    <t>V19921</t>
  </si>
  <si>
    <t>SIKANDAR  SWARAJ</t>
  </si>
  <si>
    <t>V19250</t>
  </si>
  <si>
    <t>VIKASH  PASWAN</t>
  </si>
  <si>
    <t>V14260</t>
  </si>
  <si>
    <t>V13761</t>
  </si>
  <si>
    <t>V13759</t>
  </si>
  <si>
    <t>Bittu  Kumar</t>
  </si>
  <si>
    <t>V47659</t>
  </si>
  <si>
    <t>Kartik Kumar Yadav</t>
  </si>
  <si>
    <t>V47658</t>
  </si>
  <si>
    <t>Lakshman  Kumar</t>
  </si>
  <si>
    <t>V47657</t>
  </si>
  <si>
    <t>Uttam Kumar Yadav</t>
  </si>
  <si>
    <t>V47656</t>
  </si>
  <si>
    <t>RAHUL KUMAR MANDAL</t>
  </si>
  <si>
    <t>V40477</t>
  </si>
  <si>
    <t>JAGDEV  DAS</t>
  </si>
  <si>
    <t>V40472</t>
  </si>
  <si>
    <t>V39973</t>
  </si>
  <si>
    <t>NITISH  KUMAR</t>
  </si>
  <si>
    <t>V39286</t>
  </si>
  <si>
    <t>V28976</t>
  </si>
  <si>
    <t>KARAN KUMAR RAO</t>
  </si>
  <si>
    <t>V28718</t>
  </si>
  <si>
    <t>VIKRAM  KUMAR</t>
  </si>
  <si>
    <t>V28714</t>
  </si>
  <si>
    <t>V26078</t>
  </si>
  <si>
    <t>SHIVASHISH  YADAV</t>
  </si>
  <si>
    <t>V26077</t>
  </si>
  <si>
    <t>SAHENDRA  RAUT</t>
  </si>
  <si>
    <t>V22716</t>
  </si>
  <si>
    <t>PAPPU KUMAR YADAV</t>
  </si>
  <si>
    <t>V22713</t>
  </si>
  <si>
    <t>ABHINASH  KUMAR</t>
  </si>
  <si>
    <t>V20576</t>
  </si>
  <si>
    <t>YOGESHWAR PRASAD YADAV</t>
  </si>
  <si>
    <t>V18656</t>
  </si>
  <si>
    <t>MRITUNJAY  KUMAR</t>
  </si>
  <si>
    <t>V15828</t>
  </si>
  <si>
    <t>V14730</t>
  </si>
  <si>
    <t>V11701</t>
  </si>
  <si>
    <t>SANTOSH KUMAR KAPARI</t>
  </si>
  <si>
    <t>V10713</t>
  </si>
  <si>
    <t>DILKHUSH  PASWAN</t>
  </si>
  <si>
    <t>V09707</t>
  </si>
  <si>
    <t>SANJAY  MARIK</t>
  </si>
  <si>
    <t>V09705</t>
  </si>
  <si>
    <t>V09272</t>
  </si>
  <si>
    <t>Abhay  Kumar</t>
  </si>
  <si>
    <t>V51555</t>
  </si>
  <si>
    <t>Sudama  Paswan</t>
  </si>
  <si>
    <t>V51554</t>
  </si>
  <si>
    <t>V46224</t>
  </si>
  <si>
    <t>KARMI  NAG</t>
  </si>
  <si>
    <t>V46223</t>
  </si>
  <si>
    <t>V40755</t>
  </si>
  <si>
    <t>ANIL  PASWAN</t>
  </si>
  <si>
    <t>V40132</t>
  </si>
  <si>
    <t>V35623</t>
  </si>
  <si>
    <t>MANTU  KUMAR</t>
  </si>
  <si>
    <t>V32846</t>
  </si>
  <si>
    <t>MANOJ KUMAR SINGH</t>
  </si>
  <si>
    <t>V28047</t>
  </si>
  <si>
    <t>PAWAN KUMAR PASWAN</t>
  </si>
  <si>
    <t>V27850</t>
  </si>
  <si>
    <t>V24210</t>
  </si>
  <si>
    <t>ALISHA  KUMARI</t>
  </si>
  <si>
    <t>V24209</t>
  </si>
  <si>
    <t>CHANDRADEEP KUMAR MAHTO</t>
  </si>
  <si>
    <t>V24208</t>
  </si>
  <si>
    <t>ANAND KUMAR SAW</t>
  </si>
  <si>
    <t>V22067</t>
  </si>
  <si>
    <t>GULSHAN KUMAR SINGH</t>
  </si>
  <si>
    <t>V21486</t>
  </si>
  <si>
    <t>KRISHNA  MANDAL</t>
  </si>
  <si>
    <t>V20952</t>
  </si>
  <si>
    <t>SUDHIR SINGH THAKUR</t>
  </si>
  <si>
    <t>V19960</t>
  </si>
  <si>
    <t>DIPAK KUMAR RANA</t>
  </si>
  <si>
    <t>V18490</t>
  </si>
  <si>
    <t>MITHUN KUMAR RAM</t>
  </si>
  <si>
    <t>V18331</t>
  </si>
  <si>
    <t>V16965</t>
  </si>
  <si>
    <t>NIRAJ KUMAR PATEL</t>
  </si>
  <si>
    <t>V15859</t>
  </si>
  <si>
    <t>MUKESH KUMAR DAS</t>
  </si>
  <si>
    <t>V08585</t>
  </si>
  <si>
    <t>MOHAN  RAM</t>
  </si>
  <si>
    <t>V08582</t>
  </si>
  <si>
    <t>V08549</t>
  </si>
  <si>
    <t>ARSHAD  HUSSAIN</t>
  </si>
  <si>
    <t>V08531</t>
  </si>
  <si>
    <t>V08529</t>
  </si>
  <si>
    <t>Anshu  Prajapati</t>
  </si>
  <si>
    <t>V53474</t>
  </si>
  <si>
    <t>Subhash Singh Munda</t>
  </si>
  <si>
    <t>V53473</t>
  </si>
  <si>
    <t>V53472</t>
  </si>
  <si>
    <t>Prince  Singh</t>
  </si>
  <si>
    <t>V52628</t>
  </si>
  <si>
    <t>Neha  Singh</t>
  </si>
  <si>
    <t>V51726</t>
  </si>
  <si>
    <t>Nitish Kumar Pandey</t>
  </si>
  <si>
    <t>V51507</t>
  </si>
  <si>
    <t>Neel Kusum Khalkho</t>
  </si>
  <si>
    <t>V50236</t>
  </si>
  <si>
    <t>Goma Kumari Munda</t>
  </si>
  <si>
    <t>V49834</t>
  </si>
  <si>
    <t>Basanti  Devi</t>
  </si>
  <si>
    <t>V49833</t>
  </si>
  <si>
    <t>Pammi  Rani</t>
  </si>
  <si>
    <t>V49090</t>
  </si>
  <si>
    <t>Sitamuni  Soren</t>
  </si>
  <si>
    <t>V49087</t>
  </si>
  <si>
    <t>Amit  Kapardar</t>
  </si>
  <si>
    <t>V49044</t>
  </si>
  <si>
    <t>Birbal  Manjhi</t>
  </si>
  <si>
    <t>V48304</t>
  </si>
  <si>
    <t>Puja  Kumari</t>
  </si>
  <si>
    <t>ROHIT KUMAR RAY</t>
  </si>
  <si>
    <t>V41850</t>
  </si>
  <si>
    <t>ROSHAN  THAKUR</t>
  </si>
  <si>
    <t>V40168</t>
  </si>
  <si>
    <t>NIRANJAN ORAON ORAON</t>
  </si>
  <si>
    <t>V39829</t>
  </si>
  <si>
    <t>CHANDAN  SHARMA</t>
  </si>
  <si>
    <t>V37713</t>
  </si>
  <si>
    <t>ARVIND KUMAR BEDIA</t>
  </si>
  <si>
    <t>V37709</t>
  </si>
  <si>
    <t>MONI KUMARI</t>
  </si>
  <si>
    <t>V35217</t>
  </si>
  <si>
    <t>SUJIT HUNNI PURTI</t>
  </si>
  <si>
    <t>V31781</t>
  </si>
  <si>
    <t>PURNIMA  KACHHAP</t>
  </si>
  <si>
    <t>V31405</t>
  </si>
  <si>
    <t>RAJEEV  KUMAR</t>
  </si>
  <si>
    <t>V28024</t>
  </si>
  <si>
    <t>ASHUTOSH KUMAR SHARMA</t>
  </si>
  <si>
    <t>V26828</t>
  </si>
  <si>
    <t>PREM PRATEEK TOPPO</t>
  </si>
  <si>
    <t>V24737</t>
  </si>
  <si>
    <t>RAJNI  KACHHAP</t>
  </si>
  <si>
    <t>V24736</t>
  </si>
  <si>
    <t>MARSHAL  MUNDA</t>
  </si>
  <si>
    <t>V23172</t>
  </si>
  <si>
    <t>KRISHNA  KUMAR</t>
  </si>
  <si>
    <t>V22278</t>
  </si>
  <si>
    <t>LAKHIMANI  KUMARI</t>
  </si>
  <si>
    <t>V20946</t>
  </si>
  <si>
    <t>MANOJ KUMAR JHA</t>
  </si>
  <si>
    <t>V08213</t>
  </si>
  <si>
    <t>MADHUSUDAN  BIRUA</t>
  </si>
  <si>
    <t>V53842</t>
  </si>
  <si>
    <t>Dhanvant  Kumar</t>
  </si>
  <si>
    <t>V52582</t>
  </si>
  <si>
    <t>SUSHENA  SARDAR</t>
  </si>
  <si>
    <t>V51603</t>
  </si>
  <si>
    <t>Rajendra  Pramanik</t>
  </si>
  <si>
    <t>V51098</t>
  </si>
  <si>
    <t>RAGNI  DEVI</t>
  </si>
  <si>
    <t>V51097</t>
  </si>
  <si>
    <t>Dharmendra Prasad Sahu</t>
  </si>
  <si>
    <t>V50461</t>
  </si>
  <si>
    <t>Priyesh  Kumar</t>
  </si>
  <si>
    <t>V50459</t>
  </si>
  <si>
    <t>Rahul Kumar Yadav</t>
  </si>
  <si>
    <t>V50203</t>
  </si>
  <si>
    <t>V49806</t>
  </si>
  <si>
    <t>Ganga  Majhi</t>
  </si>
  <si>
    <t>V48976</t>
  </si>
  <si>
    <t>JAMUNA  BODRA</t>
  </si>
  <si>
    <t>V48968</t>
  </si>
  <si>
    <t>DIPA  PATRO</t>
  </si>
  <si>
    <t>V48967</t>
  </si>
  <si>
    <t>Jamuna  Mardi</t>
  </si>
  <si>
    <t>V47440</t>
  </si>
  <si>
    <t>Mani  Murmu</t>
  </si>
  <si>
    <t>V46779</t>
  </si>
  <si>
    <t>RAHUL KUMAR MAHATO</t>
  </si>
  <si>
    <t>V41191</t>
  </si>
  <si>
    <t>ABHISHEK KUMAR THAKUR</t>
  </si>
  <si>
    <t>V41189</t>
  </si>
  <si>
    <t>V40817</t>
  </si>
  <si>
    <t>SANTOSHI SINGH SARDAR</t>
  </si>
  <si>
    <t>V40691</t>
  </si>
  <si>
    <t>DULI  MARDI</t>
  </si>
  <si>
    <t>V40690</t>
  </si>
  <si>
    <t>BHUPENDRA  PRASAD</t>
  </si>
  <si>
    <t>V40689</t>
  </si>
  <si>
    <t>AJAY  HEMBRAM</t>
  </si>
  <si>
    <t>V40270</t>
  </si>
  <si>
    <t>SUNIL  RAJAK</t>
  </si>
  <si>
    <t>V40244</t>
  </si>
  <si>
    <t>BIKASH  MAHTO</t>
  </si>
  <si>
    <t>V40166</t>
  </si>
  <si>
    <t>GOBARDHAN  KUMBHAKAR</t>
  </si>
  <si>
    <t>V40127</t>
  </si>
  <si>
    <t>OM  SIDHU</t>
  </si>
  <si>
    <t>V33075</t>
  </si>
  <si>
    <t>RESHMI  MURMU</t>
  </si>
  <si>
    <t>V32659</t>
  </si>
  <si>
    <t>SAMBHU KUMAR KUMBHKAR</t>
  </si>
  <si>
    <t>V32506</t>
  </si>
  <si>
    <t>JAGARNATH  KUNTIA</t>
  </si>
  <si>
    <t>V32495</t>
  </si>
  <si>
    <t>NIKITA  LOHAR</t>
  </si>
  <si>
    <t>V32421</t>
  </si>
  <si>
    <t>V30531</t>
  </si>
  <si>
    <t>CHANDNI  DEVI</t>
  </si>
  <si>
    <t>V28952</t>
  </si>
  <si>
    <t>ANU  KUMARI</t>
  </si>
  <si>
    <t>V28739</t>
  </si>
  <si>
    <t>DASO  SOREN</t>
  </si>
  <si>
    <t>V28674</t>
  </si>
  <si>
    <t>JAYSURYA  MARDI</t>
  </si>
  <si>
    <t>V28097</t>
  </si>
  <si>
    <t>KARTIK  MURMU</t>
  </si>
  <si>
    <t>V27623</t>
  </si>
  <si>
    <t>JEMA  PINGUA</t>
  </si>
  <si>
    <t>V27471</t>
  </si>
  <si>
    <t>SUNIL  BARA</t>
  </si>
  <si>
    <t>V26138</t>
  </si>
  <si>
    <t>RAHUL  MAHATO</t>
  </si>
  <si>
    <t>V24435</t>
  </si>
  <si>
    <t>MATHURA  BIRUA</t>
  </si>
  <si>
    <t>V24433</t>
  </si>
  <si>
    <t>VIJAY  HONHAGA</t>
  </si>
  <si>
    <t>V24432</t>
  </si>
  <si>
    <t>ARUN KUMAR YADAV</t>
  </si>
  <si>
    <t>V23200</t>
  </si>
  <si>
    <t>AMRIT  TIRKEY</t>
  </si>
  <si>
    <t>V22487</t>
  </si>
  <si>
    <t>V21950</t>
  </si>
  <si>
    <t>SANJANA  KALINDI</t>
  </si>
  <si>
    <t>V21940</t>
  </si>
  <si>
    <t>ROHIT MASIH LAKRA</t>
  </si>
  <si>
    <t>V20300</t>
  </si>
  <si>
    <t>AWANTIKA  SOREN</t>
  </si>
  <si>
    <t>V20127</t>
  </si>
  <si>
    <t>SUMAN  KUMAR</t>
  </si>
  <si>
    <t>V20104</t>
  </si>
  <si>
    <t>SUNIL  DEOGAM</t>
  </si>
  <si>
    <t>V19532</t>
  </si>
  <si>
    <t>V18506</t>
  </si>
  <si>
    <t>GANESH  PRAJAPATI</t>
  </si>
  <si>
    <t>V17968</t>
  </si>
  <si>
    <t>V16150</t>
  </si>
  <si>
    <t>SONU  BHUMIJ</t>
  </si>
  <si>
    <t>V13569</t>
  </si>
  <si>
    <t>PRABIN KUMAR MAHATO</t>
  </si>
  <si>
    <t>V09183</t>
  </si>
  <si>
    <t>V05517</t>
  </si>
  <si>
    <t>AJAY  KUMBHAKAR</t>
  </si>
  <si>
    <t>V05028</t>
  </si>
  <si>
    <t>BASANT KUMAR PRASAD</t>
  </si>
  <si>
    <t>V03447</t>
  </si>
  <si>
    <t>V01066</t>
  </si>
  <si>
    <t>ANSHU KUMAR SINGH</t>
  </si>
  <si>
    <t>V00707</t>
  </si>
  <si>
    <t>Sushma  Devi</t>
  </si>
  <si>
    <t>V47324</t>
  </si>
  <si>
    <t>Billa  Singh</t>
  </si>
  <si>
    <t>V47323</t>
  </si>
  <si>
    <t>Manmohan  Singh</t>
  </si>
  <si>
    <t>V46160</t>
  </si>
  <si>
    <t>VARUN  PURI</t>
  </si>
  <si>
    <t>V43522</t>
  </si>
  <si>
    <t>V42795</t>
  </si>
  <si>
    <t>MANEESH  KUMAR</t>
  </si>
  <si>
    <t>V42609</t>
  </si>
  <si>
    <t>MOHIT  KUMAR</t>
  </si>
  <si>
    <t>V42589</t>
  </si>
  <si>
    <t>KALASH  PAL</t>
  </si>
  <si>
    <t>V42500</t>
  </si>
  <si>
    <t>HARVINDER  KUMAR</t>
  </si>
  <si>
    <t>V41512</t>
  </si>
  <si>
    <t>DIPANSHU  CHAUDHARI</t>
  </si>
  <si>
    <t>V41511</t>
  </si>
  <si>
    <t>V41297</t>
  </si>
  <si>
    <t>TANIA</t>
  </si>
  <si>
    <t>V41296</t>
  </si>
  <si>
    <t>V41268</t>
  </si>
  <si>
    <t>Puran  Singh</t>
  </si>
  <si>
    <t>V41267</t>
  </si>
  <si>
    <t>AMANDEEP</t>
  </si>
  <si>
    <t>V41264</t>
  </si>
  <si>
    <t>Kanchan  Devi</t>
  </si>
  <si>
    <t>V41029</t>
  </si>
  <si>
    <t>PALLAVI  RANI</t>
  </si>
  <si>
    <t>V41028</t>
  </si>
  <si>
    <t>V41027</t>
  </si>
  <si>
    <t>V39951</t>
  </si>
  <si>
    <t>V39950</t>
  </si>
  <si>
    <t>SUNNY  MEHTA</t>
  </si>
  <si>
    <t>V53608</t>
  </si>
  <si>
    <t>V50524</t>
  </si>
  <si>
    <t>Aruna  Kumari</t>
  </si>
  <si>
    <t>V50522</t>
  </si>
  <si>
    <t>V50307</t>
  </si>
  <si>
    <t>Navneet  Kour</t>
  </si>
  <si>
    <t>V50153</t>
  </si>
  <si>
    <t>Balwan  Singh</t>
  </si>
  <si>
    <t>V49476</t>
  </si>
  <si>
    <t>V49216</t>
  </si>
  <si>
    <t>Abhishek  Choudhary</t>
  </si>
  <si>
    <t>V44794</t>
  </si>
  <si>
    <t>KHEM  RAJ</t>
  </si>
  <si>
    <t>V43933</t>
  </si>
  <si>
    <t>V42791</t>
  </si>
  <si>
    <t>ANKAJ  KUMAR</t>
  </si>
  <si>
    <t>V38109</t>
  </si>
  <si>
    <t>ARYAN</t>
  </si>
  <si>
    <t>V36135</t>
  </si>
  <si>
    <t>VIKAS PREET</t>
  </si>
  <si>
    <t>V36125</t>
  </si>
  <si>
    <t>AKSHAY KUMAR</t>
  </si>
  <si>
    <t>V36124</t>
  </si>
  <si>
    <t>AKASH KUMAR</t>
  </si>
  <si>
    <t>V35987</t>
  </si>
  <si>
    <t>ANIKET</t>
  </si>
  <si>
    <t>V35684</t>
  </si>
  <si>
    <t>V35060</t>
  </si>
  <si>
    <t>MDHU BALA</t>
  </si>
  <si>
    <t>V35057</t>
  </si>
  <si>
    <t>V35056</t>
  </si>
  <si>
    <t>ROHIT CHAUDHARY</t>
  </si>
  <si>
    <t>V35054</t>
  </si>
  <si>
    <t>V34233</t>
  </si>
  <si>
    <t>SATESH  KUMAR</t>
  </si>
  <si>
    <t>RAJ KUMAR</t>
  </si>
  <si>
    <t>V51811</t>
  </si>
  <si>
    <t>SUNITI  KUMARI</t>
  </si>
  <si>
    <t>V38074</t>
  </si>
  <si>
    <t>BHUPENDER  SINGH</t>
  </si>
  <si>
    <t>V37969</t>
  </si>
  <si>
    <t>VINOD</t>
  </si>
  <si>
    <t>V37954</t>
  </si>
  <si>
    <t>V37770</t>
  </si>
  <si>
    <t>SUSHMA</t>
  </si>
  <si>
    <t>V37327</t>
  </si>
  <si>
    <t>SUDHEER</t>
  </si>
  <si>
    <t>V33499</t>
  </si>
  <si>
    <t>V29841</t>
  </si>
  <si>
    <t>ARUN</t>
  </si>
  <si>
    <t>V24179</t>
  </si>
  <si>
    <t>DALIP  KUMAR</t>
  </si>
  <si>
    <t>V22427</t>
  </si>
  <si>
    <t>PAWAN</t>
  </si>
  <si>
    <t>V20618</t>
  </si>
  <si>
    <t>V20609</t>
  </si>
  <si>
    <t>PANKAJ  SHARMA</t>
  </si>
  <si>
    <t>V19969</t>
  </si>
  <si>
    <t>V19968</t>
  </si>
  <si>
    <t>NAND  LAL</t>
  </si>
  <si>
    <t>V17574</t>
  </si>
  <si>
    <t>PROMILA  DEVI</t>
  </si>
  <si>
    <t>V15157</t>
  </si>
  <si>
    <t>GULABI  DEVI</t>
  </si>
  <si>
    <t>V15048</t>
  </si>
  <si>
    <t>DESH  DEEPAK</t>
  </si>
  <si>
    <t>V10779</t>
  </si>
  <si>
    <t>V09134</t>
  </si>
  <si>
    <t>SHER  SINGH</t>
  </si>
  <si>
    <t>V07398</t>
  </si>
  <si>
    <t>V04041</t>
  </si>
  <si>
    <t>PARAS  RAM</t>
  </si>
  <si>
    <t>V03782</t>
  </si>
  <si>
    <t>GOVIND  SINGH</t>
  </si>
  <si>
    <t>V01400</t>
  </si>
  <si>
    <t>Lokesh</t>
  </si>
  <si>
    <t>Vijay</t>
  </si>
  <si>
    <t>V54379</t>
  </si>
  <si>
    <t>Preeti</t>
  </si>
  <si>
    <t>Manoj</t>
  </si>
  <si>
    <t>Pawan</t>
  </si>
  <si>
    <t>Prashant</t>
  </si>
  <si>
    <t>V54092</t>
  </si>
  <si>
    <t>V53216</t>
  </si>
  <si>
    <t>Virendra  Kumar</t>
  </si>
  <si>
    <t>V51721</t>
  </si>
  <si>
    <t>Ashish  Singh</t>
  </si>
  <si>
    <t>V51711</t>
  </si>
  <si>
    <t>V51473</t>
  </si>
  <si>
    <t>Raksha</t>
  </si>
  <si>
    <t>V51434</t>
  </si>
  <si>
    <t>V50856</t>
  </si>
  <si>
    <t>EKTA  SODE</t>
  </si>
  <si>
    <t>V50778</t>
  </si>
  <si>
    <t>V50759</t>
  </si>
  <si>
    <t>V50645</t>
  </si>
  <si>
    <t>V50009</t>
  </si>
  <si>
    <t>Vikash  Kumar</t>
  </si>
  <si>
    <t>V49944</t>
  </si>
  <si>
    <t>Raghubir  Tiwari</t>
  </si>
  <si>
    <t>V49943</t>
  </si>
  <si>
    <t>Nitish  Kumar</t>
  </si>
  <si>
    <t>V49884</t>
  </si>
  <si>
    <t>Shobhit  Sharma</t>
  </si>
  <si>
    <t>V49882</t>
  </si>
  <si>
    <t>V49738</t>
  </si>
  <si>
    <t>Anil</t>
  </si>
  <si>
    <t>V49736</t>
  </si>
  <si>
    <t>Mousam</t>
  </si>
  <si>
    <t>V49734</t>
  </si>
  <si>
    <t>Rima  Kumari</t>
  </si>
  <si>
    <t>V49683</t>
  </si>
  <si>
    <t>Umesh Kumar Verma</t>
  </si>
  <si>
    <t>V49281</t>
  </si>
  <si>
    <t>SUNIL KUMAR SUMAN</t>
  </si>
  <si>
    <t>V21999</t>
  </si>
  <si>
    <t>102020955504</t>
  </si>
  <si>
    <t>AMARJEET</t>
  </si>
  <si>
    <t>V21994</t>
  </si>
  <si>
    <t>Manish Kumar Thakur</t>
  </si>
  <si>
    <t>V53714</t>
  </si>
  <si>
    <t>Rina  Kumari</t>
  </si>
  <si>
    <t>V52743</t>
  </si>
  <si>
    <t>Santosh  Kumar</t>
  </si>
  <si>
    <t>V52634</t>
  </si>
  <si>
    <t>V51899</t>
  </si>
  <si>
    <t>V51539</t>
  </si>
  <si>
    <t>Ashok  Kumar</t>
  </si>
  <si>
    <t>V48877</t>
  </si>
  <si>
    <t>Akhilesh Pratap Singh</t>
  </si>
  <si>
    <t>V44284</t>
  </si>
  <si>
    <t>V44082</t>
  </si>
  <si>
    <t>V43963</t>
  </si>
  <si>
    <t>Jyoti  Rawat</t>
  </si>
  <si>
    <t>V43878</t>
  </si>
  <si>
    <t>Gaurav  Singh</t>
  </si>
  <si>
    <t>V43877</t>
  </si>
  <si>
    <t>Piyush  Ranjan</t>
  </si>
  <si>
    <t>V43873</t>
  </si>
  <si>
    <t>Ram  Ji</t>
  </si>
  <si>
    <t>V43867</t>
  </si>
  <si>
    <t>VEDA  PAL</t>
  </si>
  <si>
    <t>V43763</t>
  </si>
  <si>
    <t>LAXMI DEVI</t>
  </si>
  <si>
    <t>V43762</t>
  </si>
  <si>
    <t>SATYESH PRAKASH GUPTA</t>
  </si>
  <si>
    <t>V43712</t>
  </si>
  <si>
    <t>V37400</t>
  </si>
  <si>
    <t>SNEHA</t>
  </si>
  <si>
    <t>V32027</t>
  </si>
  <si>
    <t>BHASKARA  NAND</t>
  </si>
  <si>
    <t>V30628</t>
  </si>
  <si>
    <t>V22214</t>
  </si>
  <si>
    <t>102020956934</t>
  </si>
  <si>
    <t>ABHISHEK  CHAURASIYA</t>
  </si>
  <si>
    <t>V21142</t>
  </si>
  <si>
    <t>RAVINDRA  PRAJAPATI</t>
  </si>
  <si>
    <t>V16542</t>
  </si>
  <si>
    <t>V11480</t>
  </si>
  <si>
    <t>Rohan  Saini</t>
  </si>
  <si>
    <t>V54592</t>
  </si>
  <si>
    <t>V54347</t>
  </si>
  <si>
    <t>Rohan  Kumar</t>
  </si>
  <si>
    <t>V54299</t>
  </si>
  <si>
    <t>Vikash</t>
  </si>
  <si>
    <t>V54297</t>
  </si>
  <si>
    <t>Nitish</t>
  </si>
  <si>
    <t>V54296</t>
  </si>
  <si>
    <t>Lakhpat</t>
  </si>
  <si>
    <t>V54295</t>
  </si>
  <si>
    <t>V54294</t>
  </si>
  <si>
    <t>Tannu</t>
  </si>
  <si>
    <t>V54293</t>
  </si>
  <si>
    <t>PRATIKSHA</t>
  </si>
  <si>
    <t>V54151</t>
  </si>
  <si>
    <t>Ritesh  Kumar</t>
  </si>
  <si>
    <t>V54115</t>
  </si>
  <si>
    <t>AMINIT  KUMAR</t>
  </si>
  <si>
    <t>V54099</t>
  </si>
  <si>
    <t>Rakesh  Singh</t>
  </si>
  <si>
    <t>V54095</t>
  </si>
  <si>
    <t>V53803</t>
  </si>
  <si>
    <t>V53769</t>
  </si>
  <si>
    <t>V53766</t>
  </si>
  <si>
    <t>V53440</t>
  </si>
  <si>
    <t>Satish</t>
  </si>
  <si>
    <t>V53361</t>
  </si>
  <si>
    <t>V53360</t>
  </si>
  <si>
    <t>V53358</t>
  </si>
  <si>
    <t>Dharambir</t>
  </si>
  <si>
    <t>V52511</t>
  </si>
  <si>
    <t>V52349</t>
  </si>
  <si>
    <t>AARTI  DEVI</t>
  </si>
  <si>
    <t>V51945</t>
  </si>
  <si>
    <t>V51433</t>
  </si>
  <si>
    <t>GUNGUN</t>
  </si>
  <si>
    <t>V51422</t>
  </si>
  <si>
    <t>V51421</t>
  </si>
  <si>
    <t>AMAR NATH</t>
  </si>
  <si>
    <t>V51417</t>
  </si>
  <si>
    <t>V51414</t>
  </si>
  <si>
    <t>Dinesh  Jaglan</t>
  </si>
  <si>
    <t>V50938</t>
  </si>
  <si>
    <t>V50835</t>
  </si>
  <si>
    <t>Rajnish Kumar Varun</t>
  </si>
  <si>
    <t>V50664</t>
  </si>
  <si>
    <t>sachin</t>
  </si>
  <si>
    <t>V47552</t>
  </si>
  <si>
    <t>V45738</t>
  </si>
  <si>
    <t>V52436</t>
  </si>
  <si>
    <t>SHARNJEET  KAUR</t>
  </si>
  <si>
    <t>V52186</t>
  </si>
  <si>
    <t>Dinesh  Kumar</t>
  </si>
  <si>
    <t>V52185</t>
  </si>
  <si>
    <t>V49800</t>
  </si>
  <si>
    <t>Satish Kumar Mishra</t>
  </si>
  <si>
    <t>V49488</t>
  </si>
  <si>
    <t>Deepak</t>
  </si>
  <si>
    <t>V49423</t>
  </si>
  <si>
    <t>Prinsh  Mishra</t>
  </si>
  <si>
    <t>V49358</t>
  </si>
  <si>
    <t>Priyanka</t>
  </si>
  <si>
    <t>V49357</t>
  </si>
  <si>
    <t>Ashmeet  Kaur</t>
  </si>
  <si>
    <t>V46414</t>
  </si>
  <si>
    <t>Shivanshu  Sharma</t>
  </si>
  <si>
    <t>V43293</t>
  </si>
  <si>
    <t>V42934</t>
  </si>
  <si>
    <t>V42624</t>
  </si>
  <si>
    <t>KULDEEP  SINGH</t>
  </si>
  <si>
    <t>V38383</t>
  </si>
  <si>
    <t>HARMANJEET  SINGH</t>
  </si>
  <si>
    <t>V38368</t>
  </si>
  <si>
    <t>SOHAN  LAL</t>
  </si>
  <si>
    <t>V38040</t>
  </si>
  <si>
    <t>SHIVAKANT  SHARMA</t>
  </si>
  <si>
    <t>V33605</t>
  </si>
  <si>
    <t>KARAMJEET  KAUR</t>
  </si>
  <si>
    <t>V53641</t>
  </si>
  <si>
    <t>Keshav  YADAV</t>
  </si>
  <si>
    <t>V52847</t>
  </si>
  <si>
    <t>Gurjeet  Kaur</t>
  </si>
  <si>
    <t>V52593</t>
  </si>
  <si>
    <t>Man  Mohan</t>
  </si>
  <si>
    <t>V51184</t>
  </si>
  <si>
    <t>V49925</t>
  </si>
  <si>
    <t>Krishna Devi</t>
  </si>
  <si>
    <t>V45851</t>
  </si>
  <si>
    <t>V45847</t>
  </si>
  <si>
    <t>VIKRAM</t>
  </si>
  <si>
    <t>V39888</t>
  </si>
  <si>
    <t>PRINCE</t>
  </si>
  <si>
    <t>V39834</t>
  </si>
  <si>
    <t>V39782</t>
  </si>
  <si>
    <t>V39779</t>
  </si>
  <si>
    <t>V39713</t>
  </si>
  <si>
    <t>PRATIBHA  SAHNI</t>
  </si>
  <si>
    <t>V39709</t>
  </si>
  <si>
    <t>NISHTHA</t>
  </si>
  <si>
    <t>V39708</t>
  </si>
  <si>
    <t>V39339</t>
  </si>
  <si>
    <t>V39333</t>
  </si>
  <si>
    <t>LAXMIKANT</t>
  </si>
  <si>
    <t>V33604</t>
  </si>
  <si>
    <t>SUSHIL  KUMAR</t>
  </si>
  <si>
    <t>V53758</t>
  </si>
  <si>
    <t>Chheena  Bai</t>
  </si>
  <si>
    <t>V52816</t>
  </si>
  <si>
    <t>Navjot</t>
  </si>
  <si>
    <t>V52584</t>
  </si>
  <si>
    <t>V52581</t>
  </si>
  <si>
    <t>Satyawan</t>
  </si>
  <si>
    <t>V49164</t>
  </si>
  <si>
    <t>V49162</t>
  </si>
  <si>
    <t>DHARAMBIR SINGH</t>
  </si>
  <si>
    <t>V42499</t>
  </si>
  <si>
    <t>KALURAM</t>
  </si>
  <si>
    <t>V42273</t>
  </si>
  <si>
    <t>V41962</t>
  </si>
  <si>
    <t>V41887</t>
  </si>
  <si>
    <t>DAVANSHU</t>
  </si>
  <si>
    <t>V41460</t>
  </si>
  <si>
    <t>V41395</t>
  </si>
  <si>
    <t>HAWA  SINGH</t>
  </si>
  <si>
    <t>V41393</t>
  </si>
  <si>
    <t>V41340</t>
  </si>
  <si>
    <t>V41337</t>
  </si>
  <si>
    <t>MAMATA  RANI</t>
  </si>
  <si>
    <t>V41334</t>
  </si>
  <si>
    <t>V41333</t>
  </si>
  <si>
    <t>V41332</t>
  </si>
  <si>
    <t>V41330</t>
  </si>
  <si>
    <t>Ram  Sarup</t>
  </si>
  <si>
    <t>V39886</t>
  </si>
  <si>
    <t>V39851</t>
  </si>
  <si>
    <t>SANJEEV</t>
  </si>
  <si>
    <t>V39606</t>
  </si>
  <si>
    <t>V54514</t>
  </si>
  <si>
    <t>Harsh</t>
  </si>
  <si>
    <t>V54185</t>
  </si>
  <si>
    <t>V49422</t>
  </si>
  <si>
    <t>V49169</t>
  </si>
  <si>
    <t>Umesh</t>
  </si>
  <si>
    <t>V48706</t>
  </si>
  <si>
    <t>Ashu</t>
  </si>
  <si>
    <t>V44942</t>
  </si>
  <si>
    <t>Naresh</t>
  </si>
  <si>
    <t>V43448</t>
  </si>
  <si>
    <t>V43331</t>
  </si>
  <si>
    <t>V42292</t>
  </si>
  <si>
    <t>V42235</t>
  </si>
  <si>
    <t>manjeet  KUMAR</t>
  </si>
  <si>
    <t>V41818</t>
  </si>
  <si>
    <t>SUMEGHA</t>
  </si>
  <si>
    <t>V40338</t>
  </si>
  <si>
    <t>V39257</t>
  </si>
  <si>
    <t>V39213</t>
  </si>
  <si>
    <t>V38933</t>
  </si>
  <si>
    <t>V38931</t>
  </si>
  <si>
    <t>102210882110</t>
  </si>
  <si>
    <t>AKASH MISHRA</t>
  </si>
  <si>
    <t>V36295</t>
  </si>
  <si>
    <t>Lakshmi</t>
  </si>
  <si>
    <t>V54245</t>
  </si>
  <si>
    <t>Manohar  Kumar</t>
  </si>
  <si>
    <t>V54244</t>
  </si>
  <si>
    <t>V54243</t>
  </si>
  <si>
    <t>HIMANSHU  YADAV</t>
  </si>
  <si>
    <t>V53221</t>
  </si>
  <si>
    <t>V52760</t>
  </si>
  <si>
    <t>Montu  Khatun</t>
  </si>
  <si>
    <t>V52358</t>
  </si>
  <si>
    <t>KUNAL SINGH TOMAR</t>
  </si>
  <si>
    <t>V48344</t>
  </si>
  <si>
    <t>SUMIT KUMAR SINGH</t>
  </si>
  <si>
    <t>V46884</t>
  </si>
  <si>
    <t>Rajeev  Kumar</t>
  </si>
  <si>
    <t>V46170</t>
  </si>
  <si>
    <t>VIPUL  GUPTA</t>
  </si>
  <si>
    <t>V41192</t>
  </si>
  <si>
    <t>YADVENDRA  SINGH</t>
  </si>
  <si>
    <t>V37322</t>
  </si>
  <si>
    <t>pooja</t>
  </si>
  <si>
    <t>V37032</t>
  </si>
  <si>
    <t>NEETU KUMARI</t>
  </si>
  <si>
    <t>V37031</t>
  </si>
  <si>
    <t>MS. LAXMI</t>
  </si>
  <si>
    <t>V34735</t>
  </si>
  <si>
    <t>MR. VISHAL KUMAR SHAH</t>
  </si>
  <si>
    <t>V34734</t>
  </si>
  <si>
    <t>KHUSHBOO  KUMARI</t>
  </si>
  <si>
    <t>V34009</t>
  </si>
  <si>
    <t>102186580567</t>
  </si>
  <si>
    <t>KRIPAL</t>
  </si>
  <si>
    <t>V33215</t>
  </si>
  <si>
    <t>ISLAMUDDIN</t>
  </si>
  <si>
    <t>V29422</t>
  </si>
  <si>
    <t>DHEERAJ</t>
  </si>
  <si>
    <t>V29420</t>
  </si>
  <si>
    <t>DHARMANATH  KUMAR</t>
  </si>
  <si>
    <t>V26499</t>
  </si>
  <si>
    <t>SUSHANT</t>
  </si>
  <si>
    <t>V21963</t>
  </si>
  <si>
    <t>PARVATI</t>
  </si>
  <si>
    <t>V20911</t>
  </si>
  <si>
    <t>KAPIL</t>
  </si>
  <si>
    <t>V00741</t>
  </si>
  <si>
    <t>Sachin  Kumar</t>
  </si>
  <si>
    <t>Chirag Pramod Bagkar</t>
  </si>
  <si>
    <t>V54673</t>
  </si>
  <si>
    <t>Soumyajit  Das</t>
  </si>
  <si>
    <t>V54672</t>
  </si>
  <si>
    <t>Swayam Nitish Kadam</t>
  </si>
  <si>
    <t>V54248</t>
  </si>
  <si>
    <t>Atharv Maruti Shirgoankar</t>
  </si>
  <si>
    <t>V54043</t>
  </si>
  <si>
    <t>Mukund Shripad Satelkar</t>
  </si>
  <si>
    <t>V54042</t>
  </si>
  <si>
    <t>Laxmi Yamanappa Madar</t>
  </si>
  <si>
    <t>V53883</t>
  </si>
  <si>
    <t>Pooja Sheshnath Rai</t>
  </si>
  <si>
    <t>V53430</t>
  </si>
  <si>
    <t>Riyaz Maliksab Nadaf</t>
  </si>
  <si>
    <t>V52281</t>
  </si>
  <si>
    <t>AKSHAY DAJI GAVKAR</t>
  </si>
  <si>
    <t>V52198</t>
  </si>
  <si>
    <t>ANOJ JAGADISH NAIK</t>
  </si>
  <si>
    <t>V52175</t>
  </si>
  <si>
    <t>Mami Philip Nayak</t>
  </si>
  <si>
    <t>V50960</t>
  </si>
  <si>
    <t>Arpit M Sahu</t>
  </si>
  <si>
    <t>V50581</t>
  </si>
  <si>
    <t>Deepa Sanjeeva Madara</t>
  </si>
  <si>
    <t>V50250</t>
  </si>
  <si>
    <t>Sagar Balappa Katapur</t>
  </si>
  <si>
    <t>V50245</t>
  </si>
  <si>
    <t>Prince  Mishra</t>
  </si>
  <si>
    <t>V49133</t>
  </si>
  <si>
    <t>Vruttik Anant Kadam</t>
  </si>
  <si>
    <t>V49132</t>
  </si>
  <si>
    <t>Manjula Ashok Mudgal</t>
  </si>
  <si>
    <t>V49116</t>
  </si>
  <si>
    <t>Rupali Bhairu Zore</t>
  </si>
  <si>
    <t>V47749</t>
  </si>
  <si>
    <t>Naziya Gayasuddin Shaikh</t>
  </si>
  <si>
    <t>V47161</t>
  </si>
  <si>
    <t>Sushma  Roy</t>
  </si>
  <si>
    <t>V46906</t>
  </si>
  <si>
    <t>sachin  mishra</t>
  </si>
  <si>
    <t>V46121</t>
  </si>
  <si>
    <t>Saraswati Mallappa Chalwadi</t>
  </si>
  <si>
    <t>V46012</t>
  </si>
  <si>
    <t>Jayashri Sambhunath Bangar</t>
  </si>
  <si>
    <t>V45944</t>
  </si>
  <si>
    <t>Annapurna Mallappa Chalwadi</t>
  </si>
  <si>
    <t>V45786</t>
  </si>
  <si>
    <t>Suhela  Shaikh</t>
  </si>
  <si>
    <t>V45550</t>
  </si>
  <si>
    <t>SHABIR ALLABKSH CHAPPRBAND</t>
  </si>
  <si>
    <t>V26136</t>
  </si>
  <si>
    <t>MADHAVI BHARAT HALDANKAR</t>
  </si>
  <si>
    <t>V53284</t>
  </si>
  <si>
    <t>Bhushan Dattaraam Mondkar</t>
  </si>
  <si>
    <t>V52143</t>
  </si>
  <si>
    <t>SHELDON PETER FERNANDES</t>
  </si>
  <si>
    <t>V51855</t>
  </si>
  <si>
    <t>Sulekha  Devi</t>
  </si>
  <si>
    <t>YUVRAJ VINAYAK NAIK</t>
  </si>
  <si>
    <t>V41362</t>
  </si>
  <si>
    <t>MUSKAN KHATUN ANSARI</t>
  </si>
  <si>
    <t>V35948</t>
  </si>
  <si>
    <t>RAVI KUMAR RAM</t>
  </si>
  <si>
    <t>V35234</t>
  </si>
  <si>
    <t>V30296</t>
  </si>
  <si>
    <t>OM PRAKASH NISHAD</t>
  </si>
  <si>
    <t>V29205</t>
  </si>
  <si>
    <t>CHAITALI VASUDEV PEDNEKAR</t>
  </si>
  <si>
    <t>V28083</t>
  </si>
  <si>
    <t>SHAIBAAN ILYAS ATTAR</t>
  </si>
  <si>
    <t>V28082</t>
  </si>
  <si>
    <t>GOVINDA RAM</t>
  </si>
  <si>
    <t>V25245</t>
  </si>
  <si>
    <t>SAMPURNA SUNIL HOBLE</t>
  </si>
  <si>
    <t>V15214</t>
  </si>
  <si>
    <t>AVITA ANKUSH BALE</t>
  </si>
  <si>
    <t>V13046</t>
  </si>
  <si>
    <t>Banjit  Goswami</t>
  </si>
  <si>
    <t>V48584</t>
  </si>
  <si>
    <t>Sabakousar  Channamiyanavar</t>
  </si>
  <si>
    <t>V48238</t>
  </si>
  <si>
    <t>Debasish  Das</t>
  </si>
  <si>
    <t>V45804</t>
  </si>
  <si>
    <t>SAHIRABANU PAIJMAHMED PATHAN</t>
  </si>
  <si>
    <t>V42859</t>
  </si>
  <si>
    <t>DELISHA  LADPAIKAR</t>
  </si>
  <si>
    <t>V42858</t>
  </si>
  <si>
    <t>APURVA OM NAIK</t>
  </si>
  <si>
    <t>V41957</t>
  </si>
  <si>
    <t>DEBRAJ UJJWAL SAHA</t>
  </si>
  <si>
    <t>V34330</t>
  </si>
  <si>
    <t>SMITA SANTOSH FALKAR</t>
  </si>
  <si>
    <t>V32483</t>
  </si>
  <si>
    <t>RIYAZ AHMED SHAIKH</t>
  </si>
  <si>
    <t>V31002</t>
  </si>
  <si>
    <t>SAHIRABANU MAHAMMADRAPIK NARAGAVI</t>
  </si>
  <si>
    <t>V30113</t>
  </si>
  <si>
    <t>DEBRAJ  DUTTA</t>
  </si>
  <si>
    <t>V29190</t>
  </si>
  <si>
    <t>SUMENDRA KUMAR YADAV</t>
  </si>
  <si>
    <t>V25405</t>
  </si>
  <si>
    <t>SHRIKANT GAWADE</t>
  </si>
  <si>
    <t>V23814</t>
  </si>
  <si>
    <t>SNEHA SANTOSH FALKAR</t>
  </si>
  <si>
    <t>V23532</t>
  </si>
  <si>
    <t>NIKITA LAHU MALVANKAR</t>
  </si>
  <si>
    <t>V22533</t>
  </si>
  <si>
    <t>SIMA  DAS</t>
  </si>
  <si>
    <t>V22207</t>
  </si>
  <si>
    <t>GAURI VISHWANATH NAIK</t>
  </si>
  <si>
    <t>V21899</t>
  </si>
  <si>
    <t>KONDRU RABCA KONDAIAH</t>
  </si>
  <si>
    <t>V21772</t>
  </si>
  <si>
    <t>V53840</t>
  </si>
  <si>
    <t>Harsh  PASWAN</t>
  </si>
  <si>
    <t>V53509</t>
  </si>
  <si>
    <t>ANIS  ANSARI</t>
  </si>
  <si>
    <t>V53499</t>
  </si>
  <si>
    <t>V52795</t>
  </si>
  <si>
    <t>Mohit  Yadav</t>
  </si>
  <si>
    <t>Avneesh  Yadav</t>
  </si>
  <si>
    <t>V49735</t>
  </si>
  <si>
    <t>Pankaj  Bhateja</t>
  </si>
  <si>
    <t>V49730</t>
  </si>
  <si>
    <t>V49727</t>
  </si>
  <si>
    <t>Akshat  Chauhan</t>
  </si>
  <si>
    <t>V49638</t>
  </si>
  <si>
    <t>V49463</t>
  </si>
  <si>
    <t>Hanish  Yadav</t>
  </si>
  <si>
    <t>V49461</t>
  </si>
  <si>
    <t>V49457</t>
  </si>
  <si>
    <t>Mayank  Katara</t>
  </si>
  <si>
    <t>V49456</t>
  </si>
  <si>
    <t>V49392</t>
  </si>
  <si>
    <t>Sachin Kumar Singh</t>
  </si>
  <si>
    <t>V49374</t>
  </si>
  <si>
    <t>Diksha  Kumari</t>
  </si>
  <si>
    <t>V49236</t>
  </si>
  <si>
    <t>Janki</t>
  </si>
  <si>
    <t>V49234</t>
  </si>
  <si>
    <t>Rahul Kumar Jha</t>
  </si>
  <si>
    <t>V49232</t>
  </si>
  <si>
    <t>Anshu  Sinha</t>
  </si>
  <si>
    <t>V49231</t>
  </si>
  <si>
    <t>Naveen Kumar Jha</t>
  </si>
  <si>
    <t>V49228</t>
  </si>
  <si>
    <t>V49105</t>
  </si>
  <si>
    <t>Amreet</t>
  </si>
  <si>
    <t>V49045</t>
  </si>
  <si>
    <t>Gourav  Chauhan</t>
  </si>
  <si>
    <t>V49033</t>
  </si>
  <si>
    <t>Vinod KUMAR Kumar</t>
  </si>
  <si>
    <t>V49031</t>
  </si>
  <si>
    <t>Rohit</t>
  </si>
  <si>
    <t>V49030</t>
  </si>
  <si>
    <t>Sandip  Kashyap</t>
  </si>
  <si>
    <t>V48970</t>
  </si>
  <si>
    <t>Sanju  Devi</t>
  </si>
  <si>
    <t>V48969</t>
  </si>
  <si>
    <t>V48728</t>
  </si>
  <si>
    <t>Pushpendra  Singh</t>
  </si>
  <si>
    <t>V48700</t>
  </si>
  <si>
    <t>Vikal  Kumar</t>
  </si>
  <si>
    <t>V48697</t>
  </si>
  <si>
    <t>Jagdish</t>
  </si>
  <si>
    <t>V47976</t>
  </si>
  <si>
    <t>V43846</t>
  </si>
  <si>
    <t>V37277</t>
  </si>
  <si>
    <t>102169353792</t>
  </si>
  <si>
    <t>V30290</t>
  </si>
  <si>
    <t>BHARAT  KUMAR</t>
  </si>
  <si>
    <t>V21599</t>
  </si>
  <si>
    <t>BHAGWAT  SINGH</t>
  </si>
  <si>
    <t>V15145</t>
  </si>
  <si>
    <t>V15140</t>
  </si>
  <si>
    <t>Gaurav Singh</t>
  </si>
  <si>
    <t>V54591</t>
  </si>
  <si>
    <t>V54441</t>
  </si>
  <si>
    <t>SURAJ</t>
  </si>
  <si>
    <t>V51490</t>
  </si>
  <si>
    <t>V48552</t>
  </si>
  <si>
    <t>RUPESH  KUMAR</t>
  </si>
  <si>
    <t>V42636</t>
  </si>
  <si>
    <t>KAPIL  SINGH</t>
  </si>
  <si>
    <t>V42536</t>
  </si>
  <si>
    <t>YOGESH KUMAR BAIRWA</t>
  </si>
  <si>
    <t>V41828</t>
  </si>
  <si>
    <t>anuj  kumar</t>
  </si>
  <si>
    <t>V39866</t>
  </si>
  <si>
    <t>SURENDAR SURENDAR SINGH</t>
  </si>
  <si>
    <t>V38614</t>
  </si>
  <si>
    <t>PRADEEP  SHAH</t>
  </si>
  <si>
    <t>V37569</t>
  </si>
  <si>
    <t>DHARMENDER  KUMAR</t>
  </si>
  <si>
    <t>V37561</t>
  </si>
  <si>
    <t>RANJEET  SHARMA</t>
  </si>
  <si>
    <t>V37551</t>
  </si>
  <si>
    <t>V37550</t>
  </si>
  <si>
    <t>RITIK  DUBEY</t>
  </si>
  <si>
    <t>V37547</t>
  </si>
  <si>
    <t>SARVESH  KUMAR</t>
  </si>
  <si>
    <t>V37546</t>
  </si>
  <si>
    <t>SMRITI</t>
  </si>
  <si>
    <t>V37544</t>
  </si>
  <si>
    <t>AARTI  SAHU</t>
  </si>
  <si>
    <t>V37540</t>
  </si>
  <si>
    <t>SHAGUN</t>
  </si>
  <si>
    <t>V37539</t>
  </si>
  <si>
    <t>MOHIT KUMAR</t>
  </si>
  <si>
    <t>V36803</t>
  </si>
  <si>
    <t>AAKASH  PAL</t>
  </si>
  <si>
    <t>V29699</t>
  </si>
  <si>
    <t>BHARAT</t>
  </si>
  <si>
    <t>V21856</t>
  </si>
  <si>
    <t>101876976215</t>
  </si>
  <si>
    <t>V21144</t>
  </si>
  <si>
    <t>RANJIT  KUMAR</t>
  </si>
  <si>
    <t>V05615</t>
  </si>
  <si>
    <t>V52341</t>
  </si>
  <si>
    <t>V52008</t>
  </si>
  <si>
    <t>AMAN  SHAH</t>
  </si>
  <si>
    <t>V51293</t>
  </si>
  <si>
    <t>Virendra</t>
  </si>
  <si>
    <t>V47828</t>
  </si>
  <si>
    <t>VIJENDER  VARMA</t>
  </si>
  <si>
    <t>V39011</t>
  </si>
  <si>
    <t>102210883214</t>
  </si>
  <si>
    <t>BHUPENDER PAL</t>
  </si>
  <si>
    <t>V36449</t>
  </si>
  <si>
    <t>V35970</t>
  </si>
  <si>
    <t>RAVI SHARMA</t>
  </si>
  <si>
    <t>V35860</t>
  </si>
  <si>
    <t>ANKITA GUPTA</t>
  </si>
  <si>
    <t>V35683</t>
  </si>
  <si>
    <t>CHIRAG</t>
  </si>
  <si>
    <t>V35659</t>
  </si>
  <si>
    <t>PRASHANT SHARMA</t>
  </si>
  <si>
    <t>V35656</t>
  </si>
  <si>
    <t>SAJAN BHARDWAJ</t>
  </si>
  <si>
    <t>V35650</t>
  </si>
  <si>
    <t>ABHAY</t>
  </si>
  <si>
    <t>V35621</t>
  </si>
  <si>
    <t>V35619</t>
  </si>
  <si>
    <t>DEV KUMAR</t>
  </si>
  <si>
    <t>V35618</t>
  </si>
  <si>
    <t>MR. SUMIT</t>
  </si>
  <si>
    <t>V34968</t>
  </si>
  <si>
    <t>102186581079</t>
  </si>
  <si>
    <t>V33489</t>
  </si>
  <si>
    <t>102186581108</t>
  </si>
  <si>
    <t>ANURAG</t>
  </si>
  <si>
    <t>V32999</t>
  </si>
  <si>
    <t>102149241780</t>
  </si>
  <si>
    <t>V29368</t>
  </si>
  <si>
    <t>102136839176</t>
  </si>
  <si>
    <t>RUBY</t>
  </si>
  <si>
    <t>V29245</t>
  </si>
  <si>
    <t>102136663345</t>
  </si>
  <si>
    <t>DEEPAK SINGH ADHIKARI</t>
  </si>
  <si>
    <t>V29175</t>
  </si>
  <si>
    <t>102012372337</t>
  </si>
  <si>
    <t>V23656</t>
  </si>
  <si>
    <t>MUNNA LAL SINGH</t>
  </si>
  <si>
    <t>V21085</t>
  </si>
  <si>
    <t>Soniya</t>
  </si>
  <si>
    <t>V54029</t>
  </si>
  <si>
    <t>Poonam  Devi</t>
  </si>
  <si>
    <t>V52791</t>
  </si>
  <si>
    <t>V52288</t>
  </si>
  <si>
    <t>Magdan Kumar Jha</t>
  </si>
  <si>
    <t>V49034</t>
  </si>
  <si>
    <t>Sachin</t>
  </si>
  <si>
    <t>V48799</t>
  </si>
  <si>
    <t>Ajay  Tiwari</t>
  </si>
  <si>
    <t>V48794</t>
  </si>
  <si>
    <t>V44002</t>
  </si>
  <si>
    <t>RAJA  SINGH</t>
  </si>
  <si>
    <t>V34161</t>
  </si>
  <si>
    <t>MD JAMIL ANSARI</t>
  </si>
  <si>
    <t>V33224</t>
  </si>
  <si>
    <t>AAKASH</t>
  </si>
  <si>
    <t>V33095</t>
  </si>
  <si>
    <t>VIVEK KUMAR SINGH</t>
  </si>
  <si>
    <t>V29875</t>
  </si>
  <si>
    <t>102159164797</t>
  </si>
  <si>
    <t>PRASAR  PARMAR</t>
  </si>
  <si>
    <t>V29709</t>
  </si>
  <si>
    <t>102147707128</t>
  </si>
  <si>
    <t>VISHAL  VERMA</t>
  </si>
  <si>
    <t>V29392</t>
  </si>
  <si>
    <t>V29169</t>
  </si>
  <si>
    <t>102136663321</t>
  </si>
  <si>
    <t>V29146</t>
  </si>
  <si>
    <t>CHARANJEET</t>
  </si>
  <si>
    <t>V29088</t>
  </si>
  <si>
    <t>102067807591</t>
  </si>
  <si>
    <t>ALKA</t>
  </si>
  <si>
    <t>V29085</t>
  </si>
  <si>
    <t>102020956865</t>
  </si>
  <si>
    <t>V21081</t>
  </si>
  <si>
    <t>MINAKSHI  BHASKER</t>
  </si>
  <si>
    <t>V51616</t>
  </si>
  <si>
    <t>V50764</t>
  </si>
  <si>
    <t>Jagdev  Kumar</t>
  </si>
  <si>
    <t>V50529</t>
  </si>
  <si>
    <t>Rekha  Verma</t>
  </si>
  <si>
    <t>V49215</t>
  </si>
  <si>
    <t>Vipul Kumar Mishra</t>
  </si>
  <si>
    <t>V49214</t>
  </si>
  <si>
    <t>RAJEEV  ROY</t>
  </si>
  <si>
    <t>V47106</t>
  </si>
  <si>
    <t>RIPON  DAS</t>
  </si>
  <si>
    <t>V34194</t>
  </si>
  <si>
    <t>102186583054</t>
  </si>
  <si>
    <t>NEETU  SHARMA</t>
  </si>
  <si>
    <t>V32988</t>
  </si>
  <si>
    <t>RITU  RAJ</t>
  </si>
  <si>
    <t>V29962</t>
  </si>
  <si>
    <t>BIJENDER  KUMAR</t>
  </si>
  <si>
    <t>V29961</t>
  </si>
  <si>
    <t>102159054632</t>
  </si>
  <si>
    <t>V29691</t>
  </si>
  <si>
    <t>SHUBHAM  TRIPATHI</t>
  </si>
  <si>
    <t>V29687</t>
  </si>
  <si>
    <t>V29684</t>
  </si>
  <si>
    <t>V29681</t>
  </si>
  <si>
    <t>102147707233</t>
  </si>
  <si>
    <t>SUDHIR</t>
  </si>
  <si>
    <t>V29674</t>
  </si>
  <si>
    <t>V29660</t>
  </si>
  <si>
    <t>102057889346</t>
  </si>
  <si>
    <t>V24957</t>
  </si>
  <si>
    <t>VIKRANTA  PASWAN</t>
  </si>
  <si>
    <t>V08340</t>
  </si>
  <si>
    <t>V04338</t>
  </si>
  <si>
    <t>V49947</t>
  </si>
  <si>
    <t>Pragyan Prayas Swain</t>
  </si>
  <si>
    <t>V49477</t>
  </si>
  <si>
    <t>Prem  Kala</t>
  </si>
  <si>
    <t>V49180</t>
  </si>
  <si>
    <t>Pooja  Singh</t>
  </si>
  <si>
    <t>V49179</t>
  </si>
  <si>
    <t>V49178</t>
  </si>
  <si>
    <t>RAJAN</t>
  </si>
  <si>
    <t>V42665</t>
  </si>
  <si>
    <t>MD  Imran</t>
  </si>
  <si>
    <t>V42619</t>
  </si>
  <si>
    <t>TULCHHI  RAM</t>
  </si>
  <si>
    <t>V39385</t>
  </si>
  <si>
    <t>RAVI KUMAR THAKUR</t>
  </si>
  <si>
    <t>V34023</t>
  </si>
  <si>
    <t>102186582100</t>
  </si>
  <si>
    <t>SONU  KUSHWAHA</t>
  </si>
  <si>
    <t>V33951</t>
  </si>
  <si>
    <t>102186582163</t>
  </si>
  <si>
    <t>V33950</t>
  </si>
  <si>
    <t>101749703518</t>
  </si>
  <si>
    <t>ROHIT  TANWAR</t>
  </si>
  <si>
    <t>V33496</t>
  </si>
  <si>
    <t>102186582116</t>
  </si>
  <si>
    <t>SUKHENDRADHAR  DWIVEDI</t>
  </si>
  <si>
    <t>V33495</t>
  </si>
  <si>
    <t>102159054621</t>
  </si>
  <si>
    <t>V29708</t>
  </si>
  <si>
    <t>102159070870</t>
  </si>
  <si>
    <t>SANDHYA  KUMARI</t>
  </si>
  <si>
    <t>V29702</t>
  </si>
  <si>
    <t>102159054609</t>
  </si>
  <si>
    <t>V29697</t>
  </si>
  <si>
    <t>102159053981</t>
  </si>
  <si>
    <t>V29696</t>
  </si>
  <si>
    <t>102138476891</t>
  </si>
  <si>
    <t>V29171</t>
  </si>
  <si>
    <t>RAJESH KUMAR JAISWAL</t>
  </si>
  <si>
    <t>V21787</t>
  </si>
  <si>
    <t>PRITAM</t>
  </si>
  <si>
    <t>V15134</t>
  </si>
  <si>
    <t>SANOJ  KUMAR</t>
  </si>
  <si>
    <t>V01555</t>
  </si>
  <si>
    <t>RAVIKANT  RAWAT</t>
  </si>
  <si>
    <t>V01385</t>
  </si>
  <si>
    <t>BITTU</t>
  </si>
  <si>
    <t>V51900</t>
  </si>
  <si>
    <t>BABLU LAL  YADAV</t>
  </si>
  <si>
    <t>V51398</t>
  </si>
  <si>
    <t>SANJEEV  KUMAR</t>
  </si>
  <si>
    <t>V50787</t>
  </si>
  <si>
    <t>DEEPIKA</t>
  </si>
  <si>
    <t>V50766</t>
  </si>
  <si>
    <t>Md Shah Navaj Ansari</t>
  </si>
  <si>
    <t>V50539</t>
  </si>
  <si>
    <t>Davender  Singh</t>
  </si>
  <si>
    <t>V50383</t>
  </si>
  <si>
    <t>Sonu  Yadav</t>
  </si>
  <si>
    <t>V45011</t>
  </si>
  <si>
    <t>Shri  Bhagwan</t>
  </si>
  <si>
    <t>V44859</t>
  </si>
  <si>
    <t>V44351</t>
  </si>
  <si>
    <t>yogesh</t>
  </si>
  <si>
    <t>V42045</t>
  </si>
  <si>
    <t>V41827</t>
  </si>
  <si>
    <t>KANCHAN  NEGI</t>
  </si>
  <si>
    <t>V41628</t>
  </si>
  <si>
    <t>SHIVA  VERMA</t>
  </si>
  <si>
    <t>V41569</t>
  </si>
  <si>
    <t>V41382</t>
  </si>
  <si>
    <t>V41380</t>
  </si>
  <si>
    <t>RAVI  SAINI</t>
  </si>
  <si>
    <t>V41379</t>
  </si>
  <si>
    <t>Guddi  Kapar</t>
  </si>
  <si>
    <t>V41292</t>
  </si>
  <si>
    <t>BOBY</t>
  </si>
  <si>
    <t>V41288</t>
  </si>
  <si>
    <t>V41283</t>
  </si>
  <si>
    <t>V41281</t>
  </si>
  <si>
    <t>HARENDRA  YADAV</t>
  </si>
  <si>
    <t>V41273</t>
  </si>
  <si>
    <t>UJJVAL  KUMAR</t>
  </si>
  <si>
    <t>V38751</t>
  </si>
  <si>
    <t>V36281</t>
  </si>
  <si>
    <t>V29769</t>
  </si>
  <si>
    <t>RAVINDRA</t>
  </si>
  <si>
    <t>V29373</t>
  </si>
  <si>
    <t>102020956877</t>
  </si>
  <si>
    <t>V21082</t>
  </si>
  <si>
    <t>SONAL KUMAR RAI</t>
  </si>
  <si>
    <t>V09209</t>
  </si>
  <si>
    <t>Pavan</t>
  </si>
  <si>
    <t>V52629</t>
  </si>
  <si>
    <t>FULMANI  SUREN</t>
  </si>
  <si>
    <t>V51833</t>
  </si>
  <si>
    <t>SHIVAM  CH</t>
  </si>
  <si>
    <t>V51138</t>
  </si>
  <si>
    <t>V51128</t>
  </si>
  <si>
    <t>Rammahesh  Rewda</t>
  </si>
  <si>
    <t>V51127</t>
  </si>
  <si>
    <t>Pavan  Kumar</t>
  </si>
  <si>
    <t>V49643</t>
  </si>
  <si>
    <t>CHITRANSH  KUMAR</t>
  </si>
  <si>
    <t>V42647</t>
  </si>
  <si>
    <t>RAJEEV  GUPTA</t>
  </si>
  <si>
    <t>V42646</t>
  </si>
  <si>
    <t>MITHILESH KUMAR</t>
  </si>
  <si>
    <t>V35885</t>
  </si>
  <si>
    <t>AMAN KUMAR</t>
  </si>
  <si>
    <t>V35453</t>
  </si>
  <si>
    <t>PREETAM  SINGH</t>
  </si>
  <si>
    <t>V33411</t>
  </si>
  <si>
    <t>AJIT</t>
  </si>
  <si>
    <t>V33410</t>
  </si>
  <si>
    <t>GOVARDHAN</t>
  </si>
  <si>
    <t>V33409</t>
  </si>
  <si>
    <t>102186582144</t>
  </si>
  <si>
    <t>V33199</t>
  </si>
  <si>
    <t>LAV KUMAR PASWAN</t>
  </si>
  <si>
    <t>V33190</t>
  </si>
  <si>
    <t>102186582137</t>
  </si>
  <si>
    <t>V32903</t>
  </si>
  <si>
    <t>MANISH  CHANDRA</t>
  </si>
  <si>
    <t>V32885</t>
  </si>
  <si>
    <t>102186582128</t>
  </si>
  <si>
    <t>SUMANTI  KUMARI</t>
  </si>
  <si>
    <t>V32862</t>
  </si>
  <si>
    <t>DIVYAMAN  SHARMA</t>
  </si>
  <si>
    <t>V32784</t>
  </si>
  <si>
    <t>V31397</t>
  </si>
  <si>
    <t>CHANDRA  BHAN</t>
  </si>
  <si>
    <t>V29204</t>
  </si>
  <si>
    <t>SALIL  BARUA</t>
  </si>
  <si>
    <t>V28349</t>
  </si>
  <si>
    <t>V22570</t>
  </si>
  <si>
    <t>DEVENDRA KUMAR SHARMA</t>
  </si>
  <si>
    <t>V22569</t>
  </si>
  <si>
    <t>V22105</t>
  </si>
  <si>
    <t>102020955527</t>
  </si>
  <si>
    <t>V22032</t>
  </si>
  <si>
    <t>102020955515</t>
  </si>
  <si>
    <t>CHANDRA  PRATAP</t>
  </si>
  <si>
    <t>V21995</t>
  </si>
  <si>
    <t>102020955493</t>
  </si>
  <si>
    <t>RISHI  KUMAR</t>
  </si>
  <si>
    <t>V21991</t>
  </si>
  <si>
    <t>V21985</t>
  </si>
  <si>
    <t>ANIL KUMAR KUSHAWAHA</t>
  </si>
  <si>
    <t>V21797</t>
  </si>
  <si>
    <t>RANJAN NANDA GOSWAMI</t>
  </si>
  <si>
    <t>V21140</t>
  </si>
  <si>
    <t>ANEETA  BAURA</t>
  </si>
  <si>
    <t>V12483</t>
  </si>
  <si>
    <t>VIVEK KUMAR KANTH</t>
  </si>
  <si>
    <t>V01657</t>
  </si>
  <si>
    <t>OM PRAKASH</t>
  </si>
  <si>
    <t>V52306</t>
  </si>
  <si>
    <t>Naveen</t>
  </si>
  <si>
    <t>V51636</t>
  </si>
  <si>
    <t>V42828</t>
  </si>
  <si>
    <t>Shailendra</t>
  </si>
  <si>
    <t>V42818</t>
  </si>
  <si>
    <t>Shashi  Kant</t>
  </si>
  <si>
    <t>V42817</t>
  </si>
  <si>
    <t>V37548</t>
  </si>
  <si>
    <t>RAM  NIWASH</t>
  </si>
  <si>
    <t>V37505</t>
  </si>
  <si>
    <t>V33679</t>
  </si>
  <si>
    <t>V33483</t>
  </si>
  <si>
    <t>RAKESH  SHAW</t>
  </si>
  <si>
    <t>V31827</t>
  </si>
  <si>
    <t>V31826</t>
  </si>
  <si>
    <t>PIRAYANSHU  PRATAP</t>
  </si>
  <si>
    <t>V26818</t>
  </si>
  <si>
    <t>102067807602</t>
  </si>
  <si>
    <t>V25383</t>
  </si>
  <si>
    <t>102057890182</t>
  </si>
  <si>
    <t>KRISHAN  KUMAR</t>
  </si>
  <si>
    <t>V24985</t>
  </si>
  <si>
    <t>RAKESH  RATHOR</t>
  </si>
  <si>
    <t>V22588</t>
  </si>
  <si>
    <t>V22100</t>
  </si>
  <si>
    <t>102020955866</t>
  </si>
  <si>
    <t>BHAVNA  VIJ</t>
  </si>
  <si>
    <t>V21660</t>
  </si>
  <si>
    <t>102020955845</t>
  </si>
  <si>
    <t>SATYAM  PRAJAPATI</t>
  </si>
  <si>
    <t>V21614</t>
  </si>
  <si>
    <t>102020955813</t>
  </si>
  <si>
    <t>KUNAL KUMAR VAISH</t>
  </si>
  <si>
    <t>V21600</t>
  </si>
  <si>
    <t>V08868</t>
  </si>
  <si>
    <t>Nikhil Kumar Mishra</t>
  </si>
  <si>
    <t>V54310</t>
  </si>
  <si>
    <t>V50911</t>
  </si>
  <si>
    <t>V42650</t>
  </si>
  <si>
    <t>MANSHI SINGH BHADAURIYA</t>
  </si>
  <si>
    <t>V42638</t>
  </si>
  <si>
    <t>AMIT  NEGI</t>
  </si>
  <si>
    <t>V42475</t>
  </si>
  <si>
    <t>SONU  VIDHURI</t>
  </si>
  <si>
    <t>V38616</t>
  </si>
  <si>
    <t>RENU  KUMARI</t>
  </si>
  <si>
    <t>V37870</t>
  </si>
  <si>
    <t>V37401</t>
  </si>
  <si>
    <t>ROHIT KUMAR CHAURASIYA</t>
  </si>
  <si>
    <t>V36486</t>
  </si>
  <si>
    <t>VASIM AKRAM KHAN</t>
  </si>
  <si>
    <t>V35920</t>
  </si>
  <si>
    <t>V33426</t>
  </si>
  <si>
    <t>102186581051</t>
  </si>
  <si>
    <t>ROHIT  CHOUDHARY</t>
  </si>
  <si>
    <t>V32876</t>
  </si>
  <si>
    <t>102187264925</t>
  </si>
  <si>
    <t>V32577</t>
  </si>
  <si>
    <t>102186580761</t>
  </si>
  <si>
    <t>PINKI  RAWAT</t>
  </si>
  <si>
    <t>V32575</t>
  </si>
  <si>
    <t>V32572</t>
  </si>
  <si>
    <t>SARDAR MEJAR SINGH</t>
  </si>
  <si>
    <t>V26625</t>
  </si>
  <si>
    <t>102091911450</t>
  </si>
  <si>
    <t>DINESH</t>
  </si>
  <si>
    <t>V25989</t>
  </si>
  <si>
    <t>V24343</t>
  </si>
  <si>
    <t>102020957023</t>
  </si>
  <si>
    <t>V21282</t>
  </si>
  <si>
    <t>101746675589</t>
  </si>
  <si>
    <t>V21214</t>
  </si>
  <si>
    <t>AVNISH  KUMAR</t>
  </si>
  <si>
    <t>V21210</t>
  </si>
  <si>
    <t>V21145</t>
  </si>
  <si>
    <t>102020956906</t>
  </si>
  <si>
    <t>HARSH  VARDHAN</t>
  </si>
  <si>
    <t>V21123</t>
  </si>
  <si>
    <t>102020956896</t>
  </si>
  <si>
    <t>KAILASH KUMAR SHAKYA</t>
  </si>
  <si>
    <t>V21086</t>
  </si>
  <si>
    <t>Vinay  Ram</t>
  </si>
  <si>
    <t>V54453</t>
  </si>
  <si>
    <t>V54039</t>
  </si>
  <si>
    <t>Anil  Chaudhary</t>
  </si>
  <si>
    <t>V51143</t>
  </si>
  <si>
    <t>Ashok Kumar Sharma</t>
  </si>
  <si>
    <t>V51142</t>
  </si>
  <si>
    <t>Munna Kumar Singh</t>
  </si>
  <si>
    <t>V51112</t>
  </si>
  <si>
    <t>Mangtu</t>
  </si>
  <si>
    <t>V51111</t>
  </si>
  <si>
    <t>Suraj Kumar Jha</t>
  </si>
  <si>
    <t>V50329</t>
  </si>
  <si>
    <t>102066546821</t>
  </si>
  <si>
    <t>Himanshu  Yadav</t>
  </si>
  <si>
    <t>V50325</t>
  </si>
  <si>
    <t>Rahul Kumar Choubey</t>
  </si>
  <si>
    <t>V50154</t>
  </si>
  <si>
    <t>Premjeet</t>
  </si>
  <si>
    <t>V50092</t>
  </si>
  <si>
    <t>Prateek  Raushan</t>
  </si>
  <si>
    <t>V49451</t>
  </si>
  <si>
    <t>Chandan  Singh</t>
  </si>
  <si>
    <t>V49173</t>
  </si>
  <si>
    <t>Anita  Tripathi</t>
  </si>
  <si>
    <t>V48251</t>
  </si>
  <si>
    <t>VIMLA</t>
  </si>
  <si>
    <t>V48249</t>
  </si>
  <si>
    <t>Kamal  Kishor</t>
  </si>
  <si>
    <t>V46963</t>
  </si>
  <si>
    <t>Uma</t>
  </si>
  <si>
    <t>V42930</t>
  </si>
  <si>
    <t>MADHURI KUMARI</t>
  </si>
  <si>
    <t>V42595</t>
  </si>
  <si>
    <t>V42461</t>
  </si>
  <si>
    <t>SAMAR JEET</t>
  </si>
  <si>
    <t>V39219</t>
  </si>
  <si>
    <t>RAHUL KUMAR TIWARI</t>
  </si>
  <si>
    <t>V37173</t>
  </si>
  <si>
    <t>102210159264</t>
  </si>
  <si>
    <t>MITHLESH KUMAR</t>
  </si>
  <si>
    <t>V36606</t>
  </si>
  <si>
    <t>102210159199</t>
  </si>
  <si>
    <t>NUNOO KUMAR</t>
  </si>
  <si>
    <t>V36603</t>
  </si>
  <si>
    <t>VISHEK</t>
  </si>
  <si>
    <t>V33067</t>
  </si>
  <si>
    <t>V32622</t>
  </si>
  <si>
    <t>V32518</t>
  </si>
  <si>
    <t>GOURAV  SINGH</t>
  </si>
  <si>
    <t>V32435</t>
  </si>
  <si>
    <t>RAKESH KUMAR YADAV</t>
  </si>
  <si>
    <t>V29043</t>
  </si>
  <si>
    <t>DEEPAK  SAINI</t>
  </si>
  <si>
    <t>V25086</t>
  </si>
  <si>
    <t>DHARM  SINGH</t>
  </si>
  <si>
    <t>V24714</t>
  </si>
  <si>
    <t>102048733083</t>
  </si>
  <si>
    <t>V24262</t>
  </si>
  <si>
    <t>VIJYAPAL</t>
  </si>
  <si>
    <t>V23968</t>
  </si>
  <si>
    <t>SANKRIT  KUMAR</t>
  </si>
  <si>
    <t>V22022</t>
  </si>
  <si>
    <t>101701127682</t>
  </si>
  <si>
    <t>RAJU</t>
  </si>
  <si>
    <t>V21984</t>
  </si>
  <si>
    <t>V21513</t>
  </si>
  <si>
    <t>JAYANTA  DEKA</t>
  </si>
  <si>
    <t>V20566</t>
  </si>
  <si>
    <t>GUDDU  KUMAR</t>
  </si>
  <si>
    <t>V19788</t>
  </si>
  <si>
    <t>102020955251</t>
  </si>
  <si>
    <t>V19352</t>
  </si>
  <si>
    <t>YOGESH  YADAV</t>
  </si>
  <si>
    <t>V18255</t>
  </si>
  <si>
    <t>OM  PRAKASH</t>
  </si>
  <si>
    <t>V10268</t>
  </si>
  <si>
    <t>RAJENDRA  PRASAD</t>
  </si>
  <si>
    <t>V07145</t>
  </si>
  <si>
    <t>V04362</t>
  </si>
  <si>
    <t>MUKESH  PARASHAR</t>
  </si>
  <si>
    <t>V04029</t>
  </si>
  <si>
    <t>MOHAN SINGH NEGI</t>
  </si>
  <si>
    <t>V01647</t>
  </si>
  <si>
    <t>V00777</t>
  </si>
  <si>
    <t>RAHUL  GUPTA</t>
  </si>
  <si>
    <t>V00529</t>
  </si>
  <si>
    <t>AJAY  PATEL</t>
  </si>
  <si>
    <t>V25836</t>
  </si>
  <si>
    <t>ROSHAN  KUMAR</t>
  </si>
  <si>
    <t>V31514</t>
  </si>
  <si>
    <t>Sangeeta  Yadav</t>
  </si>
  <si>
    <t>V54554</t>
  </si>
  <si>
    <t>Bhagvat Das Kurre</t>
  </si>
  <si>
    <t>V54530</t>
  </si>
  <si>
    <t>Hulsi  Dewangan</t>
  </si>
  <si>
    <t>V54434</t>
  </si>
  <si>
    <t>Bhupendra Singh Gond</t>
  </si>
  <si>
    <t>V54164</t>
  </si>
  <si>
    <t>Durga</t>
  </si>
  <si>
    <t>V54163</t>
  </si>
  <si>
    <t>Ragini  Sinha</t>
  </si>
  <si>
    <t>V53968</t>
  </si>
  <si>
    <t>Sanjeet  Sharma</t>
  </si>
  <si>
    <t>V53837</t>
  </si>
  <si>
    <t>V52551</t>
  </si>
  <si>
    <t>Kevara  Sahu</t>
  </si>
  <si>
    <t>V54556</t>
  </si>
  <si>
    <t>Lakeshwar</t>
  </si>
  <si>
    <t>V53458</t>
  </si>
  <si>
    <t>Shailendra  Chandrakar</t>
  </si>
  <si>
    <t>V53106</t>
  </si>
  <si>
    <t>Vishnu Ram Satnami</t>
  </si>
  <si>
    <t>V53105</t>
  </si>
  <si>
    <t>Atul  Vaishnav</t>
  </si>
  <si>
    <t>V53104</t>
  </si>
  <si>
    <t>Bala Ram Ravat</t>
  </si>
  <si>
    <t>V52855</t>
  </si>
  <si>
    <t>Tikeswar</t>
  </si>
  <si>
    <t>V52836</t>
  </si>
  <si>
    <t>Rani  Banjare</t>
  </si>
  <si>
    <t>V52834</t>
  </si>
  <si>
    <t>Babi  AGRAWAL</t>
  </si>
  <si>
    <t>V52470</t>
  </si>
  <si>
    <t>Harsh Kumar Patel</t>
  </si>
  <si>
    <t>V52385</t>
  </si>
  <si>
    <t>Priyanka  Banjare</t>
  </si>
  <si>
    <t>V52216</t>
  </si>
  <si>
    <t>Pushpa  Bharti</t>
  </si>
  <si>
    <t>V52215</t>
  </si>
  <si>
    <t>VED  PRAKASH</t>
  </si>
  <si>
    <t>V52214</t>
  </si>
  <si>
    <t>Nilkanth  Sahu</t>
  </si>
  <si>
    <t>V52212</t>
  </si>
  <si>
    <t>Indra Kumar Sahu</t>
  </si>
  <si>
    <t>V52207</t>
  </si>
  <si>
    <t>OMPRAKASH</t>
  </si>
  <si>
    <t>V52003</t>
  </si>
  <si>
    <t>FULESHWARI  DHRUW</t>
  </si>
  <si>
    <t>V52001</t>
  </si>
  <si>
    <t>CHANCHAL  CHANDRAKAR</t>
  </si>
  <si>
    <t>V52000</t>
  </si>
  <si>
    <t>Lalit Kumar Sahu</t>
  </si>
  <si>
    <t>V51999</t>
  </si>
  <si>
    <t>PARAMESHVAR</t>
  </si>
  <si>
    <t>V51943</t>
  </si>
  <si>
    <t>DIGESHWAR  NISHAD</t>
  </si>
  <si>
    <t>V51898</t>
  </si>
  <si>
    <t>JITENDRA  SAHU</t>
  </si>
  <si>
    <t>V51897</t>
  </si>
  <si>
    <t>AETPRAKASH  SAHU</t>
  </si>
  <si>
    <t>V51895</t>
  </si>
  <si>
    <t>NAGENDRA  SAHU</t>
  </si>
  <si>
    <t>V51894</t>
  </si>
  <si>
    <t>MAHESHWARI  BANJARE</t>
  </si>
  <si>
    <t>V51893</t>
  </si>
  <si>
    <t>NEERAJ  CHOURASIA</t>
  </si>
  <si>
    <t>V50712</t>
  </si>
  <si>
    <t>V44295</t>
  </si>
  <si>
    <t>V16537</t>
  </si>
  <si>
    <t>Ankit Raj Ghritlahre</t>
  </si>
  <si>
    <t>V53924</t>
  </si>
  <si>
    <t>Raju  Yadav</t>
  </si>
  <si>
    <t>V53922</t>
  </si>
  <si>
    <t>Anup Rao Maratha</t>
  </si>
  <si>
    <t>V53096</t>
  </si>
  <si>
    <t>Chetan  Kumar</t>
  </si>
  <si>
    <t>V51347</t>
  </si>
  <si>
    <t>Ramnaresh  Goswami</t>
  </si>
  <si>
    <t>V51346</t>
  </si>
  <si>
    <t>Manish</t>
  </si>
  <si>
    <t>V51344</t>
  </si>
  <si>
    <t>Gendlal  Khande</t>
  </si>
  <si>
    <t>V47954</t>
  </si>
  <si>
    <t>Nidhi</t>
  </si>
  <si>
    <t>V47447</t>
  </si>
  <si>
    <t>Ishwar  Navarang</t>
  </si>
  <si>
    <t>V47446</t>
  </si>
  <si>
    <t>V47387</t>
  </si>
  <si>
    <t>Nilesh Kumar Ghritlahre</t>
  </si>
  <si>
    <t>V47057</t>
  </si>
  <si>
    <t>Chandrahas  Dhruw</t>
  </si>
  <si>
    <t>V46817</t>
  </si>
  <si>
    <t>Manisha Bai Nirnejak</t>
  </si>
  <si>
    <t>V46545</t>
  </si>
  <si>
    <t>Kiran  Kumar</t>
  </si>
  <si>
    <t>V43223</t>
  </si>
  <si>
    <t>DIVYA KUMARI SAHU</t>
  </si>
  <si>
    <t>V41997</t>
  </si>
  <si>
    <t>SANDHYA  GENDALE</t>
  </si>
  <si>
    <t>V41830</t>
  </si>
  <si>
    <t>LAKHNI</t>
  </si>
  <si>
    <t>V41753</t>
  </si>
  <si>
    <t>SHRIRAM  SAGAR</t>
  </si>
  <si>
    <t>V41598</t>
  </si>
  <si>
    <t>MUKESH KUMAR PATEL</t>
  </si>
  <si>
    <t>V41424</t>
  </si>
  <si>
    <t>AJAY KUMAR GANDHARV</t>
  </si>
  <si>
    <t>V40370</t>
  </si>
  <si>
    <t>Jagarnath  Panna</t>
  </si>
  <si>
    <t>V47445</t>
  </si>
  <si>
    <t>Habeel  Panna</t>
  </si>
  <si>
    <t>V47442</t>
  </si>
  <si>
    <t>Yashwant Kumar Baghel</t>
  </si>
  <si>
    <t>V42967</t>
  </si>
  <si>
    <t>V40156</t>
  </si>
  <si>
    <t>SHERU RAM</t>
  </si>
  <si>
    <t>V36757</t>
  </si>
  <si>
    <t>MUNGESHWAR SINGH PORTE</t>
  </si>
  <si>
    <t>V36081</t>
  </si>
  <si>
    <t>SATISH SINGH PAIKRA</t>
  </si>
  <si>
    <t>V36080</t>
  </si>
  <si>
    <t>SATYENDRA KUMAR PAIKRA</t>
  </si>
  <si>
    <t>V34281</t>
  </si>
  <si>
    <t>V34280</t>
  </si>
  <si>
    <t>SHRAWAN  SONWANI</t>
  </si>
  <si>
    <t>V31674</t>
  </si>
  <si>
    <t>SAVI  KUMAR</t>
  </si>
  <si>
    <t>V31630</t>
  </si>
  <si>
    <t>V31487</t>
  </si>
  <si>
    <t>SONU  PAIKRA</t>
  </si>
  <si>
    <t>V31301</t>
  </si>
  <si>
    <t>SITARAM  PAINKRA</t>
  </si>
  <si>
    <t>V31298</t>
  </si>
  <si>
    <t>SHREYA  MINZ</t>
  </si>
  <si>
    <t>V31296</t>
  </si>
  <si>
    <t>LAWANGO</t>
  </si>
  <si>
    <t>V31277</t>
  </si>
  <si>
    <t>HOLIKESHWAR  SINGH</t>
  </si>
  <si>
    <t>V31276</t>
  </si>
  <si>
    <t>V31240</t>
  </si>
  <si>
    <t>V31238</t>
  </si>
  <si>
    <t>TEJURAM</t>
  </si>
  <si>
    <t>V31235</t>
  </si>
  <si>
    <t>MANISHA  BECK</t>
  </si>
  <si>
    <t>V31222</t>
  </si>
  <si>
    <t>SAMIN  RAM</t>
  </si>
  <si>
    <t>V31104</t>
  </si>
  <si>
    <t>Devkumar  Markam</t>
  </si>
  <si>
    <t>V54405</t>
  </si>
  <si>
    <t>HEMPRAKASH  MANIKPURI</t>
  </si>
  <si>
    <t>V53457</t>
  </si>
  <si>
    <t>SHOBHIT  RATNAKAR</t>
  </si>
  <si>
    <t>V53455</t>
  </si>
  <si>
    <t>AMAN  Kumar</t>
  </si>
  <si>
    <t>V53454</t>
  </si>
  <si>
    <t>ROHAN  GHRITLAHARE</t>
  </si>
  <si>
    <t>V53453</t>
  </si>
  <si>
    <t>Kishan Kumar Thakur</t>
  </si>
  <si>
    <t>V52850</t>
  </si>
  <si>
    <t>Sukmita Kumari Dahariya</t>
  </si>
  <si>
    <t>V49272</t>
  </si>
  <si>
    <t>Aarti  Ratre</t>
  </si>
  <si>
    <t>V48828</t>
  </si>
  <si>
    <t>SUMAN  DHRUW</t>
  </si>
  <si>
    <t>V48827</t>
  </si>
  <si>
    <t>MADAN  SUNA</t>
  </si>
  <si>
    <t>V48228</t>
  </si>
  <si>
    <t>Amita</t>
  </si>
  <si>
    <t>V46673</t>
  </si>
  <si>
    <t>Rajesh  Banjare</t>
  </si>
  <si>
    <t>V45762</t>
  </si>
  <si>
    <t>Pushpa  Lata</t>
  </si>
  <si>
    <t>V45761</t>
  </si>
  <si>
    <t>KAMLESH  GHRITLAHRE</t>
  </si>
  <si>
    <t>V41577</t>
  </si>
  <si>
    <t>JITENDRA  GHRITLAHRE</t>
  </si>
  <si>
    <t>V41576</t>
  </si>
  <si>
    <t>BHUNESHWARI</t>
  </si>
  <si>
    <t>V36431</t>
  </si>
  <si>
    <t>ANJALI VERMA</t>
  </si>
  <si>
    <t>V35890</t>
  </si>
  <si>
    <t>MS. GAURI</t>
  </si>
  <si>
    <t>V34945</t>
  </si>
  <si>
    <t>DIVYA SAHU</t>
  </si>
  <si>
    <t>V34863</t>
  </si>
  <si>
    <t>OMPRAKASH SAHU</t>
  </si>
  <si>
    <t>V34181</t>
  </si>
  <si>
    <t>KESRIBAI  MAHRA</t>
  </si>
  <si>
    <t>V33609</t>
  </si>
  <si>
    <t>KAMTA  DEWANGAN</t>
  </si>
  <si>
    <t>V31279</t>
  </si>
  <si>
    <t>DURGESH  SAO</t>
  </si>
  <si>
    <t>V24398</t>
  </si>
  <si>
    <t>Priyanka  Kumari</t>
  </si>
  <si>
    <t>DIPAK  KUMAR</t>
  </si>
  <si>
    <t>KAUSHAL  KUMAR</t>
  </si>
  <si>
    <t>V54616</t>
  </si>
  <si>
    <t>Divyanshu  Kumar</t>
  </si>
  <si>
    <t>V54577</t>
  </si>
  <si>
    <t>V54576</t>
  </si>
  <si>
    <t>V54370</t>
  </si>
  <si>
    <t>Deepa  Kumari</t>
  </si>
  <si>
    <t>V54369</t>
  </si>
  <si>
    <t>Suman Kumar Pandit</t>
  </si>
  <si>
    <t>V54368</t>
  </si>
  <si>
    <t>V54367</t>
  </si>
  <si>
    <t>Saquib  Ajaz</t>
  </si>
  <si>
    <t>V54366</t>
  </si>
  <si>
    <t>Amarjeet  Kumar</t>
  </si>
  <si>
    <t>V54087</t>
  </si>
  <si>
    <t>Rupa  Kumari</t>
  </si>
  <si>
    <t>V54085</t>
  </si>
  <si>
    <t>V53356</t>
  </si>
  <si>
    <t>Pintu  Kumar</t>
  </si>
  <si>
    <t>V53165</t>
  </si>
  <si>
    <t>amar kumar</t>
  </si>
  <si>
    <t>V53164</t>
  </si>
  <si>
    <t>aditya kumar</t>
  </si>
  <si>
    <t>V53161</t>
  </si>
  <si>
    <t>V53160</t>
  </si>
  <si>
    <t>V53156</t>
  </si>
  <si>
    <t>Priyanshu Kumar Shukl</t>
  </si>
  <si>
    <t>V53149</t>
  </si>
  <si>
    <t>SANU KUMAR</t>
  </si>
  <si>
    <t>V53145</t>
  </si>
  <si>
    <t>V52742</t>
  </si>
  <si>
    <t>Sarvan  Kumar</t>
  </si>
  <si>
    <t>V52738</t>
  </si>
  <si>
    <t>varsha  kumari</t>
  </si>
  <si>
    <t>V52736</t>
  </si>
  <si>
    <t>V52732</t>
  </si>
  <si>
    <t>Sandeep  Anand</t>
  </si>
  <si>
    <t>V52359</t>
  </si>
  <si>
    <t>Malik  Kumar</t>
  </si>
  <si>
    <t>V51180</t>
  </si>
  <si>
    <t>Purushotam  Kumar</t>
  </si>
  <si>
    <t>V48895</t>
  </si>
  <si>
    <t>Arjun  Kumar</t>
  </si>
  <si>
    <t>Guddu Kumar Sah</t>
  </si>
  <si>
    <t>V54209</t>
  </si>
  <si>
    <t>Priyanshu Kumar Sahani</t>
  </si>
  <si>
    <t>V54208</t>
  </si>
  <si>
    <t>Mehnaz  Khatoon</t>
  </si>
  <si>
    <t>V54207</t>
  </si>
  <si>
    <t>Krity  Kumari</t>
  </si>
  <si>
    <t>V54206</t>
  </si>
  <si>
    <t>Pushpa  Devi</t>
  </si>
  <si>
    <t>V54205</t>
  </si>
  <si>
    <t>OMKAR  KUMAR</t>
  </si>
  <si>
    <t>V53531</t>
  </si>
  <si>
    <t>Bajrang  Kumar</t>
  </si>
  <si>
    <t>V53377</t>
  </si>
  <si>
    <t>Manish Kumar Mishra</t>
  </si>
  <si>
    <t>V51720</t>
  </si>
  <si>
    <t>PRIYA  KUMARI</t>
  </si>
  <si>
    <t>V51719</t>
  </si>
  <si>
    <t>ABHISHEK  RAJ</t>
  </si>
  <si>
    <t>Bablu  Kumar</t>
  </si>
  <si>
    <t>V49710</t>
  </si>
  <si>
    <t>Muskan  Kumari</t>
  </si>
  <si>
    <t>V49633</t>
  </si>
  <si>
    <t>MADHAV  SINGH</t>
  </si>
  <si>
    <t>V49631</t>
  </si>
  <si>
    <t>Kundan  Kumar</t>
  </si>
  <si>
    <t>V49611</t>
  </si>
  <si>
    <t>V49538</t>
  </si>
  <si>
    <t>Dipanshu  Kumar</t>
  </si>
  <si>
    <t>V49429</t>
  </si>
  <si>
    <t>Md Amamul Haque</t>
  </si>
  <si>
    <t>V49315</t>
  </si>
  <si>
    <t>Binod Kumar Ram</t>
  </si>
  <si>
    <t>V49263</t>
  </si>
  <si>
    <t>Jitendra  Kumar</t>
  </si>
  <si>
    <t>V49255</t>
  </si>
  <si>
    <t>Kishan  Kumar</t>
  </si>
  <si>
    <t>V49254</t>
  </si>
  <si>
    <t>Nitesh Kumar Pandey</t>
  </si>
  <si>
    <t>V49177</t>
  </si>
  <si>
    <t>Khushbu Kumari Pandey</t>
  </si>
  <si>
    <t>V49159</t>
  </si>
  <si>
    <t>Nipu  Kumari</t>
  </si>
  <si>
    <t>V49141</t>
  </si>
  <si>
    <t>RAMPRAVESH  MISHRA</t>
  </si>
  <si>
    <t>V48936</t>
  </si>
  <si>
    <t>V48906</t>
  </si>
  <si>
    <t>JAY PRAKASH PANDEY</t>
  </si>
  <si>
    <t>V48229</t>
  </si>
  <si>
    <t>PULKIT KUMAR PANDEY</t>
  </si>
  <si>
    <t>V20655</t>
  </si>
  <si>
    <t>Saurav Saurav kumar Kumar</t>
  </si>
  <si>
    <t>V49489</t>
  </si>
  <si>
    <t>BACHCHA  BHAGAT</t>
  </si>
  <si>
    <t>V45103</t>
  </si>
  <si>
    <t>BANTI  KUMAR</t>
  </si>
  <si>
    <t>Bmbam  Kumar</t>
  </si>
  <si>
    <t>V54462</t>
  </si>
  <si>
    <t>Sujeet  Kumar</t>
  </si>
  <si>
    <t>V54145</t>
  </si>
  <si>
    <t>Kumar  Shivam</t>
  </si>
  <si>
    <t>V54143</t>
  </si>
  <si>
    <t>Hareram  Singh</t>
  </si>
  <si>
    <t>V53349</t>
  </si>
  <si>
    <t>RAJNISH  BHARTI</t>
  </si>
  <si>
    <t>V52153</t>
  </si>
  <si>
    <t>KIRAN  KUMARI</t>
  </si>
  <si>
    <t>V51487</t>
  </si>
  <si>
    <t>V51054</t>
  </si>
  <si>
    <t>Mohit  Raj</t>
  </si>
  <si>
    <t>V51053</t>
  </si>
  <si>
    <t>UJJWAL  KUMAR</t>
  </si>
  <si>
    <t>ANKIT KUMAR PANDEY</t>
  </si>
  <si>
    <t>V50929</t>
  </si>
  <si>
    <t>V50673</t>
  </si>
  <si>
    <t>khushi  kumari</t>
  </si>
  <si>
    <t>V50298</t>
  </si>
  <si>
    <t>Divya  Raj</t>
  </si>
  <si>
    <t>V50069</t>
  </si>
  <si>
    <t>Avinash  Kumar</t>
  </si>
  <si>
    <t>V49862</t>
  </si>
  <si>
    <t>Juli  Kumari</t>
  </si>
  <si>
    <t>V49644</t>
  </si>
  <si>
    <t>V49641</t>
  </si>
  <si>
    <t>Balmati  Devi</t>
  </si>
  <si>
    <t>V49544</t>
  </si>
  <si>
    <t>Jitendra Kumar Singh</t>
  </si>
  <si>
    <t>V48876</t>
  </si>
  <si>
    <t>Saroj  Kumar</t>
  </si>
  <si>
    <t>V47215</t>
  </si>
  <si>
    <t>Sagar  JHA</t>
  </si>
  <si>
    <t>V47009</t>
  </si>
  <si>
    <t>Mandeep Kumar Paswan</t>
  </si>
  <si>
    <t>V46616</t>
  </si>
  <si>
    <t>V46606</t>
  </si>
  <si>
    <t>V46478</t>
  </si>
  <si>
    <t>V46432</t>
  </si>
  <si>
    <t>Abhishek Kumar Pandey</t>
  </si>
  <si>
    <t>V45995</t>
  </si>
  <si>
    <t>Ujjwal  Sharma</t>
  </si>
  <si>
    <t>V45897</t>
  </si>
  <si>
    <t>Suraj Kumar Panday</t>
  </si>
  <si>
    <t>V45896</t>
  </si>
  <si>
    <t>Kumar  Roushan</t>
  </si>
  <si>
    <t>V45859</t>
  </si>
  <si>
    <t>ANIL  RAI</t>
  </si>
  <si>
    <t>V39200</t>
  </si>
  <si>
    <t>V21553</t>
  </si>
  <si>
    <t>V11500</t>
  </si>
  <si>
    <t>Sumit  Sharan</t>
  </si>
  <si>
    <t>V49797</t>
  </si>
  <si>
    <t>SANGRAM SINGH</t>
  </si>
  <si>
    <t>V48283</t>
  </si>
  <si>
    <t>SONU KUMAR PANDIT</t>
  </si>
  <si>
    <t>V48167</t>
  </si>
  <si>
    <t>Aaditya  Kumar</t>
  </si>
  <si>
    <t>V47648</t>
  </si>
  <si>
    <t>Pawan  Baitha</t>
  </si>
  <si>
    <t>V46544</t>
  </si>
  <si>
    <t>Mitthu Kumar Paswan</t>
  </si>
  <si>
    <t>V44294</t>
  </si>
  <si>
    <t>Guriya  Kumari</t>
  </si>
  <si>
    <t>V44228</t>
  </si>
  <si>
    <t>KUNDAN KUMAR JHA</t>
  </si>
  <si>
    <t>V43847</t>
  </si>
  <si>
    <t>Sadre  Alam</t>
  </si>
  <si>
    <t>V43171</t>
  </si>
  <si>
    <t>chhotu  paswan</t>
  </si>
  <si>
    <t>V43124</t>
  </si>
  <si>
    <t>Vibha  Devi</t>
  </si>
  <si>
    <t>V42987</t>
  </si>
  <si>
    <t>samptiya  Devi</t>
  </si>
  <si>
    <t>V42986</t>
  </si>
  <si>
    <t>Abhishek Kumar Mandal</t>
  </si>
  <si>
    <t>V42898</t>
  </si>
  <si>
    <t>Anish  Kumar</t>
  </si>
  <si>
    <t>V42880</t>
  </si>
  <si>
    <t>V42703</t>
  </si>
  <si>
    <t>BABALI  KUMARI</t>
  </si>
  <si>
    <t>V42697</t>
  </si>
  <si>
    <t>SHANTI  KUMARI</t>
  </si>
  <si>
    <t>V42605</t>
  </si>
  <si>
    <t>RAVI  RANJAN</t>
  </si>
  <si>
    <t>V24743</t>
  </si>
  <si>
    <t>PRAPHOOL KUMAR PASWAN</t>
  </si>
  <si>
    <t>V18614</t>
  </si>
  <si>
    <t>BADRI  PRASAD</t>
  </si>
  <si>
    <t>V18207</t>
  </si>
  <si>
    <t>NISHA  DEVI</t>
  </si>
  <si>
    <t>V09191</t>
  </si>
  <si>
    <t>LAL CHANDR RAM</t>
  </si>
  <si>
    <t>V01443</t>
  </si>
  <si>
    <t>GOLU  KUMAR</t>
  </si>
  <si>
    <t>CHANDANI  KUMARI</t>
  </si>
  <si>
    <t>V54038</t>
  </si>
  <si>
    <t>Ankit  Raj</t>
  </si>
  <si>
    <t>V51001</t>
  </si>
  <si>
    <t>Nishant</t>
  </si>
  <si>
    <t>V50624</t>
  </si>
  <si>
    <t>V50452</t>
  </si>
  <si>
    <t>RANJEET KUMAR PANDEY</t>
  </si>
  <si>
    <t>V50451</t>
  </si>
  <si>
    <t>V50248</t>
  </si>
  <si>
    <t>Kanhaiya  Kumar</t>
  </si>
  <si>
    <t>V50126</t>
  </si>
  <si>
    <t>V49680</t>
  </si>
  <si>
    <t>Kunal  Kumar</t>
  </si>
  <si>
    <t>V49514</t>
  </si>
  <si>
    <t>Satish  Kumar</t>
  </si>
  <si>
    <t>V49418</t>
  </si>
  <si>
    <t>V49408</t>
  </si>
  <si>
    <t>Raushan  Kumar</t>
  </si>
  <si>
    <t>V49372</t>
  </si>
  <si>
    <t>Kajal  Devi</t>
  </si>
  <si>
    <t>V48995</t>
  </si>
  <si>
    <t>Jay Prakash Manjhi</t>
  </si>
  <si>
    <t>V48994</t>
  </si>
  <si>
    <t>V48904</t>
  </si>
  <si>
    <t>Ganesh  Ravidas</t>
  </si>
  <si>
    <t>V47820</t>
  </si>
  <si>
    <t>Nitu  Mishra</t>
  </si>
  <si>
    <t>V46127</t>
  </si>
  <si>
    <t>Gupta Joshi Satish</t>
  </si>
  <si>
    <t>V44840</t>
  </si>
  <si>
    <t>Sangita  Kumari</t>
  </si>
  <si>
    <t>V42893</t>
  </si>
  <si>
    <t>YUVRAJ  KUMAR</t>
  </si>
  <si>
    <t>V42863</t>
  </si>
  <si>
    <t>Sunita  Kumari</t>
  </si>
  <si>
    <t>V42862</t>
  </si>
  <si>
    <t>Doli  Kumari</t>
  </si>
  <si>
    <t>V42861</t>
  </si>
  <si>
    <t>Subhanjali  Sawarna</t>
  </si>
  <si>
    <t>V42860</t>
  </si>
  <si>
    <t>V39531</t>
  </si>
  <si>
    <t>DEVWART  KUMAR</t>
  </si>
  <si>
    <t>V18992</t>
  </si>
  <si>
    <t>BRIJESH  KUMAR</t>
  </si>
  <si>
    <t>V53647</t>
  </si>
  <si>
    <t>V53278</t>
  </si>
  <si>
    <t>V53272</t>
  </si>
  <si>
    <t>MUKESH KUMAR CHOUBEY</t>
  </si>
  <si>
    <t>V53269</t>
  </si>
  <si>
    <t>V52815</t>
  </si>
  <si>
    <t>V52112</t>
  </si>
  <si>
    <t>Anand  Kumar</t>
  </si>
  <si>
    <t>V51531</t>
  </si>
  <si>
    <t>V51411</t>
  </si>
  <si>
    <t>CHHOTU  KUMAR</t>
  </si>
  <si>
    <t>V51408</t>
  </si>
  <si>
    <t>TINKU  KUMAR</t>
  </si>
  <si>
    <t>V51161</t>
  </si>
  <si>
    <t>V51132</t>
  </si>
  <si>
    <t>V51131</t>
  </si>
  <si>
    <t>V51086</t>
  </si>
  <si>
    <t>Gautam  Kumar</t>
  </si>
  <si>
    <t>V51085</t>
  </si>
  <si>
    <t>V50923</t>
  </si>
  <si>
    <t>MANJU  DEVI</t>
  </si>
  <si>
    <t>V47293</t>
  </si>
  <si>
    <t>Suman  Devi</t>
  </si>
  <si>
    <t>V47139</t>
  </si>
  <si>
    <t>V42553</t>
  </si>
  <si>
    <t>DEOPRASAD  KUMAR</t>
  </si>
  <si>
    <t>V42082</t>
  </si>
  <si>
    <t>SANJAY KUMAR VERMA</t>
  </si>
  <si>
    <t>V33114</t>
  </si>
  <si>
    <t>VIKESH  KUMAR</t>
  </si>
  <si>
    <t>V26351</t>
  </si>
  <si>
    <t>VIJAY KUMAR YADAV</t>
  </si>
  <si>
    <t>V18033</t>
  </si>
  <si>
    <t>RISHU KUMAR</t>
  </si>
  <si>
    <t>V08365</t>
  </si>
  <si>
    <t>RAMUGRAH  KUMAR</t>
  </si>
  <si>
    <t>V04417</t>
  </si>
  <si>
    <t>BALMIKI  SHARMA</t>
  </si>
  <si>
    <t>V01161</t>
  </si>
  <si>
    <t>SATENDRA  YADAV</t>
  </si>
  <si>
    <t>V00979</t>
  </si>
  <si>
    <t>V20307</t>
  </si>
  <si>
    <t>V53213</t>
  </si>
  <si>
    <t>Anmol  Ajad</t>
  </si>
  <si>
    <t>V52707</t>
  </si>
  <si>
    <t>Komal  Kumari</t>
  </si>
  <si>
    <t>V52671</t>
  </si>
  <si>
    <t>V51585</t>
  </si>
  <si>
    <t>SHIV SUNDAR  KUMAR</t>
  </si>
  <si>
    <t>V51516</t>
  </si>
  <si>
    <t>Pream  Jee</t>
  </si>
  <si>
    <t>V50515</t>
  </si>
  <si>
    <t>V50147</t>
  </si>
  <si>
    <t>NATHUN  PASWAN</t>
  </si>
  <si>
    <t>V47455</t>
  </si>
  <si>
    <t>Rabari  Devi</t>
  </si>
  <si>
    <t>V45312</t>
  </si>
  <si>
    <t>V45179</t>
  </si>
  <si>
    <t>V44481</t>
  </si>
  <si>
    <t>V44376</t>
  </si>
  <si>
    <t>RANJESH  KUMAR</t>
  </si>
  <si>
    <t>V41370</t>
  </si>
  <si>
    <t>V41127</t>
  </si>
  <si>
    <t>DHRUV  KUMAR</t>
  </si>
  <si>
    <t>V41121</t>
  </si>
  <si>
    <t>RATISH  KUMAR</t>
  </si>
  <si>
    <t>V41113</t>
  </si>
  <si>
    <t>DILKHUSH  KUMAR</t>
  </si>
  <si>
    <t>V40444</t>
  </si>
  <si>
    <t>RAMA NAND ROY</t>
  </si>
  <si>
    <t>V34072</t>
  </si>
  <si>
    <t>PRAVIN  KUMAR</t>
  </si>
  <si>
    <t>V32065</t>
  </si>
  <si>
    <t>RISHU  KUMAR</t>
  </si>
  <si>
    <t>V16419</t>
  </si>
  <si>
    <t>Tribhuwan  Kumar</t>
  </si>
  <si>
    <t>V54350</t>
  </si>
  <si>
    <t>V54057</t>
  </si>
  <si>
    <t>Golu  Kumar</t>
  </si>
  <si>
    <t>V54056</t>
  </si>
  <si>
    <t>Sarita  Devi</t>
  </si>
  <si>
    <t>V53576</t>
  </si>
  <si>
    <t>Arti  Kumari</t>
  </si>
  <si>
    <t>V53575</t>
  </si>
  <si>
    <t>V53429</t>
  </si>
  <si>
    <t>V53075</t>
  </si>
  <si>
    <t>KANHAIYA  KUMAR</t>
  </si>
  <si>
    <t>V53072</t>
  </si>
  <si>
    <t>V52567</t>
  </si>
  <si>
    <t>Abhishek  Gaurav</t>
  </si>
  <si>
    <t>V49114</t>
  </si>
  <si>
    <t>V48814</t>
  </si>
  <si>
    <t>Jayprakash  Thakur</t>
  </si>
  <si>
    <t>V48665</t>
  </si>
  <si>
    <t>V48648</t>
  </si>
  <si>
    <t>V48350</t>
  </si>
  <si>
    <t>V48349</t>
  </si>
  <si>
    <t>V48222</t>
  </si>
  <si>
    <t>SULOCHNA  KUMARI</t>
  </si>
  <si>
    <t>V48220</t>
  </si>
  <si>
    <t>Soni  Kumari</t>
  </si>
  <si>
    <t>V46285</t>
  </si>
  <si>
    <t>Khushboo  Khatun</t>
  </si>
  <si>
    <t>V45606</t>
  </si>
  <si>
    <t>V44202</t>
  </si>
  <si>
    <t>V43534</t>
  </si>
  <si>
    <t>RAMBABU RAI</t>
  </si>
  <si>
    <t>V36345</t>
  </si>
  <si>
    <t>CHANDAN  KUMAR RAY</t>
  </si>
  <si>
    <t>V35021</t>
  </si>
  <si>
    <t>MURARI  KUMAR</t>
  </si>
  <si>
    <t>V32418</t>
  </si>
  <si>
    <t>V30681</t>
  </si>
  <si>
    <t>V24814</t>
  </si>
  <si>
    <t>Ravin  Kumar</t>
  </si>
  <si>
    <t>BASKI KUMAR GUPTA</t>
  </si>
  <si>
    <t>V54133</t>
  </si>
  <si>
    <t>RAJEEV  PASWAN</t>
  </si>
  <si>
    <t>V50836</t>
  </si>
  <si>
    <t>Kiran  Devi</t>
  </si>
  <si>
    <t>V49537</t>
  </si>
  <si>
    <t>Naresh Kumar Yadav</t>
  </si>
  <si>
    <t>V48871</t>
  </si>
  <si>
    <t>V48660</t>
  </si>
  <si>
    <t>Reema  Kumari</t>
  </si>
  <si>
    <t>V45418</t>
  </si>
  <si>
    <t>Rekha  Kumari</t>
  </si>
  <si>
    <t>V44718</t>
  </si>
  <si>
    <t>DILEEP KUMAR YADAV</t>
  </si>
  <si>
    <t>V41453</t>
  </si>
  <si>
    <t>CHANDANI KUMARI</t>
  </si>
  <si>
    <t>V37080</t>
  </si>
  <si>
    <t>MD TABREZ ALAM</t>
  </si>
  <si>
    <t>V37072</t>
  </si>
  <si>
    <t>JAY PRAKASH SAH</t>
  </si>
  <si>
    <t>V37070</t>
  </si>
  <si>
    <t>SHIVAM KUMAR SAFI</t>
  </si>
  <si>
    <t>V37069</t>
  </si>
  <si>
    <t>GAGAN KUMAR THAKUR</t>
  </si>
  <si>
    <t>V36917</t>
  </si>
  <si>
    <t>AVINASH KUMAR</t>
  </si>
  <si>
    <t>V36912</t>
  </si>
  <si>
    <t>ANJU KUMARI</t>
  </si>
  <si>
    <t>V36911</t>
  </si>
  <si>
    <t>GUDDU KUMAR YADAV</t>
  </si>
  <si>
    <t>V36877</t>
  </si>
  <si>
    <t>SARITA KUMARI</t>
  </si>
  <si>
    <t>V36818</t>
  </si>
  <si>
    <t>JITESH KUMAR RAY</t>
  </si>
  <si>
    <t>V29801</t>
  </si>
  <si>
    <t>V25845</t>
  </si>
  <si>
    <t>SAURABH KUMAR JHA</t>
  </si>
  <si>
    <t>V24615</t>
  </si>
  <si>
    <t>MITHILESH KUMAR RAM</t>
  </si>
  <si>
    <t>V23844</t>
  </si>
  <si>
    <t>Akash  Kumar</t>
  </si>
  <si>
    <t>V53355</t>
  </si>
  <si>
    <t>RAJRANJAN  KUMAR</t>
  </si>
  <si>
    <t>V51553</t>
  </si>
  <si>
    <t>V50179</t>
  </si>
  <si>
    <t>Arun Kumar Yadav</t>
  </si>
  <si>
    <t>V50178</t>
  </si>
  <si>
    <t>RANJU  DEVI</t>
  </si>
  <si>
    <t>V49531</t>
  </si>
  <si>
    <t>V47513</t>
  </si>
  <si>
    <t>Biresh  Ram</t>
  </si>
  <si>
    <t>V47510</t>
  </si>
  <si>
    <t>Archana  Devi</t>
  </si>
  <si>
    <t>V45530</t>
  </si>
  <si>
    <t>Pankaj Kumar Sinha</t>
  </si>
  <si>
    <t>V45528</t>
  </si>
  <si>
    <t>Anmol Kumar Yadav</t>
  </si>
  <si>
    <t>V44234</t>
  </si>
  <si>
    <t>SUJEET KUMAR RAM</t>
  </si>
  <si>
    <t>V41731</t>
  </si>
  <si>
    <t>AAHUTI  KUMARI</t>
  </si>
  <si>
    <t>V41445</t>
  </si>
  <si>
    <t>NIKESH  KUMAR</t>
  </si>
  <si>
    <t>V41058</t>
  </si>
  <si>
    <t>V40929</t>
  </si>
  <si>
    <t>ANKIT KUMAR SINGH</t>
  </si>
  <si>
    <t>V38851</t>
  </si>
  <si>
    <t>CHANDAN KUMAR SINGH</t>
  </si>
  <si>
    <t>V38064</t>
  </si>
  <si>
    <t>SIKENDRA KUMAR MANJHI</t>
  </si>
  <si>
    <t>V37800</t>
  </si>
  <si>
    <t>OM PRAAKSH YADAV</t>
  </si>
  <si>
    <t>V37669</t>
  </si>
  <si>
    <t>V37428</t>
  </si>
  <si>
    <t>TANISHA  KUMARI</t>
  </si>
  <si>
    <t>V37427</t>
  </si>
  <si>
    <t>MUNNA KUMAR MANJHI</t>
  </si>
  <si>
    <t>V37420</t>
  </si>
  <si>
    <t>PRITY  KUMARI</t>
  </si>
  <si>
    <t>V37376</t>
  </si>
  <si>
    <t>V22408</t>
  </si>
  <si>
    <t>KAMLESH KUMAR CHAURASIYA</t>
  </si>
  <si>
    <t>V05706</t>
  </si>
  <si>
    <t>Ujjwal  Kumar</t>
  </si>
  <si>
    <t>Prakash  Kumar</t>
  </si>
  <si>
    <t>V52357</t>
  </si>
  <si>
    <t>V50428</t>
  </si>
  <si>
    <t>V49053</t>
  </si>
  <si>
    <t>V48471</t>
  </si>
  <si>
    <t>Raju  Sonkar</t>
  </si>
  <si>
    <t>V48030</t>
  </si>
  <si>
    <t>VARUN KUMAR SINGH</t>
  </si>
  <si>
    <t>V46437</t>
  </si>
  <si>
    <t>V45846</t>
  </si>
  <si>
    <t>MUNIYA  DEVI</t>
  </si>
  <si>
    <t>V45721</t>
  </si>
  <si>
    <t>SONI  KUMARI</t>
  </si>
  <si>
    <t>V45650</t>
  </si>
  <si>
    <t>SALMA  KHATOON</t>
  </si>
  <si>
    <t>V45588</t>
  </si>
  <si>
    <t>KAMALESH  BHAGAT</t>
  </si>
  <si>
    <t>V43733</t>
  </si>
  <si>
    <t>ABHIMNYU  KUMAR</t>
  </si>
  <si>
    <t>V43728</t>
  </si>
  <si>
    <t>PRIYANKA  KIUMARI</t>
  </si>
  <si>
    <t>V37147</t>
  </si>
  <si>
    <t>BIRJESH  KUMAR</t>
  </si>
  <si>
    <t>V37122</t>
  </si>
  <si>
    <t>SANJEEV KUMAR</t>
  </si>
  <si>
    <t>V36786</t>
  </si>
  <si>
    <t>SURAJ KUMAR</t>
  </si>
  <si>
    <t>V36591</t>
  </si>
  <si>
    <t>KUNDAN KUMAR</t>
  </si>
  <si>
    <t>V36436</t>
  </si>
  <si>
    <t>MORIAM KHATOON</t>
  </si>
  <si>
    <t>V36025</t>
  </si>
  <si>
    <t>RAJKISHOR  THAKUR</t>
  </si>
  <si>
    <t>V30465</t>
  </si>
  <si>
    <t>V24030</t>
  </si>
  <si>
    <t>JHUNA  KUMAR</t>
  </si>
  <si>
    <t>V21949</t>
  </si>
  <si>
    <t>Abhinav  Kumar</t>
  </si>
  <si>
    <t>V46556</t>
  </si>
  <si>
    <t>V45554</t>
  </si>
  <si>
    <t>Nisha  Bharti</t>
  </si>
  <si>
    <t>V45527</t>
  </si>
  <si>
    <t>Lalan  Pandit</t>
  </si>
  <si>
    <t>V44908</t>
  </si>
  <si>
    <t>Nutan  Devi</t>
  </si>
  <si>
    <t>V44906</t>
  </si>
  <si>
    <t>Dolly  Devi</t>
  </si>
  <si>
    <t>V44905</t>
  </si>
  <si>
    <t>DHIRAJ  KUMAR</t>
  </si>
  <si>
    <t>V39149</t>
  </si>
  <si>
    <t>VIJAY  BHAGAT</t>
  </si>
  <si>
    <t>V37398</t>
  </si>
  <si>
    <t>V34137</t>
  </si>
  <si>
    <t>V33463</t>
  </si>
  <si>
    <t>V33055</t>
  </si>
  <si>
    <t>V32433</t>
  </si>
  <si>
    <t>ANKUSH  KUMAR</t>
  </si>
  <si>
    <t>V32410</t>
  </si>
  <si>
    <t>V32408</t>
  </si>
  <si>
    <t>AMARJEET  KUMAR</t>
  </si>
  <si>
    <t>V32407</t>
  </si>
  <si>
    <t>V32406</t>
  </si>
  <si>
    <t>KAMLAKANT  YADAV</t>
  </si>
  <si>
    <t>V31910</t>
  </si>
  <si>
    <t>SHRAVAN KUMAR TANTI</t>
  </si>
  <si>
    <t>V31801</t>
  </si>
  <si>
    <t>SANKET  KUMAR</t>
  </si>
  <si>
    <t>V30307</t>
  </si>
  <si>
    <t>Aniket  Kumar</t>
  </si>
  <si>
    <t>V52326</t>
  </si>
  <si>
    <t>Himanshu  KUMAR</t>
  </si>
  <si>
    <t>V52031</t>
  </si>
  <si>
    <t>V46305</t>
  </si>
  <si>
    <t>V45832</t>
  </si>
  <si>
    <t>Manita  Devi</t>
  </si>
  <si>
    <t>V45831</t>
  </si>
  <si>
    <t>Shashi  Kumari</t>
  </si>
  <si>
    <t>V45829</t>
  </si>
  <si>
    <t>DIPESH  KUMAR</t>
  </si>
  <si>
    <t>V43653</t>
  </si>
  <si>
    <t>ANAND  RAJ</t>
  </si>
  <si>
    <t>V41953</t>
  </si>
  <si>
    <t>RAJANI  KUMARI</t>
  </si>
  <si>
    <t>V41952</t>
  </si>
  <si>
    <t>V41034</t>
  </si>
  <si>
    <t>SHRAWAN  KUMAR</t>
  </si>
  <si>
    <t>V40877</t>
  </si>
  <si>
    <t>NISHANT KUMAR RAJAK</t>
  </si>
  <si>
    <t>V40873</t>
  </si>
  <si>
    <t>MANISH KUMAR PASWAN</t>
  </si>
  <si>
    <t>V40872</t>
  </si>
  <si>
    <t>V40866</t>
  </si>
  <si>
    <t>V40865</t>
  </si>
  <si>
    <t>V40730</t>
  </si>
  <si>
    <t>AYAUSH  KUMAR</t>
  </si>
  <si>
    <t>V40727</t>
  </si>
  <si>
    <t>SANDEEP  RAJ</t>
  </si>
  <si>
    <t>V40684</t>
  </si>
  <si>
    <t>V40683</t>
  </si>
  <si>
    <t>V40682</t>
  </si>
  <si>
    <t>V40496</t>
  </si>
  <si>
    <t>V39590</t>
  </si>
  <si>
    <t>RAJU KUMAR</t>
  </si>
  <si>
    <t>V34448</t>
  </si>
  <si>
    <t>V25673</t>
  </si>
  <si>
    <t>MANOHAR  KUMAR</t>
  </si>
  <si>
    <t>V22429</t>
  </si>
  <si>
    <t>V13201</t>
  </si>
  <si>
    <t>Pratima  Kumari</t>
  </si>
  <si>
    <t>V52563</t>
  </si>
  <si>
    <t>Manisha  Kumari</t>
  </si>
  <si>
    <t>V52562</t>
  </si>
  <si>
    <t>Nishika  Apriti</t>
  </si>
  <si>
    <t>V47697</t>
  </si>
  <si>
    <t>Kamlesh  Yadav</t>
  </si>
  <si>
    <t>V45827</t>
  </si>
  <si>
    <t>AMIT  SINHA</t>
  </si>
  <si>
    <t>V45825</t>
  </si>
  <si>
    <t>V45788</t>
  </si>
  <si>
    <t>UDAY KUMAR SINGH</t>
  </si>
  <si>
    <t>V39073</t>
  </si>
  <si>
    <t>V37851</t>
  </si>
  <si>
    <t>V37837</t>
  </si>
  <si>
    <t>V37803</t>
  </si>
  <si>
    <t>V37802</t>
  </si>
  <si>
    <t>V37801</t>
  </si>
  <si>
    <t>V37798</t>
  </si>
  <si>
    <t>PINTU  KUMAR</t>
  </si>
  <si>
    <t>V37797</t>
  </si>
  <si>
    <t>BIPUL  KUMAR</t>
  </si>
  <si>
    <t>V37792</t>
  </si>
  <si>
    <t>NIRANJAN  KUMAR</t>
  </si>
  <si>
    <t>V37747</t>
  </si>
  <si>
    <t>V37746</t>
  </si>
  <si>
    <t>V37553</t>
  </si>
  <si>
    <t>GOVIND  KUMAR</t>
  </si>
  <si>
    <t>V37497</t>
  </si>
  <si>
    <t>NAVLESH  KUMAR</t>
  </si>
  <si>
    <t>V37485</t>
  </si>
  <si>
    <t>PRAHLAD  KUMAR</t>
  </si>
  <si>
    <t>V37483</t>
  </si>
  <si>
    <t>V34496</t>
  </si>
  <si>
    <t>SHIVSHANKAR  CHAUDHARY</t>
  </si>
  <si>
    <t>V30442</t>
  </si>
  <si>
    <t>AURANGJEB  ANSARI</t>
  </si>
  <si>
    <t>V23592</t>
  </si>
  <si>
    <t>Anurag  Kumar</t>
  </si>
  <si>
    <t>Nitesh  Kumar</t>
  </si>
  <si>
    <t>V51042</t>
  </si>
  <si>
    <t>V51041</t>
  </si>
  <si>
    <t>Tuntun  Kumar</t>
  </si>
  <si>
    <t>V50104</t>
  </si>
  <si>
    <t>Banti  Kumar</t>
  </si>
  <si>
    <t>V49777</t>
  </si>
  <si>
    <t>BHUKHALI  DEVI</t>
  </si>
  <si>
    <t>V49776</t>
  </si>
  <si>
    <t>Sanni  Kumar</t>
  </si>
  <si>
    <t>V49775</t>
  </si>
  <si>
    <t>V49774</t>
  </si>
  <si>
    <t>V49546</t>
  </si>
  <si>
    <t>V47982</t>
  </si>
  <si>
    <t>Raja  Kumar</t>
  </si>
  <si>
    <t>V47981</t>
  </si>
  <si>
    <t>Bhaskar  Kumar</t>
  </si>
  <si>
    <t>V47185</t>
  </si>
  <si>
    <t>V47184</t>
  </si>
  <si>
    <t>Robin  Kumar</t>
  </si>
  <si>
    <t>V46345</t>
  </si>
  <si>
    <t>Mani Shankar Sinha</t>
  </si>
  <si>
    <t>V45348</t>
  </si>
  <si>
    <t>Gunja  Devi</t>
  </si>
  <si>
    <t>V45319</t>
  </si>
  <si>
    <t>Wasim  Akram</t>
  </si>
  <si>
    <t>V45317</t>
  </si>
  <si>
    <t>Sajita  Devi</t>
  </si>
  <si>
    <t>V45316</t>
  </si>
  <si>
    <t>GOPAL KUMAR THAKUR</t>
  </si>
  <si>
    <t>V40791</t>
  </si>
  <si>
    <t>V33046</t>
  </si>
  <si>
    <t>SUDHANSHU  KUMAR</t>
  </si>
  <si>
    <t>V32595</t>
  </si>
  <si>
    <t>V32592</t>
  </si>
  <si>
    <t>V30930</t>
  </si>
  <si>
    <t>V30924</t>
  </si>
  <si>
    <t>ARVIND KUMAR RAJAK</t>
  </si>
  <si>
    <t>V30835</t>
  </si>
  <si>
    <t>AJEET  KUMAR</t>
  </si>
  <si>
    <t>V30709</t>
  </si>
  <si>
    <t>V30659</t>
  </si>
  <si>
    <t>RANDHIR  KUMAR</t>
  </si>
  <si>
    <t>V25582</t>
  </si>
  <si>
    <t>V54598</t>
  </si>
  <si>
    <t>RAKESH KUMAR</t>
  </si>
  <si>
    <t>V53386</t>
  </si>
  <si>
    <t>V51235</t>
  </si>
  <si>
    <t>RISHU KUMAR BAJPAYEE</t>
  </si>
  <si>
    <t>V50988</t>
  </si>
  <si>
    <t>KHUSHI  KUMARI</t>
  </si>
  <si>
    <t>V50544</t>
  </si>
  <si>
    <t>Amar Kumar Sharma</t>
  </si>
  <si>
    <t>V48952</t>
  </si>
  <si>
    <t>CHANDANI  DEVI</t>
  </si>
  <si>
    <t>V47728</t>
  </si>
  <si>
    <t>V46254</t>
  </si>
  <si>
    <t>Gudiya  Devi</t>
  </si>
  <si>
    <t>V45857</t>
  </si>
  <si>
    <t>V45567</t>
  </si>
  <si>
    <t>PRAVEEN KUMAR JHA</t>
  </si>
  <si>
    <t>V42726</t>
  </si>
  <si>
    <t>RUPALI  KUMARI</t>
  </si>
  <si>
    <t>V40621</t>
  </si>
  <si>
    <t>SANNY  KUMAR</t>
  </si>
  <si>
    <t>V38832</t>
  </si>
  <si>
    <t>MUKESH KUMAR PODDAR</t>
  </si>
  <si>
    <t>V36001</t>
  </si>
  <si>
    <t>VISHAL KUMAR</t>
  </si>
  <si>
    <t>V35707</t>
  </si>
  <si>
    <t>KUMAR KRISHNA VERMA</t>
  </si>
  <si>
    <t>V30680</t>
  </si>
  <si>
    <t>MANGAL  KUMAR</t>
  </si>
  <si>
    <t>V29548</t>
  </si>
  <si>
    <t>V29543</t>
  </si>
  <si>
    <t>SUBODH</t>
  </si>
  <si>
    <t>V22250</t>
  </si>
  <si>
    <t>ANSHU  KUMAR</t>
  </si>
  <si>
    <t>V18354</t>
  </si>
  <si>
    <t>Jhunnu  Kumar</t>
  </si>
  <si>
    <t>V54486</t>
  </si>
  <si>
    <t>SHIVAM  DWIVEDI</t>
  </si>
  <si>
    <t>V51845</t>
  </si>
  <si>
    <t>V51483</t>
  </si>
  <si>
    <t>Ramayan  Singh</t>
  </si>
  <si>
    <t>V51342</t>
  </si>
  <si>
    <t>V46923</t>
  </si>
  <si>
    <t>Sapna  Devi</t>
  </si>
  <si>
    <t>V46922</t>
  </si>
  <si>
    <t>Dayanand  Kumar</t>
  </si>
  <si>
    <t>V46280</t>
  </si>
  <si>
    <t>Vikash  Yadav</t>
  </si>
  <si>
    <t>V44800</t>
  </si>
  <si>
    <t>Pinki Kumari</t>
  </si>
  <si>
    <t>V44662</t>
  </si>
  <si>
    <t>V44660</t>
  </si>
  <si>
    <t>Ram Ashish Ram</t>
  </si>
  <si>
    <t>V44658</t>
  </si>
  <si>
    <t>PIKESH  KUMAR</t>
  </si>
  <si>
    <t>V40512</t>
  </si>
  <si>
    <t>RAVINATH KUMAR SINGH</t>
  </si>
  <si>
    <t>V39573</t>
  </si>
  <si>
    <t>HARIBHAJAN KUMAR</t>
  </si>
  <si>
    <t>V36613</t>
  </si>
  <si>
    <t>DIWAKAR TIWARI</t>
  </si>
  <si>
    <t>V36519</t>
  </si>
  <si>
    <t>DABLU THAKUR</t>
  </si>
  <si>
    <t>V35703</t>
  </si>
  <si>
    <t>V32823</t>
  </si>
  <si>
    <t>V27958</t>
  </si>
  <si>
    <t>CHANDAN  MISHRA</t>
  </si>
  <si>
    <t>V27957</t>
  </si>
  <si>
    <t>SHARDHA  KUMARI</t>
  </si>
  <si>
    <t>V27896</t>
  </si>
  <si>
    <t>V27893</t>
  </si>
  <si>
    <t>V27753</t>
  </si>
  <si>
    <t>V27669</t>
  </si>
  <si>
    <t>MUNNA  PASWAN</t>
  </si>
  <si>
    <t>V19085</t>
  </si>
  <si>
    <t>MINKU  KUMAR</t>
  </si>
  <si>
    <t>V18544</t>
  </si>
  <si>
    <t>V54251</t>
  </si>
  <si>
    <t>V52905</t>
  </si>
  <si>
    <t>Papu  Kumar</t>
  </si>
  <si>
    <t>V52904</t>
  </si>
  <si>
    <t>V50994</t>
  </si>
  <si>
    <t>V47585</t>
  </si>
  <si>
    <t>AVHIRUP  PRASAD</t>
  </si>
  <si>
    <t>V47282</t>
  </si>
  <si>
    <t>V47281</t>
  </si>
  <si>
    <t>V46783</t>
  </si>
  <si>
    <t>SHIV SHAKTI KUMAR</t>
  </si>
  <si>
    <t>V40528</t>
  </si>
  <si>
    <t>V40527</t>
  </si>
  <si>
    <t>SANJIV KUMAR TONI</t>
  </si>
  <si>
    <t>V40150</t>
  </si>
  <si>
    <t>RAJENDRA KUMAR</t>
  </si>
  <si>
    <t>V36687</t>
  </si>
  <si>
    <t>RINA KUMARI</t>
  </si>
  <si>
    <t>V36379</t>
  </si>
  <si>
    <t>RAKHI  KUMARI</t>
  </si>
  <si>
    <t>V32826</t>
  </si>
  <si>
    <t>V32642</t>
  </si>
  <si>
    <t>BIBHA  KUMARI</t>
  </si>
  <si>
    <t>V32570</t>
  </si>
  <si>
    <t>INDRAJEET  PASWAN</t>
  </si>
  <si>
    <t>V32395</t>
  </si>
  <si>
    <t>NITU KUMARI SINGH</t>
  </si>
  <si>
    <t>V28847</t>
  </si>
  <si>
    <t>BIRENDAR  KUMAR</t>
  </si>
  <si>
    <t>V27526</t>
  </si>
  <si>
    <t>V27522</t>
  </si>
  <si>
    <t>AVINASH  KUMAR</t>
  </si>
  <si>
    <t>V27361</t>
  </si>
  <si>
    <t>101909841062</t>
  </si>
  <si>
    <t>AVISHEK  KUMAR</t>
  </si>
  <si>
    <t>V27348</t>
  </si>
  <si>
    <t>SHAMBHU  KUMAR</t>
  </si>
  <si>
    <t>V27212</t>
  </si>
  <si>
    <t>V27206</t>
  </si>
  <si>
    <t>V21805</t>
  </si>
  <si>
    <t>V15507</t>
  </si>
  <si>
    <t>V09888</t>
  </si>
  <si>
    <t>V53848</t>
  </si>
  <si>
    <t>V52907</t>
  </si>
  <si>
    <t>V51846</t>
  </si>
  <si>
    <t>SHAURYA  KUMAR</t>
  </si>
  <si>
    <t>V51641</t>
  </si>
  <si>
    <t>Suraj Kumar</t>
  </si>
  <si>
    <t>V48729</t>
  </si>
  <si>
    <t>Laxman Kumar Tanti</t>
  </si>
  <si>
    <t>V47233</t>
  </si>
  <si>
    <t>Chanda  Devi</t>
  </si>
  <si>
    <t>V46803</t>
  </si>
  <si>
    <t>Rinku  Devi</t>
  </si>
  <si>
    <t>V46802</t>
  </si>
  <si>
    <t>PRINCE KUMAR AZAD</t>
  </si>
  <si>
    <t>V40651</t>
  </si>
  <si>
    <t>SUNITA  KUMARI</t>
  </si>
  <si>
    <t>V40063</t>
  </si>
  <si>
    <t>KUMAR  SAURAV</t>
  </si>
  <si>
    <t>V37889</t>
  </si>
  <si>
    <t>V33758</t>
  </si>
  <si>
    <t>V32685</t>
  </si>
  <si>
    <t>SINKU  KUMAR</t>
  </si>
  <si>
    <t>V32180</t>
  </si>
  <si>
    <t>SWEETY  KUMARI</t>
  </si>
  <si>
    <t>V31991</t>
  </si>
  <si>
    <t>VIKKY KUMAR RAUT</t>
  </si>
  <si>
    <t>V31971</t>
  </si>
  <si>
    <t>ANISHA  KUMARI</t>
  </si>
  <si>
    <t>V31965</t>
  </si>
  <si>
    <t>V31717</t>
  </si>
  <si>
    <t>NIRAJ  KUMAR</t>
  </si>
  <si>
    <t>V14126</t>
  </si>
  <si>
    <t>V52776</t>
  </si>
  <si>
    <t>V52772</t>
  </si>
  <si>
    <t>Sanu Kumar Panday</t>
  </si>
  <si>
    <t>V50155</t>
  </si>
  <si>
    <t>V49938</t>
  </si>
  <si>
    <t>Hitesh Kumar Singh</t>
  </si>
  <si>
    <t>V48565</t>
  </si>
  <si>
    <t>Sapna  Kumari</t>
  </si>
  <si>
    <t>V47617</t>
  </si>
  <si>
    <t>V47616</t>
  </si>
  <si>
    <t>Nilam  Devi</t>
  </si>
  <si>
    <t>V45823</t>
  </si>
  <si>
    <t>RINKI KUMARI</t>
  </si>
  <si>
    <t>V44853</t>
  </si>
  <si>
    <t>V44596</t>
  </si>
  <si>
    <t>BABLU  KUMAR</t>
  </si>
  <si>
    <t>V39446</t>
  </si>
  <si>
    <t>V34152</t>
  </si>
  <si>
    <t>AMIT KUMAR SAH</t>
  </si>
  <si>
    <t>V30470</t>
  </si>
  <si>
    <t>RAHUL  RAJ</t>
  </si>
  <si>
    <t>V28408</t>
  </si>
  <si>
    <t>DHANESHWAR  SAH</t>
  </si>
  <si>
    <t>V28052</t>
  </si>
  <si>
    <t>V27870</t>
  </si>
  <si>
    <t>V27865</t>
  </si>
  <si>
    <t>MITHILESH KUMAR SHARMA</t>
  </si>
  <si>
    <t>V27799</t>
  </si>
  <si>
    <t>Abhishek  Bharti</t>
  </si>
  <si>
    <t>V53751</t>
  </si>
  <si>
    <t>V52860</t>
  </si>
  <si>
    <t>ABDHESH  KUMAR</t>
  </si>
  <si>
    <t>V52626</t>
  </si>
  <si>
    <t>RINKI  KUMARI</t>
  </si>
  <si>
    <t>V52625</t>
  </si>
  <si>
    <t>UTTAM KUMAR KUMAR</t>
  </si>
  <si>
    <t>V49414</t>
  </si>
  <si>
    <t>Mehrun NISHA Nisha</t>
  </si>
  <si>
    <t>V49411</t>
  </si>
  <si>
    <t>Banshi Kumar Singh</t>
  </si>
  <si>
    <t>V49410</t>
  </si>
  <si>
    <t>Sachin KUMAR Kumar</t>
  </si>
  <si>
    <t>V48563</t>
  </si>
  <si>
    <t>Badal KUMAR Kumar</t>
  </si>
  <si>
    <t>V47160</t>
  </si>
  <si>
    <t>ShazadI  KHATUN</t>
  </si>
  <si>
    <t>V45199</t>
  </si>
  <si>
    <t>Nisha KUMARI Kumari</t>
  </si>
  <si>
    <t>V44931</t>
  </si>
  <si>
    <t>Aditya  Raj</t>
  </si>
  <si>
    <t>V44929</t>
  </si>
  <si>
    <t>Kundan Prasad Tiwary</t>
  </si>
  <si>
    <t>V44015</t>
  </si>
  <si>
    <t>ANKIT KUMAR KUMAR</t>
  </si>
  <si>
    <t>V43810</t>
  </si>
  <si>
    <t>AADITYA  KUMAR</t>
  </si>
  <si>
    <t>V42718</t>
  </si>
  <si>
    <t>MD AURANGJEB  ALAM</t>
  </si>
  <si>
    <t>V42569</t>
  </si>
  <si>
    <t>V42104</t>
  </si>
  <si>
    <t>V40588</t>
  </si>
  <si>
    <t>RANI KUMARI KUMARI</t>
  </si>
  <si>
    <t>V40587</t>
  </si>
  <si>
    <t>V40304</t>
  </si>
  <si>
    <t>SHUBHAM KUMAR KUMAR</t>
  </si>
  <si>
    <t>V36329</t>
  </si>
  <si>
    <t>V31173</t>
  </si>
  <si>
    <t>V29408</t>
  </si>
  <si>
    <t>MD ZAKIR HUSSAIN</t>
  </si>
  <si>
    <t>V27854</t>
  </si>
  <si>
    <t>V27121</t>
  </si>
  <si>
    <t>V27095</t>
  </si>
  <si>
    <t>SIWANI  KUMARI</t>
  </si>
  <si>
    <t>V27018</t>
  </si>
  <si>
    <t>nitesh  kumar</t>
  </si>
  <si>
    <t>V54351</t>
  </si>
  <si>
    <t>Rasosh  Kumar</t>
  </si>
  <si>
    <t>V53870</t>
  </si>
  <si>
    <t>V53718</t>
  </si>
  <si>
    <t>ROCKY  KUMAR</t>
  </si>
  <si>
    <t>V53285</t>
  </si>
  <si>
    <t>Golu Kumar Prasad</t>
  </si>
  <si>
    <t>V52477</t>
  </si>
  <si>
    <t>V51729</t>
  </si>
  <si>
    <t>Varun Kumar Varun</t>
  </si>
  <si>
    <t>V51176</t>
  </si>
  <si>
    <t>V50375</t>
  </si>
  <si>
    <t>Seema  Rani</t>
  </si>
  <si>
    <t>V50374</t>
  </si>
  <si>
    <t>Budhan  Kumar</t>
  </si>
  <si>
    <t>V49966</t>
  </si>
  <si>
    <t>Amisha Kumari Gond</t>
  </si>
  <si>
    <t>V49398</t>
  </si>
  <si>
    <t>Pallavi  Kumari</t>
  </si>
  <si>
    <t>V48659</t>
  </si>
  <si>
    <t>V47847</t>
  </si>
  <si>
    <t>Shital  Kumari</t>
  </si>
  <si>
    <t>V47637</t>
  </si>
  <si>
    <t>V47452</t>
  </si>
  <si>
    <t>LOKI KUMAR</t>
  </si>
  <si>
    <t>V45784</t>
  </si>
  <si>
    <t>Satyam  Kumar</t>
  </si>
  <si>
    <t>V44124</t>
  </si>
  <si>
    <t>V42080</t>
  </si>
  <si>
    <t>DHAMENDRA KUMAR</t>
  </si>
  <si>
    <t>V36655</t>
  </si>
  <si>
    <t>VICKY  KUMAR</t>
  </si>
  <si>
    <t>V29122</t>
  </si>
  <si>
    <t>V26808</t>
  </si>
  <si>
    <t>MAHESH  KUMAR</t>
  </si>
  <si>
    <t>V26577</t>
  </si>
  <si>
    <t>UJIT  KUMAR</t>
  </si>
  <si>
    <t>V26405</t>
  </si>
  <si>
    <t>SANGEETA  KUMARI</t>
  </si>
  <si>
    <t>KUNDAN KUMAR VERMA</t>
  </si>
  <si>
    <t>V51458</t>
  </si>
  <si>
    <t>Bibha  Kumari</t>
  </si>
  <si>
    <t>V49590</t>
  </si>
  <si>
    <t>V45862</t>
  </si>
  <si>
    <t>Yamuna  Yadav</t>
  </si>
  <si>
    <t>V45795</t>
  </si>
  <si>
    <t>Devendr  Thakur</t>
  </si>
  <si>
    <t>V45793</t>
  </si>
  <si>
    <t>SUNAINA  KUMARI</t>
  </si>
  <si>
    <t>V40471</t>
  </si>
  <si>
    <t>SURYADEV KUMAR AKILA</t>
  </si>
  <si>
    <t>V40470</t>
  </si>
  <si>
    <t>BINOD KUMAR DAS</t>
  </si>
  <si>
    <t>V40464</t>
  </si>
  <si>
    <t>V39773</t>
  </si>
  <si>
    <t>VIKASH KUMAR UPADHYAY</t>
  </si>
  <si>
    <t>V39152</t>
  </si>
  <si>
    <t>SIYA DEVI</t>
  </si>
  <si>
    <t>V36561</t>
  </si>
  <si>
    <t>SATISH YADAV</t>
  </si>
  <si>
    <t>V36407</t>
  </si>
  <si>
    <t>V32961</t>
  </si>
  <si>
    <t>V32950</t>
  </si>
  <si>
    <t>SURAJ  TUDU</t>
  </si>
  <si>
    <t>V32651</t>
  </si>
  <si>
    <t>V32590</t>
  </si>
  <si>
    <t>KUNDAN KUMAR MODI</t>
  </si>
  <si>
    <t>V31933</t>
  </si>
  <si>
    <t>SUBHASH  KUMAR</t>
  </si>
  <si>
    <t>V29597</t>
  </si>
  <si>
    <t>KOMAL  KUMAR</t>
  </si>
  <si>
    <t>V29584</t>
  </si>
  <si>
    <t>JAI KUMAR SOREN</t>
  </si>
  <si>
    <t>V29570</t>
  </si>
  <si>
    <t>AYUB</t>
  </si>
  <si>
    <t>V29516</t>
  </si>
  <si>
    <t>V29513</t>
  </si>
  <si>
    <t>V29498</t>
  </si>
  <si>
    <t>RAJEEV KUMAR YADAV</t>
  </si>
  <si>
    <t>V29055</t>
  </si>
  <si>
    <t>ANANT KUMAR SHARMA</t>
  </si>
  <si>
    <t>V29052</t>
  </si>
  <si>
    <t>MONU KUMAR RAJAK</t>
  </si>
  <si>
    <t>V29051</t>
  </si>
  <si>
    <t>V25889</t>
  </si>
  <si>
    <t>MADAN KUMAR MANDAL</t>
  </si>
  <si>
    <t>V12709</t>
  </si>
  <si>
    <t>V53708</t>
  </si>
  <si>
    <t>Chhotu  Kumar</t>
  </si>
  <si>
    <t>V53707</t>
  </si>
  <si>
    <t>Dheeraj Kumar Ram</t>
  </si>
  <si>
    <t>V53088</t>
  </si>
  <si>
    <t>V52698</t>
  </si>
  <si>
    <t>Aditya  Kumar</t>
  </si>
  <si>
    <t>V52697</t>
  </si>
  <si>
    <t>V52695</t>
  </si>
  <si>
    <t>V52285</t>
  </si>
  <si>
    <t>CHANDAN KUMAR</t>
  </si>
  <si>
    <t>V51867</t>
  </si>
  <si>
    <t>V50723</t>
  </si>
  <si>
    <t>Bhola  Kumar</t>
  </si>
  <si>
    <t>V49527</t>
  </si>
  <si>
    <t>Mohammad  Samiullah</t>
  </si>
  <si>
    <t>V49515</t>
  </si>
  <si>
    <t>BHAGWAN  RAI</t>
  </si>
  <si>
    <t>V45751</t>
  </si>
  <si>
    <t>SNEHA  SHAH</t>
  </si>
  <si>
    <t>V41221</t>
  </si>
  <si>
    <t>RINKI  DEVI</t>
  </si>
  <si>
    <t>V40636</t>
  </si>
  <si>
    <t>REETESH KUMAR CHOUBEY</t>
  </si>
  <si>
    <t>V29029</t>
  </si>
  <si>
    <t>V27602</t>
  </si>
  <si>
    <t>CHANDAN  TIWARI</t>
  </si>
  <si>
    <t>V26470</t>
  </si>
  <si>
    <t>V26124</t>
  </si>
  <si>
    <t>V25826</t>
  </si>
  <si>
    <t>V25752</t>
  </si>
  <si>
    <t>RISHAB  SAGAR</t>
  </si>
  <si>
    <t>V25745</t>
  </si>
  <si>
    <t>UJJAVAL  KUMAR</t>
  </si>
  <si>
    <t>V53508</t>
  </si>
  <si>
    <t>MOHIT KUMAR SHARMA</t>
  </si>
  <si>
    <t>V52307</t>
  </si>
  <si>
    <t>V51647</t>
  </si>
  <si>
    <t>V51646</t>
  </si>
  <si>
    <t>Roushan  Kumar</t>
  </si>
  <si>
    <t>V50100</t>
  </si>
  <si>
    <t>V47826</t>
  </si>
  <si>
    <t>V47825</t>
  </si>
  <si>
    <t>Sanju  KUMARI</t>
  </si>
  <si>
    <t>V44742</t>
  </si>
  <si>
    <t>Sangita  Devi</t>
  </si>
  <si>
    <t>V44741</t>
  </si>
  <si>
    <t>Indra  Kunwar</t>
  </si>
  <si>
    <t>V44740</t>
  </si>
  <si>
    <t>V44737</t>
  </si>
  <si>
    <t>RANVEER JAIKER JAIKER</t>
  </si>
  <si>
    <t>V43173</t>
  </si>
  <si>
    <t>LALAN KUMAR</t>
  </si>
  <si>
    <t>V36352</t>
  </si>
  <si>
    <t>V32392</t>
  </si>
  <si>
    <t>RAJIV KUMAR SINGH</t>
  </si>
  <si>
    <t>V25998</t>
  </si>
  <si>
    <t>V24971</t>
  </si>
  <si>
    <t>PRIYANSHU  KUMARI</t>
  </si>
  <si>
    <t>V24215</t>
  </si>
  <si>
    <t>SHAILESH KUMAR SINGH</t>
  </si>
  <si>
    <t>V24149</t>
  </si>
  <si>
    <t>ANJANI KUMAR PATHAK</t>
  </si>
  <si>
    <t>V24148</t>
  </si>
  <si>
    <t>Dibesh Kumar Choubey</t>
  </si>
  <si>
    <t>V52754</t>
  </si>
  <si>
    <t>Deepak Kumar Mandal</t>
  </si>
  <si>
    <t>V50563</t>
  </si>
  <si>
    <t>Ankita  Kumari</t>
  </si>
  <si>
    <t>V50562</t>
  </si>
  <si>
    <t>V48908</t>
  </si>
  <si>
    <t>Amit Kumar Modi</t>
  </si>
  <si>
    <t>V48369</t>
  </si>
  <si>
    <t>NANDAN  KUMAR</t>
  </si>
  <si>
    <t>V42113</t>
  </si>
  <si>
    <t>ABHINANDAN  KUMAR</t>
  </si>
  <si>
    <t>V39940</t>
  </si>
  <si>
    <t>V39936</t>
  </si>
  <si>
    <t>NIRAJ KUMAR RAM</t>
  </si>
  <si>
    <t>V39150</t>
  </si>
  <si>
    <t>PIYUSH KUMAR</t>
  </si>
  <si>
    <t>V38790</t>
  </si>
  <si>
    <t>KHUSNUMA KHATUN</t>
  </si>
  <si>
    <t>V36631</t>
  </si>
  <si>
    <t>MD TANZEEM WARSI</t>
  </si>
  <si>
    <t>V36630</t>
  </si>
  <si>
    <t>V36505</t>
  </si>
  <si>
    <t>V36364</t>
  </si>
  <si>
    <t>ARCHANA . DEVI</t>
  </si>
  <si>
    <t>V36363</t>
  </si>
  <si>
    <t>MD TOUQUEER ANSARI</t>
  </si>
  <si>
    <t>V36361</t>
  </si>
  <si>
    <t>V35445</t>
  </si>
  <si>
    <t>V33943</t>
  </si>
  <si>
    <t>PRAVEEN  CHAUDHARY</t>
  </si>
  <si>
    <t>V33813</t>
  </si>
  <si>
    <t>V32368</t>
  </si>
  <si>
    <t>MR.RAHUL  KUMAR</t>
  </si>
  <si>
    <t>V31923</t>
  </si>
  <si>
    <t>SYED OMAIR HASAN</t>
  </si>
  <si>
    <t>V27734</t>
  </si>
  <si>
    <t>ADITYA  RAJ</t>
  </si>
  <si>
    <t>V25885</t>
  </si>
  <si>
    <t>ASHISH KUMAR DUBEY</t>
  </si>
  <si>
    <t>V22518</t>
  </si>
  <si>
    <t>RAVI KUMAR DAS</t>
  </si>
  <si>
    <t>V11047</t>
  </si>
  <si>
    <t>AMIT KUMAR AMAN</t>
  </si>
  <si>
    <t>V01701</t>
  </si>
  <si>
    <t>VANSH  RAJ</t>
  </si>
  <si>
    <t>V51230</t>
  </si>
  <si>
    <t>V49081</t>
  </si>
  <si>
    <t>Aman Raj Lakra</t>
  </si>
  <si>
    <t>V49080</t>
  </si>
  <si>
    <t>V48989</t>
  </si>
  <si>
    <t>KAJAL  KUMARI</t>
  </si>
  <si>
    <t>Asgar  Kuraisi</t>
  </si>
  <si>
    <t>V47026</t>
  </si>
  <si>
    <t>V46713</t>
  </si>
  <si>
    <t>KAJAL KUMARI</t>
  </si>
  <si>
    <t>V43836</t>
  </si>
  <si>
    <t>PRADIP KUMAR</t>
  </si>
  <si>
    <t>V43835</t>
  </si>
  <si>
    <t>V43807</t>
  </si>
  <si>
    <t>JOWA KIM TUDU</t>
  </si>
  <si>
    <t>V43806</t>
  </si>
  <si>
    <t>PRABHAKAR  PODDAR</t>
  </si>
  <si>
    <t>V37625</t>
  </si>
  <si>
    <t>V34450</t>
  </si>
  <si>
    <t>SULEKHA DEVI</t>
  </si>
  <si>
    <t>V33962</t>
  </si>
  <si>
    <t>AMIT KUMAR SHARMA</t>
  </si>
  <si>
    <t>V29424</t>
  </si>
  <si>
    <t>PUNYA  PRAKASH</t>
  </si>
  <si>
    <t>V27731</t>
  </si>
  <si>
    <t>V25029</t>
  </si>
  <si>
    <t>V24790</t>
  </si>
  <si>
    <t>DOLLY  KUMARI</t>
  </si>
  <si>
    <t>V24133</t>
  </si>
  <si>
    <t>BABLOO  KUMAR</t>
  </si>
  <si>
    <t>V15774</t>
  </si>
  <si>
    <t>V53310</t>
  </si>
  <si>
    <t>V52930</t>
  </si>
  <si>
    <t>V52580</t>
  </si>
  <si>
    <t>Kanchan  Kumari</t>
  </si>
  <si>
    <t>V50058</t>
  </si>
  <si>
    <t>Ritesh  Raj</t>
  </si>
  <si>
    <t>V49993</t>
  </si>
  <si>
    <t>Amar  Kumar</t>
  </si>
  <si>
    <t>V49791</t>
  </si>
  <si>
    <t>Kishan  Rajak</t>
  </si>
  <si>
    <t>V49123</t>
  </si>
  <si>
    <t>V49085</t>
  </si>
  <si>
    <t>V48297</t>
  </si>
  <si>
    <t>Roshni  Kumari</t>
  </si>
  <si>
    <t>V45532</t>
  </si>
  <si>
    <t>Sweta  Kumari</t>
  </si>
  <si>
    <t>V44017</t>
  </si>
  <si>
    <t>V39849</t>
  </si>
  <si>
    <t>V39070</t>
  </si>
  <si>
    <t>PARVATI  DEVI</t>
  </si>
  <si>
    <t>V34283</t>
  </si>
  <si>
    <t>ASHWANI  KUMAR</t>
  </si>
  <si>
    <t>V28045</t>
  </si>
  <si>
    <t>RAVI RANJAN KUMAR</t>
  </si>
  <si>
    <t>V26679</t>
  </si>
  <si>
    <t>V25280</t>
  </si>
  <si>
    <t>RUCHI  KUMARI</t>
  </si>
  <si>
    <t>V23640</t>
  </si>
  <si>
    <t>V23639</t>
  </si>
  <si>
    <t>V23446</t>
  </si>
  <si>
    <t>V23343</t>
  </si>
  <si>
    <t>V23227</t>
  </si>
  <si>
    <t>V19515</t>
  </si>
  <si>
    <t>ajay kumar rana</t>
  </si>
  <si>
    <t>V46656</t>
  </si>
  <si>
    <t>Rakesh Kumar Singh</t>
  </si>
  <si>
    <t>V45812</t>
  </si>
  <si>
    <t>Savita  Devi</t>
  </si>
  <si>
    <t>V45808</t>
  </si>
  <si>
    <t>V45437</t>
  </si>
  <si>
    <t>V45322</t>
  </si>
  <si>
    <t>V45090</t>
  </si>
  <si>
    <t>Sandip Kumar Sharma</t>
  </si>
  <si>
    <t>V44614</t>
  </si>
  <si>
    <t>SHILPI  KUMARI</t>
  </si>
  <si>
    <t>V41325</t>
  </si>
  <si>
    <t>V39242</t>
  </si>
  <si>
    <t>JIV RANJAN PRASAD</t>
  </si>
  <si>
    <t>V37681</t>
  </si>
  <si>
    <t>V37466</t>
  </si>
  <si>
    <t>CHANDRA  KISHORE</t>
  </si>
  <si>
    <t>V30664</t>
  </si>
  <si>
    <t>V29992</t>
  </si>
  <si>
    <t>SUSHANT  PATHAK</t>
  </si>
  <si>
    <t>V27790</t>
  </si>
  <si>
    <t>ANNU  KUMARI</t>
  </si>
  <si>
    <t>V26175</t>
  </si>
  <si>
    <t>V23802</t>
  </si>
  <si>
    <t>V19952</t>
  </si>
  <si>
    <t>V18963</t>
  </si>
  <si>
    <t>V18940</t>
  </si>
  <si>
    <t>V18935</t>
  </si>
  <si>
    <t>BRAJESH KUMAR SINGH</t>
  </si>
  <si>
    <t>V18889</t>
  </si>
  <si>
    <t>RAJEEV RANJAN SINGH</t>
  </si>
  <si>
    <t>V18836</t>
  </si>
  <si>
    <t>V18835</t>
  </si>
  <si>
    <t>V18833</t>
  </si>
  <si>
    <t>V18827</t>
  </si>
  <si>
    <t>AJIT KUMAR KUSHAWAHA</t>
  </si>
  <si>
    <t>V18826</t>
  </si>
  <si>
    <t>V18824</t>
  </si>
  <si>
    <t>UPENDRA KUMAR SINGH</t>
  </si>
  <si>
    <t>V07932</t>
  </si>
  <si>
    <t>V54495</t>
  </si>
  <si>
    <t>Kaushal  Kumar</t>
  </si>
  <si>
    <t>V54327</t>
  </si>
  <si>
    <t>V54262</t>
  </si>
  <si>
    <t>Robin  Pusp</t>
  </si>
  <si>
    <t>V54215</t>
  </si>
  <si>
    <t>V51262</t>
  </si>
  <si>
    <t>V49628</t>
  </si>
  <si>
    <t>V49612</t>
  </si>
  <si>
    <t>MD  SAMIR</t>
  </si>
  <si>
    <t>V48505</t>
  </si>
  <si>
    <t>V46866</t>
  </si>
  <si>
    <t>ANURANJAN KUMAR</t>
  </si>
  <si>
    <t>V44901</t>
  </si>
  <si>
    <t>DOLY  KUMARI</t>
  </si>
  <si>
    <t>V41019</t>
  </si>
  <si>
    <t>V40739</t>
  </si>
  <si>
    <t>V40726</t>
  </si>
  <si>
    <t>KAMOD  KUMAR</t>
  </si>
  <si>
    <t>V32957</t>
  </si>
  <si>
    <t>SHUBHAM  RAJ</t>
  </si>
  <si>
    <t>V28301</t>
  </si>
  <si>
    <t>RUPESH KUMAR SINGH</t>
  </si>
  <si>
    <t>V27561</t>
  </si>
  <si>
    <t>PRADIP KUMAR SINGH</t>
  </si>
  <si>
    <t>V26427</t>
  </si>
  <si>
    <t>V26157</t>
  </si>
  <si>
    <t>DEEPAK KUMAR SHARMA</t>
  </si>
  <si>
    <t>V25823</t>
  </si>
  <si>
    <t>DEVANAND  RAI</t>
  </si>
  <si>
    <t>V24317</t>
  </si>
  <si>
    <t>V24315</t>
  </si>
  <si>
    <t>RANJEET KUMAR SINGH</t>
  </si>
  <si>
    <t>V24096</t>
  </si>
  <si>
    <t>V23785</t>
  </si>
  <si>
    <t>V20966</t>
  </si>
  <si>
    <t>ROUSHAN  KUMAR</t>
  </si>
  <si>
    <t>V18659</t>
  </si>
  <si>
    <t>MITHILESH  PASWAN</t>
  </si>
  <si>
    <t>V18633</t>
  </si>
  <si>
    <t>RAMJI  CHOUDHARY</t>
  </si>
  <si>
    <t>V18476</t>
  </si>
  <si>
    <t>V18252</t>
  </si>
  <si>
    <t>V54509</t>
  </si>
  <si>
    <t>V48600</t>
  </si>
  <si>
    <t>Mukesh  Paswan</t>
  </si>
  <si>
    <t>V48590</t>
  </si>
  <si>
    <t>V48587</t>
  </si>
  <si>
    <t>Gudi  Devi</t>
  </si>
  <si>
    <t>V46759</t>
  </si>
  <si>
    <t>ABHAY  KUMAR</t>
  </si>
  <si>
    <t>V46527</t>
  </si>
  <si>
    <t>DILEEP KUMAR PASWAN</t>
  </si>
  <si>
    <t>V46525</t>
  </si>
  <si>
    <t>Rita  Devi</t>
  </si>
  <si>
    <t>V46061</t>
  </si>
  <si>
    <t>V45509</t>
  </si>
  <si>
    <t>Ravindra Kumar Mehta</t>
  </si>
  <si>
    <t>V45508</t>
  </si>
  <si>
    <t>V45340</t>
  </si>
  <si>
    <t>Rakesh Kumar Ram</t>
  </si>
  <si>
    <t>V45339</t>
  </si>
  <si>
    <t>Shambhu Kumar Paswan</t>
  </si>
  <si>
    <t>V45330</t>
  </si>
  <si>
    <t>Yogendra  Kumar</t>
  </si>
  <si>
    <t>V45329</t>
  </si>
  <si>
    <t>Ranju  Kumari</t>
  </si>
  <si>
    <t>V44226</t>
  </si>
  <si>
    <t>BIRANJAN  PASWAN</t>
  </si>
  <si>
    <t>V41224</t>
  </si>
  <si>
    <t>V39340</t>
  </si>
  <si>
    <t>V32621</t>
  </si>
  <si>
    <t>BULAND  KUMAR</t>
  </si>
  <si>
    <t>V32564</t>
  </si>
  <si>
    <t>LOVELY  KUMARI</t>
  </si>
  <si>
    <t>V24932</t>
  </si>
  <si>
    <t>AJIT KUMAR</t>
  </si>
  <si>
    <t>V23213</t>
  </si>
  <si>
    <t>VIJANDER  KUMAR</t>
  </si>
  <si>
    <t>V22524</t>
  </si>
  <si>
    <t>SIKIL  KUMAR</t>
  </si>
  <si>
    <t>V21659</t>
  </si>
  <si>
    <t>V20137</t>
  </si>
  <si>
    <t>V19683</t>
  </si>
  <si>
    <t>NITISH KUMAR PURI</t>
  </si>
  <si>
    <t>V19071</t>
  </si>
  <si>
    <t>AMITABH BACHCHAN KUMAR</t>
  </si>
  <si>
    <t>V19069</t>
  </si>
  <si>
    <t>PIYUSH KUMAR RAI</t>
  </si>
  <si>
    <t>V19065</t>
  </si>
  <si>
    <t>V18179</t>
  </si>
  <si>
    <t>AJIT KUMAR PATHAK</t>
  </si>
  <si>
    <t>V15516</t>
  </si>
  <si>
    <t>Kartik Kumar Sahu</t>
  </si>
  <si>
    <t>V54329</t>
  </si>
  <si>
    <t>GOPI KUMAR KUMAR</t>
  </si>
  <si>
    <t>V54292</t>
  </si>
  <si>
    <t>Ajay Kumar Safi</t>
  </si>
  <si>
    <t>V54291</t>
  </si>
  <si>
    <t>V52014</t>
  </si>
  <si>
    <t>V51931</t>
  </si>
  <si>
    <t>KHUSHBU  KUMARI</t>
  </si>
  <si>
    <t>V51457</t>
  </si>
  <si>
    <t>Dilkhush  Kumar</t>
  </si>
  <si>
    <t>V51227</t>
  </si>
  <si>
    <t>Ram Narayan Kumar</t>
  </si>
  <si>
    <t>V44576</t>
  </si>
  <si>
    <t>Rajani  Devi</t>
  </si>
  <si>
    <t>V44519</t>
  </si>
  <si>
    <t>V44518</t>
  </si>
  <si>
    <t>DURGESH  MANDAL</t>
  </si>
  <si>
    <t>V37468</t>
  </si>
  <si>
    <t>V36550</t>
  </si>
  <si>
    <t>MR. PRITI KUMARI</t>
  </si>
  <si>
    <t>V34583</t>
  </si>
  <si>
    <t>RAKESH  RAY</t>
  </si>
  <si>
    <t>V31870</t>
  </si>
  <si>
    <t>V31649</t>
  </si>
  <si>
    <t>BRAJA MOHAN JHA</t>
  </si>
  <si>
    <t>V27976</t>
  </si>
  <si>
    <t>RAJ  KAMAL</t>
  </si>
  <si>
    <t>V26101</t>
  </si>
  <si>
    <t>BABLU KUMAR YADAV</t>
  </si>
  <si>
    <t>V24174</t>
  </si>
  <si>
    <t>SHARDA NAND JHA</t>
  </si>
  <si>
    <t>V22581</t>
  </si>
  <si>
    <t>AMRESH KUMAR THAKUR</t>
  </si>
  <si>
    <t>V22093</t>
  </si>
  <si>
    <t>MUKESH  RAM</t>
  </si>
  <si>
    <t>V18948</t>
  </si>
  <si>
    <t>SHAMBHU  PASWAN</t>
  </si>
  <si>
    <t>V17061</t>
  </si>
  <si>
    <t>V54670</t>
  </si>
  <si>
    <t>Sabita  Devi</t>
  </si>
  <si>
    <t>V54669</t>
  </si>
  <si>
    <t>V54265</t>
  </si>
  <si>
    <t>Vicky  Kumar</t>
  </si>
  <si>
    <t>V54263</t>
  </si>
  <si>
    <t>V52808</t>
  </si>
  <si>
    <t>V52590</t>
  </si>
  <si>
    <t>Irshad  Aalam</t>
  </si>
  <si>
    <t>V52574</t>
  </si>
  <si>
    <t>V52279</t>
  </si>
  <si>
    <t>V51100</t>
  </si>
  <si>
    <t>NIKKI  KUMARI</t>
  </si>
  <si>
    <t>V49784</t>
  </si>
  <si>
    <t>V48754</t>
  </si>
  <si>
    <t>DIPALEE  KUMARI</t>
  </si>
  <si>
    <t>V48197</t>
  </si>
  <si>
    <t>RATNESH KUMAR PATHAK</t>
  </si>
  <si>
    <t>V47846</t>
  </si>
  <si>
    <t>V47178</t>
  </si>
  <si>
    <t>RAHUL  PANDEY</t>
  </si>
  <si>
    <t>V45948</t>
  </si>
  <si>
    <t>V45416</t>
  </si>
  <si>
    <t>V44467</t>
  </si>
  <si>
    <t>V44052</t>
  </si>
  <si>
    <t>V36571</t>
  </si>
  <si>
    <t>BIKKI  KUMAR</t>
  </si>
  <si>
    <t>V33432</t>
  </si>
  <si>
    <t>V33004</t>
  </si>
  <si>
    <t>KARISHMA  KUMARI</t>
  </si>
  <si>
    <t>V31358</t>
  </si>
  <si>
    <t>CHANDRAKANT  MISHRA</t>
  </si>
  <si>
    <t>V28056</t>
  </si>
  <si>
    <t>AMRITA  KUMARI</t>
  </si>
  <si>
    <t>V22151</t>
  </si>
  <si>
    <t>V19785</t>
  </si>
  <si>
    <t>PANKAJ KUMAR TIWARI</t>
  </si>
  <si>
    <t>V18078</t>
  </si>
  <si>
    <t>V54240</t>
  </si>
  <si>
    <t>Nirjala  Kumari</t>
  </si>
  <si>
    <t>V54239</t>
  </si>
  <si>
    <t>Sujeet Kumar Singh</t>
  </si>
  <si>
    <t>V54238</t>
  </si>
  <si>
    <t>V53657</t>
  </si>
  <si>
    <t>V53656</t>
  </si>
  <si>
    <t>Yuvraj  Kumar</t>
  </si>
  <si>
    <t>V50294</t>
  </si>
  <si>
    <t>Aman Kumar Raushan</t>
  </si>
  <si>
    <t>V50175</t>
  </si>
  <si>
    <t>V49575</t>
  </si>
  <si>
    <t>V48427</t>
  </si>
  <si>
    <t>V48184</t>
  </si>
  <si>
    <t>V46744</t>
  </si>
  <si>
    <t>V46717</t>
  </si>
  <si>
    <t>V46489</t>
  </si>
  <si>
    <t>AADRSH  KUMAR</t>
  </si>
  <si>
    <t>V45013</t>
  </si>
  <si>
    <t>UTTAM  KUMAR</t>
  </si>
  <si>
    <t>V44064</t>
  </si>
  <si>
    <t>V43588</t>
  </si>
  <si>
    <t>V43586</t>
  </si>
  <si>
    <t>INDRAJET  KUMAR</t>
  </si>
  <si>
    <t>V40668</t>
  </si>
  <si>
    <t>VIDYA  DEVI</t>
  </si>
  <si>
    <t>V39785</t>
  </si>
  <si>
    <t>SHYAMBALI  PASWAN</t>
  </si>
  <si>
    <t>V31805</t>
  </si>
  <si>
    <t>V30468</t>
  </si>
  <si>
    <t>MADHU  DEVI</t>
  </si>
  <si>
    <t>V27603</t>
  </si>
  <si>
    <t>SUJEET  KUMAR</t>
  </si>
  <si>
    <t>V24780</t>
  </si>
  <si>
    <t>V23282</t>
  </si>
  <si>
    <t>KUNDAN  SINGH</t>
  </si>
  <si>
    <t>V22262</t>
  </si>
  <si>
    <t>V22158</t>
  </si>
  <si>
    <t>V21774</t>
  </si>
  <si>
    <t>CHUNNA  KUMAR</t>
  </si>
  <si>
    <t>V21773</t>
  </si>
  <si>
    <t>V21170</t>
  </si>
  <si>
    <t>Shankar  Kumar</t>
  </si>
  <si>
    <t>V52863</t>
  </si>
  <si>
    <t>Daya Shankar Kumar</t>
  </si>
  <si>
    <t>V52861</t>
  </si>
  <si>
    <t>V51268</t>
  </si>
  <si>
    <t>V49505</t>
  </si>
  <si>
    <t>Dharmendra  Paswan</t>
  </si>
  <si>
    <t>V48696</t>
  </si>
  <si>
    <t>V48691</t>
  </si>
  <si>
    <t>Ramjee  Kumar</t>
  </si>
  <si>
    <t>V48591</t>
  </si>
  <si>
    <t>KANGRESH KUMAR</t>
  </si>
  <si>
    <t>V46778</t>
  </si>
  <si>
    <t>Saburti  Kunwar</t>
  </si>
  <si>
    <t>V44644</t>
  </si>
  <si>
    <t>V44643</t>
  </si>
  <si>
    <t>Sunauna  Devi</t>
  </si>
  <si>
    <t>V44638</t>
  </si>
  <si>
    <t>Sushma  Kumari</t>
  </si>
  <si>
    <t>V44631</t>
  </si>
  <si>
    <t>V40590</t>
  </si>
  <si>
    <t>LALAN  DAS</t>
  </si>
  <si>
    <t>V32655</t>
  </si>
  <si>
    <t>PUSPENDRA  KUMAR</t>
  </si>
  <si>
    <t>V32443</t>
  </si>
  <si>
    <t>MRITYUNJAY  KUMAR</t>
  </si>
  <si>
    <t>V28265</t>
  </si>
  <si>
    <t>BIKRANT KUMAR KUMAR</t>
  </si>
  <si>
    <t>V28112</t>
  </si>
  <si>
    <t>RAUSHAN  SINGH</t>
  </si>
  <si>
    <t>V28110</t>
  </si>
  <si>
    <t>V25976</t>
  </si>
  <si>
    <t>V24296</t>
  </si>
  <si>
    <t>V21313</t>
  </si>
  <si>
    <t>ATUL KUMAR SINGH</t>
  </si>
  <si>
    <t>V20984</t>
  </si>
  <si>
    <t>V20311</t>
  </si>
  <si>
    <t>V20096</t>
  </si>
  <si>
    <t>V19461</t>
  </si>
  <si>
    <t>AJEET KUMAR SINGH</t>
  </si>
  <si>
    <t>V19203</t>
  </si>
  <si>
    <t>V18539</t>
  </si>
  <si>
    <t>V17563</t>
  </si>
  <si>
    <t>PREM RANJAN KUMAR</t>
  </si>
  <si>
    <t>V15751</t>
  </si>
  <si>
    <t>V15514</t>
  </si>
  <si>
    <t>V15511</t>
  </si>
  <si>
    <t>V05892</t>
  </si>
  <si>
    <t>V53723</t>
  </si>
  <si>
    <t>Ravi  Soren</t>
  </si>
  <si>
    <t>V53166</t>
  </si>
  <si>
    <t>Abhishek Kumar Mishra</t>
  </si>
  <si>
    <t>V49839</t>
  </si>
  <si>
    <t>Akash  Raj</t>
  </si>
  <si>
    <t>V48491</t>
  </si>
  <si>
    <t>Niranjan  Kumar</t>
  </si>
  <si>
    <t>V48490</t>
  </si>
  <si>
    <t>Surujmuni  Devi</t>
  </si>
  <si>
    <t>V46793</t>
  </si>
  <si>
    <t>V46791</t>
  </si>
  <si>
    <t>V40757</t>
  </si>
  <si>
    <t>ROHIT KUMAR ROY</t>
  </si>
  <si>
    <t>V40756</t>
  </si>
  <si>
    <t>NAGMA KHATOON</t>
  </si>
  <si>
    <t>V37029</t>
  </si>
  <si>
    <t>ANKIT KUMAR CHAUDHARY</t>
  </si>
  <si>
    <t>V32530</t>
  </si>
  <si>
    <t>V30385</t>
  </si>
  <si>
    <t>SANKET  SOMKER</t>
  </si>
  <si>
    <t>V24426</t>
  </si>
  <si>
    <t>RAVINDRA KUMAR YADAV</t>
  </si>
  <si>
    <t>V22672</t>
  </si>
  <si>
    <t>V22671</t>
  </si>
  <si>
    <t>V22244</t>
  </si>
  <si>
    <t>MADHU  KUMARI</t>
  </si>
  <si>
    <t>V18206</t>
  </si>
  <si>
    <t>KUMAR  SANNI</t>
  </si>
  <si>
    <t>V16223</t>
  </si>
  <si>
    <t>RAJIV KUMAR MANDAL</t>
  </si>
  <si>
    <t>V14716</t>
  </si>
  <si>
    <t>V13368</t>
  </si>
  <si>
    <t>LAXMAN  KUMAR</t>
  </si>
  <si>
    <t>V13287</t>
  </si>
  <si>
    <t>V08168</t>
  </si>
  <si>
    <t>V53711</t>
  </si>
  <si>
    <t>V46307</t>
  </si>
  <si>
    <t>MD SHAHABUDDIN</t>
  </si>
  <si>
    <t>V45771</t>
  </si>
  <si>
    <t>Chitrarekha  Devi</t>
  </si>
  <si>
    <t>V44653</t>
  </si>
  <si>
    <t>V44651</t>
  </si>
  <si>
    <t>V40495</t>
  </si>
  <si>
    <t>VARSHA  KUMARI</t>
  </si>
  <si>
    <t>V40494</t>
  </si>
  <si>
    <t>ROSHAN  MISHRA</t>
  </si>
  <si>
    <t>V39298</t>
  </si>
  <si>
    <t>PRINCE RAJ SHARMA</t>
  </si>
  <si>
    <t>V35418</t>
  </si>
  <si>
    <t>RAJU  KUMAR</t>
  </si>
  <si>
    <t>V32357</t>
  </si>
  <si>
    <t>V32346</t>
  </si>
  <si>
    <t>V31556</t>
  </si>
  <si>
    <t>V28423</t>
  </si>
  <si>
    <t>V27902</t>
  </si>
  <si>
    <t>V27667</t>
  </si>
  <si>
    <t>V26822</t>
  </si>
  <si>
    <t>KAVIRAJ  KUMAR</t>
  </si>
  <si>
    <t>V26680</t>
  </si>
  <si>
    <t>PRAKASH RANJAN KUMAR</t>
  </si>
  <si>
    <t>V23464</t>
  </si>
  <si>
    <t>V21750</t>
  </si>
  <si>
    <t>MITHLESH KUMAR SRIVASTAVA</t>
  </si>
  <si>
    <t>V19779</t>
  </si>
  <si>
    <t>V19613</t>
  </si>
  <si>
    <t>V18275</t>
  </si>
  <si>
    <t>NITU  KUMARI</t>
  </si>
  <si>
    <t>V12596</t>
  </si>
  <si>
    <t>SOURAV  SUMAN</t>
  </si>
  <si>
    <t>V11913</t>
  </si>
  <si>
    <t>SUMIT KUMAR</t>
  </si>
  <si>
    <t>V53129</t>
  </si>
  <si>
    <t>SACHIN KUMAR</t>
  </si>
  <si>
    <t>V53128</t>
  </si>
  <si>
    <t>V52613</t>
  </si>
  <si>
    <t>SULEKHA KUMARI</t>
  </si>
  <si>
    <t>V50795</t>
  </si>
  <si>
    <t>Pawan Dev</t>
  </si>
  <si>
    <t>V47643</t>
  </si>
  <si>
    <t>Aradhna  Devi</t>
  </si>
  <si>
    <t>V45519</t>
  </si>
  <si>
    <t>V40561</t>
  </si>
  <si>
    <t>V40162</t>
  </si>
  <si>
    <t>KAILASH KUMAR</t>
  </si>
  <si>
    <t>V36371</t>
  </si>
  <si>
    <t>V35831</t>
  </si>
  <si>
    <t>PUJANAND KUMAR THAKUR</t>
  </si>
  <si>
    <t>V34438</t>
  </si>
  <si>
    <t>AMRESH  KUMAR</t>
  </si>
  <si>
    <t>V30017</t>
  </si>
  <si>
    <t>V29842</t>
  </si>
  <si>
    <t>SHALANI RAY</t>
  </si>
  <si>
    <t>V28174</t>
  </si>
  <si>
    <t>V27915</t>
  </si>
  <si>
    <t>PAYAL  KUMARI</t>
  </si>
  <si>
    <t>V27538</t>
  </si>
  <si>
    <t>V25457</t>
  </si>
  <si>
    <t>V24176</t>
  </si>
  <si>
    <t>V21960</t>
  </si>
  <si>
    <t>V12560</t>
  </si>
  <si>
    <t>VAKIL  KUMAR</t>
  </si>
  <si>
    <t>V10467</t>
  </si>
  <si>
    <t>V06088</t>
  </si>
  <si>
    <t>Sumit Kumar Singh</t>
  </si>
  <si>
    <t>V54250</t>
  </si>
  <si>
    <t>V53961</t>
  </si>
  <si>
    <t>Rajdeep  Yadav</t>
  </si>
  <si>
    <t>V53960</t>
  </si>
  <si>
    <t>Rabis  Kumar</t>
  </si>
  <si>
    <t>V53892</t>
  </si>
  <si>
    <t>V53891</t>
  </si>
  <si>
    <t>Mahesh  Yadav</t>
  </si>
  <si>
    <t>V52848</t>
  </si>
  <si>
    <t>Rajesh  Das</t>
  </si>
  <si>
    <t>V52598</t>
  </si>
  <si>
    <t>KESHAV  KUMAR</t>
  </si>
  <si>
    <t>V49849</t>
  </si>
  <si>
    <t>Vinayvineet</t>
  </si>
  <si>
    <t>V49098</t>
  </si>
  <si>
    <t>KRANTI  DEVI</t>
  </si>
  <si>
    <t>V49097</t>
  </si>
  <si>
    <t>V48190</t>
  </si>
  <si>
    <t>Rahul  KUMAR</t>
  </si>
  <si>
    <t>V47877</t>
  </si>
  <si>
    <t>V46407</t>
  </si>
  <si>
    <t>Mukesh  Kumar</t>
  </si>
  <si>
    <t>V45167</t>
  </si>
  <si>
    <t>V37893</t>
  </si>
  <si>
    <t>V33162</t>
  </si>
  <si>
    <t>V33070</t>
  </si>
  <si>
    <t>PREM  KUMAR</t>
  </si>
  <si>
    <t>V32383</t>
  </si>
  <si>
    <t>V27596</t>
  </si>
  <si>
    <t>V27593</t>
  </si>
  <si>
    <t>V27566</t>
  </si>
  <si>
    <t>V26297</t>
  </si>
  <si>
    <t>VANDNA  DEVI</t>
  </si>
  <si>
    <t>V18670</t>
  </si>
  <si>
    <t>SANYOG  KUMAR</t>
  </si>
  <si>
    <t>V18122</t>
  </si>
  <si>
    <t>V18005</t>
  </si>
  <si>
    <t>V16446</t>
  </si>
  <si>
    <t>MAYANK  KUMAR</t>
  </si>
  <si>
    <t>V15690</t>
  </si>
  <si>
    <t>V15559</t>
  </si>
  <si>
    <t>V15468</t>
  </si>
  <si>
    <t>SHRAVAN  KUMAR</t>
  </si>
  <si>
    <t>V14249</t>
  </si>
  <si>
    <t>KUMAR SHANTI BHUSHAN</t>
  </si>
  <si>
    <t>V12170</t>
  </si>
  <si>
    <t>102021138122</t>
  </si>
  <si>
    <t>V08681</t>
  </si>
  <si>
    <t>Krishan  Karan</t>
  </si>
  <si>
    <t>V54663</t>
  </si>
  <si>
    <t>Abhishek Kumar Ray</t>
  </si>
  <si>
    <t>V54661</t>
  </si>
  <si>
    <t>V52566</t>
  </si>
  <si>
    <t>V44514</t>
  </si>
  <si>
    <t>V40795</t>
  </si>
  <si>
    <t>V37062</t>
  </si>
  <si>
    <t>KIRAN KUMARI</t>
  </si>
  <si>
    <t>V35709</t>
  </si>
  <si>
    <t>KUNDAN KUMAR SINGH</t>
  </si>
  <si>
    <t>V30938</t>
  </si>
  <si>
    <t>V30293</t>
  </si>
  <si>
    <t>V29064</t>
  </si>
  <si>
    <t>V26252</t>
  </si>
  <si>
    <t>V26242</t>
  </si>
  <si>
    <t>BIPIN  KUMAR</t>
  </si>
  <si>
    <t>V26193</t>
  </si>
  <si>
    <t>V25966</t>
  </si>
  <si>
    <t>MITHLESH  KUMAR</t>
  </si>
  <si>
    <t>V24831</t>
  </si>
  <si>
    <t>SANJU  DEVI</t>
  </si>
  <si>
    <t>V24829</t>
  </si>
  <si>
    <t>V21894</t>
  </si>
  <si>
    <t>V21003</t>
  </si>
  <si>
    <t>MD  SHAMSAD</t>
  </si>
  <si>
    <t>V20395</t>
  </si>
  <si>
    <t>VINITA  DEVI</t>
  </si>
  <si>
    <t>V18286</t>
  </si>
  <si>
    <t>SUKESH  SHARMA</t>
  </si>
  <si>
    <t>V10572</t>
  </si>
  <si>
    <t>RAMAN  KUMAR</t>
  </si>
  <si>
    <t>V53838</t>
  </si>
  <si>
    <t>V52552</t>
  </si>
  <si>
    <t>Shivshankar  Kumar</t>
  </si>
  <si>
    <t>V52007</t>
  </si>
  <si>
    <t>Govinda  Kumar</t>
  </si>
  <si>
    <t>V50308</t>
  </si>
  <si>
    <t>V49426</t>
  </si>
  <si>
    <t>V49021</t>
  </si>
  <si>
    <t>SURAJ SINGH KUMAR</t>
  </si>
  <si>
    <t>V46660</t>
  </si>
  <si>
    <t>Akash  kumar</t>
  </si>
  <si>
    <t>V45480</t>
  </si>
  <si>
    <t>Muni  Devi</t>
  </si>
  <si>
    <t>V45424</t>
  </si>
  <si>
    <t>V45423</t>
  </si>
  <si>
    <t>V45241</t>
  </si>
  <si>
    <t>V42014</t>
  </si>
  <si>
    <t>V41364</t>
  </si>
  <si>
    <t>V41324</t>
  </si>
  <si>
    <t>V41322</t>
  </si>
  <si>
    <t>V39701</t>
  </si>
  <si>
    <t>MD  MASOOM</t>
  </si>
  <si>
    <t>V37121</t>
  </si>
  <si>
    <t>V36020</t>
  </si>
  <si>
    <t>V32635</t>
  </si>
  <si>
    <t>102028876742</t>
  </si>
  <si>
    <t>VIVEK  RANJAN</t>
  </si>
  <si>
    <t>V27883</t>
  </si>
  <si>
    <t>KABINDAR KUMAR</t>
  </si>
  <si>
    <t>V27838</t>
  </si>
  <si>
    <t>BADAL KUMAR PASWAN</t>
  </si>
  <si>
    <t>V27833</t>
  </si>
  <si>
    <t>RANJEET KUMAR</t>
  </si>
  <si>
    <t>V27531</t>
  </si>
  <si>
    <t>V25996</t>
  </si>
  <si>
    <t>V19628</t>
  </si>
  <si>
    <t>V16828</t>
  </si>
  <si>
    <t>Madhuri  Kumari</t>
  </si>
  <si>
    <t>V54463</t>
  </si>
  <si>
    <t>Madhu  Kumar</t>
  </si>
  <si>
    <t>V54461</t>
  </si>
  <si>
    <t>V54460</t>
  </si>
  <si>
    <t>Prabhash  Kumar</t>
  </si>
  <si>
    <t>V52911</t>
  </si>
  <si>
    <t>V50695</t>
  </si>
  <si>
    <t>Lalu  Kumar</t>
  </si>
  <si>
    <t>V49100</t>
  </si>
  <si>
    <t>Kanti  Devi</t>
  </si>
  <si>
    <t>V48191</t>
  </si>
  <si>
    <t>MD. Taaz Alam</t>
  </si>
  <si>
    <t>V46362</t>
  </si>
  <si>
    <t>Bibha  Devi</t>
  </si>
  <si>
    <t>V45663</t>
  </si>
  <si>
    <t>V42340</t>
  </si>
  <si>
    <t>V40789</t>
  </si>
  <si>
    <t>V40672</t>
  </si>
  <si>
    <t>ROJI KUMARI</t>
  </si>
  <si>
    <t>V36446</t>
  </si>
  <si>
    <t>V32468</t>
  </si>
  <si>
    <t>V32405</t>
  </si>
  <si>
    <t>V32403</t>
  </si>
  <si>
    <t>SHIV NIDHI KUMAR</t>
  </si>
  <si>
    <t>V30851</t>
  </si>
  <si>
    <t>V27604</t>
  </si>
  <si>
    <t>SANTOSH  RAUT</t>
  </si>
  <si>
    <t>V23867</t>
  </si>
  <si>
    <t>LALIT KISHOR YADAV</t>
  </si>
  <si>
    <t>V23557</t>
  </si>
  <si>
    <t>V23109</t>
  </si>
  <si>
    <t>V21936</t>
  </si>
  <si>
    <t>V21880</t>
  </si>
  <si>
    <t>RAM  KUMAR</t>
  </si>
  <si>
    <t>V21664</t>
  </si>
  <si>
    <t>KAVITA  KUMARI</t>
  </si>
  <si>
    <t>V20004</t>
  </si>
  <si>
    <t>V20003</t>
  </si>
  <si>
    <t>V18034</t>
  </si>
  <si>
    <t>RAM PRAMOD YADAV</t>
  </si>
  <si>
    <t>V16242</t>
  </si>
  <si>
    <t>UMESH  RAY</t>
  </si>
  <si>
    <t>V13502</t>
  </si>
  <si>
    <t>BIHARI KUMAR SINGH</t>
  </si>
  <si>
    <t>V12251</t>
  </si>
  <si>
    <t>RAMESH KUMAR JHA</t>
  </si>
  <si>
    <t>V06741</t>
  </si>
  <si>
    <t>V06719</t>
  </si>
  <si>
    <t>Rajnish Kumar Gupta</t>
  </si>
  <si>
    <t>V50373</t>
  </si>
  <si>
    <t>Neelam  Devi</t>
  </si>
  <si>
    <t>V48873</t>
  </si>
  <si>
    <t>V47855</t>
  </si>
  <si>
    <t>V47402</t>
  </si>
  <si>
    <t>Mithilesh  Kumar</t>
  </si>
  <si>
    <t>V46522</t>
  </si>
  <si>
    <t>Kartik  Solanki</t>
  </si>
  <si>
    <t>V45217</t>
  </si>
  <si>
    <t>NAND  KUMAR</t>
  </si>
  <si>
    <t>V40974</t>
  </si>
  <si>
    <t>V33218</t>
  </si>
  <si>
    <t>V33092</t>
  </si>
  <si>
    <t>V32582</t>
  </si>
  <si>
    <t>V32581</t>
  </si>
  <si>
    <t>V31149</t>
  </si>
  <si>
    <t>MANISH  RAJAK</t>
  </si>
  <si>
    <t>V28547</t>
  </si>
  <si>
    <t>V28190</t>
  </si>
  <si>
    <t>V23324</t>
  </si>
  <si>
    <t>V22946</t>
  </si>
  <si>
    <t>V16522</t>
  </si>
  <si>
    <t>PAWAN KUMAR SHARMA</t>
  </si>
  <si>
    <t>V15847</t>
  </si>
  <si>
    <t>V15662</t>
  </si>
  <si>
    <t>V15657</t>
  </si>
  <si>
    <t>V14309</t>
  </si>
  <si>
    <t>V11647</t>
  </si>
  <si>
    <t>MUKKU  KUMAR</t>
  </si>
  <si>
    <t>V09795</t>
  </si>
  <si>
    <t>V09794</t>
  </si>
  <si>
    <t>V07989</t>
  </si>
  <si>
    <t>V07363</t>
  </si>
  <si>
    <t>V06243</t>
  </si>
  <si>
    <t>V06072</t>
  </si>
  <si>
    <t>AMARJET  PASWAN</t>
  </si>
  <si>
    <t>V06055</t>
  </si>
  <si>
    <t>MUNNU  KUMAR</t>
  </si>
  <si>
    <t>V06050</t>
  </si>
  <si>
    <t>V06049</t>
  </si>
  <si>
    <t>Kumari Archana Ram</t>
  </si>
  <si>
    <t>V54229</t>
  </si>
  <si>
    <t>Bibek Kumar Yadav</t>
  </si>
  <si>
    <t>V54228</t>
  </si>
  <si>
    <t>V53592</t>
  </si>
  <si>
    <t>Tanuja  Kumari</t>
  </si>
  <si>
    <t>V53078</t>
  </si>
  <si>
    <t>Ashish Kumar Mishra</t>
  </si>
  <si>
    <t>V53077</t>
  </si>
  <si>
    <t>Ritesh  Giri</t>
  </si>
  <si>
    <t>V52952</t>
  </si>
  <si>
    <t>ANURAG  KUMAR</t>
  </si>
  <si>
    <t>V48296</t>
  </si>
  <si>
    <t>Vishal Kumar Yadav</t>
  </si>
  <si>
    <t>V48295</t>
  </si>
  <si>
    <t>Rakesh Kumar Manjhi</t>
  </si>
  <si>
    <t>V46801</t>
  </si>
  <si>
    <t>Sandeep Kumar Baitha</t>
  </si>
  <si>
    <t>V45422</t>
  </si>
  <si>
    <t>DHARMVIR KUMAR YADAV</t>
  </si>
  <si>
    <t>V40986</t>
  </si>
  <si>
    <t>V40984</t>
  </si>
  <si>
    <t>BHARTI  KUMARI</t>
  </si>
  <si>
    <t>V38490</t>
  </si>
  <si>
    <t>V36245</t>
  </si>
  <si>
    <t>V34758</t>
  </si>
  <si>
    <t>KAJAL CHAURASIYA</t>
  </si>
  <si>
    <t>V30404</t>
  </si>
  <si>
    <t>V30182</t>
  </si>
  <si>
    <t>ABHIMANYU  KUMAR</t>
  </si>
  <si>
    <t>V24237</t>
  </si>
  <si>
    <t>V24059</t>
  </si>
  <si>
    <t>SUGANTI  DEVI</t>
  </si>
  <si>
    <t>V24047</t>
  </si>
  <si>
    <t>ANSHU  KUMARI</t>
  </si>
  <si>
    <t>V21662</t>
  </si>
  <si>
    <t>SARFARAZ  AHMAD</t>
  </si>
  <si>
    <t>V21661</t>
  </si>
  <si>
    <t>MOHIT PRASAD BARNWAL</t>
  </si>
  <si>
    <t>V20684</t>
  </si>
  <si>
    <t>SANUJ KUMAR CHAURASIYA</t>
  </si>
  <si>
    <t>V20070</t>
  </si>
  <si>
    <t>V16431</t>
  </si>
  <si>
    <t>GITA  DEVI</t>
  </si>
  <si>
    <t>V15360</t>
  </si>
  <si>
    <t>RAHUL KUMAR MAJHI</t>
  </si>
  <si>
    <t>V14170</t>
  </si>
  <si>
    <t>VIKASH KUMAR RAM</t>
  </si>
  <si>
    <t>V08500</t>
  </si>
  <si>
    <t>V06904</t>
  </si>
  <si>
    <t>JYOTISH  KUMAR</t>
  </si>
  <si>
    <t>Divakar  Kumar</t>
  </si>
  <si>
    <t>V54480</t>
  </si>
  <si>
    <t>V53977</t>
  </si>
  <si>
    <t>Krishna  Kumar</t>
  </si>
  <si>
    <t>Anshu  Raj</t>
  </si>
  <si>
    <t>V52752</t>
  </si>
  <si>
    <t>V50293</t>
  </si>
  <si>
    <t>Anjali  Kumari</t>
  </si>
  <si>
    <t>V49040</t>
  </si>
  <si>
    <t>Bajrang Kumar Sinha</t>
  </si>
  <si>
    <t>V48470</t>
  </si>
  <si>
    <t>V48315</t>
  </si>
  <si>
    <t>Parlok  Kumar</t>
  </si>
  <si>
    <t>V47120</t>
  </si>
  <si>
    <t>V46880</t>
  </si>
  <si>
    <t>MD. AKRAM</t>
  </si>
  <si>
    <t>V46529</t>
  </si>
  <si>
    <t>VIKAS DAS</t>
  </si>
  <si>
    <t>V44456</t>
  </si>
  <si>
    <t>SONIYA  KUMARI</t>
  </si>
  <si>
    <t>V42091</t>
  </si>
  <si>
    <t>V40503</t>
  </si>
  <si>
    <t>SHARWAN  KUMAR</t>
  </si>
  <si>
    <t>V39159</t>
  </si>
  <si>
    <t>MOUSAM  KUMARI</t>
  </si>
  <si>
    <t>V32404</t>
  </si>
  <si>
    <t>RAKESH  BISHWAS</t>
  </si>
  <si>
    <t>V26217</t>
  </si>
  <si>
    <t>V23402</t>
  </si>
  <si>
    <t>MITHTHU  KUMAR</t>
  </si>
  <si>
    <t>V21641</t>
  </si>
  <si>
    <t>RAMAN KUMAR BHARTI</t>
  </si>
  <si>
    <t>V19988</t>
  </si>
  <si>
    <t>NAVAL KISHOR RAJAK</t>
  </si>
  <si>
    <t>V18458</t>
  </si>
  <si>
    <t>V16543</t>
  </si>
  <si>
    <t>GAURI  DEVI</t>
  </si>
  <si>
    <t>V16205</t>
  </si>
  <si>
    <t>V15535</t>
  </si>
  <si>
    <t>V13993</t>
  </si>
  <si>
    <t>SANJAY KUMAR MEHTA</t>
  </si>
  <si>
    <t>V02375</t>
  </si>
  <si>
    <t>V54690</t>
  </si>
  <si>
    <t>V54345</t>
  </si>
  <si>
    <t>Varsha  Kumari</t>
  </si>
  <si>
    <t>V54254</t>
  </si>
  <si>
    <t>V54253</t>
  </si>
  <si>
    <t>V53682</t>
  </si>
  <si>
    <t>Maneesh  Mani</t>
  </si>
  <si>
    <t>V50998</t>
  </si>
  <si>
    <t>Mahesh Kumar Panday</t>
  </si>
  <si>
    <t>V46696</t>
  </si>
  <si>
    <t>Sudhir Kumar Singh</t>
  </si>
  <si>
    <t>V46695</t>
  </si>
  <si>
    <t>BASANTI  DEVI</t>
  </si>
  <si>
    <t>V46078</t>
  </si>
  <si>
    <t>V46076</t>
  </si>
  <si>
    <t>V40788</t>
  </si>
  <si>
    <t>V40787</t>
  </si>
  <si>
    <t>V40786</t>
  </si>
  <si>
    <t>V40441</t>
  </si>
  <si>
    <t>SHRI  RANJAN</t>
  </si>
  <si>
    <t>V37347</t>
  </si>
  <si>
    <t>PAWAN KUMAR SINGH</t>
  </si>
  <si>
    <t>V36761</t>
  </si>
  <si>
    <t>V34276</t>
  </si>
  <si>
    <t>ANKIT KUMAR JHA</t>
  </si>
  <si>
    <t>V34102</t>
  </si>
  <si>
    <t>V33165</t>
  </si>
  <si>
    <t>V32285</t>
  </si>
  <si>
    <t>RAJNIKANT  PANDEY</t>
  </si>
  <si>
    <t>V27583</t>
  </si>
  <si>
    <t>V24914</t>
  </si>
  <si>
    <t>V24754</t>
  </si>
  <si>
    <t>AMARNATH  YADAV</t>
  </si>
  <si>
    <t>V24751</t>
  </si>
  <si>
    <t>V24750</t>
  </si>
  <si>
    <t>PARASHURAM  KUMAR</t>
  </si>
  <si>
    <t>V24664</t>
  </si>
  <si>
    <t>RAMPUKAR</t>
  </si>
  <si>
    <t>V24443</t>
  </si>
  <si>
    <t>SUNDAR CHAND KUMAR</t>
  </si>
  <si>
    <t>V22925</t>
  </si>
  <si>
    <t>MUNNA  GOND</t>
  </si>
  <si>
    <t>V22922</t>
  </si>
  <si>
    <t>UDAY SHANKAR YADAV</t>
  </si>
  <si>
    <t>V22589</t>
  </si>
  <si>
    <t>V22445</t>
  </si>
  <si>
    <t>V20643</t>
  </si>
  <si>
    <t>V18794</t>
  </si>
  <si>
    <t>DHANJEE  KUMAR</t>
  </si>
  <si>
    <t>V18793</t>
  </si>
  <si>
    <t>V13185</t>
  </si>
  <si>
    <t>KRISHNA KUMAR SINGH</t>
  </si>
  <si>
    <t>V12521</t>
  </si>
  <si>
    <t>GOVINDA  KUMAR</t>
  </si>
  <si>
    <t>V05679</t>
  </si>
  <si>
    <t>SATYENDRA KUMAR DUBEY</t>
  </si>
  <si>
    <t>V04516</t>
  </si>
  <si>
    <t>SURYA KUMAR YADAV</t>
  </si>
  <si>
    <t>V03618</t>
  </si>
  <si>
    <t>HARI NARAYAN YADAV</t>
  </si>
  <si>
    <t>V03472</t>
  </si>
  <si>
    <t>RAMNARAYAN  PANDEY</t>
  </si>
  <si>
    <t>V03183</t>
  </si>
  <si>
    <t>RAJNISH KUMAR SINGH</t>
  </si>
  <si>
    <t>V00932</t>
  </si>
  <si>
    <t>SURENDRA  PRASAD</t>
  </si>
  <si>
    <t>V53411</t>
  </si>
  <si>
    <t>Kumari  Soumya</t>
  </si>
  <si>
    <t>V53062</t>
  </si>
  <si>
    <t>V52996</t>
  </si>
  <si>
    <t>V51402</t>
  </si>
  <si>
    <t>Saheb  Kumar</t>
  </si>
  <si>
    <t>V48848</t>
  </si>
  <si>
    <t>V45802</t>
  </si>
  <si>
    <t>Satprakash  Raya</t>
  </si>
  <si>
    <t>V45801</t>
  </si>
  <si>
    <t>Mayank  Swaroop</t>
  </si>
  <si>
    <t>V45799</t>
  </si>
  <si>
    <t>RAJAN KUMAR MISHRA</t>
  </si>
  <si>
    <t>V41610</t>
  </si>
  <si>
    <t>V41168</t>
  </si>
  <si>
    <t>JAYPRAKASH  KUMAR</t>
  </si>
  <si>
    <t>V41164</t>
  </si>
  <si>
    <t>V34457</t>
  </si>
  <si>
    <t>DEVENDRA  KUMAR</t>
  </si>
  <si>
    <t>V33655</t>
  </si>
  <si>
    <t>SANJIV  KUMAR</t>
  </si>
  <si>
    <t>V32828</t>
  </si>
  <si>
    <t>V32387</t>
  </si>
  <si>
    <t>SHIVAM KUMAR DUBEY</t>
  </si>
  <si>
    <t>V32157</t>
  </si>
  <si>
    <t>V32155</t>
  </si>
  <si>
    <t>MANNU  YADAV</t>
  </si>
  <si>
    <t>V29795</t>
  </si>
  <si>
    <t>V26356</t>
  </si>
  <si>
    <t>ENDRAMANI  PANDEY</t>
  </si>
  <si>
    <t>V25643</t>
  </si>
  <si>
    <t>RAMESH  PASWAN</t>
  </si>
  <si>
    <t>V25496</t>
  </si>
  <si>
    <t>ANUP KUMAR TIWARI</t>
  </si>
  <si>
    <t>V24668</t>
  </si>
  <si>
    <t>PRINCE KUMAR CHAUDHRI</t>
  </si>
  <si>
    <t>V23658</t>
  </si>
  <si>
    <t>V22937</t>
  </si>
  <si>
    <t>V22936</t>
  </si>
  <si>
    <t>V22493</t>
  </si>
  <si>
    <t>V22400</t>
  </si>
  <si>
    <t>PRABHAT  KUMAR</t>
  </si>
  <si>
    <t>V22088</t>
  </si>
  <si>
    <t>NIKHILESH  PASWAN</t>
  </si>
  <si>
    <t>V21786</t>
  </si>
  <si>
    <t>PRIYANSHU  KUMAR</t>
  </si>
  <si>
    <t>V21727</t>
  </si>
  <si>
    <t>V20819</t>
  </si>
  <si>
    <t>SHIVAJI  SHARMA</t>
  </si>
  <si>
    <t>V20805</t>
  </si>
  <si>
    <t>SATRUDHAN  RAI</t>
  </si>
  <si>
    <t>V20804</t>
  </si>
  <si>
    <t>MINTA  DEVI</t>
  </si>
  <si>
    <t>V18257</t>
  </si>
  <si>
    <t>V13930</t>
  </si>
  <si>
    <t>VED PRAKASH GUPTA</t>
  </si>
  <si>
    <t>V13869</t>
  </si>
  <si>
    <t>V09641</t>
  </si>
  <si>
    <t>RAVI  BHUSHAN</t>
  </si>
  <si>
    <t>V08361</t>
  </si>
  <si>
    <t>RAMAYAN  THAKUR</t>
  </si>
  <si>
    <t>V04515</t>
  </si>
  <si>
    <t>VIJAY  SHARMA</t>
  </si>
  <si>
    <t>V03487</t>
  </si>
  <si>
    <t>EAKBAL  AHMAD</t>
  </si>
  <si>
    <t>V03193</t>
  </si>
  <si>
    <t>GUDIYA  DEVI</t>
  </si>
  <si>
    <t>V02414</t>
  </si>
  <si>
    <t>V02413</t>
  </si>
  <si>
    <t>AJEET KUMAR PANDEY</t>
  </si>
  <si>
    <t>V02071</t>
  </si>
  <si>
    <t>CHANDRA PRABHA DEVI</t>
  </si>
  <si>
    <t>V01916</t>
  </si>
  <si>
    <t>ATESHAM  AHAMAD</t>
  </si>
  <si>
    <t>V01888</t>
  </si>
  <si>
    <t>SANTOSH  KUSHWHA</t>
  </si>
  <si>
    <t>V01883</t>
  </si>
  <si>
    <t>V51879</t>
  </si>
  <si>
    <t>Rahul Kumar Chaudhary</t>
  </si>
  <si>
    <t>V50198</t>
  </si>
  <si>
    <t>AMRESH KUMAR SINGH</t>
  </si>
  <si>
    <t>V43005</t>
  </si>
  <si>
    <t>Akash Kumar Mandal</t>
  </si>
  <si>
    <t>V42972</t>
  </si>
  <si>
    <t>V42766</t>
  </si>
  <si>
    <t>V42709</t>
  </si>
  <si>
    <t>DEEPAK KUMAR CHAUDHARY</t>
  </si>
  <si>
    <t>V42701</t>
  </si>
  <si>
    <t>GAURAW KUMAR SINGH</t>
  </si>
  <si>
    <t>V31099</t>
  </si>
  <si>
    <t>V29412</t>
  </si>
  <si>
    <t>NITISH KUMAR RANJAN</t>
  </si>
  <si>
    <t>V27974</t>
  </si>
  <si>
    <t>V27973</t>
  </si>
  <si>
    <t>SUNIL KUMAR MISHRA</t>
  </si>
  <si>
    <t>V27745</t>
  </si>
  <si>
    <t>V26666</t>
  </si>
  <si>
    <t>V25765</t>
  </si>
  <si>
    <t>SAJAN  KUMAR</t>
  </si>
  <si>
    <t>V24457</t>
  </si>
  <si>
    <t>V22710</t>
  </si>
  <si>
    <t>SHANKAR KUMAR YADAV</t>
  </si>
  <si>
    <t>V21930</t>
  </si>
  <si>
    <t>RAJKUMAR  PASWAN</t>
  </si>
  <si>
    <t>V21928</t>
  </si>
  <si>
    <t>JAYRAM  PASWAN</t>
  </si>
  <si>
    <t>V21834</t>
  </si>
  <si>
    <t>SANJAY  PASWAN</t>
  </si>
  <si>
    <t>V18878</t>
  </si>
  <si>
    <t>NIBHA  KUMARI</t>
  </si>
  <si>
    <t>V18422</t>
  </si>
  <si>
    <t>ANIL KUMAR SHAMRA</t>
  </si>
  <si>
    <t>V18208</t>
  </si>
  <si>
    <t>SHAMBHU  KAMTI</t>
  </si>
  <si>
    <t>V17830</t>
  </si>
  <si>
    <t>KAPIL KUMAR MANDAL</t>
  </si>
  <si>
    <t>V15029</t>
  </si>
  <si>
    <t>V13937</t>
  </si>
  <si>
    <t>101078844968</t>
  </si>
  <si>
    <t>FULO  DEVI</t>
  </si>
  <si>
    <t>V07527</t>
  </si>
  <si>
    <t>V06865</t>
  </si>
  <si>
    <t>PANKAJ KUMAR RAUT</t>
  </si>
  <si>
    <t>V05795</t>
  </si>
  <si>
    <t>NISHI  KUMARI</t>
  </si>
  <si>
    <t>V05501</t>
  </si>
  <si>
    <t>NAVIN KUMAR MANDAL</t>
  </si>
  <si>
    <t>V03807</t>
  </si>
  <si>
    <t>VIDAYANAND  JHA</t>
  </si>
  <si>
    <t>V02273</t>
  </si>
  <si>
    <t>VIJAY SHANKAR MANDAL</t>
  </si>
  <si>
    <t>V01678</t>
  </si>
  <si>
    <t>V01464</t>
  </si>
  <si>
    <t>Urmila  Devi</t>
  </si>
  <si>
    <t>V53850</t>
  </si>
  <si>
    <t>V53067</t>
  </si>
  <si>
    <t>Santosh Kumar Singh</t>
  </si>
  <si>
    <t>V52309</t>
  </si>
  <si>
    <t>SHAMBHU KUMAR</t>
  </si>
  <si>
    <t>V50770</t>
  </si>
  <si>
    <t>V50492</t>
  </si>
  <si>
    <t>Bablu Kumar Yadav</t>
  </si>
  <si>
    <t>V50491</t>
  </si>
  <si>
    <t>Gulshan  Khatun</t>
  </si>
  <si>
    <t>V49984</t>
  </si>
  <si>
    <t>V48653</t>
  </si>
  <si>
    <t>V48651</t>
  </si>
  <si>
    <t>V47714</t>
  </si>
  <si>
    <t>Rohit Kumar Jha</t>
  </si>
  <si>
    <t>V47713</t>
  </si>
  <si>
    <t>V47367</t>
  </si>
  <si>
    <t>Raman  Kumar</t>
  </si>
  <si>
    <t>V46733</t>
  </si>
  <si>
    <t>V46732</t>
  </si>
  <si>
    <t>MANORANJAN  YADAV</t>
  </si>
  <si>
    <t>V46718</t>
  </si>
  <si>
    <t>Shivsankar  Singh</t>
  </si>
  <si>
    <t>V46239</t>
  </si>
  <si>
    <t>V41867</t>
  </si>
  <si>
    <t>SARITA  HEMBROWN</t>
  </si>
  <si>
    <t>V40516</t>
  </si>
  <si>
    <t>PRASHANT KUMAR</t>
  </si>
  <si>
    <t>V37090</t>
  </si>
  <si>
    <t>EJAZ AHMAD</t>
  </si>
  <si>
    <t>V37088</t>
  </si>
  <si>
    <t>V33161</t>
  </si>
  <si>
    <t>101928432948</t>
  </si>
  <si>
    <t>RAHUL KUMAR THAKUR</t>
  </si>
  <si>
    <t>V33038</t>
  </si>
  <si>
    <t>V32599</t>
  </si>
  <si>
    <t>VISHAKHA  DEVI</t>
  </si>
  <si>
    <t>V31056</t>
  </si>
  <si>
    <t>DIPANKAR  KUMAR</t>
  </si>
  <si>
    <t>V27913</t>
  </si>
  <si>
    <t>BADAL  KUMAR</t>
  </si>
  <si>
    <t>V24042</t>
  </si>
  <si>
    <t>MUNNA KUMAR MARANDI</t>
  </si>
  <si>
    <t>V22517</t>
  </si>
  <si>
    <t>SUMAN KUMAR PANDIT</t>
  </si>
  <si>
    <t>V21300</t>
  </si>
  <si>
    <t>RAKESH KUMAR RAJ</t>
  </si>
  <si>
    <t>V15393</t>
  </si>
  <si>
    <t>V12578</t>
  </si>
  <si>
    <t>DIWAKAR KUMAR RANJAN</t>
  </si>
  <si>
    <t>V10369</t>
  </si>
  <si>
    <t>SHAHID  ANSARI</t>
  </si>
  <si>
    <t>V09585</t>
  </si>
  <si>
    <t>SATYA PRAKASH SAH</t>
  </si>
  <si>
    <t>V04926</t>
  </si>
  <si>
    <t>ADITYA  NAND</t>
  </si>
  <si>
    <t>V04084</t>
  </si>
  <si>
    <t>V02588</t>
  </si>
  <si>
    <t>PRAFULLA KUMAR SINGH</t>
  </si>
  <si>
    <t>V02580</t>
  </si>
  <si>
    <t>USHA  KUMARI</t>
  </si>
  <si>
    <t>V02309</t>
  </si>
  <si>
    <t>PANKAJ  PANDIT</t>
  </si>
  <si>
    <t>V00980</t>
  </si>
  <si>
    <t>Subodh  Kumar</t>
  </si>
  <si>
    <t>Priti  Devi</t>
  </si>
  <si>
    <t>V53757</t>
  </si>
  <si>
    <t>V53639</t>
  </si>
  <si>
    <t>V53637</t>
  </si>
  <si>
    <t>V52931</t>
  </si>
  <si>
    <t>Sanjeet  Kumar</t>
  </si>
  <si>
    <t>V52764</t>
  </si>
  <si>
    <t>V52353</t>
  </si>
  <si>
    <t>V50094</t>
  </si>
  <si>
    <t>Chhote Lal Kumar Mandal</t>
  </si>
  <si>
    <t>V49504</t>
  </si>
  <si>
    <t>Nilesh  Kumar</t>
  </si>
  <si>
    <t>V48974</t>
  </si>
  <si>
    <t>Ajeet  Kumar</t>
  </si>
  <si>
    <t>V46913</t>
  </si>
  <si>
    <t>Dharmendra  Kumar</t>
  </si>
  <si>
    <t>V46297</t>
  </si>
  <si>
    <t>Deva  Nand</t>
  </si>
  <si>
    <t>V44641</t>
  </si>
  <si>
    <t>Manoj  Singh</t>
  </si>
  <si>
    <t>V44624</t>
  </si>
  <si>
    <t>Tara  Devi</t>
  </si>
  <si>
    <t>V44621</t>
  </si>
  <si>
    <t>V36409</t>
  </si>
  <si>
    <t>V36405</t>
  </si>
  <si>
    <t>V36400</t>
  </si>
  <si>
    <t>ARPIT  GAURAV</t>
  </si>
  <si>
    <t>V32522</t>
  </si>
  <si>
    <t>SANJEEVA  KUMAR</t>
  </si>
  <si>
    <t>V31450</t>
  </si>
  <si>
    <t>VISHWAS  KUMAR</t>
  </si>
  <si>
    <t>V31446</t>
  </si>
  <si>
    <t>V29138</t>
  </si>
  <si>
    <t>CHITRANJAN  KUMAR</t>
  </si>
  <si>
    <t>V28844</t>
  </si>
  <si>
    <t>CHUNNU  KUMAR</t>
  </si>
  <si>
    <t>V28720</t>
  </si>
  <si>
    <t>NITEESH  KUMAR</t>
  </si>
  <si>
    <t>V28291</t>
  </si>
  <si>
    <t>V27642</t>
  </si>
  <si>
    <t>V27353</t>
  </si>
  <si>
    <t>MD.  SARIK</t>
  </si>
  <si>
    <t>V26690</t>
  </si>
  <si>
    <t>MINTU KUMAR</t>
  </si>
  <si>
    <t>V26062</t>
  </si>
  <si>
    <t>PRATIMA  DEVI</t>
  </si>
  <si>
    <t>V25032</t>
  </si>
  <si>
    <t>V24608</t>
  </si>
  <si>
    <t>V23823</t>
  </si>
  <si>
    <t>V19159</t>
  </si>
  <si>
    <t>V17015</t>
  </si>
  <si>
    <t>V08458</t>
  </si>
  <si>
    <t>SUDESH  KUMAR</t>
  </si>
  <si>
    <t>V07071</t>
  </si>
  <si>
    <t>SONI  DEVI</t>
  </si>
  <si>
    <t>V05760</t>
  </si>
  <si>
    <t>V04986</t>
  </si>
  <si>
    <t>V04618</t>
  </si>
  <si>
    <t>V04011</t>
  </si>
  <si>
    <t>V04002</t>
  </si>
  <si>
    <t>V02267</t>
  </si>
  <si>
    <t>SANJAY PRASAD SINGH</t>
  </si>
  <si>
    <t>V02264</t>
  </si>
  <si>
    <t>KUMARI  GANGAJALI</t>
  </si>
  <si>
    <t>V02209</t>
  </si>
  <si>
    <t>RANJEET KUMAR SINHA</t>
  </si>
  <si>
    <t>V01418</t>
  </si>
  <si>
    <t>BRAJESH  KUMAR</t>
  </si>
  <si>
    <t>V54268</t>
  </si>
  <si>
    <t>V53493</t>
  </si>
  <si>
    <t>V51026</t>
  </si>
  <si>
    <t>V50343</t>
  </si>
  <si>
    <t>Ashwini  Kumar</t>
  </si>
  <si>
    <t>V50199</t>
  </si>
  <si>
    <t>Hariom  Kumar</t>
  </si>
  <si>
    <t>V50072</t>
  </si>
  <si>
    <t>V49836</t>
  </si>
  <si>
    <t>Vivek  Srivastav</t>
  </si>
  <si>
    <t>V49582</t>
  </si>
  <si>
    <t>SURAJ  Kumar</t>
  </si>
  <si>
    <t>V49580</t>
  </si>
  <si>
    <t>KOMAL  KUMARI</t>
  </si>
  <si>
    <t>V49092</t>
  </si>
  <si>
    <t>Dolly  Kumari</t>
  </si>
  <si>
    <t>V49091</t>
  </si>
  <si>
    <t>Hari  OM</t>
  </si>
  <si>
    <t>V48815</t>
  </si>
  <si>
    <t>RENU  DEVI</t>
  </si>
  <si>
    <t>V48291</t>
  </si>
  <si>
    <t>BHAGMANTI  DEVI</t>
  </si>
  <si>
    <t>V46504</t>
  </si>
  <si>
    <t>SUNIL KUMAR VERMA</t>
  </si>
  <si>
    <t>V46503</t>
  </si>
  <si>
    <t>V46248</t>
  </si>
  <si>
    <t>V42164</t>
  </si>
  <si>
    <t>CHITU  KUMAR</t>
  </si>
  <si>
    <t>V41284</t>
  </si>
  <si>
    <t>TEJ NARAYAN KUMAR</t>
  </si>
  <si>
    <t>V40577</t>
  </si>
  <si>
    <t>NAVEEN  KUMAR</t>
  </si>
  <si>
    <t>V38863</t>
  </si>
  <si>
    <t>V36469</t>
  </si>
  <si>
    <t>BALENDRA KUMAR MANJHI</t>
  </si>
  <si>
    <t>V34406</t>
  </si>
  <si>
    <t>CHANCHALA  DEVI</t>
  </si>
  <si>
    <t>V34182</t>
  </si>
  <si>
    <t>V34128</t>
  </si>
  <si>
    <t>V33113</t>
  </si>
  <si>
    <t>V32613</t>
  </si>
  <si>
    <t>V32438</t>
  </si>
  <si>
    <t>V28780</t>
  </si>
  <si>
    <t>V27507</t>
  </si>
  <si>
    <t>HARISHCHANDRA  LAL</t>
  </si>
  <si>
    <t>V27340</t>
  </si>
  <si>
    <t>MANSHA  KUMARI</t>
  </si>
  <si>
    <t>V26119</t>
  </si>
  <si>
    <t>V24313</t>
  </si>
  <si>
    <t>OMPRAKASH  KUMAR</t>
  </si>
  <si>
    <t>V24253</t>
  </si>
  <si>
    <t>SARVAN  KUMAR</t>
  </si>
  <si>
    <t>V23750</t>
  </si>
  <si>
    <t>ABHAY RAJ</t>
  </si>
  <si>
    <t>V23454</t>
  </si>
  <si>
    <t>V23453</t>
  </si>
  <si>
    <t>V22528</t>
  </si>
  <si>
    <t>TAPAN  KUMAR MISHRA</t>
  </si>
  <si>
    <t>V22275</t>
  </si>
  <si>
    <t>V22073</t>
  </si>
  <si>
    <t>V21847</t>
  </si>
  <si>
    <t>V21712</t>
  </si>
  <si>
    <t>V21684</t>
  </si>
  <si>
    <t>VIM  KUMAR</t>
  </si>
  <si>
    <t>V21065</t>
  </si>
  <si>
    <t>V20594</t>
  </si>
  <si>
    <t>V20481</t>
  </si>
  <si>
    <t>Krishna  PRAKASH</t>
  </si>
  <si>
    <t>V19665</t>
  </si>
  <si>
    <t>ABINASH  KUMAR</t>
  </si>
  <si>
    <t>V19311</t>
  </si>
  <si>
    <t>DHARMA VEER KUMAR</t>
  </si>
  <si>
    <t>V18884</t>
  </si>
  <si>
    <t>RAJEEV KUMAR SHARMA</t>
  </si>
  <si>
    <t>V18534</t>
  </si>
  <si>
    <t>BRAJ KISHOR PRASAD</t>
  </si>
  <si>
    <t>V18192</t>
  </si>
  <si>
    <t>V18085</t>
  </si>
  <si>
    <t>V16310</t>
  </si>
  <si>
    <t>BALMIKEE  SHARMA</t>
  </si>
  <si>
    <t>V15375</t>
  </si>
  <si>
    <t>JITENDRA KUMAR PREMI</t>
  </si>
  <si>
    <t>V13803</t>
  </si>
  <si>
    <t>V13799</t>
  </si>
  <si>
    <t>V13793</t>
  </si>
  <si>
    <t>V13024</t>
  </si>
  <si>
    <t>V11864</t>
  </si>
  <si>
    <t>V03204</t>
  </si>
  <si>
    <t>MD  NAUSAD</t>
  </si>
  <si>
    <t>V02869</t>
  </si>
  <si>
    <t>KAMALESH  KUMAR</t>
  </si>
  <si>
    <t>V00974</t>
  </si>
  <si>
    <t>V00925</t>
  </si>
  <si>
    <t>JYOTISHMOY  SONOWAL</t>
  </si>
  <si>
    <t>V33511</t>
  </si>
  <si>
    <t>Ranjit  Borah</t>
  </si>
  <si>
    <t>V53970</t>
  </si>
  <si>
    <t>PRIYANKA  DOLEY</t>
  </si>
  <si>
    <t>V53524</t>
  </si>
  <si>
    <t>SEWALI  PAYENG</t>
  </si>
  <si>
    <t>V53522</t>
  </si>
  <si>
    <t>Indra  Nguki</t>
  </si>
  <si>
    <t>V53113</t>
  </si>
  <si>
    <t>Top  Ejing</t>
  </si>
  <si>
    <t>V52940</t>
  </si>
  <si>
    <t>Madhushmita  Payeng</t>
  </si>
  <si>
    <t>V52938</t>
  </si>
  <si>
    <t>Mina  Tatin</t>
  </si>
  <si>
    <t>V52650</t>
  </si>
  <si>
    <t>NANYA  BAGANG</t>
  </si>
  <si>
    <t>V52639</t>
  </si>
  <si>
    <t>Dadul  Saikia</t>
  </si>
  <si>
    <t>V50771</t>
  </si>
  <si>
    <t>Bharati  Borah</t>
  </si>
  <si>
    <t>V50514</t>
  </si>
  <si>
    <t>Charo  Beyong</t>
  </si>
  <si>
    <t>V49464</t>
  </si>
  <si>
    <t>Ninur  Tari</t>
  </si>
  <si>
    <t>V49352</t>
  </si>
  <si>
    <t>Digambar  Mech</t>
  </si>
  <si>
    <t>V48802</t>
  </si>
  <si>
    <t>Anku  Baruah</t>
  </si>
  <si>
    <t>V47673</t>
  </si>
  <si>
    <t>Junali  Beypi</t>
  </si>
  <si>
    <t>V47165</t>
  </si>
  <si>
    <t>KUKU  JOMO</t>
  </si>
  <si>
    <t>V47164</t>
  </si>
  <si>
    <t>TADAR  YAKIA</t>
  </si>
  <si>
    <t>V47162</t>
  </si>
  <si>
    <t>Kumi  Panyang</t>
  </si>
  <si>
    <t>V47041</t>
  </si>
  <si>
    <t>Kalpana  Kormokar</t>
  </si>
  <si>
    <t>V46002</t>
  </si>
  <si>
    <t>Bhupen  Saikia</t>
  </si>
  <si>
    <t>V42922</t>
  </si>
  <si>
    <t>SUMI  CHUTIA</t>
  </si>
  <si>
    <t>V41856</t>
  </si>
  <si>
    <t>JARNU  NYOKIR</t>
  </si>
  <si>
    <t>V28461</t>
  </si>
  <si>
    <t>GAMJUM  ANGU</t>
  </si>
  <si>
    <t>V22448</t>
  </si>
  <si>
    <t>RAJU  MILI</t>
  </si>
  <si>
    <t>V21468</t>
  </si>
  <si>
    <t>Pankaj  Borah</t>
  </si>
  <si>
    <t>V54066</t>
  </si>
  <si>
    <t>SAJINA  NARAH</t>
  </si>
  <si>
    <t>V53234</t>
  </si>
  <si>
    <t>Rubi  Khatun</t>
  </si>
  <si>
    <t>V52963</t>
  </si>
  <si>
    <t>Sara  Pegu</t>
  </si>
  <si>
    <t>V52961</t>
  </si>
  <si>
    <t>GULIT  DARANG</t>
  </si>
  <si>
    <t>V52261</t>
  </si>
  <si>
    <t>Mijo  Riba</t>
  </si>
  <si>
    <t>V49210</t>
  </si>
  <si>
    <t>Son  Ratan</t>
  </si>
  <si>
    <t>V48818</t>
  </si>
  <si>
    <t>TILAK  CHUTIA</t>
  </si>
  <si>
    <t>V48093</t>
  </si>
  <si>
    <t>Aina  Moyong</t>
  </si>
  <si>
    <t>V47899</t>
  </si>
  <si>
    <t>Niranjan  Boruah</t>
  </si>
  <si>
    <t>V47898</t>
  </si>
  <si>
    <t>Junali  Boro</t>
  </si>
  <si>
    <t>V47331</t>
  </si>
  <si>
    <t>Tapan  Sakia</t>
  </si>
  <si>
    <t>V47327</t>
  </si>
  <si>
    <t>Moyi  Tada</t>
  </si>
  <si>
    <t>V47294</t>
  </si>
  <si>
    <t>Ramanuj  Doley</t>
  </si>
  <si>
    <t>V44259</t>
  </si>
  <si>
    <t>PRAFULLA  PEGU</t>
  </si>
  <si>
    <t>V43289</t>
  </si>
  <si>
    <t>LILY  PERME</t>
  </si>
  <si>
    <t>V42506</t>
  </si>
  <si>
    <t>BUSRA  KHATUN</t>
  </si>
  <si>
    <t>V42493</t>
  </si>
  <si>
    <t>ASUM  DABI</t>
  </si>
  <si>
    <t>V42492</t>
  </si>
  <si>
    <t>OYIMANG  RATAN</t>
  </si>
  <si>
    <t>V42484</t>
  </si>
  <si>
    <t>MD  JABIR</t>
  </si>
  <si>
    <t>V24395</t>
  </si>
  <si>
    <t>SUSHIL  PAYENG</t>
  </si>
  <si>
    <t>V21889</t>
  </si>
  <si>
    <t>JINTU  HAZARIKA</t>
  </si>
  <si>
    <t>V53625</t>
  </si>
  <si>
    <t>Dipok  Guwala</t>
  </si>
  <si>
    <t>V52619</t>
  </si>
  <si>
    <t>KHYODA  SAKNU</t>
  </si>
  <si>
    <t>V52615</t>
  </si>
  <si>
    <t>ONI  TAKU</t>
  </si>
  <si>
    <t>V50232</t>
  </si>
  <si>
    <t>nguri  anju</t>
  </si>
  <si>
    <t>V50231</t>
  </si>
  <si>
    <t>Habu  Taping</t>
  </si>
  <si>
    <t>V46910</t>
  </si>
  <si>
    <t>Manju  Mandal</t>
  </si>
  <si>
    <t>V46825</t>
  </si>
  <si>
    <t>Manika  Das</t>
  </si>
  <si>
    <t>V46210</t>
  </si>
  <si>
    <t>Sanjib  Koch</t>
  </si>
  <si>
    <t>V45097</t>
  </si>
  <si>
    <t>Mohan  Neog</t>
  </si>
  <si>
    <t>V44659</t>
  </si>
  <si>
    <t>JARMI  TAYE</t>
  </si>
  <si>
    <t>V40161</t>
  </si>
  <si>
    <t>GAKUL KUTUM</t>
  </si>
  <si>
    <t>V36423</t>
  </si>
  <si>
    <t>MITU DEV NATH</t>
  </si>
  <si>
    <t>V29760</t>
  </si>
  <si>
    <t>BAME TAIPODIA</t>
  </si>
  <si>
    <t>V28971</t>
  </si>
  <si>
    <t>TECHI  CHUMA</t>
  </si>
  <si>
    <t>V28437</t>
  </si>
  <si>
    <t>YAKAR  PAGMEN</t>
  </si>
  <si>
    <t>V28435</t>
  </si>
  <si>
    <t>HEMCHANDRA  BORDOLOI</t>
  </si>
  <si>
    <t>V26321</t>
  </si>
  <si>
    <t>OMI  MINDO</t>
  </si>
  <si>
    <t>V22449</t>
  </si>
  <si>
    <t>SONAM  LORAH</t>
  </si>
  <si>
    <t>V20044</t>
  </si>
  <si>
    <t>YANGA  SORANG</t>
  </si>
  <si>
    <t>V20043</t>
  </si>
  <si>
    <t>BISTI  SWARGIARY</t>
  </si>
  <si>
    <t>V11457</t>
  </si>
  <si>
    <t>DARMAR  BAGRA</t>
  </si>
  <si>
    <t>V09501</t>
  </si>
  <si>
    <t>DIPALI  NATH</t>
  </si>
  <si>
    <t>V07108</t>
  </si>
  <si>
    <t>TERJUM  YOMGAM</t>
  </si>
  <si>
    <t>V07098</t>
  </si>
  <si>
    <t>V49048</t>
  </si>
  <si>
    <t>Nitin  Pendse</t>
  </si>
  <si>
    <t>V48884</t>
  </si>
  <si>
    <t>V48141</t>
  </si>
  <si>
    <t>SUMIT KUMAR PRASAD</t>
  </si>
  <si>
    <t>V39120</t>
  </si>
  <si>
    <t>Hari Shankar Ray</t>
  </si>
  <si>
    <t>V54436</t>
  </si>
  <si>
    <t>Sandipan  Chakraborty</t>
  </si>
  <si>
    <t>V54045</t>
  </si>
  <si>
    <t>Shankar  Saha</t>
  </si>
  <si>
    <t>V53802</t>
  </si>
  <si>
    <t>Harshvardhan  Raj</t>
  </si>
  <si>
    <t>V50523</t>
  </si>
  <si>
    <t>Lalu  Yadav</t>
  </si>
  <si>
    <t>V50024</t>
  </si>
  <si>
    <t>Disha  Agarwal</t>
  </si>
  <si>
    <t>V49024</t>
  </si>
  <si>
    <t>Ajay Kumar Shaw</t>
  </si>
  <si>
    <t>V48666</t>
  </si>
  <si>
    <t>DIPAYAN  JANA</t>
  </si>
  <si>
    <t>V48374</t>
  </si>
  <si>
    <t>RAVI SANKAR PRASAD</t>
  </si>
  <si>
    <t>V48064</t>
  </si>
  <si>
    <t>Amit  Roy</t>
  </si>
  <si>
    <t>V46829</t>
  </si>
  <si>
    <t>Dushyant Kumar Raghav</t>
  </si>
  <si>
    <t>V46821</t>
  </si>
  <si>
    <t>Nutan Kumar</t>
  </si>
  <si>
    <t>V36621</t>
  </si>
  <si>
    <t>DHIRAJ  SINGH</t>
  </si>
  <si>
    <t>V27166</t>
  </si>
  <si>
    <t>Sonu Kumar Ray</t>
  </si>
  <si>
    <t>V46592</t>
  </si>
  <si>
    <t>RAKESH   LAXMIKANT   KULKARNI</t>
  </si>
  <si>
    <t>V27696</t>
  </si>
  <si>
    <t>Partha</t>
  </si>
  <si>
    <t>V45772</t>
  </si>
  <si>
    <t>Abhishek  Aggrawal</t>
  </si>
  <si>
    <t>V48536</t>
  </si>
  <si>
    <t>Adil  Hussain</t>
  </si>
  <si>
    <t>V45586</t>
  </si>
  <si>
    <t>Md Shahrukh Alam</t>
  </si>
  <si>
    <t>V45585</t>
  </si>
  <si>
    <t>JEETU  KUMAR</t>
  </si>
  <si>
    <t>V46289</t>
  </si>
  <si>
    <t>MANU  SINGH</t>
  </si>
  <si>
    <t>V46155</t>
  </si>
  <si>
    <t>V46149</t>
  </si>
  <si>
    <t>Souvik  Debnath</t>
  </si>
  <si>
    <t>V45275</t>
  </si>
  <si>
    <t>Manas Kumar Panda</t>
  </si>
  <si>
    <t>V43359</t>
  </si>
  <si>
    <t>RAJA BABU YADAV</t>
  </si>
  <si>
    <t>V44066</t>
  </si>
  <si>
    <t>AMIT KUMAR PRASAD</t>
  </si>
  <si>
    <t>V41410</t>
  </si>
  <si>
    <t>V43015</t>
  </si>
  <si>
    <t>V39927</t>
  </si>
  <si>
    <t>SHIVAM  SHARMA</t>
  </si>
  <si>
    <t>V42404</t>
  </si>
  <si>
    <t>102020956278</t>
  </si>
  <si>
    <t>V37463</t>
  </si>
  <si>
    <t>SUNIL KUMAR YADAV</t>
  </si>
  <si>
    <t>V35166</t>
  </si>
  <si>
    <t>MR. HIMANSHU</t>
  </si>
  <si>
    <t>V2S363</t>
  </si>
  <si>
    <t>MR. BHARAT SINGH</t>
  </si>
  <si>
    <t>V2S043</t>
  </si>
  <si>
    <t>102020362485</t>
  </si>
  <si>
    <t>MR. SUNIL KUMAR MISHRA</t>
  </si>
  <si>
    <t>V2S037</t>
  </si>
  <si>
    <t xml:space="preserve">SIVLAL  </t>
  </si>
  <si>
    <t>V27406</t>
  </si>
  <si>
    <t>102091880834</t>
  </si>
  <si>
    <t>V26096</t>
  </si>
  <si>
    <t>ATUL</t>
  </si>
  <si>
    <t>V25134</t>
  </si>
  <si>
    <t>ANKIT  SHUKLA</t>
  </si>
  <si>
    <t>V24220</t>
  </si>
  <si>
    <t xml:space="preserve">PAWAN  </t>
  </si>
  <si>
    <t>V24219</t>
  </si>
  <si>
    <t xml:space="preserve">SANJEET  </t>
  </si>
  <si>
    <t>V23652</t>
  </si>
  <si>
    <t>DAVENDER  YADAV</t>
  </si>
  <si>
    <t>V21607</t>
  </si>
  <si>
    <t xml:space="preserve">LOKESH  </t>
  </si>
  <si>
    <t>V20523</t>
  </si>
  <si>
    <t>SUMAN  DAS</t>
  </si>
  <si>
    <t>AWANISH TIWARI</t>
  </si>
  <si>
    <t>V17206</t>
  </si>
  <si>
    <t>SHRI  BHAGWAN</t>
  </si>
  <si>
    <t>V14236</t>
  </si>
  <si>
    <t>V13028</t>
  </si>
  <si>
    <t>SHYAM SUNDAR KUMAR</t>
  </si>
  <si>
    <t>V08317</t>
  </si>
  <si>
    <t>V08013</t>
  </si>
  <si>
    <t>102020956094</t>
  </si>
  <si>
    <t>V07973</t>
  </si>
  <si>
    <t xml:space="preserve">SURESH  </t>
  </si>
  <si>
    <t>V07368</t>
  </si>
  <si>
    <t>V04763</t>
  </si>
  <si>
    <t>V04112</t>
  </si>
  <si>
    <t>V01551</t>
  </si>
  <si>
    <t>V01228</t>
  </si>
  <si>
    <t>SUNIL  SINGH</t>
  </si>
  <si>
    <t>V49627</t>
  </si>
  <si>
    <t>Vijay  Gupta</t>
  </si>
  <si>
    <t>V47553</t>
  </si>
  <si>
    <t>Vineet Kumar Jha</t>
  </si>
  <si>
    <t>V44784</t>
  </si>
  <si>
    <t>V44783</t>
  </si>
  <si>
    <t>Akanksha</t>
  </si>
  <si>
    <t>V41810</t>
  </si>
  <si>
    <t>GAJENDRA  SINGH</t>
  </si>
  <si>
    <t>V41387</t>
  </si>
  <si>
    <t>KUNJ BIHARI HARBHAJANKA</t>
  </si>
  <si>
    <t>V40543</t>
  </si>
  <si>
    <t>KETAN JAYANTILAL JANSARI</t>
  </si>
  <si>
    <t>V38598</t>
  </si>
  <si>
    <t>Anshul Chahar</t>
  </si>
  <si>
    <t>V36043</t>
  </si>
  <si>
    <t>SARVPRIYA</t>
  </si>
  <si>
    <t>V35113</t>
  </si>
  <si>
    <t>102020362025</t>
  </si>
  <si>
    <t>MR. RAJEEV RANJAN SINHA</t>
  </si>
  <si>
    <t>V2S163</t>
  </si>
  <si>
    <t>V29764</t>
  </si>
  <si>
    <t>102029961356</t>
  </si>
  <si>
    <t>RISHANT  MALIK</t>
  </si>
  <si>
    <t>V27807</t>
  </si>
  <si>
    <t>NARAD  SAH</t>
  </si>
  <si>
    <t>V26552</t>
  </si>
  <si>
    <t>102105134742</t>
  </si>
  <si>
    <t>RAJENDRA KUMAR SAMAL</t>
  </si>
  <si>
    <t>V26432</t>
  </si>
  <si>
    <t>V25659</t>
  </si>
  <si>
    <t>MANJEET  SHARMA</t>
  </si>
  <si>
    <t>V24899</t>
  </si>
  <si>
    <t>SADANAND  YADAV</t>
  </si>
  <si>
    <t>V24484</t>
  </si>
  <si>
    <t>VIRENDRA KUMAR DUBEY</t>
  </si>
  <si>
    <t>V23911</t>
  </si>
  <si>
    <t>RAKESH KUMAR AHIRWAR</t>
  </si>
  <si>
    <t>V21498</t>
  </si>
  <si>
    <t>BIKELAL  KUMAR</t>
  </si>
  <si>
    <t>V18987</t>
  </si>
  <si>
    <t>102020955884</t>
  </si>
  <si>
    <t>V18585</t>
  </si>
  <si>
    <t>102020955383</t>
  </si>
  <si>
    <t>ANAND PRATAP SINGH</t>
  </si>
  <si>
    <t>V16530</t>
  </si>
  <si>
    <t>SAMARAJIT  RAJKUMAR</t>
  </si>
  <si>
    <t>V04787</t>
  </si>
  <si>
    <t>RAVI  SINGH</t>
  </si>
  <si>
    <t>V04101</t>
  </si>
  <si>
    <t>102020957364</t>
  </si>
  <si>
    <t>V00743</t>
  </si>
  <si>
    <t>V00394</t>
  </si>
  <si>
    <t>ANUPAM KUMAR SINGH</t>
  </si>
  <si>
    <t>V00025</t>
  </si>
  <si>
    <t>Subhadip  Mukherjee</t>
  </si>
  <si>
    <t>V45587</t>
  </si>
  <si>
    <t>MR. SANGRAM PAN</t>
  </si>
  <si>
    <t>V2S030</t>
  </si>
  <si>
    <t>PRASHANT KUMAR KHARWAR</t>
  </si>
  <si>
    <t>V25237</t>
  </si>
  <si>
    <t>Tushar  Kumar</t>
  </si>
  <si>
    <t>V50336</t>
  </si>
  <si>
    <t>V43042</t>
  </si>
  <si>
    <t>MR. ANIL KAUSHIK</t>
  </si>
  <si>
    <t>V2S364</t>
  </si>
  <si>
    <t>102091880823</t>
  </si>
  <si>
    <t>AYUSH  RAI</t>
  </si>
  <si>
    <t>V26095</t>
  </si>
  <si>
    <t>Vasu  Thirani</t>
  </si>
  <si>
    <t>V54172</t>
  </si>
  <si>
    <t>Arjun  Sharma</t>
  </si>
  <si>
    <t>V50362</t>
  </si>
  <si>
    <t>Satyendra  Kumar</t>
  </si>
  <si>
    <t>V49778</t>
  </si>
  <si>
    <t>Prasant  Mishra</t>
  </si>
  <si>
    <t>V48570</t>
  </si>
  <si>
    <t>Arun Kumar Tyagi</t>
  </si>
  <si>
    <t>V47824</t>
  </si>
  <si>
    <t>Adarsh  Singh</t>
  </si>
  <si>
    <t>V47596</t>
  </si>
  <si>
    <t>Rahul ranjan Ranjan Singh</t>
  </si>
  <si>
    <t>V46839</t>
  </si>
  <si>
    <t>Ram Krishan Oli</t>
  </si>
  <si>
    <t>V46761</t>
  </si>
  <si>
    <t>Raju Kumar Ravi</t>
  </si>
  <si>
    <t>V45867</t>
  </si>
  <si>
    <t>Neeraj Kumar singh</t>
  </si>
  <si>
    <t>V45839</t>
  </si>
  <si>
    <t>Pramod Kumar Pandey</t>
  </si>
  <si>
    <t>V45814</t>
  </si>
  <si>
    <t>V45632</t>
  </si>
  <si>
    <t>V45210</t>
  </si>
  <si>
    <t>Rama  Agarwal</t>
  </si>
  <si>
    <t>V45176</t>
  </si>
  <si>
    <t>Sheetal  Pal</t>
  </si>
  <si>
    <t>V45061</t>
  </si>
  <si>
    <t>V44966</t>
  </si>
  <si>
    <t>Shivam  Tiwari</t>
  </si>
  <si>
    <t>V44795</t>
  </si>
  <si>
    <t>Anikesh  Kumar</t>
  </si>
  <si>
    <t>V44791</t>
  </si>
  <si>
    <t>Pradeep Kumar Sharma</t>
  </si>
  <si>
    <t>V44613</t>
  </si>
  <si>
    <t>NIKHIL KUMAR</t>
  </si>
  <si>
    <t>V44315</t>
  </si>
  <si>
    <t>Manu  Madhwar</t>
  </si>
  <si>
    <t>V44093</t>
  </si>
  <si>
    <t>Aishwarya  Saha</t>
  </si>
  <si>
    <t>V43844</t>
  </si>
  <si>
    <t>V43521</t>
  </si>
  <si>
    <t>Manish  Pal</t>
  </si>
  <si>
    <t>V43433</t>
  </si>
  <si>
    <t>SUNNY  SACHDEVA</t>
  </si>
  <si>
    <t>V43227</t>
  </si>
  <si>
    <t>Bhoopender Babu Sharma</t>
  </si>
  <si>
    <t>V42808</t>
  </si>
  <si>
    <t>Munish Kumar Dixit</t>
  </si>
  <si>
    <t>V41893</t>
  </si>
  <si>
    <t>Tapan Kumar Mishra</t>
  </si>
  <si>
    <t>V41802</t>
  </si>
  <si>
    <t>SURYANSH  SRIVASTAVA</t>
  </si>
  <si>
    <t>V41800</t>
  </si>
  <si>
    <t>Ashwani  Bhave</t>
  </si>
  <si>
    <t>V41698</t>
  </si>
  <si>
    <t>V38677</t>
  </si>
  <si>
    <t>RAJNISH  SHARMA</t>
  </si>
  <si>
    <t>V37334</t>
  </si>
  <si>
    <t>V36105</t>
  </si>
  <si>
    <t>BEENA</t>
  </si>
  <si>
    <t>V35826</t>
  </si>
  <si>
    <t>SURENDER KUMAR</t>
  </si>
  <si>
    <t>V35569</t>
  </si>
  <si>
    <t>V35186</t>
  </si>
  <si>
    <t>RAHUL SHARMA</t>
  </si>
  <si>
    <t>V35110</t>
  </si>
  <si>
    <t>MR. AMIT KUMAR</t>
  </si>
  <si>
    <t>V34846</t>
  </si>
  <si>
    <t>MR. DEEPAK KUMAR THAKUR</t>
  </si>
  <si>
    <t>V34535</t>
  </si>
  <si>
    <t>SHIVANK  SHUKLA</t>
  </si>
  <si>
    <t>V34455</t>
  </si>
  <si>
    <t>DASAI  KUMAR</t>
  </si>
  <si>
    <t>V33590</t>
  </si>
  <si>
    <t>V33250</t>
  </si>
  <si>
    <t>PAVAN  SEN</t>
  </si>
  <si>
    <t>V33167</t>
  </si>
  <si>
    <t>ROHIT  GOND</t>
  </si>
  <si>
    <t>V32928</t>
  </si>
  <si>
    <t>PRASHANT KUMAR YADAV</t>
  </si>
  <si>
    <t>V31285</t>
  </si>
  <si>
    <t>DEEPAK  KUMAR SONI</t>
  </si>
  <si>
    <t>V31280</t>
  </si>
  <si>
    <t>102177339909</t>
  </si>
  <si>
    <t>SARVESH</t>
  </si>
  <si>
    <t>V31053</t>
  </si>
  <si>
    <t>UMESH  MADDHESHIYA</t>
  </si>
  <si>
    <t>V30724</t>
  </si>
  <si>
    <t>SHUBHAM KUMAR PATEL</t>
  </si>
  <si>
    <t>V30723</t>
  </si>
  <si>
    <t>V30612</t>
  </si>
  <si>
    <t>102169353613</t>
  </si>
  <si>
    <t>SUNDARAM  SINGH</t>
  </si>
  <si>
    <t>V30238</t>
  </si>
  <si>
    <t>MR. ANKIT KUMAR SINGH</t>
  </si>
  <si>
    <t>V2S417</t>
  </si>
  <si>
    <t>MR. ASHWANI SINGH</t>
  </si>
  <si>
    <t>V2S292</t>
  </si>
  <si>
    <t>102020362087</t>
  </si>
  <si>
    <t>MR. ARUN KAPOOR</t>
  </si>
  <si>
    <t>V2S184</t>
  </si>
  <si>
    <t>MR. AJAY KUMAR PRASAD</t>
  </si>
  <si>
    <t>V2S164</t>
  </si>
  <si>
    <t>MR. YOGESH KUMAR MISHRA</t>
  </si>
  <si>
    <t>V2S1117</t>
  </si>
  <si>
    <t>102020955536</t>
  </si>
  <si>
    <t>ABHAY  YADAV</t>
  </si>
  <si>
    <t>V29966</t>
  </si>
  <si>
    <t>AJAY KUMAR SINGH</t>
  </si>
  <si>
    <t>V29965</t>
  </si>
  <si>
    <t>ANAND KUMAR SINGH</t>
  </si>
  <si>
    <t>V29771</t>
  </si>
  <si>
    <t>RAJAT  SAINI</t>
  </si>
  <si>
    <t>V29558</t>
  </si>
  <si>
    <t>V29533</t>
  </si>
  <si>
    <t>ARVIND  MISHRA</t>
  </si>
  <si>
    <t>V29382</t>
  </si>
  <si>
    <t>102136663036</t>
  </si>
  <si>
    <t>V29249</t>
  </si>
  <si>
    <t>RAKESH KUMAR SHARMA</t>
  </si>
  <si>
    <t>V28966</t>
  </si>
  <si>
    <t>102128493812</t>
  </si>
  <si>
    <t>V28506</t>
  </si>
  <si>
    <t>V27882</t>
  </si>
  <si>
    <t>MAHAVIR  KUMAR</t>
  </si>
  <si>
    <t>V27695</t>
  </si>
  <si>
    <t>SUDHANSHU KUMAR PANDEY</t>
  </si>
  <si>
    <t>V27691</t>
  </si>
  <si>
    <t>NAMAN  VERMA</t>
  </si>
  <si>
    <t>V27091</t>
  </si>
  <si>
    <t>MADHURJYA  BORAH</t>
  </si>
  <si>
    <t>V27072</t>
  </si>
  <si>
    <t>SACHIN  TOMAR</t>
  </si>
  <si>
    <t>V27069</t>
  </si>
  <si>
    <t>101986984384</t>
  </si>
  <si>
    <t>AKHIL  GERA</t>
  </si>
  <si>
    <t>V26692</t>
  </si>
  <si>
    <t>102105109113</t>
  </si>
  <si>
    <t>AKASH  KUSHWAHA</t>
  </si>
  <si>
    <t>V26600</t>
  </si>
  <si>
    <t>SONU KUMAR VISHWAKARMA</t>
  </si>
  <si>
    <t>V26551</t>
  </si>
  <si>
    <t>102091875218</t>
  </si>
  <si>
    <t xml:space="preserve">TIWARI  </t>
  </si>
  <si>
    <t>V26187</t>
  </si>
  <si>
    <t>V25960</t>
  </si>
  <si>
    <t>V25785</t>
  </si>
  <si>
    <t>102079757794</t>
  </si>
  <si>
    <t>ADESH  KUMAR</t>
  </si>
  <si>
    <t>V25501</t>
  </si>
  <si>
    <t>YOGENDER  KUMAR</t>
  </si>
  <si>
    <t>V25500</t>
  </si>
  <si>
    <t>INDRA KUMAR MISHRA</t>
  </si>
  <si>
    <t>V25382</t>
  </si>
  <si>
    <t>V25256</t>
  </si>
  <si>
    <t>SANDEEPT KUMAR ROUT</t>
  </si>
  <si>
    <t>V25153</t>
  </si>
  <si>
    <t>102067808744</t>
  </si>
  <si>
    <t>DEEPANSH PRATAP SINGH</t>
  </si>
  <si>
    <t>V25150</t>
  </si>
  <si>
    <t>102067808737</t>
  </si>
  <si>
    <t>ASHISH  DIXIT</t>
  </si>
  <si>
    <t>V25149</t>
  </si>
  <si>
    <t>102057888479</t>
  </si>
  <si>
    <t>ZUBED</t>
  </si>
  <si>
    <t>V24740</t>
  </si>
  <si>
    <t>ABHISEK KUMAR RAY</t>
  </si>
  <si>
    <t>V24715</t>
  </si>
  <si>
    <t>102057888451</t>
  </si>
  <si>
    <t>PREETI  KUMARI</t>
  </si>
  <si>
    <t>V24659</t>
  </si>
  <si>
    <t>102057888008</t>
  </si>
  <si>
    <t>AASHNA THAKUR</t>
  </si>
  <si>
    <t>V24565</t>
  </si>
  <si>
    <t>102047746538</t>
  </si>
  <si>
    <t>YOGESH KUMAR JORIYA</t>
  </si>
  <si>
    <t>V24165</t>
  </si>
  <si>
    <t>102038496470</t>
  </si>
  <si>
    <t>SURJO SUNDER MUKHERJEE</t>
  </si>
  <si>
    <t>V24008</t>
  </si>
  <si>
    <t>102038494401</t>
  </si>
  <si>
    <t>NISHANT  SINGH</t>
  </si>
  <si>
    <t>V23960</t>
  </si>
  <si>
    <t>102038496587</t>
  </si>
  <si>
    <t>V23958</t>
  </si>
  <si>
    <t>VIVEK KUMAR CHAUBEY</t>
  </si>
  <si>
    <t>V23910</t>
  </si>
  <si>
    <t>V23740</t>
  </si>
  <si>
    <t>102012376199</t>
  </si>
  <si>
    <t>SUBHAM KUMAR GUPTA</t>
  </si>
  <si>
    <t>V23650</t>
  </si>
  <si>
    <t>V23462</t>
  </si>
  <si>
    <t>V22264</t>
  </si>
  <si>
    <t>AMIT BAHADUR SINGH</t>
  </si>
  <si>
    <t>V22259</t>
  </si>
  <si>
    <t>V22257</t>
  </si>
  <si>
    <t>ANAND  PRAKASH</t>
  </si>
  <si>
    <t>V22068</t>
  </si>
  <si>
    <t>BHASKAR MISHRA</t>
  </si>
  <si>
    <t>V21606</t>
  </si>
  <si>
    <t>102020956503</t>
  </si>
  <si>
    <t>GAURAV  THAKUR</t>
  </si>
  <si>
    <t>V21367</t>
  </si>
  <si>
    <t>102020956485</t>
  </si>
  <si>
    <t>SONALI</t>
  </si>
  <si>
    <t>V21208</t>
  </si>
  <si>
    <t>Sumit Kumar Verma</t>
  </si>
  <si>
    <t>V53469</t>
  </si>
  <si>
    <t>RAMAN</t>
  </si>
  <si>
    <t>Ramveer Singh Maurya</t>
  </si>
  <si>
    <t>V53085</t>
  </si>
  <si>
    <t>V51836</t>
  </si>
  <si>
    <t>V21010</t>
  </si>
  <si>
    <t>102020955781</t>
  </si>
  <si>
    <t>V20931</t>
  </si>
  <si>
    <t>V20634</t>
  </si>
  <si>
    <t>DEBASHIS  SAHA</t>
  </si>
  <si>
    <t>V20614</t>
  </si>
  <si>
    <t>Ankit  Yadav</t>
  </si>
  <si>
    <t>V45770</t>
  </si>
  <si>
    <t>Ravi  Prakash</t>
  </si>
  <si>
    <t>V45769</t>
  </si>
  <si>
    <t>Vijay  Pal</t>
  </si>
  <si>
    <t>V50176</t>
  </si>
  <si>
    <t>V49246</t>
  </si>
  <si>
    <t>V20612</t>
  </si>
  <si>
    <t>GOVIND</t>
  </si>
  <si>
    <t>V41858</t>
  </si>
  <si>
    <t>RAJNANDAN  KUMAR</t>
  </si>
  <si>
    <t>V41857</t>
  </si>
  <si>
    <t>ROHIT RANJAN MISHRA</t>
  </si>
  <si>
    <t>V20597</t>
  </si>
  <si>
    <t>CHETAN  DEV</t>
  </si>
  <si>
    <t>V20322</t>
  </si>
  <si>
    <t>MANASHJYOTI  BORUAH</t>
  </si>
  <si>
    <t>V20320</t>
  </si>
  <si>
    <t>Deepak Singh Rathore</t>
  </si>
  <si>
    <t>V52893</t>
  </si>
  <si>
    <t>Madhav Iranna Korole</t>
  </si>
  <si>
    <t>V52680</t>
  </si>
  <si>
    <t>Umakanta  Naik</t>
  </si>
  <si>
    <t>V51416</t>
  </si>
  <si>
    <t>GIRDHARI GURJAR</t>
  </si>
  <si>
    <t>V51305</t>
  </si>
  <si>
    <t>V52787</t>
  </si>
  <si>
    <t>Ajay  Pal</t>
  </si>
  <si>
    <t>KAMAL</t>
  </si>
  <si>
    <t>V47802</t>
  </si>
  <si>
    <t>Anil  Yadav</t>
  </si>
  <si>
    <t>V46688</t>
  </si>
  <si>
    <t>TARUN  SHARMA</t>
  </si>
  <si>
    <t>V15068</t>
  </si>
  <si>
    <t>JYOTI PRAKASH SAHOO</t>
  </si>
  <si>
    <t>V51200</t>
  </si>
  <si>
    <t>V20193</t>
  </si>
  <si>
    <t>V19675</t>
  </si>
  <si>
    <t>102020956158</t>
  </si>
  <si>
    <t xml:space="preserve">RAMAKANT  </t>
  </si>
  <si>
    <t>V19145</t>
  </si>
  <si>
    <t>JAIKRISHNA  CHOUDHARY</t>
  </si>
  <si>
    <t>V19090</t>
  </si>
  <si>
    <t>Horen  Chetia</t>
  </si>
  <si>
    <t>V52841</t>
  </si>
  <si>
    <t>Balaram  Karmakar</t>
  </si>
  <si>
    <t>V52838</t>
  </si>
  <si>
    <t>SANJIV KONWAR</t>
  </si>
  <si>
    <t>V52441</t>
  </si>
  <si>
    <t>SONJOY  SONOWAL</t>
  </si>
  <si>
    <t>V49368</t>
  </si>
  <si>
    <t>HARISH  TOMAR</t>
  </si>
  <si>
    <t>V19002</t>
  </si>
  <si>
    <t>100574073477</t>
  </si>
  <si>
    <t>CHANDAN KUMAR MANGALAM</t>
  </si>
  <si>
    <t>V18769</t>
  </si>
  <si>
    <t>V18609</t>
  </si>
  <si>
    <t>SUSHANT  GOURAV</t>
  </si>
  <si>
    <t>V18601</t>
  </si>
  <si>
    <t>Rahul  Jaypuriya</t>
  </si>
  <si>
    <t>V49079</t>
  </si>
  <si>
    <t>102020956041</t>
  </si>
  <si>
    <t>RAHUL KUMAR LAL</t>
  </si>
  <si>
    <t>V18571</t>
  </si>
  <si>
    <t>ARUN  NARDIA</t>
  </si>
  <si>
    <t>V18412</t>
  </si>
  <si>
    <t>Vinod  Singh</t>
  </si>
  <si>
    <t>V38728</t>
  </si>
  <si>
    <t>SANTOSH KUMAR SINGH</t>
  </si>
  <si>
    <t>V18239</t>
  </si>
  <si>
    <t>SURINDER  KUMAR</t>
  </si>
  <si>
    <t>V18224</t>
  </si>
  <si>
    <t>ASHUTOSH</t>
  </si>
  <si>
    <t>V18133</t>
  </si>
  <si>
    <t>102020955723</t>
  </si>
  <si>
    <t>V18132</t>
  </si>
  <si>
    <t>Om Prakash GOPE</t>
  </si>
  <si>
    <t>V52774</t>
  </si>
  <si>
    <t>V49362</t>
  </si>
  <si>
    <t>Suraj  Chauhan</t>
  </si>
  <si>
    <t>V48979</t>
  </si>
  <si>
    <t>MANISH KUMAR VISHWAKARMA</t>
  </si>
  <si>
    <t>V46112</t>
  </si>
  <si>
    <t>102020955710</t>
  </si>
  <si>
    <t>RAM  KISHAN</t>
  </si>
  <si>
    <t>V18081</t>
  </si>
  <si>
    <t>Sumit Kumar Prajapati</t>
  </si>
  <si>
    <t>V52392</t>
  </si>
  <si>
    <t>RAJ KUMAR SAH</t>
  </si>
  <si>
    <t>V18079</t>
  </si>
  <si>
    <t>DEEPAK KUMAR MAHTO</t>
  </si>
  <si>
    <t>V50754</t>
  </si>
  <si>
    <t>Akhilesh Kumar Ray</t>
  </si>
  <si>
    <t>V50521</t>
  </si>
  <si>
    <t>RAM NATH RAY</t>
  </si>
  <si>
    <t>V50355</t>
  </si>
  <si>
    <t>SANJAY</t>
  </si>
  <si>
    <t>V17911</t>
  </si>
  <si>
    <t>Mithilesh Kumar Paswan</t>
  </si>
  <si>
    <t>V50165</t>
  </si>
  <si>
    <t>Bijay  Yadav</t>
  </si>
  <si>
    <t>V48973</t>
  </si>
  <si>
    <t>SHIV KUMAR ROY</t>
  </si>
  <si>
    <t>V48861</t>
  </si>
  <si>
    <t>102020955417</t>
  </si>
  <si>
    <t>ANURAG  SRIVASTAV</t>
  </si>
  <si>
    <t>V17487</t>
  </si>
  <si>
    <t>KAPIL DEV SHARMA</t>
  </si>
  <si>
    <t>V16710</t>
  </si>
  <si>
    <t>V16564</t>
  </si>
  <si>
    <t xml:space="preserve">DEEPCHANDRA  </t>
  </si>
  <si>
    <t>V16076</t>
  </si>
  <si>
    <t>V47460</t>
  </si>
  <si>
    <t>V47168</t>
  </si>
  <si>
    <t>102028876790</t>
  </si>
  <si>
    <t>V15525</t>
  </si>
  <si>
    <t>V15182</t>
  </si>
  <si>
    <t>102020955440</t>
  </si>
  <si>
    <t>MAYANK  BABU</t>
  </si>
  <si>
    <t>V15147</t>
  </si>
  <si>
    <t>102020955267</t>
  </si>
  <si>
    <t>V15139</t>
  </si>
  <si>
    <t>MITHUN  SINGH</t>
  </si>
  <si>
    <t>V45686</t>
  </si>
  <si>
    <t>V45386</t>
  </si>
  <si>
    <t>V45385</t>
  </si>
  <si>
    <t>V15126</t>
  </si>
  <si>
    <t>V44856</t>
  </si>
  <si>
    <t>ARUN  THAPA</t>
  </si>
  <si>
    <t>V15104</t>
  </si>
  <si>
    <t>102020953756</t>
  </si>
  <si>
    <t>V14920</t>
  </si>
  <si>
    <t>V44695</t>
  </si>
  <si>
    <t>JOGINDER SINGH GARG</t>
  </si>
  <si>
    <t>V13652</t>
  </si>
  <si>
    <t>JAYDEEP  YADAV</t>
  </si>
  <si>
    <t>V43455</t>
  </si>
  <si>
    <t>JAGMOHAN  KUMAR</t>
  </si>
  <si>
    <t>V13609</t>
  </si>
  <si>
    <t>SURYA PRAKASH TIWARI</t>
  </si>
  <si>
    <t>V09988</t>
  </si>
  <si>
    <t>DILIP  YADAV</t>
  </si>
  <si>
    <t>V43016</t>
  </si>
  <si>
    <t>LALJIT</t>
  </si>
  <si>
    <t>V07507</t>
  </si>
  <si>
    <t>RAJ KAMAL PANDIT</t>
  </si>
  <si>
    <t>V42559</t>
  </si>
  <si>
    <t>VISHNU  KUMAR</t>
  </si>
  <si>
    <t>V06847</t>
  </si>
  <si>
    <t>DHIRENDRA  PAL</t>
  </si>
  <si>
    <t>V42163</t>
  </si>
  <si>
    <t>PRABHAKAR KUMAR CHOUDHARY</t>
  </si>
  <si>
    <t>V42098</t>
  </si>
  <si>
    <t>V41835</t>
  </si>
  <si>
    <t>V41832</t>
  </si>
  <si>
    <t>102020956143</t>
  </si>
  <si>
    <t>V03697</t>
  </si>
  <si>
    <t>V39882</t>
  </si>
  <si>
    <t>OMPRAKASH  DHAWAN</t>
  </si>
  <si>
    <t>V39737</t>
  </si>
  <si>
    <t>102020957386</t>
  </si>
  <si>
    <t>V02335</t>
  </si>
  <si>
    <t>102020956127</t>
  </si>
  <si>
    <t>SHAKTI PRASAD MOHANTY</t>
  </si>
  <si>
    <t>V00746</t>
  </si>
  <si>
    <t>102020956060</t>
  </si>
  <si>
    <t>V00549</t>
  </si>
  <si>
    <t>102020956115</t>
  </si>
  <si>
    <t>PURUSHOTTAM  KUMAR</t>
  </si>
  <si>
    <t>V00498</t>
  </si>
  <si>
    <t>RAMESH  KANTI</t>
  </si>
  <si>
    <t>V00071</t>
  </si>
  <si>
    <t>Somsuvra  Dutta</t>
  </si>
  <si>
    <t>V53878</t>
  </si>
  <si>
    <t>Santanu  Das</t>
  </si>
  <si>
    <t>V49840</t>
  </si>
  <si>
    <t>MUKESH KUMAR</t>
  </si>
  <si>
    <t>V35580</t>
  </si>
  <si>
    <t>ANJANI  SINGH</t>
  </si>
  <si>
    <t>V47505</t>
  </si>
  <si>
    <t>CHAMAN  PAL</t>
  </si>
  <si>
    <t>V32040</t>
  </si>
  <si>
    <t>102186582464</t>
  </si>
  <si>
    <t>Vishal  Parihar</t>
  </si>
  <si>
    <t>V47475</t>
  </si>
  <si>
    <t>Mrinmoy  Das</t>
  </si>
  <si>
    <t>V46831</t>
  </si>
  <si>
    <t>AYUSH  CHAKRABORTY</t>
  </si>
  <si>
    <t>V45278</t>
  </si>
  <si>
    <t>MR. PRAKASH</t>
  </si>
  <si>
    <t>V2S054</t>
  </si>
  <si>
    <t>Sandeep  Baidya</t>
  </si>
  <si>
    <t>V42754</t>
  </si>
  <si>
    <t>Rishi Kumar Singh</t>
  </si>
  <si>
    <t>V38723</t>
  </si>
  <si>
    <t>BITTU KUMAR</t>
  </si>
  <si>
    <t>V24055</t>
  </si>
  <si>
    <t>MR. ALOK KUMAR MISHRA</t>
  </si>
  <si>
    <t>V2S032</t>
  </si>
  <si>
    <t>SANJAY PRASAD YADAV</t>
  </si>
  <si>
    <t>V11032</t>
  </si>
  <si>
    <t>KAPIL  YADAV</t>
  </si>
  <si>
    <t>V29683</t>
  </si>
  <si>
    <t>DEVENDRA KUMAR SINGH</t>
  </si>
  <si>
    <t>V29607</t>
  </si>
  <si>
    <t>V28412</t>
  </si>
  <si>
    <t>KAMESHWAR  YADAV</t>
  </si>
  <si>
    <t>V26308</t>
  </si>
  <si>
    <t>RAVINDER</t>
  </si>
  <si>
    <t>V25229</t>
  </si>
  <si>
    <t>SAMSER  KUMAR</t>
  </si>
  <si>
    <t>V20698</t>
  </si>
  <si>
    <t>102020956311</t>
  </si>
  <si>
    <t>V17324</t>
  </si>
  <si>
    <t>102020956250</t>
  </si>
  <si>
    <t>DURGESH  SHARMA</t>
  </si>
  <si>
    <t>V15710</t>
  </si>
  <si>
    <t>RAVINDRA  RAY</t>
  </si>
  <si>
    <t>V14803</t>
  </si>
  <si>
    <t>RAJ KISHOR SINGH</t>
  </si>
  <si>
    <t>V14603</t>
  </si>
  <si>
    <t>V14392</t>
  </si>
  <si>
    <t>V12732</t>
  </si>
  <si>
    <t>DINESH  KUMAR</t>
  </si>
  <si>
    <t>V12731</t>
  </si>
  <si>
    <t>V09160</t>
  </si>
  <si>
    <t>SANJAY  PRASAD</t>
  </si>
  <si>
    <t>V07863</t>
  </si>
  <si>
    <t>102020956087</t>
  </si>
  <si>
    <t>V04462</t>
  </si>
  <si>
    <t>PARASHURAM  MALI</t>
  </si>
  <si>
    <t>V02721</t>
  </si>
  <si>
    <t>MUKESH KUMAR SHARMA</t>
  </si>
  <si>
    <t>V02643</t>
  </si>
  <si>
    <t>ANIL KUMAR PANIGRAHI</t>
  </si>
  <si>
    <t>V01300</t>
  </si>
  <si>
    <t>Paras  Yadav</t>
  </si>
  <si>
    <t>V52533</t>
  </si>
  <si>
    <t>Vineet Agrahari</t>
  </si>
  <si>
    <t>V49171</t>
  </si>
  <si>
    <t>Debashis  Sahu</t>
  </si>
  <si>
    <t>V49259</t>
  </si>
  <si>
    <t>DIMBESWAR  DAS</t>
  </si>
  <si>
    <t>V40633</t>
  </si>
  <si>
    <t>PABITRA BHUSAN BARUAH</t>
  </si>
  <si>
    <t>V39926</t>
  </si>
  <si>
    <t>RUBUL  DAS</t>
  </si>
  <si>
    <t>V26859</t>
  </si>
  <si>
    <t>Pradeep Santosh Kolvekar</t>
  </si>
  <si>
    <t>V49026</t>
  </si>
  <si>
    <t>MADAN KUMAR</t>
  </si>
  <si>
    <t>102128490996</t>
  </si>
  <si>
    <t>Akash Shankarappa Kukanur</t>
  </si>
  <si>
    <t>V45346</t>
  </si>
  <si>
    <t>V53876</t>
  </si>
  <si>
    <t>V50814</t>
  </si>
  <si>
    <t>PUSHPENDRA  SINGH</t>
  </si>
  <si>
    <t>V48133</t>
  </si>
  <si>
    <t>V46152</t>
  </si>
  <si>
    <t>V45003</t>
  </si>
  <si>
    <t>NAVEEN  SAINI</t>
  </si>
  <si>
    <t>V44855</t>
  </si>
  <si>
    <t>KANHAIYA  TYAGI</t>
  </si>
  <si>
    <t>V44854</t>
  </si>
  <si>
    <t>ARUN KUMAR DUBEY</t>
  </si>
  <si>
    <t>V43050</t>
  </si>
  <si>
    <t>MO.  AJHAR</t>
  </si>
  <si>
    <t>V38946</t>
  </si>
  <si>
    <t>V38645</t>
  </si>
  <si>
    <t>SONU KUMAR DUBEY</t>
  </si>
  <si>
    <t>V37942</t>
  </si>
  <si>
    <t>KRISHNA  TIWARI</t>
  </si>
  <si>
    <t>V37464</t>
  </si>
  <si>
    <t>ANIL KUMAR SINHA</t>
  </si>
  <si>
    <t>V36784</t>
  </si>
  <si>
    <t>V36573</t>
  </si>
  <si>
    <t>MR. RINKU</t>
  </si>
  <si>
    <t>V2S035</t>
  </si>
  <si>
    <t xml:space="preserve">BIJNESH  </t>
  </si>
  <si>
    <t>V29736</t>
  </si>
  <si>
    <t>NANDLAL  RAM</t>
  </si>
  <si>
    <t>V29477</t>
  </si>
  <si>
    <t>102091880796</t>
  </si>
  <si>
    <t>AMAN  RAJ</t>
  </si>
  <si>
    <t>V25848</t>
  </si>
  <si>
    <t>VIKASH  SHRIVASTAVA</t>
  </si>
  <si>
    <t>V23722</t>
  </si>
  <si>
    <t>DEVENDER  KUMAR</t>
  </si>
  <si>
    <t>V23043</t>
  </si>
  <si>
    <t xml:space="preserve">RAHUL  </t>
  </si>
  <si>
    <t>V21608</t>
  </si>
  <si>
    <t>KUSHESHWAR  RAM</t>
  </si>
  <si>
    <t>V17282</t>
  </si>
  <si>
    <t>AJEET KUMAR RAY</t>
  </si>
  <si>
    <t>V14519</t>
  </si>
  <si>
    <t>ANAND  PARKASH</t>
  </si>
  <si>
    <t>V09155</t>
  </si>
  <si>
    <t>ASHOK  YADAV</t>
  </si>
  <si>
    <t>V07765</t>
  </si>
  <si>
    <t xml:space="preserve">SANJAY  </t>
  </si>
  <si>
    <t>V06613</t>
  </si>
  <si>
    <t>PINTOO  PRASAD</t>
  </si>
  <si>
    <t>V04739</t>
  </si>
  <si>
    <t>V02741</t>
  </si>
  <si>
    <t>102020956073</t>
  </si>
  <si>
    <t>V01541</t>
  </si>
  <si>
    <t>VIVEK KUMAR</t>
  </si>
  <si>
    <t>V44809</t>
  </si>
  <si>
    <t>PATNA-HUB</t>
  </si>
  <si>
    <t>DB03</t>
  </si>
  <si>
    <t>V13913</t>
  </si>
  <si>
    <t>JAGADISH NARAYAN SHRIVASTAV</t>
  </si>
  <si>
    <t>V30412</t>
  </si>
  <si>
    <t>V29988</t>
  </si>
  <si>
    <t>102038551235</t>
  </si>
  <si>
    <t>ADITIYA  KUMAR</t>
  </si>
  <si>
    <t>V23961</t>
  </si>
  <si>
    <t>V15141</t>
  </si>
  <si>
    <t>102020957068</t>
  </si>
  <si>
    <t>DEEPAK KUMAR THAKUR</t>
  </si>
  <si>
    <t>V06781</t>
  </si>
  <si>
    <t>SATYA  PAL</t>
  </si>
  <si>
    <t>V06792</t>
  </si>
  <si>
    <t>V54471</t>
  </si>
  <si>
    <t>Rovil  Kumar</t>
  </si>
  <si>
    <t>V45465</t>
  </si>
  <si>
    <t>Aryan  Singh</t>
  </si>
  <si>
    <t>V45171</t>
  </si>
  <si>
    <t>Anand  Tripathi</t>
  </si>
  <si>
    <t>V44747</t>
  </si>
  <si>
    <t>GAURAV SHARMA SHARMA</t>
  </si>
  <si>
    <t>V36537</t>
  </si>
  <si>
    <t>V36039</t>
  </si>
  <si>
    <t>SONAM</t>
  </si>
  <si>
    <t>V35036</t>
  </si>
  <si>
    <t>CHARAN SINGH RAGHUWANSHI</t>
  </si>
  <si>
    <t>V29280</t>
  </si>
  <si>
    <t>ARJUN SINGH NEGI</t>
  </si>
  <si>
    <t>V26191</t>
  </si>
  <si>
    <t>AMAR  NATH</t>
  </si>
  <si>
    <t>V25257</t>
  </si>
  <si>
    <t>BINOD  KUMAR</t>
  </si>
  <si>
    <t>V24323</t>
  </si>
  <si>
    <t>V22222</t>
  </si>
  <si>
    <t>102020956492</t>
  </si>
  <si>
    <t xml:space="preserve">ATUL  </t>
  </si>
  <si>
    <t>V21318</t>
  </si>
  <si>
    <t>ARUN  TANWAR</t>
  </si>
  <si>
    <t>V20944</t>
  </si>
  <si>
    <t>SHAILENDRA  MAURYA</t>
  </si>
  <si>
    <t>V18488</t>
  </si>
  <si>
    <t>AJAY KUMAR PASWAN</t>
  </si>
  <si>
    <t>V15999</t>
  </si>
  <si>
    <t>GAJENDRA KUMAR PATHAK</t>
  </si>
  <si>
    <t>V14940</t>
  </si>
  <si>
    <t>JEETENDER KUMAR YADAV</t>
  </si>
  <si>
    <t>V10426</t>
  </si>
  <si>
    <t>V04324</t>
  </si>
  <si>
    <t>SUSMIT RANJAN MOHANTY</t>
  </si>
  <si>
    <t>V01305</t>
  </si>
  <si>
    <t>RAMESH KUMAR PRASAD</t>
  </si>
  <si>
    <t>V00517</t>
  </si>
  <si>
    <t>Dharmendra Pratap Singh</t>
  </si>
  <si>
    <t>V49014</t>
  </si>
  <si>
    <t>Nitesh Kumar Tripathi</t>
  </si>
  <si>
    <t>V49212</t>
  </si>
  <si>
    <t>BRIJESH  PAL</t>
  </si>
  <si>
    <t>V11584</t>
  </si>
  <si>
    <t>Anil Subudhi</t>
  </si>
  <si>
    <t>V46111</t>
  </si>
  <si>
    <t>102210882825</t>
  </si>
  <si>
    <t>ASIT KUMAR PANDA</t>
  </si>
  <si>
    <t>V36450</t>
  </si>
  <si>
    <t>ALOK KUMAR NAYAK</t>
  </si>
  <si>
    <t>V01633</t>
  </si>
  <si>
    <t>JUGAL JYOTI BHATTA</t>
  </si>
  <si>
    <t>V22379</t>
  </si>
  <si>
    <t>VISHNU PRASAD MANJHI</t>
  </si>
  <si>
    <t>V54505</t>
  </si>
  <si>
    <t>GOURAV  RAJPUT</t>
  </si>
  <si>
    <t>V39718</t>
  </si>
  <si>
    <t>SHARAD  KUMAR</t>
  </si>
  <si>
    <t>V48338</t>
  </si>
  <si>
    <t>V41831</t>
  </si>
  <si>
    <t>SUMIT KUMAR JHA</t>
  </si>
  <si>
    <t>V38646</t>
  </si>
  <si>
    <t>SHANI SAROJ</t>
  </si>
  <si>
    <t>V36574</t>
  </si>
  <si>
    <t>NARESH YADAV</t>
  </si>
  <si>
    <t>V35803</t>
  </si>
  <si>
    <t>102020956297</t>
  </si>
  <si>
    <t xml:space="preserve">AMIT  </t>
  </si>
  <si>
    <t>V31696</t>
  </si>
  <si>
    <t>NIRANJAN  THAKUR</t>
  </si>
  <si>
    <t>V27694</t>
  </si>
  <si>
    <t>ASHARAF  ALAM</t>
  </si>
  <si>
    <t>V25786</t>
  </si>
  <si>
    <t>UMESH  PASWAN</t>
  </si>
  <si>
    <t>V23691</t>
  </si>
  <si>
    <t>DEELIP  KUMAR</t>
  </si>
  <si>
    <t>V23417</t>
  </si>
  <si>
    <t>102020956324</t>
  </si>
  <si>
    <t>V17489</t>
  </si>
  <si>
    <t>ASHISH KUMAR SRIVASTAV</t>
  </si>
  <si>
    <t>V14191</t>
  </si>
  <si>
    <t>101302235051</t>
  </si>
  <si>
    <t>V13726</t>
  </si>
  <si>
    <t>V08180</t>
  </si>
  <si>
    <t>SURINDER  CHOWDHARY</t>
  </si>
  <si>
    <t>V07080</t>
  </si>
  <si>
    <t>VIKKY  KESHRI</t>
  </si>
  <si>
    <t>V04209</t>
  </si>
  <si>
    <t>V04047</t>
  </si>
  <si>
    <t>PRIYANKA</t>
  </si>
  <si>
    <t>Ajeet Kumar Kanoujia</t>
  </si>
  <si>
    <t>V50500</t>
  </si>
  <si>
    <t>ASHISH KUMAR SINGH</t>
  </si>
  <si>
    <t>V45581</t>
  </si>
  <si>
    <t>Vikram  Kumar</t>
  </si>
  <si>
    <t>V43295</t>
  </si>
  <si>
    <t>V40764</t>
  </si>
  <si>
    <t>BANDAN KUMAR JHA</t>
  </si>
  <si>
    <t>V23182</t>
  </si>
  <si>
    <t>102020955377</t>
  </si>
  <si>
    <t>HARI SHANKAR SHARMA</t>
  </si>
  <si>
    <t>V16443</t>
  </si>
  <si>
    <t>102020957109</t>
  </si>
  <si>
    <t>V10215</t>
  </si>
  <si>
    <t>V41733</t>
  </si>
  <si>
    <t>Rohit Kumar</t>
  </si>
  <si>
    <t>V36052</t>
  </si>
  <si>
    <t>SANKIT</t>
  </si>
  <si>
    <t>V35529</t>
  </si>
  <si>
    <t>V35286</t>
  </si>
  <si>
    <t>VIVEK KUMAR SHUKLA</t>
  </si>
  <si>
    <t>V35026</t>
  </si>
  <si>
    <t>BAL KRISHNA SHARMA</t>
  </si>
  <si>
    <t>V34324</t>
  </si>
  <si>
    <t>ANINDYA  KHASTGIR</t>
  </si>
  <si>
    <t>V33832</t>
  </si>
  <si>
    <t>101741808635</t>
  </si>
  <si>
    <t>RAKESH KUMAR PANDEY</t>
  </si>
  <si>
    <t>V33249</t>
  </si>
  <si>
    <t>KESHAV  JHA</t>
  </si>
  <si>
    <t>V30020</t>
  </si>
  <si>
    <t>M SANTOSH REDDY</t>
  </si>
  <si>
    <t>V27128</t>
  </si>
  <si>
    <t>SATENDRA KUMAR SARASWAT</t>
  </si>
  <si>
    <t>V21316</t>
  </si>
  <si>
    <t>ANAND KUMAR RAI</t>
  </si>
  <si>
    <t>V18302</t>
  </si>
  <si>
    <t>MITHILESH KUMAR SINGH</t>
  </si>
  <si>
    <t>V11290</t>
  </si>
  <si>
    <t>V09843</t>
  </si>
  <si>
    <t>Kushendra  Kumar</t>
  </si>
  <si>
    <t>V51443</t>
  </si>
  <si>
    <t>Jitendra</t>
  </si>
  <si>
    <t>V53607</t>
  </si>
  <si>
    <t>Daulat Ram Jangid</t>
  </si>
  <si>
    <t>V50398</t>
  </si>
  <si>
    <t>V41279</t>
  </si>
  <si>
    <t>AMARAJYOTI  ACHARYA</t>
  </si>
  <si>
    <t>V41098</t>
  </si>
  <si>
    <t>PRADOSH KUMAR</t>
  </si>
  <si>
    <t>V35982</t>
  </si>
  <si>
    <t>102186579548</t>
  </si>
  <si>
    <t>VINAYAK  KUMAR</t>
  </si>
  <si>
    <t>V33874</t>
  </si>
  <si>
    <t>V31735</t>
  </si>
  <si>
    <t>AKASHDEEP  SINGH</t>
  </si>
  <si>
    <t>V31687</t>
  </si>
  <si>
    <t>102136663164</t>
  </si>
  <si>
    <t>V29045</t>
  </si>
  <si>
    <t>102028876735</t>
  </si>
  <si>
    <t>V23870</t>
  </si>
  <si>
    <t>102028909101</t>
  </si>
  <si>
    <t>V20754</t>
  </si>
  <si>
    <t>KRISHNA CHANDRA BHATT</t>
  </si>
  <si>
    <t>V19376</t>
  </si>
  <si>
    <t>JAY  KUMAR</t>
  </si>
  <si>
    <t>V18350</t>
  </si>
  <si>
    <t>SATYASAI  MISHRA</t>
  </si>
  <si>
    <t>V18233</t>
  </si>
  <si>
    <t>SRIKANTA KUMAR JENA</t>
  </si>
  <si>
    <t>V05641</t>
  </si>
  <si>
    <t>102020985405</t>
  </si>
  <si>
    <t>MAKHMUR  ALAM</t>
  </si>
  <si>
    <t>V05506</t>
  </si>
  <si>
    <t>SUNNY</t>
  </si>
  <si>
    <t>V53181</t>
  </si>
  <si>
    <t>V28331</t>
  </si>
  <si>
    <t>Chaitanya  Dhanak</t>
  </si>
  <si>
    <t>V50601</t>
  </si>
  <si>
    <t>V50211</t>
  </si>
  <si>
    <t>V47563</t>
  </si>
  <si>
    <t>V44949</t>
  </si>
  <si>
    <t>Rudal</t>
  </si>
  <si>
    <t>V43326</t>
  </si>
  <si>
    <t>DILEEP  KUMAR</t>
  </si>
  <si>
    <t>V40715</t>
  </si>
  <si>
    <t>V40356</t>
  </si>
  <si>
    <t>Ankit Kumar Singh</t>
  </si>
  <si>
    <t>V36538</t>
  </si>
  <si>
    <t>V43294</t>
  </si>
  <si>
    <t>RAVIRANJAN  KUMAR</t>
  </si>
  <si>
    <t>V42184</t>
  </si>
  <si>
    <t>AKSHAY KUMAR ROY</t>
  </si>
  <si>
    <t>V40450</t>
  </si>
  <si>
    <t>SONU  PASWAN</t>
  </si>
  <si>
    <t>V06615</t>
  </si>
  <si>
    <t>Umesh Kumar Yadav</t>
  </si>
  <si>
    <t>V52452</t>
  </si>
  <si>
    <t>SOMNATH  CHAKRABORTY</t>
  </si>
  <si>
    <t>V30629</t>
  </si>
  <si>
    <t>Navin Kumar Mahto</t>
  </si>
  <si>
    <t>V45776</t>
  </si>
  <si>
    <t>102136662508</t>
  </si>
  <si>
    <t>RISHABH  SEHRAWAT</t>
  </si>
  <si>
    <t>V29107</t>
  </si>
  <si>
    <t>102091882240</t>
  </si>
  <si>
    <t>V26326</t>
  </si>
  <si>
    <t>V43456</t>
  </si>
  <si>
    <t>AKASH  VERMA</t>
  </si>
  <si>
    <t>V24286</t>
  </si>
  <si>
    <t>458918952185</t>
  </si>
  <si>
    <t>PPQPK8058Q</t>
  </si>
  <si>
    <t>4217409556</t>
  </si>
  <si>
    <t>102250567262</t>
  </si>
  <si>
    <t>58168100000014</t>
  </si>
  <si>
    <t>BARB0MARCHI</t>
  </si>
  <si>
    <t>8292836278</t>
  </si>
  <si>
    <t>04/03/1981</t>
  </si>
  <si>
    <t>DHARMDEV  KUMAR</t>
  </si>
  <si>
    <t>V42639</t>
  </si>
  <si>
    <t>806672850886</t>
  </si>
  <si>
    <t>BMVPR4910G</t>
  </si>
  <si>
    <t>100572252188</t>
  </si>
  <si>
    <t>50100197749782</t>
  </si>
  <si>
    <t>HDFC0009090</t>
  </si>
  <si>
    <t>NETWORK ENGINEER</t>
  </si>
  <si>
    <t>9871241440</t>
  </si>
  <si>
    <t>20/07/2022</t>
  </si>
  <si>
    <t>AKHLAQUR  RAHMAN</t>
  </si>
  <si>
    <t>V20138</t>
  </si>
  <si>
    <t xml:space="preserve"> </t>
  </si>
  <si>
    <t>F</t>
  </si>
  <si>
    <t>TTL MTH DAYS</t>
  </si>
  <si>
    <t>SUB TOT</t>
  </si>
  <si>
    <t xml:space="preserve">   </t>
  </si>
  <si>
    <t>G.TOT</t>
  </si>
  <si>
    <t>SL</t>
  </si>
  <si>
    <t>CO</t>
  </si>
  <si>
    <t>CL</t>
  </si>
  <si>
    <t>EL</t>
  </si>
  <si>
    <t>LEAVE AVAILED</t>
  </si>
  <si>
    <t xml:space="preserve">LEAVE EARN </t>
  </si>
  <si>
    <t>LEAVE CLS_BAL</t>
  </si>
  <si>
    <t>LEAVE OP_BAL</t>
  </si>
  <si>
    <t>AVAILED</t>
  </si>
  <si>
    <t>EARN</t>
  </si>
  <si>
    <t>CLS_BAL</t>
  </si>
  <si>
    <t>OP_BAL</t>
  </si>
  <si>
    <t>ACT</t>
  </si>
  <si>
    <t>BGT</t>
  </si>
  <si>
    <t>DIFF</t>
  </si>
  <si>
    <t>SALARY PAID-TTL</t>
  </si>
  <si>
    <t>SALARY PAID-2</t>
  </si>
  <si>
    <t>INCENTIVE</t>
  </si>
  <si>
    <t>REIMB</t>
  </si>
  <si>
    <t>SALARY PAID-1</t>
  </si>
  <si>
    <t>TOTAL LEAVE AVAILED</t>
  </si>
  <si>
    <t>POW</t>
  </si>
  <si>
    <t>HLD</t>
  </si>
  <si>
    <t>ACT DAYS
WK-OFF (WO LEAVE)</t>
  </si>
  <si>
    <t>BGT
DAYS
WKL-OF</t>
  </si>
  <si>
    <t>EXTRA DAY CNT</t>
  </si>
  <si>
    <t>ABSENT</t>
  </si>
  <si>
    <t>TTL PAYABLE DAYS</t>
  </si>
  <si>
    <t>PAYABLE DAYS</t>
  </si>
  <si>
    <t>BGT-PAYABLE DAYS</t>
  </si>
  <si>
    <t>GEO FENCE
ATTEND-DAYS</t>
  </si>
  <si>
    <t>MANUAL PRESENT
DAYS</t>
  </si>
  <si>
    <t>MACHINE PRESENT
DAYS</t>
  </si>
  <si>
    <t>TTL PRESENT
DAYS</t>
  </si>
  <si>
    <t>TOTAL LEAVE</t>
  </si>
  <si>
    <t>LWF (EMPLOYER)</t>
  </si>
  <si>
    <t>ESIC (EMPLOYER)</t>
  </si>
  <si>
    <t>PF (EMPLOYER)</t>
  </si>
  <si>
    <t>LWF</t>
  </si>
  <si>
    <t>MONTHLY ADVANCE</t>
  </si>
  <si>
    <t>LOAN</t>
  </si>
  <si>
    <t>PENALTY</t>
  </si>
  <si>
    <t>DIESEL</t>
  </si>
  <si>
    <t>CASH SHORT</t>
  </si>
  <si>
    <t>P-TAX</t>
  </si>
  <si>
    <t>TDS</t>
  </si>
  <si>
    <t>ESI</t>
  </si>
  <si>
    <t>PF</t>
  </si>
  <si>
    <t>TOTAL DEDUCTION</t>
  </si>
  <si>
    <t>PAYABLE</t>
  </si>
  <si>
    <t>PAYABLE (WITH REIMBUS)</t>
  </si>
  <si>
    <t>TTL GROSS-EARNING</t>
  </si>
  <si>
    <t>GROSS SALARY</t>
  </si>
  <si>
    <t>CTC
SALARY</t>
  </si>
  <si>
    <t>MTH-AS-PER-ACTUAL- SALARY</t>
  </si>
  <si>
    <t>CTC-MTH-AS-PER-OFFER-LETTER- SALARY RATE</t>
  </si>
  <si>
    <t>EXTRA DAYS ALLOWANCE</t>
  </si>
  <si>
    <t>ARRERS</t>
  </si>
  <si>
    <t>MOBILE BILL</t>
  </si>
  <si>
    <t>FOODING ALL</t>
  </si>
  <si>
    <t>INCENTIVE AMT</t>
  </si>
  <si>
    <t>OVERTIME</t>
  </si>
  <si>
    <t>Meal Voucher (REIMB)</t>
  </si>
  <si>
    <t>Meal Voucher</t>
  </si>
  <si>
    <t>Mobile Bill (REIMB)</t>
  </si>
  <si>
    <t>Mobile Bill</t>
  </si>
  <si>
    <t>Driver Wages (REIMB)</t>
  </si>
  <si>
    <t>Driver Wages</t>
  </si>
  <si>
    <t>Professional Attire (REIMB)</t>
  </si>
  <si>
    <t>Professional Attire</t>
  </si>
  <si>
    <t>Books and Periodicals (REIMB)</t>
  </si>
  <si>
    <t>Books and Periodicals</t>
  </si>
  <si>
    <t>Fuel and Maintenance (REIMB)</t>
  </si>
  <si>
    <t>Fuel and Maintenance</t>
  </si>
  <si>
    <t>RET.
BONUS EARNED</t>
  </si>
  <si>
    <t>RET.
BONUS RATE</t>
  </si>
  <si>
    <t>RET.
BONUS %</t>
  </si>
  <si>
    <t>RETENTION GROSS SALARY</t>
  </si>
  <si>
    <t>GRATUITY EARNED</t>
  </si>
  <si>
    <t>GRATUITY EARNED
RATE</t>
  </si>
  <si>
    <t>BONUS EARNED</t>
  </si>
  <si>
    <t>BONUS EARNED RATE</t>
  </si>
  <si>
    <t>REIMB RATE</t>
  </si>
  <si>
    <t>SPECIAL
ALLOWANCE</t>
  </si>
  <si>
    <t>SPECIAL
ALLOWANCE RATE</t>
  </si>
  <si>
    <t>C.C.A.</t>
  </si>
  <si>
    <t>C.C.A. Rate</t>
  </si>
  <si>
    <t>D.A</t>
  </si>
  <si>
    <t>D.A. RATE</t>
  </si>
  <si>
    <t>H.R.A.</t>
  </si>
  <si>
    <t>H.R.A. Rate</t>
  </si>
  <si>
    <t>BASIC
SALARY</t>
  </si>
  <si>
    <t>Basic Salary Rate</t>
  </si>
  <si>
    <t>HR FINAL REMARKS</t>
  </si>
  <si>
    <t>HR REMARKS</t>
  </si>
  <si>
    <t>DEPT. REMARKS</t>
  </si>
  <si>
    <t>LP REMARKS</t>
  </si>
  <si>
    <t>AUTO
REMARKS</t>
  </si>
  <si>
    <t>WK-OFF PAY APPLICABLE?</t>
  </si>
  <si>
    <t>BONUS Applicable?</t>
  </si>
  <si>
    <t>BONUS TYPE</t>
  </si>
  <si>
    <t>P.TAX. Applicable?</t>
  </si>
  <si>
    <t>O.T.. Applicable?</t>
  </si>
  <si>
    <t>F.P.F. Applicable?</t>
  </si>
  <si>
    <t>E.S.I. Applicable?</t>
  </si>
  <si>
    <t>P.F. Applicable?</t>
  </si>
  <si>
    <t>AADHAR NO</t>
  </si>
  <si>
    <t>PAN NO</t>
  </si>
  <si>
    <t>E.S.I NO</t>
  </si>
  <si>
    <t>P.F.NO.</t>
  </si>
  <si>
    <t>U.A.N NO</t>
  </si>
  <si>
    <t>A/c No.</t>
  </si>
  <si>
    <t>IFSC Code</t>
  </si>
  <si>
    <t>Name of Bank</t>
  </si>
  <si>
    <t>STATUS</t>
  </si>
  <si>
    <t>DESIGNATION</t>
  </si>
  <si>
    <t>SUB-DEPT.</t>
  </si>
  <si>
    <t>DEPARTMENT</t>
  </si>
  <si>
    <t>LEAVING
 DT</t>
  </si>
  <si>
    <t>MOBILE NO.</t>
  </si>
  <si>
    <t>JOINING DATE</t>
  </si>
  <si>
    <t>D.O.B</t>
  </si>
  <si>
    <t>GENDER</t>
  </si>
  <si>
    <t>NAME</t>
  </si>
  <si>
    <t>E.CODE</t>
  </si>
  <si>
    <t>STATE</t>
  </si>
  <si>
    <t>LOC-TYPE</t>
  </si>
  <si>
    <t>LOCATION</t>
  </si>
  <si>
    <t>LOC CD</t>
  </si>
  <si>
    <t>SR, NO</t>
  </si>
  <si>
    <t>PART-7 : PAYABLE DAYS WORKING</t>
  </si>
  <si>
    <t>PART 4 ( LEAVE REPORT)</t>
  </si>
  <si>
    <t>PART-8 DEDUCTION ( PF/ESIC/TDS/LOAN/BONUS)</t>
  </si>
  <si>
    <t>SALARY PAYABLE</t>
  </si>
  <si>
    <t>EXTRA-GROSS-DETAIL</t>
  </si>
  <si>
    <t>REIM-BREKUP DETAIL</t>
  </si>
  <si>
    <t>BONUS EARNED RATE VS ACT</t>
  </si>
  <si>
    <t>BGT VS ACT</t>
  </si>
  <si>
    <t>PART-1 (LOC &amp; EMP DETAIL)</t>
  </si>
  <si>
    <t>DRAG</t>
  </si>
  <si>
    <t>ACT DAYS WK-OFF (WO LEAVE)</t>
  </si>
  <si>
    <t>BGT DAYS WKL-OF</t>
  </si>
  <si>
    <t>GEO FENCE</t>
  </si>
  <si>
    <t>MANUAL PRESENT</t>
  </si>
  <si>
    <t>MACHINE ATTENDENCE</t>
  </si>
  <si>
    <t>SL LEAVE AVAILED</t>
  </si>
  <si>
    <t>SL LEAVE EARN</t>
  </si>
  <si>
    <t>SL LEAVE CLS_BAL</t>
  </si>
  <si>
    <t>SL LEAVE OP_BAL</t>
  </si>
  <si>
    <t>CO LEAVE AVAILED</t>
  </si>
  <si>
    <t>CO LEAVE EARN</t>
  </si>
  <si>
    <t>CO LEAVE CLS_BAL</t>
  </si>
  <si>
    <t>CO LEAVE OP_BAL</t>
  </si>
  <si>
    <t>CL LEAVE AVAILED</t>
  </si>
  <si>
    <t>CL LEAVE EARN</t>
  </si>
  <si>
    <t>CL LEAVE OP_BAL</t>
  </si>
  <si>
    <t>EL LEAVE AVAILED</t>
  </si>
  <si>
    <t>EL LEAVE EARN</t>
  </si>
  <si>
    <t>EL LEAVE CLS_BAL</t>
  </si>
  <si>
    <t>EL LEAVE OP_BAL</t>
  </si>
  <si>
    <t>overtime</t>
  </si>
  <si>
    <t>Reimbursement</t>
  </si>
  <si>
    <t>SPECIAL ALLOWANCE</t>
  </si>
  <si>
    <t>SPECIAL ALLOWANCE RATE</t>
  </si>
  <si>
    <t>BASIC SALARY</t>
  </si>
  <si>
    <t>MTH</t>
  </si>
  <si>
    <t>P.Tax Applicable?</t>
  </si>
  <si>
    <t>O.T. Applicable?</t>
  </si>
  <si>
    <t>Aadhar No.</t>
  </si>
  <si>
    <t>PAN No.</t>
  </si>
  <si>
    <t>ESIC_NO</t>
  </si>
  <si>
    <t>P.F. No.</t>
  </si>
  <si>
    <t>Universal A/c Number</t>
  </si>
  <si>
    <t>LEAVING DATE</t>
  </si>
  <si>
    <t>Employee Code</t>
  </si>
  <si>
    <t>LOCATION CODE</t>
  </si>
  <si>
    <t>STORE</t>
  </si>
  <si>
    <t>DG-12</t>
  </si>
  <si>
    <t>DG-11</t>
  </si>
  <si>
    <t>DG-10</t>
  </si>
  <si>
    <t>DG-9</t>
  </si>
  <si>
    <t>DG-8</t>
  </si>
  <si>
    <t>DG-7</t>
  </si>
  <si>
    <t>DG-6</t>
  </si>
  <si>
    <t>DG-5</t>
  </si>
  <si>
    <t>DG-4</t>
  </si>
  <si>
    <t>DG-3</t>
  </si>
  <si>
    <t>DG-2</t>
  </si>
  <si>
    <t>DG-1</t>
  </si>
  <si>
    <t>BG-15</t>
  </si>
  <si>
    <t>BG-14</t>
  </si>
  <si>
    <t>BG-13</t>
  </si>
  <si>
    <t>AG-12</t>
  </si>
  <si>
    <t>BG-12</t>
  </si>
  <si>
    <t>AG-11</t>
  </si>
  <si>
    <t>BG-11</t>
  </si>
  <si>
    <t>AG-10</t>
  </si>
  <si>
    <t>BG-10</t>
  </si>
  <si>
    <t>AG-9</t>
  </si>
  <si>
    <t>BG-9</t>
  </si>
  <si>
    <t>AG-8</t>
  </si>
  <si>
    <t>BG-8</t>
  </si>
  <si>
    <t>AG-7</t>
  </si>
  <si>
    <t>BG-7</t>
  </si>
  <si>
    <t>AG-6</t>
  </si>
  <si>
    <t>BG-6</t>
  </si>
  <si>
    <t>AG-5</t>
  </si>
  <si>
    <t>BG-5</t>
  </si>
  <si>
    <t>AG-4</t>
  </si>
  <si>
    <t>BG-4</t>
  </si>
  <si>
    <t>AG-3</t>
  </si>
  <si>
    <t>BG-3</t>
  </si>
  <si>
    <t>AG-2</t>
  </si>
  <si>
    <t>BG-2</t>
  </si>
  <si>
    <t>AG-1</t>
  </si>
  <si>
    <t>BG-1</t>
  </si>
  <si>
    <t>HO/CENTRAL/OLD HO/DC</t>
  </si>
  <si>
    <t>LS/ES</t>
  </si>
  <si>
    <t>UN</t>
  </si>
  <si>
    <t>LS</t>
  </si>
  <si>
    <t>ES</t>
  </si>
  <si>
    <t>MANUAL</t>
  </si>
  <si>
    <t>C:\Users\rajeev.sinha\Desktop\SALARY-REPORT\03-MAR-2026\Salary_Consolidate_Data_06.xlsx</t>
  </si>
  <si>
    <t>C:\Users\rajeev.sinha\Desktop\SALARY-REPORT\06-JUN-2026\Salary_Consolidate_Data-2.xlsx</t>
  </si>
  <si>
    <t>C:\Users\rajeev.sinha\Desktop\SALARY-REPORT\03-MAR-2026\Salary_Consolidate_Data_06C.xlsx</t>
  </si>
  <si>
    <t>LOC-WISE-EMP-WISE-SALARY-REPORT-2026-JUNE</t>
  </si>
  <si>
    <t>LP STATUS</t>
  </si>
  <si>
    <t>EPS NOT APPLICABLE</t>
  </si>
  <si>
    <t>EMP CODE</t>
  </si>
  <si>
    <t xml:space="preserve">EMP NAME </t>
  </si>
  <si>
    <t xml:space="preserve">DESG </t>
  </si>
  <si>
    <t>REASON</t>
  </si>
  <si>
    <t>E CODE</t>
  </si>
  <si>
    <t>UAN</t>
  </si>
  <si>
    <t>MEMBER NAME</t>
  </si>
  <si>
    <t>NO</t>
  </si>
  <si>
    <t>V00468</t>
  </si>
  <si>
    <t>102020970459</t>
  </si>
  <si>
    <t>MADAN  JOSHI</t>
  </si>
  <si>
    <t>V25639</t>
  </si>
  <si>
    <t>VIVEK THAPA</t>
  </si>
  <si>
    <t>RESIGN</t>
  </si>
  <si>
    <t>V28872</t>
  </si>
  <si>
    <t>RONUMAI DOLEY</t>
  </si>
  <si>
    <t>V26513</t>
  </si>
  <si>
    <t>MUKUNDA SAIKIA</t>
  </si>
  <si>
    <t>ELE</t>
  </si>
  <si>
    <t>V36074</t>
  </si>
  <si>
    <t>S MATHEW MOLSOM</t>
  </si>
  <si>
    <t>V36078</t>
  </si>
  <si>
    <t>BASANA KUMAR MOLSOM</t>
  </si>
  <si>
    <t>V36885</t>
  </si>
  <si>
    <t>RESIGNATION</t>
  </si>
  <si>
    <t>V35072</t>
  </si>
  <si>
    <t>ABSCONDING</t>
  </si>
  <si>
    <t>V36122</t>
  </si>
  <si>
    <t>V32880</t>
  </si>
  <si>
    <t>RUBAL KUMAR</t>
  </si>
  <si>
    <t>V33665</t>
  </si>
  <si>
    <t>DURGA PRASAD</t>
  </si>
  <si>
    <t>V37316</t>
  </si>
  <si>
    <t>BHAWAR</t>
  </si>
  <si>
    <t>SHAHID  EKBAL</t>
  </si>
  <si>
    <t>V36801</t>
  </si>
  <si>
    <t>V36182</t>
  </si>
  <si>
    <t>AJAY YADAV</t>
  </si>
  <si>
    <t>LEFT THE JOB</t>
  </si>
  <si>
    <t>V36163</t>
  </si>
  <si>
    <t>NANDINI THARU</t>
  </si>
  <si>
    <t>V36121</t>
  </si>
  <si>
    <t>SATYADEV MAURYA</t>
  </si>
  <si>
    <t>V36123</t>
  </si>
  <si>
    <t>DEEPAK SHUKLA</t>
  </si>
  <si>
    <t>V36285</t>
  </si>
  <si>
    <t>SARITA</t>
  </si>
  <si>
    <t>V35654</t>
  </si>
  <si>
    <t>SIDDHARTH GAUTAM</t>
  </si>
  <si>
    <t>V37013</t>
  </si>
  <si>
    <t>AKASH SHARMA</t>
  </si>
  <si>
    <t>V34149</t>
  </si>
  <si>
    <t>DEEPANSHU SINGH</t>
  </si>
  <si>
    <t>PERSONAL RESIGON</t>
  </si>
  <si>
    <t>V31790</t>
  </si>
  <si>
    <t>MOHIT SHARMA</t>
  </si>
  <si>
    <t>V07675</t>
  </si>
  <si>
    <t>102020957075</t>
  </si>
  <si>
    <t>SHUBHAM KUMAR SINHA</t>
  </si>
  <si>
    <t>V36691</t>
  </si>
  <si>
    <t>MAYANK NAGAR</t>
  </si>
  <si>
    <t xml:space="preserve">  HC</t>
  </si>
  <si>
    <t>V34120</t>
  </si>
  <si>
    <t>KARAN SINGH PATWAL</t>
  </si>
  <si>
    <t>V34538</t>
  </si>
  <si>
    <t>V36093</t>
  </si>
  <si>
    <t>ELC</t>
  </si>
  <si>
    <t>V34658</t>
  </si>
  <si>
    <t xml:space="preserve">RESGINATIOM </t>
  </si>
  <si>
    <t>V09632</t>
  </si>
  <si>
    <t>V34642</t>
  </si>
  <si>
    <t>ELC.</t>
  </si>
  <si>
    <t>V34620</t>
  </si>
  <si>
    <t>KIRAN MEWADA</t>
  </si>
  <si>
    <t>V34609</t>
  </si>
  <si>
    <t>PRADEEP VERMA</t>
  </si>
  <si>
    <t>V34608</t>
  </si>
  <si>
    <t>PRAVEEN CHANDRAVANSI</t>
  </si>
  <si>
    <t>V35019</t>
  </si>
  <si>
    <t>ANIL GIRI</t>
  </si>
  <si>
    <t xml:space="preserve">ABSCONDING </t>
  </si>
  <si>
    <t>V35804</t>
  </si>
  <si>
    <t>SUJAL BARMIYA</t>
  </si>
  <si>
    <t>V36330</t>
  </si>
  <si>
    <t>ABHISEKH</t>
  </si>
  <si>
    <t xml:space="preserve">MEHFUJ  </t>
  </si>
  <si>
    <t>V34868</t>
  </si>
  <si>
    <t>HOMERAJ BANKAR</t>
  </si>
  <si>
    <t>V36676</t>
  </si>
  <si>
    <t>VINOD KUMAR SEN</t>
  </si>
  <si>
    <t>MSA</t>
  </si>
  <si>
    <t>V14525</t>
  </si>
  <si>
    <t>102000225432</t>
  </si>
  <si>
    <t>V31183</t>
  </si>
  <si>
    <t>RITVIK OJHA</t>
  </si>
  <si>
    <t>V14556</t>
  </si>
  <si>
    <t>102020953741</t>
  </si>
  <si>
    <t xml:space="preserve">ROHIT  </t>
  </si>
  <si>
    <t>V31989</t>
  </si>
  <si>
    <t>SACHIN SAWLE</t>
  </si>
  <si>
    <t xml:space="preserve">AAKASH  </t>
  </si>
  <si>
    <t>V34169</t>
  </si>
  <si>
    <t>DAKSH CHOUHAN</t>
  </si>
  <si>
    <t>DCE</t>
  </si>
  <si>
    <t>V15071</t>
  </si>
  <si>
    <t>102020341214</t>
  </si>
  <si>
    <t>VIKRAM SINGH GULERIA</t>
  </si>
  <si>
    <t>V31889</t>
  </si>
  <si>
    <t>SURAJ DUDVE</t>
  </si>
  <si>
    <t>V31906</t>
  </si>
  <si>
    <t>LALIT SOLANKI</t>
  </si>
  <si>
    <t>V37137</t>
  </si>
  <si>
    <t>BIKASH DIGAL</t>
  </si>
  <si>
    <t>V36089</t>
  </si>
  <si>
    <t>BIKI SASMAL</t>
  </si>
  <si>
    <t>RESIGNED</t>
  </si>
  <si>
    <t>V28143</t>
  </si>
  <si>
    <t>DEBADATTA KAR</t>
  </si>
  <si>
    <t>V36713</t>
  </si>
  <si>
    <t>JAGNYA PRASAD DEWAN</t>
  </si>
  <si>
    <t>V15528</t>
  </si>
  <si>
    <t>102020953794</t>
  </si>
  <si>
    <t>OMRATHI  SHARMA</t>
  </si>
  <si>
    <t>V36464</t>
  </si>
  <si>
    <t>V23434</t>
  </si>
  <si>
    <t>SUNIL BARIK</t>
  </si>
  <si>
    <t>V15806</t>
  </si>
  <si>
    <t>102020961796</t>
  </si>
  <si>
    <t>V27263</t>
  </si>
  <si>
    <t>RASMI REKHA NAYAK</t>
  </si>
  <si>
    <t>V16206</t>
  </si>
  <si>
    <t>102020955222</t>
  </si>
  <si>
    <t>JAMES  SAM</t>
  </si>
  <si>
    <t>N03312</t>
  </si>
  <si>
    <t>BARSHA PRIYADARSHANI</t>
  </si>
  <si>
    <t>V26881</t>
  </si>
  <si>
    <t>ALEKH MALLIK</t>
  </si>
  <si>
    <t>V29637</t>
  </si>
  <si>
    <t>SWETA SINGH</t>
  </si>
  <si>
    <t>V17948</t>
  </si>
  <si>
    <t>BIRENDRA MALIK</t>
  </si>
  <si>
    <t xml:space="preserve">INTERNAL </t>
  </si>
  <si>
    <t>V33695</t>
  </si>
  <si>
    <t>SANTANU KANR</t>
  </si>
  <si>
    <t>V30765</t>
  </si>
  <si>
    <t>NITESH BHOI</t>
  </si>
  <si>
    <t>V16560</t>
  </si>
  <si>
    <t>102020955429</t>
  </si>
  <si>
    <t>SARVJEET  SINGH</t>
  </si>
  <si>
    <t>V30777</t>
  </si>
  <si>
    <t>KARUNAKARA CHHANCHAN</t>
  </si>
  <si>
    <t>V34302</t>
  </si>
  <si>
    <t>GIRIJA DAS</t>
  </si>
  <si>
    <t>V34031</t>
  </si>
  <si>
    <t>PRASHANT GOCHHAYAT</t>
  </si>
  <si>
    <t>V17478</t>
  </si>
  <si>
    <t>102020955401</t>
  </si>
  <si>
    <t>SAURABH  SEHRAWAT</t>
  </si>
  <si>
    <t>V32022</t>
  </si>
  <si>
    <t>MUKESH KUMAR MAHAKUL</t>
  </si>
  <si>
    <t>V35777</t>
  </si>
  <si>
    <t>SHRABAN NAIK</t>
  </si>
  <si>
    <t>V24478</t>
  </si>
  <si>
    <t>BHARATI MURTY</t>
  </si>
  <si>
    <t>V32224</t>
  </si>
  <si>
    <t>PRITIRANJAN RAJAHANSA</t>
  </si>
  <si>
    <t>V32225</t>
  </si>
  <si>
    <t>JOGENDRA RAJAHANSA</t>
  </si>
  <si>
    <t>V35776</t>
  </si>
  <si>
    <t>PAPU NAIK</t>
  </si>
  <si>
    <t>V30597</t>
  </si>
  <si>
    <t>BIKASH KUMAR BEHERA</t>
  </si>
  <si>
    <t>V17907</t>
  </si>
  <si>
    <t>102020955618</t>
  </si>
  <si>
    <t>MOUPRIYA  JANA</t>
  </si>
  <si>
    <t>V36299</t>
  </si>
  <si>
    <t>SANATANA SAHU</t>
  </si>
  <si>
    <t>V34671</t>
  </si>
  <si>
    <t>MS. PUJA MAJHI</t>
  </si>
  <si>
    <t>INT SG</t>
  </si>
  <si>
    <t>V35981</t>
  </si>
  <si>
    <t>MR.SAGAR DASH</t>
  </si>
  <si>
    <t>V25755</t>
  </si>
  <si>
    <t>MR. JAGAN SAHU</t>
  </si>
  <si>
    <t>V33791</t>
  </si>
  <si>
    <t>MR.PRADIPTA NAYAK</t>
  </si>
  <si>
    <t>V18528</t>
  </si>
  <si>
    <t>102020955752</t>
  </si>
  <si>
    <t>V17930</t>
  </si>
  <si>
    <t>MS. NAMITA NAIK</t>
  </si>
  <si>
    <t>V18503</t>
  </si>
  <si>
    <t>MS. ARATI HEMBRAM</t>
  </si>
  <si>
    <t>V36030</t>
  </si>
  <si>
    <t>KHAGSWER MOHANTA</t>
  </si>
  <si>
    <t>V35330</t>
  </si>
  <si>
    <t>PRAMOD KUMAR BARIK</t>
  </si>
  <si>
    <t>V36479</t>
  </si>
  <si>
    <t>JAVED MALLIK</t>
  </si>
  <si>
    <t>V18974</t>
  </si>
  <si>
    <t>102020956330</t>
  </si>
  <si>
    <t>NARENDRA KUMAR RAY</t>
  </si>
  <si>
    <t>V22374</t>
  </si>
  <si>
    <t>PRASAD KISHORE PARIDA</t>
  </si>
  <si>
    <t>DCM</t>
  </si>
  <si>
    <t>V32048</t>
  </si>
  <si>
    <t>ALOK KUMAR PRUSTY</t>
  </si>
  <si>
    <t>V35740</t>
  </si>
  <si>
    <t>SNEHA SOM</t>
  </si>
  <si>
    <t>CSD</t>
  </si>
  <si>
    <t xml:space="preserve">Absconding </t>
  </si>
  <si>
    <t>V19338</t>
  </si>
  <si>
    <t>102020957204</t>
  </si>
  <si>
    <t>SHREEKANT S KASHEED</t>
  </si>
  <si>
    <t>V35744</t>
  </si>
  <si>
    <t>PABEL DEY</t>
  </si>
  <si>
    <t>V24987</t>
  </si>
  <si>
    <t>DEEP ROY</t>
  </si>
  <si>
    <t>V19497</t>
  </si>
  <si>
    <t>102020956209</t>
  </si>
  <si>
    <t>V37600</t>
  </si>
  <si>
    <t>SUBHAJIT PANDIT</t>
  </si>
  <si>
    <t>V37601</t>
  </si>
  <si>
    <t>BISWAJIT GHOSH</t>
  </si>
  <si>
    <t>V30528</t>
  </si>
  <si>
    <t>KOUSHIK SHARMA</t>
  </si>
  <si>
    <t>V19910</t>
  </si>
  <si>
    <t>102020956221</t>
  </si>
  <si>
    <t>ANKITA  BAWLIA</t>
  </si>
  <si>
    <t>V33308</t>
  </si>
  <si>
    <t>RULI KHATUN</t>
  </si>
  <si>
    <t>V20340</t>
  </si>
  <si>
    <t>102020956348</t>
  </si>
  <si>
    <t>SANJU  SINGH</t>
  </si>
  <si>
    <t>V32679</t>
  </si>
  <si>
    <t>SATYA NARAYAN</t>
  </si>
  <si>
    <t>V32891</t>
  </si>
  <si>
    <t>MANISH KUMAR GOUR</t>
  </si>
  <si>
    <t>V36589</t>
  </si>
  <si>
    <t>PARTHA ROY</t>
  </si>
  <si>
    <t>V20591</t>
  </si>
  <si>
    <t>102020956428</t>
  </si>
  <si>
    <t>VIVEK  MISHRA</t>
  </si>
  <si>
    <t>V36572</t>
  </si>
  <si>
    <t>SUMIT KHARWAR</t>
  </si>
  <si>
    <t>STAFF LIFT</t>
  </si>
  <si>
    <t>V20669</t>
  </si>
  <si>
    <t>102020956444</t>
  </si>
  <si>
    <t>PAWAN  DIXIT</t>
  </si>
  <si>
    <t>V37664</t>
  </si>
  <si>
    <t>MR GOVIND GAUNDER</t>
  </si>
  <si>
    <t>V36686</t>
  </si>
  <si>
    <t>SANJEEV DUBEY</t>
  </si>
  <si>
    <t xml:space="preserve">HE LEFT THE JOB WITHOUT ANY INFORMATION </t>
  </si>
  <si>
    <t>V34984</t>
  </si>
  <si>
    <t>HANUMAN MISHRA</t>
  </si>
  <si>
    <t xml:space="preserve">HE LEFT  THE JOB WITHOUT ANY INFORMATION. </t>
  </si>
  <si>
    <t>V29210</t>
  </si>
  <si>
    <t>KM.SRASTHI</t>
  </si>
  <si>
    <t xml:space="preserve">THEFT </t>
  </si>
  <si>
    <t>V21006</t>
  </si>
  <si>
    <t>102020956526</t>
  </si>
  <si>
    <t>SAROJ KR YADAV</t>
  </si>
  <si>
    <t>V29209</t>
  </si>
  <si>
    <t>MS.MINAKSHI</t>
  </si>
  <si>
    <t>V29212</t>
  </si>
  <si>
    <t>KM.NEELAM SAINI</t>
  </si>
  <si>
    <t>V31817</t>
  </si>
  <si>
    <t>PERSONL ISSUE</t>
  </si>
  <si>
    <t>V29565</t>
  </si>
  <si>
    <t>SUMIT RATHOR</t>
  </si>
  <si>
    <t>GIVEN RESIGNATION</t>
  </si>
  <si>
    <t>V21083</t>
  </si>
  <si>
    <t>102020956883</t>
  </si>
  <si>
    <t>SUNIL KUMAR TIWARI</t>
  </si>
  <si>
    <t>V28372</t>
  </si>
  <si>
    <t>SHIVANAND YADAV</t>
  </si>
  <si>
    <t>LEFT</t>
  </si>
  <si>
    <t>V36189</t>
  </si>
  <si>
    <t>RUPA MAURYA</t>
  </si>
  <si>
    <t>PERSONAL</t>
  </si>
  <si>
    <t>V36192</t>
  </si>
  <si>
    <t>JYOTI TRIPATHI</t>
  </si>
  <si>
    <t>V36212</t>
  </si>
  <si>
    <t>AMBUJ SHARMA</t>
  </si>
  <si>
    <t xml:space="preserve">WITH  OUT INFORMATION NOT COME </t>
  </si>
  <si>
    <t>V36193</t>
  </si>
  <si>
    <t>TAUHEED HUSAIN</t>
  </si>
  <si>
    <t>V36535</t>
  </si>
  <si>
    <t>SUJAL</t>
  </si>
  <si>
    <t>V36753</t>
  </si>
  <si>
    <t>HARSHVERDHAN</t>
  </si>
  <si>
    <t xml:space="preserve">SONALI  </t>
  </si>
  <si>
    <t>V36991</t>
  </si>
  <si>
    <t>RANJEET KUMAR GAUTAM</t>
  </si>
  <si>
    <t xml:space="preserve">MONTI  </t>
  </si>
  <si>
    <t>V36997</t>
  </si>
  <si>
    <t>SACHIN GAUTAM</t>
  </si>
  <si>
    <t>V36869</t>
  </si>
  <si>
    <t>NITESH</t>
  </si>
  <si>
    <t>V36996</t>
  </si>
  <si>
    <t>NIKHIL RAI</t>
  </si>
  <si>
    <t>V23179</t>
  </si>
  <si>
    <t>KAJAL MAURYA</t>
  </si>
  <si>
    <t xml:space="preserve"> LOBM</t>
  </si>
  <si>
    <t>V22611</t>
  </si>
  <si>
    <t>MADHUSUDAN SHARMA</t>
  </si>
  <si>
    <t xml:space="preserve">INTARNAL  </t>
  </si>
  <si>
    <t>INTEGRITY</t>
  </si>
  <si>
    <t>V33833</t>
  </si>
  <si>
    <t>VAIBHAV KUMAR SINGH</t>
  </si>
  <si>
    <t>V21427</t>
  </si>
  <si>
    <t>102020956542</t>
  </si>
  <si>
    <t>V24469</t>
  </si>
  <si>
    <t>PUSPA KANUJYA</t>
  </si>
  <si>
    <t>THEFT ISSUE</t>
  </si>
  <si>
    <t>V31685</t>
  </si>
  <si>
    <t>SOBHANATH SONI</t>
  </si>
  <si>
    <t>V37585</t>
  </si>
  <si>
    <t>V33151</t>
  </si>
  <si>
    <t>V34368</t>
  </si>
  <si>
    <t>SANYOG KUMAR</t>
  </si>
  <si>
    <t>V27498</t>
  </si>
  <si>
    <t>VINOAD KUMAR</t>
  </si>
  <si>
    <t>V32539</t>
  </si>
  <si>
    <t>GOLU KUMAR</t>
  </si>
  <si>
    <t xml:space="preserve">LOBM </t>
  </si>
  <si>
    <t>V32526</t>
  </si>
  <si>
    <t>VISHAL KUMAR CHAUDHARY</t>
  </si>
  <si>
    <t>V21670</t>
  </si>
  <si>
    <t>102020956557</t>
  </si>
  <si>
    <t>CHECHAN  RAY</t>
  </si>
  <si>
    <t>V24151</t>
  </si>
  <si>
    <t>DCH</t>
  </si>
  <si>
    <t xml:space="preserve">RAJU  </t>
  </si>
  <si>
    <t>V26987</t>
  </si>
  <si>
    <t>PRAVEEN KUMAR</t>
  </si>
  <si>
    <t>V30403</t>
  </si>
  <si>
    <t>CHHOTE KUMAR</t>
  </si>
  <si>
    <t xml:space="preserve">DC-EXE </t>
  </si>
  <si>
    <t xml:space="preserve">AMARJEET  </t>
  </si>
  <si>
    <t>V37790</t>
  </si>
  <si>
    <t>V32390</t>
  </si>
  <si>
    <t>SATYAM KUMAR</t>
  </si>
  <si>
    <t>V35923</t>
  </si>
  <si>
    <t>LALESH KUMAR YADAV</t>
  </si>
  <si>
    <t>V29521</t>
  </si>
  <si>
    <t>SANDEEP KUMAR BURNWAL</t>
  </si>
  <si>
    <t>V37362</t>
  </si>
  <si>
    <t>V37228</t>
  </si>
  <si>
    <t>V22108</t>
  </si>
  <si>
    <t>102020956672</t>
  </si>
  <si>
    <t>KRISHNENDU  BERA</t>
  </si>
  <si>
    <t>V36018</t>
  </si>
  <si>
    <t>RITESH SHARMA</t>
  </si>
  <si>
    <t>V22148</t>
  </si>
  <si>
    <t>102020956686</t>
  </si>
  <si>
    <t>N03483</t>
  </si>
  <si>
    <t>V22163</t>
  </si>
  <si>
    <t>102020956574</t>
  </si>
  <si>
    <t>V36587</t>
  </si>
  <si>
    <t>NISHANT RANJAN</t>
  </si>
  <si>
    <t>V22216</t>
  </si>
  <si>
    <t>102020956588</t>
  </si>
  <si>
    <t>RANJEET  RAI</t>
  </si>
  <si>
    <t>V36590</t>
  </si>
  <si>
    <t>SINTU KUMAR</t>
  </si>
  <si>
    <t>V22550</t>
  </si>
  <si>
    <t>JIVRANJAN PRASAD</t>
  </si>
  <si>
    <t>V36644</t>
  </si>
  <si>
    <t>SUNNY KUMAR JHA</t>
  </si>
  <si>
    <t>V23183</t>
  </si>
  <si>
    <t>102012376175</t>
  </si>
  <si>
    <t xml:space="preserve">ANISH  </t>
  </si>
  <si>
    <t>V32504</t>
  </si>
  <si>
    <t>NIRMALA KUMARI</t>
  </si>
  <si>
    <t>V33547</t>
  </si>
  <si>
    <t>V36718</t>
  </si>
  <si>
    <t>RITIK KUMAR</t>
  </si>
  <si>
    <t xml:space="preserve">DEEPAK  </t>
  </si>
  <si>
    <t>V37146</t>
  </si>
  <si>
    <t>BADAL KUMAR</t>
  </si>
  <si>
    <t>V23754</t>
  </si>
  <si>
    <t>102028876719</t>
  </si>
  <si>
    <t>HARSH  DABAS</t>
  </si>
  <si>
    <t>V27019</t>
  </si>
  <si>
    <t>V32217</t>
  </si>
  <si>
    <t>V31616</t>
  </si>
  <si>
    <t>V32150</t>
  </si>
  <si>
    <t>DIGANTA TANTI</t>
  </si>
  <si>
    <t>ASSISTANT STORE MANAGER</t>
  </si>
  <si>
    <t xml:space="preserve">KARAN  </t>
  </si>
  <si>
    <t>V24050</t>
  </si>
  <si>
    <t>102049038806</t>
  </si>
  <si>
    <t xml:space="preserve">SNEHA  </t>
  </si>
  <si>
    <t>V24500</t>
  </si>
  <si>
    <t>102038345418</t>
  </si>
  <si>
    <t>RUDRA SINGH RATHORE</t>
  </si>
  <si>
    <t>V24504</t>
  </si>
  <si>
    <t>102020362191</t>
  </si>
  <si>
    <t>RUPAL RANI SINGH</t>
  </si>
  <si>
    <t>V24507</t>
  </si>
  <si>
    <t>102020362297</t>
  </si>
  <si>
    <t>PALLAVI  SHARMA</t>
  </si>
  <si>
    <t>V24509</t>
  </si>
  <si>
    <t>102020362324</t>
  </si>
  <si>
    <t>AKANKSHA  KUMARI</t>
  </si>
  <si>
    <t xml:space="preserve">THAKUR  </t>
  </si>
  <si>
    <t>V24614</t>
  </si>
  <si>
    <t>102057888020</t>
  </si>
  <si>
    <t>PAWAN  AGARWAL</t>
  </si>
  <si>
    <t xml:space="preserve">ZUBED  </t>
  </si>
  <si>
    <t>V24820</t>
  </si>
  <si>
    <t>102057889333</t>
  </si>
  <si>
    <t xml:space="preserve">BAJAJ  </t>
  </si>
  <si>
    <t xml:space="preserve">SACHIN  </t>
  </si>
  <si>
    <t>V25238</t>
  </si>
  <si>
    <t>102067809282</t>
  </si>
  <si>
    <t>URMILLA  MALLICK</t>
  </si>
  <si>
    <t xml:space="preserve">RAM  </t>
  </si>
  <si>
    <t>V25543</t>
  </si>
  <si>
    <t>102079756869</t>
  </si>
  <si>
    <t>MUSKAN MAKHANLAL DUBEY</t>
  </si>
  <si>
    <t>V25575</t>
  </si>
  <si>
    <t>102079757606</t>
  </si>
  <si>
    <t>VINOD KUMAR BHANDARI</t>
  </si>
  <si>
    <t xml:space="preserve">INDRA  </t>
  </si>
  <si>
    <t>V25595</t>
  </si>
  <si>
    <t>102079757756</t>
  </si>
  <si>
    <t xml:space="preserve">NARESH  </t>
  </si>
  <si>
    <t>V25596</t>
  </si>
  <si>
    <t>102079757760</t>
  </si>
  <si>
    <t xml:space="preserve">SANJU  </t>
  </si>
  <si>
    <t>V25599</t>
  </si>
  <si>
    <t>102080048678</t>
  </si>
  <si>
    <t>RAHUL VIJAY VARGIA</t>
  </si>
  <si>
    <t>V25602</t>
  </si>
  <si>
    <t>102079758398</t>
  </si>
  <si>
    <t>RISHIKESH  UPADHYAY</t>
  </si>
  <si>
    <t>V25937</t>
  </si>
  <si>
    <t>102091872510</t>
  </si>
  <si>
    <t>DEEPAK  SHARMA</t>
  </si>
  <si>
    <t>V25946</t>
  </si>
  <si>
    <t>102091905764</t>
  </si>
  <si>
    <t>NAGARAJ GOPAL HOSAKERI</t>
  </si>
  <si>
    <t xml:space="preserve">DINESH  </t>
  </si>
  <si>
    <t>V26098</t>
  </si>
  <si>
    <t>102091880852</t>
  </si>
  <si>
    <t>V26189</t>
  </si>
  <si>
    <t>102091882217</t>
  </si>
  <si>
    <t>DIPU  GUPTA</t>
  </si>
  <si>
    <t xml:space="preserve">DEVENDRA  </t>
  </si>
  <si>
    <t xml:space="preserve">RAMAN  </t>
  </si>
  <si>
    <t>V26328</t>
  </si>
  <si>
    <t>102091935073</t>
  </si>
  <si>
    <t xml:space="preserve">AMOGHASIDDA  </t>
  </si>
  <si>
    <t>V26355</t>
  </si>
  <si>
    <t>102092212509</t>
  </si>
  <si>
    <t>DINESH SINGH KUSHAWAHA</t>
  </si>
  <si>
    <t>V26415</t>
  </si>
  <si>
    <t>102105108116</t>
  </si>
  <si>
    <t>YOGINDER  BISHT</t>
  </si>
  <si>
    <t>V26433</t>
  </si>
  <si>
    <t>102105107856</t>
  </si>
  <si>
    <t>V26488</t>
  </si>
  <si>
    <t>102105108100</t>
  </si>
  <si>
    <t>NAVEEN KUMAR KANOJIA</t>
  </si>
  <si>
    <t>V26693</t>
  </si>
  <si>
    <t>102105134757</t>
  </si>
  <si>
    <t>PREM  SINGH</t>
  </si>
  <si>
    <t>V27131</t>
  </si>
  <si>
    <t>102020955472</t>
  </si>
  <si>
    <t>MANOJ KUMAR MOHANTY</t>
  </si>
  <si>
    <t>V27202</t>
  </si>
  <si>
    <t>102116442865</t>
  </si>
  <si>
    <t>GOPAL RAMESH KADAM</t>
  </si>
  <si>
    <t>V27692</t>
  </si>
  <si>
    <t>102128493854</t>
  </si>
  <si>
    <t>GOURAV KUMAR SINGH</t>
  </si>
  <si>
    <t>V27698</t>
  </si>
  <si>
    <t>102128492506</t>
  </si>
  <si>
    <t>ROHIT  HARAPANAHALLI</t>
  </si>
  <si>
    <t>V27853</t>
  </si>
  <si>
    <t>102128494467</t>
  </si>
  <si>
    <t>UDAY KUMAR YARAMASAL</t>
  </si>
  <si>
    <t>V28096</t>
  </si>
  <si>
    <t>102128494480</t>
  </si>
  <si>
    <t>NAGARAJ F HULAGUR</t>
  </si>
  <si>
    <t>V28202</t>
  </si>
  <si>
    <t>102128494498</t>
  </si>
  <si>
    <t>BASAVARAJ CHULACHAPPA HARIJAN</t>
  </si>
  <si>
    <t>V28387</t>
  </si>
  <si>
    <t>102128490977</t>
  </si>
  <si>
    <t>SACHIN  BHOVI</t>
  </si>
  <si>
    <t>V28487</t>
  </si>
  <si>
    <t>102128491000</t>
  </si>
  <si>
    <t>NEHA  KIVADER</t>
  </si>
  <si>
    <t>V28593</t>
  </si>
  <si>
    <t>102128569495</t>
  </si>
  <si>
    <t>SANTOSHGOUDA SANGANAGOUDA PATIL</t>
  </si>
  <si>
    <t>V28595</t>
  </si>
  <si>
    <t>102128493820</t>
  </si>
  <si>
    <t>GUNJAN  CHOWDHARY</t>
  </si>
  <si>
    <t>V29079</t>
  </si>
  <si>
    <t>102136665236</t>
  </si>
  <si>
    <t>YOGENDRA  RAJPOOT</t>
  </si>
  <si>
    <t xml:space="preserve">ALKA  </t>
  </si>
  <si>
    <t xml:space="preserve">JYOTI  </t>
  </si>
  <si>
    <t xml:space="preserve">RUBY  </t>
  </si>
  <si>
    <t xml:space="preserve">NEERAJ  </t>
  </si>
  <si>
    <t>V29389</t>
  </si>
  <si>
    <t>102147707907</t>
  </si>
  <si>
    <t>V29390</t>
  </si>
  <si>
    <t>102147707100</t>
  </si>
  <si>
    <t>V29391</t>
  </si>
  <si>
    <t>102147707116</t>
  </si>
  <si>
    <t>PANKAJ  VERMA</t>
  </si>
  <si>
    <t>V29393</t>
  </si>
  <si>
    <t>101833513402</t>
  </si>
  <si>
    <t>SONU  PRAJAPATI</t>
  </si>
  <si>
    <t>V29435</t>
  </si>
  <si>
    <t>102009315412</t>
  </si>
  <si>
    <t>SANDEEP  ANAND</t>
  </si>
  <si>
    <t>V29621</t>
  </si>
  <si>
    <t>102147707982</t>
  </si>
  <si>
    <t>V29671</t>
  </si>
  <si>
    <t>102147707192</t>
  </si>
  <si>
    <t>NEHA  DEVI</t>
  </si>
  <si>
    <t xml:space="preserve">SUDHIR  </t>
  </si>
  <si>
    <t>V29678</t>
  </si>
  <si>
    <t>102147707246</t>
  </si>
  <si>
    <t>BIJAY  SINGH</t>
  </si>
  <si>
    <t xml:space="preserve">SURAJ  </t>
  </si>
  <si>
    <t>V29700</t>
  </si>
  <si>
    <t>101741390716</t>
  </si>
  <si>
    <t xml:space="preserve">KUNAL  </t>
  </si>
  <si>
    <t>V29710</t>
  </si>
  <si>
    <t>102159041381</t>
  </si>
  <si>
    <t>V29774</t>
  </si>
  <si>
    <t>101944391508</t>
  </si>
  <si>
    <t>V29876</t>
  </si>
  <si>
    <t>102159041427</t>
  </si>
  <si>
    <t xml:space="preserve">VINESH  </t>
  </si>
  <si>
    <t>V29885</t>
  </si>
  <si>
    <t>102020955602</t>
  </si>
  <si>
    <t xml:space="preserve">RAJ  </t>
  </si>
  <si>
    <t>V2S038</t>
  </si>
  <si>
    <t>102020361084</t>
  </si>
  <si>
    <t>MR. AMIT YADAV</t>
  </si>
  <si>
    <t>V2S048</t>
  </si>
  <si>
    <t>102020362492</t>
  </si>
  <si>
    <t>MR. SABIR</t>
  </si>
  <si>
    <t>V2S214</t>
  </si>
  <si>
    <t>102020362503</t>
  </si>
  <si>
    <t>MR. SURAJ SINGH</t>
  </si>
  <si>
    <t>V2S365</t>
  </si>
  <si>
    <t>102020362519</t>
  </si>
  <si>
    <t>MR. MANOJ KUMAR CHOUHAN</t>
  </si>
  <si>
    <t>V2S402</t>
  </si>
  <si>
    <t>102020362162</t>
  </si>
  <si>
    <t>MR. NEMI CHAND TAPARIA</t>
  </si>
  <si>
    <t>V2S407</t>
  </si>
  <si>
    <t>102021159966</t>
  </si>
  <si>
    <t>MR. GAUTAM SARKAR</t>
  </si>
  <si>
    <t>V2S490</t>
  </si>
  <si>
    <t>101998715199</t>
  </si>
  <si>
    <t>MR. ANKUR PARASHAR</t>
  </si>
  <si>
    <t>V30019</t>
  </si>
  <si>
    <t>102159041663</t>
  </si>
  <si>
    <t xml:space="preserve">MITHUN  </t>
  </si>
  <si>
    <t>V30082</t>
  </si>
  <si>
    <t>102159041436</t>
  </si>
  <si>
    <t>V30159</t>
  </si>
  <si>
    <t>102074203268</t>
  </si>
  <si>
    <t>MANIKANT  GUPTA</t>
  </si>
  <si>
    <t>V30165</t>
  </si>
  <si>
    <t>102169499391</t>
  </si>
  <si>
    <t>HASEENA  BEGUM</t>
  </si>
  <si>
    <t xml:space="preserve">NARASHIMHA  </t>
  </si>
  <si>
    <t>V30217</t>
  </si>
  <si>
    <t>102170074839</t>
  </si>
  <si>
    <t>PRAGATI  GUPTA</t>
  </si>
  <si>
    <t>V30297</t>
  </si>
  <si>
    <t>102170015714</t>
  </si>
  <si>
    <t>V30305</t>
  </si>
  <si>
    <t>102169498404</t>
  </si>
  <si>
    <t>MEERESAB HUSENSAB HITTALAMANI</t>
  </si>
  <si>
    <t xml:space="preserve">APSARA  </t>
  </si>
  <si>
    <t>V30550</t>
  </si>
  <si>
    <t>AKASH SHANKARAPPA KUKANUR</t>
  </si>
  <si>
    <t>V30602</t>
  </si>
  <si>
    <t>102169351681</t>
  </si>
  <si>
    <t>ABHISHEK CHANDRU UPPAR</t>
  </si>
  <si>
    <t>V30603</t>
  </si>
  <si>
    <t>102169351699</t>
  </si>
  <si>
    <t>MAHESH BASAVARAJ PATTIHAL</t>
  </si>
  <si>
    <t>V30604</t>
  </si>
  <si>
    <t>102169499336</t>
  </si>
  <si>
    <t>ARBAZ SHUKAT KATGARI</t>
  </si>
  <si>
    <t>V31044</t>
  </si>
  <si>
    <t>102177338524</t>
  </si>
  <si>
    <t>MOHAMMED KHAJA PASHA</t>
  </si>
  <si>
    <t xml:space="preserve">SARVESH  </t>
  </si>
  <si>
    <t>V31129</t>
  </si>
  <si>
    <t>MOHAMMAD REHAN  JAVID IQBAL MULLA</t>
  </si>
  <si>
    <t xml:space="preserve">SAKSHI  </t>
  </si>
  <si>
    <t>V31521</t>
  </si>
  <si>
    <t>102177338991</t>
  </si>
  <si>
    <t>MAHESH  BELLIKOPPA</t>
  </si>
  <si>
    <t>V31575</t>
  </si>
  <si>
    <t>102180565763</t>
  </si>
  <si>
    <t>GANESH  MANG</t>
  </si>
  <si>
    <t>V31637</t>
  </si>
  <si>
    <t>102177851665</t>
  </si>
  <si>
    <t>ABHISHEK VASANT BAGALI</t>
  </si>
  <si>
    <t>V31639</t>
  </si>
  <si>
    <t>102177339351</t>
  </si>
  <si>
    <t>KASHIBAI SANTOSH ULLAGADDI</t>
  </si>
  <si>
    <t>V31695</t>
  </si>
  <si>
    <t>102020956307</t>
  </si>
  <si>
    <t>HARI  KESH</t>
  </si>
  <si>
    <t>V31697</t>
  </si>
  <si>
    <t>AMIT  JADHAV</t>
  </si>
  <si>
    <t>V31728</t>
  </si>
  <si>
    <t>102187463191</t>
  </si>
  <si>
    <t>GOURAMMA RAJAYYA HIREMATH</t>
  </si>
  <si>
    <t>V31729</t>
  </si>
  <si>
    <t>102180565737</t>
  </si>
  <si>
    <t>SANTOSH  KALI</t>
  </si>
  <si>
    <t>V31749</t>
  </si>
  <si>
    <t>102179955763</t>
  </si>
  <si>
    <t>MOHAMMED KAIF MULLA</t>
  </si>
  <si>
    <t>V31894</t>
  </si>
  <si>
    <t>102177339868</t>
  </si>
  <si>
    <t>RAJU  DAS</t>
  </si>
  <si>
    <t>V31912</t>
  </si>
  <si>
    <t>102177338530</t>
  </si>
  <si>
    <t xml:space="preserve">UMESH  </t>
  </si>
  <si>
    <t>V31928</t>
  </si>
  <si>
    <t>102178686169</t>
  </si>
  <si>
    <t>SHANKAR  MARRENNAVAR</t>
  </si>
  <si>
    <t>V32212</t>
  </si>
  <si>
    <t>102180565744</t>
  </si>
  <si>
    <t>SOUMYA YELUMALAI SELAM</t>
  </si>
  <si>
    <t>V32213</t>
  </si>
  <si>
    <t>102180565759</t>
  </si>
  <si>
    <t>RAJASHEKAR  KODABAL</t>
  </si>
  <si>
    <t>V32695</t>
  </si>
  <si>
    <t>V32724</t>
  </si>
  <si>
    <t>102186579678</t>
  </si>
  <si>
    <t>NANDIGAM NAVEEN KUMAR</t>
  </si>
  <si>
    <t>V32736</t>
  </si>
  <si>
    <t>102187897672</t>
  </si>
  <si>
    <t xml:space="preserve">KISHOR  </t>
  </si>
  <si>
    <t xml:space="preserve">VISHAL  </t>
  </si>
  <si>
    <t>V32972</t>
  </si>
  <si>
    <t>102187410889</t>
  </si>
  <si>
    <t>RAJESHWARI  TANGADAGI</t>
  </si>
  <si>
    <t>V32984</t>
  </si>
  <si>
    <t>102186582035</t>
  </si>
  <si>
    <t xml:space="preserve">SHIVALINGA  </t>
  </si>
  <si>
    <t xml:space="preserve">ANURAG  </t>
  </si>
  <si>
    <t>V33016</t>
  </si>
  <si>
    <t>102186581046</t>
  </si>
  <si>
    <t>BABITA  NEGI</t>
  </si>
  <si>
    <t>SALAUDDIN  SANADI</t>
  </si>
  <si>
    <t>V33050</t>
  </si>
  <si>
    <t>102186583065</t>
  </si>
  <si>
    <t xml:space="preserve">SEEMA  </t>
  </si>
  <si>
    <t>V33209</t>
  </si>
  <si>
    <t>102186582687</t>
  </si>
  <si>
    <t>HARSH  RAJ</t>
  </si>
  <si>
    <t xml:space="preserve">KRIPAL  </t>
  </si>
  <si>
    <t>V33292</t>
  </si>
  <si>
    <t>102186578071</t>
  </si>
  <si>
    <t>SHIVANAND PARAPPA CHOULAGI</t>
  </si>
  <si>
    <t>V33302</t>
  </si>
  <si>
    <t>V33386</t>
  </si>
  <si>
    <t>102186581424</t>
  </si>
  <si>
    <t>MAITHILI  A</t>
  </si>
  <si>
    <t>V33392</t>
  </si>
  <si>
    <t>102186581430</t>
  </si>
  <si>
    <t>SHAMSHAD  BEGUM</t>
  </si>
  <si>
    <t>V33394</t>
  </si>
  <si>
    <t>102186581815</t>
  </si>
  <si>
    <t>JAYALINGA  S</t>
  </si>
  <si>
    <t>V33484</t>
  </si>
  <si>
    <t>102186580113</t>
  </si>
  <si>
    <t xml:space="preserve">BHUPINDER  </t>
  </si>
  <si>
    <t>V33486</t>
  </si>
  <si>
    <t>101916099097</t>
  </si>
  <si>
    <t>V33488</t>
  </si>
  <si>
    <t>102186581067</t>
  </si>
  <si>
    <t>V33550</t>
  </si>
  <si>
    <t>102186581827</t>
  </si>
  <si>
    <t>DARSHAN  P</t>
  </si>
  <si>
    <t>V33560</t>
  </si>
  <si>
    <t>102186582504</t>
  </si>
  <si>
    <t>MUDASIR B H</t>
  </si>
  <si>
    <t>V33603</t>
  </si>
  <si>
    <t>102186583077</t>
  </si>
  <si>
    <t>VINEET  PATHAK</t>
  </si>
  <si>
    <t>V33632</t>
  </si>
  <si>
    <t>102186582747</t>
  </si>
  <si>
    <t>HARISH GANGADHAR BADIGER</t>
  </si>
  <si>
    <t>V33634</t>
  </si>
  <si>
    <t>102186582768</t>
  </si>
  <si>
    <t>JEEVAN  AMBIGER</t>
  </si>
  <si>
    <t>V33643</t>
  </si>
  <si>
    <t>102187375841</t>
  </si>
  <si>
    <t>ANANDA MALAPPA HADAPAD</t>
  </si>
  <si>
    <t>V33659</t>
  </si>
  <si>
    <t>102186582694</t>
  </si>
  <si>
    <t>BHUPENDRA  AHIRWAR</t>
  </si>
  <si>
    <t>102186579530</t>
  </si>
  <si>
    <t>DURGA  PRASAD</t>
  </si>
  <si>
    <t>V33674</t>
  </si>
  <si>
    <t>ARIJIT  DHAR</t>
  </si>
  <si>
    <t>V33680</t>
  </si>
  <si>
    <t>102186581080</t>
  </si>
  <si>
    <t xml:space="preserve">DHARMPAL  </t>
  </si>
  <si>
    <t>V33685</t>
  </si>
  <si>
    <t>102186582752</t>
  </si>
  <si>
    <t>MAHAMMAD SHAFIK KALLIMANI</t>
  </si>
  <si>
    <t>V33744</t>
  </si>
  <si>
    <t>ANKUSH  HEGDE</t>
  </si>
  <si>
    <t>V33760</t>
  </si>
  <si>
    <t>102187375759</t>
  </si>
  <si>
    <t>ABHISHEK LOKESH JADHAV</t>
  </si>
  <si>
    <t xml:space="preserve">AHMED  </t>
  </si>
  <si>
    <t>V33835</t>
  </si>
  <si>
    <t>102186581392</t>
  </si>
  <si>
    <t>POOJA PANDU LAMANI</t>
  </si>
  <si>
    <t>V33905</t>
  </si>
  <si>
    <t>102186580121</t>
  </si>
  <si>
    <t>ROHIT KUMAR SAH</t>
  </si>
  <si>
    <t>V33917</t>
  </si>
  <si>
    <t>AFREEN  BANU</t>
  </si>
  <si>
    <t>V33941</t>
  </si>
  <si>
    <t>VISHAL  PARIHAR</t>
  </si>
  <si>
    <t>V33955</t>
  </si>
  <si>
    <t>102186581363</t>
  </si>
  <si>
    <t>ASHA R RATHOD</t>
  </si>
  <si>
    <t>V34242</t>
  </si>
  <si>
    <t>101846647252</t>
  </si>
  <si>
    <t>HRISHABH  KULKARNI</t>
  </si>
  <si>
    <t>V35120</t>
  </si>
  <si>
    <t>102105134828</t>
  </si>
  <si>
    <t>DIPESH CHAKRAVARTI</t>
  </si>
  <si>
    <t>V36216</t>
  </si>
  <si>
    <t>102210883280</t>
  </si>
  <si>
    <t>Kartik Panwar</t>
  </si>
  <si>
    <t>V36220</t>
  </si>
  <si>
    <t>102128490954</t>
  </si>
  <si>
    <t>NETRA RAVI HULIKATTI</t>
  </si>
  <si>
    <t>V36251</t>
  </si>
  <si>
    <t>100124132518</t>
  </si>
  <si>
    <t>Channaveerappa Nashipudi</t>
  </si>
  <si>
    <t>V36262</t>
  </si>
  <si>
    <t>102210882374</t>
  </si>
  <si>
    <t>V36344</t>
  </si>
  <si>
    <t>101977624367</t>
  </si>
  <si>
    <t>V36370</t>
  </si>
  <si>
    <t>100550577759</t>
  </si>
  <si>
    <t>HARISH KUMAR RATHI</t>
  </si>
  <si>
    <t>V36447</t>
  </si>
  <si>
    <t>102210882728</t>
  </si>
  <si>
    <t>ANTIMA</t>
  </si>
  <si>
    <t>V36451</t>
  </si>
  <si>
    <t>102210882818</t>
  </si>
  <si>
    <t>V36554</t>
  </si>
  <si>
    <t>101999166172</t>
  </si>
  <si>
    <t>Rashmi Itagi</t>
  </si>
  <si>
    <t>V36999</t>
  </si>
  <si>
    <t>102083546396</t>
  </si>
  <si>
    <t>PARASAPPA SHILLIKYTAR</t>
  </si>
  <si>
    <t>V33974</t>
  </si>
  <si>
    <t>102032988484</t>
  </si>
  <si>
    <t>MARIYAKKA MALAGI</t>
  </si>
  <si>
    <t>V34963</t>
  </si>
  <si>
    <t>102121179803</t>
  </si>
  <si>
    <t>SADIQ ALI KHAN</t>
  </si>
  <si>
    <t>V34997</t>
  </si>
  <si>
    <t>101876850891</t>
  </si>
  <si>
    <t>MR. SIDDAPPA SHRISHALLAPPA BENAKATTI</t>
  </si>
  <si>
    <t>V35022</t>
  </si>
  <si>
    <t>102045196613</t>
  </si>
  <si>
    <t>RAJESHA</t>
  </si>
  <si>
    <t>V36255</t>
  </si>
  <si>
    <t>102159089112</t>
  </si>
  <si>
    <t>Mahmad Khaif A. Javali</t>
  </si>
  <si>
    <t>V36951</t>
  </si>
  <si>
    <t>102056975404</t>
  </si>
  <si>
    <t>GULAFSHA</t>
  </si>
  <si>
    <t>V35880</t>
  </si>
  <si>
    <t>102187100927</t>
  </si>
  <si>
    <t>CHANDAN NISHAD</t>
  </si>
  <si>
    <t>V35984</t>
  </si>
  <si>
    <t>101770537225</t>
  </si>
  <si>
    <t>Gaurav Kumar</t>
  </si>
  <si>
    <t>ECODE</t>
  </si>
  <si>
    <t>ENAME</t>
  </si>
  <si>
    <t>CURRENT DEPT</t>
  </si>
  <si>
    <t xml:space="preserve">RCA  REMARKS </t>
  </si>
  <si>
    <t>DATE OF COMPLITION</t>
  </si>
  <si>
    <t>EMP</t>
  </si>
  <si>
    <t>BONUS-TYPE</t>
  </si>
  <si>
    <t>BONUS</t>
  </si>
  <si>
    <t>NM</t>
  </si>
  <si>
    <t>MR. ANUPAM KUMAR SINGH</t>
  </si>
  <si>
    <t>CTC</t>
  </si>
  <si>
    <t>YES</t>
  </si>
  <si>
    <t>MR. PRATIK ADUKIA</t>
  </si>
  <si>
    <t>MR. PAPPU KUMAR</t>
  </si>
  <si>
    <t>MR. RAJNISH KUMAR SINGH</t>
  </si>
  <si>
    <t>MR. PURSHOTTAM KUMAR</t>
  </si>
  <si>
    <t>MR. LAXMIKANT MANDAL</t>
  </si>
  <si>
    <t>MR. BABLU  KUMAR</t>
  </si>
  <si>
    <t>MR. YOGESH KUMAR</t>
  </si>
  <si>
    <t>MR. SHAKTI PRASAD MOHANTY</t>
  </si>
  <si>
    <t>MR. AMIT MISHRA</t>
  </si>
  <si>
    <t>MR. ANIL KUMAR PANIGRAHI</t>
  </si>
  <si>
    <t>MR. SUSMIT RANJAN MOHANTY</t>
  </si>
  <si>
    <t>MR. MANISH  KUMAR</t>
  </si>
  <si>
    <t>MR. RAHUL KUMAR</t>
  </si>
  <si>
    <t>MR. ASHISH MISHRA</t>
  </si>
  <si>
    <t>MR. ASHISH KUMAR</t>
  </si>
  <si>
    <t>MR. VIKKY  KESHRI</t>
  </si>
  <si>
    <t>MR. SANTOSH KUMAR</t>
  </si>
  <si>
    <t>MR. KARTIK NAYAK</t>
  </si>
  <si>
    <t>MR. AJAY KUMAR</t>
  </si>
  <si>
    <t>MR. DEEPAK  THAKUR</t>
  </si>
  <si>
    <t>MR. VISHNU KUMAR</t>
  </si>
  <si>
    <t>MR. SANJAY  PRASAD</t>
  </si>
  <si>
    <t>MR. SATISH CHAND</t>
  </si>
  <si>
    <t>MR. MANISH</t>
  </si>
  <si>
    <t>MR. DIPAK KUMAR SINGH</t>
  </si>
  <si>
    <t>V24495</t>
  </si>
  <si>
    <t>VARINDA  KHANNA</t>
  </si>
  <si>
    <t>MR. SANTOSH KUMAR PANDEY</t>
  </si>
  <si>
    <t>MR. RANJAN KUMAR</t>
  </si>
  <si>
    <t>MR. ANISH KUMAR</t>
  </si>
  <si>
    <t>MR. ASHUTOSH KUMAR</t>
  </si>
  <si>
    <t>MR. NISHANT KUMAR VISHWAS</t>
  </si>
  <si>
    <t>MR. HARSH KUMAR SINGH</t>
  </si>
  <si>
    <t>MR. JAGMOHAN  KUMAR</t>
  </si>
  <si>
    <t>MR. JOGINDER SINGH GARG</t>
  </si>
  <si>
    <t>MR. KHUSHAL KUMAR</t>
  </si>
  <si>
    <t>MR. MEHFUJ</t>
  </si>
  <si>
    <t>MR. ABHINAVA  KUMAR</t>
  </si>
  <si>
    <t>MR. GAJENDRA KUMAR PATHAK</t>
  </si>
  <si>
    <t>MR. VIVEK  KUMAR</t>
  </si>
  <si>
    <t>MR. ANAND PRATAP SINGH</t>
  </si>
  <si>
    <t>MR. VIRENDER SINGH</t>
  </si>
  <si>
    <t>MR. RITESH KUMAR JHA</t>
  </si>
  <si>
    <t>MR. ANURAG SRIVASTAV</t>
  </si>
  <si>
    <t>MS. KONIKA</t>
  </si>
  <si>
    <t>MS. AARTI CHAND</t>
  </si>
  <si>
    <t>MS. VARSHA RAWAT</t>
  </si>
  <si>
    <t>MR. AKASH SINGH</t>
  </si>
  <si>
    <t>MR. AMIT KUMAR YADAV</t>
  </si>
  <si>
    <t>MR. AMIT SEHRAWAT</t>
  </si>
  <si>
    <t>MS. ANKITA  PACHAURI</t>
  </si>
  <si>
    <t>MR. SURINDER  KUMAR</t>
  </si>
  <si>
    <t>MR. ARUN  NARDIA</t>
  </si>
  <si>
    <t>MR. MOHIT KUMAR</t>
  </si>
  <si>
    <t>MR. AMIT  KUMAR</t>
  </si>
  <si>
    <t>MR. JAIKRISHNA CHOUDHARY</t>
  </si>
  <si>
    <t>MR. RAMAKANT</t>
  </si>
  <si>
    <t>MR. DEEPAK KUMAR TIWARI</t>
  </si>
  <si>
    <t>MR. KRISHNA CHANDRA BHATT</t>
  </si>
  <si>
    <t>MR. GAURAV BHUTANI</t>
  </si>
  <si>
    <t>MR. AJAY  TANWAR</t>
  </si>
  <si>
    <t>MR. CHETAN DEV</t>
  </si>
  <si>
    <t>MR. AMAN KUMAR</t>
  </si>
  <si>
    <t>MR. SHIVAM KUMAR</t>
  </si>
  <si>
    <t>MR. BARUN GHOSH</t>
  </si>
  <si>
    <t>MR. RAJNEESH SHARMA</t>
  </si>
  <si>
    <t>MR. RAJESH KUMAR</t>
  </si>
  <si>
    <t>MR. SANTOSH SHARMA</t>
  </si>
  <si>
    <t>MR. ANMOL KUMAR</t>
  </si>
  <si>
    <t>V01668</t>
  </si>
  <si>
    <t>KAILASH  SHARMA</t>
  </si>
  <si>
    <t>MR. PRAKASH MISHRA</t>
  </si>
  <si>
    <t>MR. AAYUSH  GARG</t>
  </si>
  <si>
    <t>V39630</t>
  </si>
  <si>
    <t>TAJESHWER  SINGH</t>
  </si>
  <si>
    <t>MR. NIKHIL</t>
  </si>
  <si>
    <t>MR. AMAR NATH YADAV</t>
  </si>
  <si>
    <t>MR. RANDHIR KUMAR SINGH</t>
  </si>
  <si>
    <t>MR. VISHAL SINGH</t>
  </si>
  <si>
    <t>MR. SHYAM SUNDAR KARDAM</t>
  </si>
  <si>
    <t>MR. MANISH KUMARR</t>
  </si>
  <si>
    <t>V27810</t>
  </si>
  <si>
    <t>MR. AJAY KUMAR RANA</t>
  </si>
  <si>
    <t>MR. AATISH BAJAJ</t>
  </si>
  <si>
    <t>V37436</t>
  </si>
  <si>
    <t>Tushar Kanti Das</t>
  </si>
  <si>
    <t>MR. DEEPANSH PRATAP</t>
  </si>
  <si>
    <t>MR. SANDEEPT KUMAR ROUT</t>
  </si>
  <si>
    <t>MR. INDRA KUMAR MISHRA</t>
  </si>
  <si>
    <t>MR. PINTU VERMA</t>
  </si>
  <si>
    <t>MR. SHIVAM AGGARWAL</t>
  </si>
  <si>
    <t>MR. GAUTAM KUMAR</t>
  </si>
  <si>
    <t>MR. GAURAV TIWARI</t>
  </si>
  <si>
    <t>MR. PRAVAT KUMAR BEHERA</t>
  </si>
  <si>
    <t>MR. ANIL KUMAR</t>
  </si>
  <si>
    <t>MR. RAHUL MEHTA</t>
  </si>
  <si>
    <t>MR. AKASH KUSHWAHA</t>
  </si>
  <si>
    <t>MR. AKHIL GERA</t>
  </si>
  <si>
    <t>MR. SHIVAM  RANJAN</t>
  </si>
  <si>
    <t xml:space="preserve">MR. SANGRAM PAN </t>
  </si>
  <si>
    <t>V12071</t>
  </si>
  <si>
    <t>PREM ANANDH KUMAR</t>
  </si>
  <si>
    <t>MR. JITENDER YOGI</t>
  </si>
  <si>
    <t>MR. MAYANK BEHL</t>
  </si>
  <si>
    <t>MR. SANTOSH  KUMAR</t>
  </si>
  <si>
    <t xml:space="preserve">MR. AMIT  </t>
  </si>
  <si>
    <t>MR. KULDEEP  SINGH</t>
  </si>
  <si>
    <t>MR. NITISH KUMAR</t>
  </si>
  <si>
    <t>MR. NOOR MOHAMMAD</t>
  </si>
  <si>
    <t>MR. Ankit Kumar Singh</t>
  </si>
  <si>
    <t>MR. RAJNISH  SHARMA</t>
  </si>
  <si>
    <t>MRS. POOJA GOYAL</t>
  </si>
  <si>
    <t>MR. SANDEEP KUMAR SRIVASTAVA</t>
  </si>
  <si>
    <t>V43898</t>
  </si>
  <si>
    <t>Govind Prasad Gupta</t>
  </si>
  <si>
    <t>V00577</t>
  </si>
  <si>
    <t>VIJAY  LAKHANI</t>
  </si>
  <si>
    <t>V30858</t>
  </si>
  <si>
    <t>BISWAJIT  MAHAPATRA</t>
  </si>
  <si>
    <t>V39899</t>
  </si>
  <si>
    <t>ENAMUL  ALOM</t>
  </si>
  <si>
    <t>V42612</t>
  </si>
  <si>
    <t>TEJINDER PAL SINGH</t>
  </si>
  <si>
    <t>V38007</t>
  </si>
  <si>
    <t>V46122</t>
  </si>
  <si>
    <t>KULDEEP  JAKHAR</t>
  </si>
  <si>
    <t>V16714</t>
  </si>
  <si>
    <t>DEEPAK  GULATI</t>
  </si>
  <si>
    <t>V17230</t>
  </si>
  <si>
    <t>V37637</t>
  </si>
  <si>
    <t>SANTOSH  PATIL</t>
  </si>
  <si>
    <t>V30839</t>
  </si>
  <si>
    <t>HARSHIT KAMLESHBHAI CHOBISA</t>
  </si>
  <si>
    <t>V33667</t>
  </si>
  <si>
    <t>VIKANT TYAGI</t>
  </si>
  <si>
    <t>V25844</t>
  </si>
  <si>
    <t>V42868</t>
  </si>
  <si>
    <t>V34030</t>
  </si>
  <si>
    <t>MITHUN KUMAR SINGH</t>
  </si>
  <si>
    <t>V36231</t>
  </si>
  <si>
    <t>Aman kumar kumar</t>
  </si>
  <si>
    <t>V17668</t>
  </si>
  <si>
    <t>V26196</t>
  </si>
  <si>
    <t>SUBHASH  SINGH</t>
  </si>
  <si>
    <t>V03875</t>
  </si>
  <si>
    <t>KRITYANAND  THAKUR</t>
  </si>
  <si>
    <t>V41690</t>
  </si>
  <si>
    <t>JONNY  MECH</t>
  </si>
  <si>
    <t>V44620</t>
  </si>
  <si>
    <t>Mahantesh Shiriyappa Madar</t>
  </si>
  <si>
    <t>V15136</t>
  </si>
  <si>
    <t>V12166</t>
  </si>
  <si>
    <t>BIBHUTI BHUSAN MISHRA</t>
  </si>
  <si>
    <t>V45623</t>
  </si>
  <si>
    <t>Krishna Kumar Singh</t>
  </si>
  <si>
    <t>V43730</t>
  </si>
  <si>
    <t>Bishal  Upreti</t>
  </si>
  <si>
    <t>V18359</t>
  </si>
  <si>
    <t>MUKUL  YADAV</t>
  </si>
  <si>
    <t>V29155</t>
  </si>
  <si>
    <t>V08787</t>
  </si>
  <si>
    <t>PINTO</t>
  </si>
  <si>
    <t>V45608</t>
  </si>
  <si>
    <t>Sangram  Sahoo</t>
  </si>
  <si>
    <t>V47547</t>
  </si>
  <si>
    <t>Abid  Mallick</t>
  </si>
  <si>
    <t>V46126</t>
  </si>
  <si>
    <t>Sonu  Kamti</t>
  </si>
  <si>
    <t>V16985</t>
  </si>
  <si>
    <t>PRADUMN KUMAR KASHYAP</t>
  </si>
  <si>
    <t>V35914</t>
  </si>
  <si>
    <t>UJJWAL SHRIVASTAVA</t>
  </si>
  <si>
    <t>V35253</t>
  </si>
  <si>
    <t>Sujeet Kumar</t>
  </si>
  <si>
    <t>SANTOSH  SAHIS</t>
  </si>
  <si>
    <t>V19680</t>
  </si>
  <si>
    <t>AUGUSTINE LYNGDOH RYNTATHIANG</t>
  </si>
  <si>
    <t>V08150</t>
  </si>
  <si>
    <t>VIJAY  MANJHI</t>
  </si>
  <si>
    <t>V35005</t>
  </si>
  <si>
    <t>INDRA PRATAP SINGH</t>
  </si>
  <si>
    <t>V29673</t>
  </si>
  <si>
    <t>V33598</t>
  </si>
  <si>
    <t>SURAJ  SHUKLA</t>
  </si>
  <si>
    <t>V31591</t>
  </si>
  <si>
    <t>DHARMENDRA  SAHNI</t>
  </si>
  <si>
    <t>V44342</t>
  </si>
  <si>
    <t>Satyam  Sharma</t>
  </si>
  <si>
    <t>V37565</t>
  </si>
  <si>
    <t>V03101</t>
  </si>
  <si>
    <t>SANTOSH KUMAR SONI</t>
  </si>
  <si>
    <t>V39218</t>
  </si>
  <si>
    <t>JITENDR</t>
  </si>
  <si>
    <t>V23901</t>
  </si>
  <si>
    <t>RAMPRAKASH  SHARMA</t>
  </si>
  <si>
    <t>SHIVANI RAI</t>
  </si>
  <si>
    <t>V08637</t>
  </si>
  <si>
    <t>RAJESH KUMAR PANDEY</t>
  </si>
  <si>
    <t>V35875</t>
  </si>
  <si>
    <t>Jaylalita Nain</t>
  </si>
  <si>
    <t>V35033</t>
  </si>
  <si>
    <t>RISHABH SINGH PANWAR</t>
  </si>
  <si>
    <t>V25350</t>
  </si>
  <si>
    <t>JAYACHNDRA  KHATUA</t>
  </si>
  <si>
    <t>V41834</t>
  </si>
  <si>
    <t>V31353</t>
  </si>
  <si>
    <t>AKASH KUMAR ADHYA</t>
  </si>
  <si>
    <t>V26658</t>
  </si>
  <si>
    <t>V08605</t>
  </si>
  <si>
    <t>SETH BAHADUR RAY</t>
  </si>
  <si>
    <t>V38781</t>
  </si>
  <si>
    <t>V40090</t>
  </si>
  <si>
    <t>V22310</t>
  </si>
  <si>
    <t>SAMAR RAI</t>
  </si>
  <si>
    <t>V28320</t>
  </si>
  <si>
    <t xml:space="preserve">RAJKUMAR  </t>
  </si>
  <si>
    <t>V29501</t>
  </si>
  <si>
    <t>GUDDU  YADAV</t>
  </si>
  <si>
    <t>V30568</t>
  </si>
  <si>
    <t>V40072</t>
  </si>
  <si>
    <t>V41008</t>
  </si>
  <si>
    <t>NAGMANI  RAY</t>
  </si>
  <si>
    <t>V30797</t>
  </si>
  <si>
    <t>DINESH KUMAR LOLARAKH RAM PRAJAPATI</t>
  </si>
  <si>
    <t>V34322</t>
  </si>
  <si>
    <t>V40091</t>
  </si>
  <si>
    <t>RAVI SINGH TOMAR</t>
  </si>
  <si>
    <t>V28257</t>
  </si>
  <si>
    <t>SARVAJEET  SINGH</t>
  </si>
  <si>
    <t>V46449</t>
  </si>
  <si>
    <t>Dhruv  Kumar</t>
  </si>
  <si>
    <t>V19537</t>
  </si>
  <si>
    <t>MAYUR MAHADU GAONKAR</t>
  </si>
  <si>
    <t>V45190</t>
  </si>
  <si>
    <t>SOUMYARANJAN  PANIGRAHI</t>
  </si>
  <si>
    <t>V35942</t>
  </si>
  <si>
    <t>SATENDRA YADAV</t>
  </si>
  <si>
    <t>V32047</t>
  </si>
  <si>
    <t>V42208</t>
  </si>
  <si>
    <t>HARIOM SINGH TOMAR</t>
  </si>
  <si>
    <t>V46837</t>
  </si>
  <si>
    <t>Aniket  Saxena</t>
  </si>
  <si>
    <t>V2S2129</t>
  </si>
  <si>
    <t>MR. MD ELAZ ALI</t>
  </si>
  <si>
    <t>V35678</t>
  </si>
  <si>
    <t>GAURAV SINGH</t>
  </si>
  <si>
    <t>V39881</t>
  </si>
  <si>
    <t>SHAMBHU  PRASAD</t>
  </si>
  <si>
    <t>V15473</t>
  </si>
  <si>
    <t>BIKASH KUMAR SINGH</t>
  </si>
  <si>
    <t>V29726</t>
  </si>
  <si>
    <t>V13573</t>
  </si>
  <si>
    <t>BHURE</t>
  </si>
  <si>
    <t>V35675</t>
  </si>
  <si>
    <t>MAYANK TRIVEDI</t>
  </si>
  <si>
    <t>V35591</t>
  </si>
  <si>
    <t>SHIVARAJ ASHOK CHOUDHARI</t>
  </si>
  <si>
    <t>V37151</t>
  </si>
  <si>
    <t>BHUPINDER</t>
  </si>
  <si>
    <t>V12016</t>
  </si>
  <si>
    <t>V44328</t>
  </si>
  <si>
    <t>Santosh Kumar Tiwari</t>
  </si>
  <si>
    <t>V41833</t>
  </si>
  <si>
    <t>SURENDRA RAJDEV YADAV</t>
  </si>
  <si>
    <t>V29972</t>
  </si>
  <si>
    <t>V42162</t>
  </si>
  <si>
    <t>UPENDAR  YADAV</t>
  </si>
  <si>
    <t>V32137</t>
  </si>
  <si>
    <t>VICKY  MOURYA</t>
  </si>
  <si>
    <t>V30349</t>
  </si>
  <si>
    <t>NAND KUMAR SINGH</t>
  </si>
  <si>
    <t>V43043</t>
  </si>
  <si>
    <t>H G Sheela</t>
  </si>
  <si>
    <t>SARVE</t>
  </si>
  <si>
    <t>V48864</t>
  </si>
  <si>
    <t>Siddartha  Das</t>
  </si>
  <si>
    <t>V46455</t>
  </si>
  <si>
    <t>Rahul  Khangotra</t>
  </si>
  <si>
    <t>V47005</t>
  </si>
  <si>
    <t>AKASH KUMAR SINGH</t>
  </si>
  <si>
    <t>V30569</t>
  </si>
  <si>
    <t>HARINANDAN  PASWAN</t>
  </si>
  <si>
    <t>V14122</t>
  </si>
  <si>
    <t>PRAMOD  RAY</t>
  </si>
  <si>
    <t>V34479</t>
  </si>
  <si>
    <t>SHASHANKA SURESHA HOSAKERI</t>
  </si>
  <si>
    <t>V35487</t>
  </si>
  <si>
    <t>VIRUPAKSHAPPA</t>
  </si>
  <si>
    <t>V31393</t>
  </si>
  <si>
    <t>JOEL  SIRAM</t>
  </si>
  <si>
    <t>V48268</t>
  </si>
  <si>
    <t>shubham  Kumar</t>
  </si>
  <si>
    <t>V28817</t>
  </si>
  <si>
    <t>KAILASH  YADAV</t>
  </si>
  <si>
    <t>V44122</t>
  </si>
  <si>
    <t>Aditya Pratap Singh</t>
  </si>
  <si>
    <t>V44782</t>
  </si>
  <si>
    <t>Bhaskar  Upadhyay</t>
  </si>
  <si>
    <t>V21806</t>
  </si>
  <si>
    <t>GULSHAN KUMAR YADAV</t>
  </si>
  <si>
    <t>V26254</t>
  </si>
  <si>
    <t>SANGRAM  BEHERA</t>
  </si>
  <si>
    <t>V40658</t>
  </si>
  <si>
    <t>Ramachandra  Navalagund</t>
  </si>
  <si>
    <t>SHIVALINGA</t>
  </si>
  <si>
    <t>V38806</t>
  </si>
  <si>
    <t>V29476</t>
  </si>
  <si>
    <t>V23893</t>
  </si>
  <si>
    <t>SADANANDA  KALITA</t>
  </si>
  <si>
    <t>V40884</t>
  </si>
  <si>
    <t>VARUN  SAINI</t>
  </si>
  <si>
    <t>V39880</t>
  </si>
  <si>
    <t>BHURI  SINGH</t>
  </si>
  <si>
    <t>V21320</t>
  </si>
  <si>
    <t>NARAYAN  SINGH</t>
  </si>
  <si>
    <t>V48866</t>
  </si>
  <si>
    <t>Ankit Kumar Shrivastawa</t>
  </si>
  <si>
    <t>V09819</t>
  </si>
  <si>
    <t>SATISH KUMAR SINGH</t>
  </si>
  <si>
    <t>V42669</t>
  </si>
  <si>
    <t>PRAKASH  CHAVAN</t>
  </si>
  <si>
    <t>V36608</t>
  </si>
  <si>
    <t>MANOJ KUMAR SHARMA</t>
  </si>
  <si>
    <t>V29288</t>
  </si>
  <si>
    <t>SHAILENDRA  SINGH</t>
  </si>
  <si>
    <t>V48897</t>
  </si>
  <si>
    <t>Subodh Kumar Biswas</t>
  </si>
  <si>
    <t>V27791</t>
  </si>
  <si>
    <t>SHAHANUR  KHAN</t>
  </si>
  <si>
    <t>V27176</t>
  </si>
  <si>
    <t>RAVI  PRAKASH</t>
  </si>
  <si>
    <t>V46832</t>
  </si>
  <si>
    <t>Shubham  Srivastav</t>
  </si>
  <si>
    <t>V39321</t>
  </si>
  <si>
    <t>DAVINDRA  BANSAL</t>
  </si>
  <si>
    <t>V32174</t>
  </si>
  <si>
    <t>KIRAN  MASHALJI</t>
  </si>
  <si>
    <t>PINTU  RAM</t>
  </si>
  <si>
    <t>V30363</t>
  </si>
  <si>
    <t>SUSANTA  ROUT</t>
  </si>
  <si>
    <t>V39542</t>
  </si>
  <si>
    <t>PHANI BHUSAN MAHAPATRA</t>
  </si>
  <si>
    <t>V43526</t>
  </si>
  <si>
    <t>Mohammad Azam Khan</t>
  </si>
  <si>
    <t>V38386</t>
  </si>
  <si>
    <t>Balram  Tripathi</t>
  </si>
  <si>
    <t>V29329</t>
  </si>
  <si>
    <t>V23020</t>
  </si>
  <si>
    <t>BIKASH RANJAN LENKA</t>
  </si>
  <si>
    <t>V42648</t>
  </si>
  <si>
    <t>V02824</t>
  </si>
  <si>
    <t>V24577</t>
  </si>
  <si>
    <t>RUCHIKA LAXIMIKANT GAD</t>
  </si>
  <si>
    <t>V31275</t>
  </si>
  <si>
    <t>FILMON  EKKA</t>
  </si>
  <si>
    <t>V33652</t>
  </si>
  <si>
    <t>MEGHNATH  PATEL</t>
  </si>
  <si>
    <t>V42632</t>
  </si>
  <si>
    <t>V44857</t>
  </si>
  <si>
    <t>SANOJ  SHARMA</t>
  </si>
  <si>
    <t>V41012</t>
  </si>
  <si>
    <t>SABIR  HUSSAIN</t>
  </si>
  <si>
    <t>V36054</t>
  </si>
  <si>
    <t>DHEERAJ PAL</t>
  </si>
  <si>
    <t>V26368</t>
  </si>
  <si>
    <t>RAJESH KUMAR RAY</t>
  </si>
  <si>
    <t>V49492</t>
  </si>
  <si>
    <t>Avijit  Sarkar</t>
  </si>
  <si>
    <t>V47570</t>
  </si>
  <si>
    <t>V29225</t>
  </si>
  <si>
    <t>RANJIT KUMAR PASAVAN</t>
  </si>
  <si>
    <t>V27693</t>
  </si>
  <si>
    <t>V23862</t>
  </si>
  <si>
    <t>SHAHIN ASMA HUSSAIN SAB SANADI</t>
  </si>
  <si>
    <t>V12710</t>
  </si>
  <si>
    <t>SAMRESH PRATAP RAM</t>
  </si>
  <si>
    <t>V10253</t>
  </si>
  <si>
    <t>V23721</t>
  </si>
  <si>
    <t>SHARVAN KUMAR KAMTI</t>
  </si>
  <si>
    <t>V13959</t>
  </si>
  <si>
    <t>SUJEET KUMAR SINGH</t>
  </si>
  <si>
    <t>V31962</t>
  </si>
  <si>
    <t>V24217</t>
  </si>
  <si>
    <t>BIMAL BASKEY</t>
  </si>
  <si>
    <t>V24346</t>
  </si>
  <si>
    <t>SATYAM KUMAR YADAV</t>
  </si>
  <si>
    <t>V41666</t>
  </si>
  <si>
    <t>ARJUN SINGH DHAKAD</t>
  </si>
  <si>
    <t>V23657</t>
  </si>
  <si>
    <t xml:space="preserve">MANOJ  </t>
  </si>
  <si>
    <t>V39338</t>
  </si>
  <si>
    <t>V34393</t>
  </si>
  <si>
    <t>NITIN DIGAMBAR NISTANI</t>
  </si>
  <si>
    <t>V25900</t>
  </si>
  <si>
    <t>AKASH  PRADHAN</t>
  </si>
  <si>
    <t>V43961</t>
  </si>
  <si>
    <t>V16581</t>
  </si>
  <si>
    <t xml:space="preserve">SUKHVIR  </t>
  </si>
  <si>
    <t>V22720</t>
  </si>
  <si>
    <t>BHAKTA  HARIJAN</t>
  </si>
  <si>
    <t>V24245</t>
  </si>
  <si>
    <t>KANHU  MALIK</t>
  </si>
  <si>
    <t>V36046</t>
  </si>
  <si>
    <t>Himanshu Raj</t>
  </si>
  <si>
    <t>V12523</t>
  </si>
  <si>
    <t>SATYENDAR KUMAR BHATT</t>
  </si>
  <si>
    <t>V14156</t>
  </si>
  <si>
    <t>V27344</t>
  </si>
  <si>
    <t>HARIBOL  YADAV</t>
  </si>
  <si>
    <t>V23923</t>
  </si>
  <si>
    <t>POMPY  HAZARIKA</t>
  </si>
  <si>
    <t>V33086</t>
  </si>
  <si>
    <t>V39337</t>
  </si>
  <si>
    <t>V43199</t>
  </si>
  <si>
    <t>KIRAN MAHANTESH PAMMAR</t>
  </si>
  <si>
    <t>V14805</t>
  </si>
  <si>
    <t>RAM  CHANDAR</t>
  </si>
  <si>
    <t>V43182</t>
  </si>
  <si>
    <t>Amar Das</t>
  </si>
  <si>
    <t>V44690</t>
  </si>
  <si>
    <t>DINESH  YADAV</t>
  </si>
  <si>
    <t>V26520</t>
  </si>
  <si>
    <t>AJAY  PASWAN</t>
  </si>
  <si>
    <t>V31403</t>
  </si>
  <si>
    <t>V26330</t>
  </si>
  <si>
    <t>YOGENDRA SINGH PATEL</t>
  </si>
  <si>
    <t>V30687</t>
  </si>
  <si>
    <t>KANHAI  YADAV</t>
  </si>
  <si>
    <t>V42760</t>
  </si>
  <si>
    <t>V24838</t>
  </si>
  <si>
    <t>NAINSEE  GAGARAI</t>
  </si>
  <si>
    <t>V24839</t>
  </si>
  <si>
    <t>SAVITRI  GAGARAI</t>
  </si>
  <si>
    <t>V20781</t>
  </si>
  <si>
    <t>AMRIT KUMAR</t>
  </si>
  <si>
    <t>V22786</t>
  </si>
  <si>
    <t>V30416</t>
  </si>
  <si>
    <t>VARUN  DHYANI</t>
  </si>
  <si>
    <t>V26722</t>
  </si>
  <si>
    <t>DEEPAK  SAHOO</t>
  </si>
  <si>
    <t>V27076</t>
  </si>
  <si>
    <t>DEBASISH  ROUT</t>
  </si>
  <si>
    <t>V28151</t>
  </si>
  <si>
    <t>NIRANJAN  RAUT</t>
  </si>
  <si>
    <t>V35041</t>
  </si>
  <si>
    <t>MADAN HANSDA</t>
  </si>
  <si>
    <t>V26394</t>
  </si>
  <si>
    <t xml:space="preserve">NANDKISHOR  </t>
  </si>
  <si>
    <t>V37858</t>
  </si>
  <si>
    <t>RAJU  PANDIT</t>
  </si>
  <si>
    <t>V16788</t>
  </si>
  <si>
    <t>PRIYANK  RAIKWAR</t>
  </si>
  <si>
    <t>V34156</t>
  </si>
  <si>
    <t>SUKHDEV</t>
  </si>
  <si>
    <t>V40025</t>
  </si>
  <si>
    <t>PRITAM  KUMAR</t>
  </si>
  <si>
    <t>V37906</t>
  </si>
  <si>
    <t>AMAN  PASWAN</t>
  </si>
  <si>
    <t>V17283</t>
  </si>
  <si>
    <t>DURGA PRASAD SINGH</t>
  </si>
  <si>
    <t>V37895</t>
  </si>
  <si>
    <t>BITTU  GOPE</t>
  </si>
  <si>
    <t>V22834</t>
  </si>
  <si>
    <t>V49475</t>
  </si>
  <si>
    <t>Gullapally Santosh Kumar</t>
  </si>
  <si>
    <t>V18671</t>
  </si>
  <si>
    <t>V45689</t>
  </si>
  <si>
    <t>V43093</t>
  </si>
  <si>
    <t>Jasvir  Kaur</t>
  </si>
  <si>
    <t>V25725</t>
  </si>
  <si>
    <t>V27012</t>
  </si>
  <si>
    <t>VISHAL  TIGGA</t>
  </si>
  <si>
    <t>V32035</t>
  </si>
  <si>
    <t>V24867</t>
  </si>
  <si>
    <t>DIPU  KUMAR</t>
  </si>
  <si>
    <t>V34435</t>
  </si>
  <si>
    <t>V19641</t>
  </si>
  <si>
    <t>PUSPALATA  TARAI</t>
  </si>
  <si>
    <t>V46835</t>
  </si>
  <si>
    <t>V29182</t>
  </si>
  <si>
    <t>AMIT  YADAV</t>
  </si>
  <si>
    <t>V34543</t>
  </si>
  <si>
    <t>MR. ARUN KUMAR</t>
  </si>
  <si>
    <t>V38463</t>
  </si>
  <si>
    <t>Mrityunjay  Kumar</t>
  </si>
  <si>
    <t>V38388</t>
  </si>
  <si>
    <t>Pinky</t>
  </si>
  <si>
    <t>V43198</t>
  </si>
  <si>
    <t>PRAVEEN SANJEEV NARVEKAR</t>
  </si>
  <si>
    <t>V42003</t>
  </si>
  <si>
    <t>BISWAJIT  PRADHAN</t>
  </si>
  <si>
    <t>V33089</t>
  </si>
  <si>
    <t>VANSH  VERMA</t>
  </si>
  <si>
    <t>V34695</t>
  </si>
  <si>
    <t>MS. TANISHA SHASHIKANT GHARUNGE</t>
  </si>
  <si>
    <t>V34144</t>
  </si>
  <si>
    <t>SHAMEEM  AHMED</t>
  </si>
  <si>
    <t>V27217</t>
  </si>
  <si>
    <t>V42095</t>
  </si>
  <si>
    <t>BRAJ  MOHAN</t>
  </si>
  <si>
    <t>V31712</t>
  </si>
  <si>
    <t>KUNAL KUMAR MANDAL</t>
  </si>
  <si>
    <t>V40835</t>
  </si>
  <si>
    <t>V46120</t>
  </si>
  <si>
    <t>ARVIND</t>
  </si>
  <si>
    <t>V28413</t>
  </si>
  <si>
    <t>V46746</t>
  </si>
  <si>
    <t>SAGAR RATHOD</t>
  </si>
  <si>
    <t>V29731</t>
  </si>
  <si>
    <t>V47169</t>
  </si>
  <si>
    <t>KOPPULA  JAGADEESH</t>
  </si>
  <si>
    <t>V40386</t>
  </si>
  <si>
    <t>V24785</t>
  </si>
  <si>
    <t>MD  RAJA</t>
  </si>
  <si>
    <t>V33083</t>
  </si>
  <si>
    <t>SAMEER  SOREN</t>
  </si>
  <si>
    <t>V31096</t>
  </si>
  <si>
    <t>SHAHIL  KUMAR</t>
  </si>
  <si>
    <t>V32426</t>
  </si>
  <si>
    <t>V33178</t>
  </si>
  <si>
    <t>ARUN KUMAR SINGH</t>
  </si>
  <si>
    <t>V31511</t>
  </si>
  <si>
    <t>SHASHIKANT  RAVI</t>
  </si>
  <si>
    <t>V40085</t>
  </si>
  <si>
    <t>LALAN KUMAR RANA</t>
  </si>
  <si>
    <t>V21795</t>
  </si>
  <si>
    <t>V21288</t>
  </si>
  <si>
    <t>V43176</t>
  </si>
  <si>
    <t>V42547</t>
  </si>
  <si>
    <t>Purnima  Mehta</t>
  </si>
  <si>
    <t>V44875</t>
  </si>
  <si>
    <t>V30186</t>
  </si>
  <si>
    <t>PRINCE  TIWARI</t>
  </si>
  <si>
    <t>V39084</t>
  </si>
  <si>
    <t>SUPRIYA RAGHAVENDRA BADDI</t>
  </si>
  <si>
    <t>V28839</t>
  </si>
  <si>
    <t>V27424</t>
  </si>
  <si>
    <t>RITESH  KUSHWAHA</t>
  </si>
  <si>
    <t>V34085</t>
  </si>
  <si>
    <t>RAVIRANJAN KUMAR PARVAT</t>
  </si>
  <si>
    <t>V21013</t>
  </si>
  <si>
    <t>MUKESH  KUSHWAHA</t>
  </si>
  <si>
    <t>V41922</t>
  </si>
  <si>
    <t>SAMIMA  KHATUN</t>
  </si>
  <si>
    <t>UJJWAL KUMAR  KUMAR</t>
  </si>
  <si>
    <t>V22760</t>
  </si>
  <si>
    <t>SHREYA  ROY</t>
  </si>
  <si>
    <t>V20330</t>
  </si>
  <si>
    <t>MADHU SANA RAJKUMAR</t>
  </si>
  <si>
    <t>V28570</t>
  </si>
  <si>
    <t>MUKESH KUMAR PRADHAN</t>
  </si>
  <si>
    <t>V28649</t>
  </si>
  <si>
    <t>SACHIN  DHAKAD</t>
  </si>
  <si>
    <t>V33074</t>
  </si>
  <si>
    <t>GAURAV  RAI</t>
  </si>
  <si>
    <t>V38351</t>
  </si>
  <si>
    <t>V37132</t>
  </si>
  <si>
    <t>ANTIMA DEVI DEVI</t>
  </si>
  <si>
    <t>V43785</t>
  </si>
  <si>
    <t>Himangshu  Hazarika</t>
  </si>
  <si>
    <t>V42218</t>
  </si>
  <si>
    <t>SWADHIN  PDIHARY</t>
  </si>
  <si>
    <t>V37292</t>
  </si>
  <si>
    <t>SASUBILLI LEELA MADHURI</t>
  </si>
  <si>
    <t>V40551</t>
  </si>
  <si>
    <t>SALKHU  MURMU</t>
  </si>
  <si>
    <t>V27600</t>
  </si>
  <si>
    <t>DEEPAK  RAJ</t>
  </si>
  <si>
    <t>V40092</t>
  </si>
  <si>
    <t>AKHLESH KUMAR</t>
  </si>
  <si>
    <t>V50016</t>
  </si>
  <si>
    <t>Satveer Kumar Singh</t>
  </si>
  <si>
    <t>V42390</t>
  </si>
  <si>
    <t>RANJAN  WADEKA</t>
  </si>
  <si>
    <t>V40473</t>
  </si>
  <si>
    <t>SUNIL KUMAR RAY</t>
  </si>
  <si>
    <t>V43451</t>
  </si>
  <si>
    <t>V40475</t>
  </si>
  <si>
    <t>SUSHILA  TUDU</t>
  </si>
  <si>
    <t>Md NA Azizkhan</t>
  </si>
  <si>
    <t>V38815</t>
  </si>
  <si>
    <t>VAISHALI</t>
  </si>
  <si>
    <t>V38932</t>
  </si>
  <si>
    <t>V35042</t>
  </si>
  <si>
    <t>V34069</t>
  </si>
  <si>
    <t>V27686</t>
  </si>
  <si>
    <t>MD SAHIL PARVEZ</t>
  </si>
  <si>
    <t>V29551</t>
  </si>
  <si>
    <t>JAYA  KUMARI</t>
  </si>
  <si>
    <t>V36984</t>
  </si>
  <si>
    <t>SUNIL JATAV</t>
  </si>
  <si>
    <t>V40017</t>
  </si>
  <si>
    <t>KAJAL  DANDASENA</t>
  </si>
  <si>
    <t>V40826</t>
  </si>
  <si>
    <t>PALLAVI  SAHOO</t>
  </si>
  <si>
    <t>V42096</t>
  </si>
  <si>
    <t>DHANRAJ  KUMAR</t>
  </si>
  <si>
    <t>V26654</t>
  </si>
  <si>
    <t>VIVEKANAND  RAI</t>
  </si>
  <si>
    <t>V29270</t>
  </si>
  <si>
    <t>BADAL  SAWLE</t>
  </si>
  <si>
    <t>V30948</t>
  </si>
  <si>
    <t>NEHA  KUMRE</t>
  </si>
  <si>
    <t>CHANDERSHEKAR</t>
  </si>
  <si>
    <t>V34712</t>
  </si>
  <si>
    <t>MS. KAVITA KUMARI</t>
  </si>
  <si>
    <t>V36578</t>
  </si>
  <si>
    <t>VINA DEVI</t>
  </si>
  <si>
    <t>V44843</t>
  </si>
  <si>
    <t>Anjineyulu  E</t>
  </si>
  <si>
    <t>V26939</t>
  </si>
  <si>
    <t>PRANJAL  GOGOI</t>
  </si>
  <si>
    <t>V39792</t>
  </si>
  <si>
    <t>ROHAN  RAJAK</t>
  </si>
  <si>
    <t>V42932</t>
  </si>
  <si>
    <t>Mukul  Pahwa</t>
  </si>
  <si>
    <t>V24048</t>
  </si>
  <si>
    <t>KM  NEHA</t>
  </si>
  <si>
    <t>V30836</t>
  </si>
  <si>
    <t>V32090</t>
  </si>
  <si>
    <t>V46288</t>
  </si>
  <si>
    <t>ROHIT KUMAR CHAUDHARY</t>
  </si>
  <si>
    <t>V34676</t>
  </si>
  <si>
    <t>MR. SANJAY KUMAR BALA</t>
  </si>
  <si>
    <t>V39438</t>
  </si>
  <si>
    <t>Gashada Sreenu</t>
  </si>
  <si>
    <t>V31679</t>
  </si>
  <si>
    <t>RAHUL  KUAMR</t>
  </si>
  <si>
    <t>V39475</t>
  </si>
  <si>
    <t>ANSUMAN  SINGH</t>
  </si>
  <si>
    <t>V25654</t>
  </si>
  <si>
    <t>TINKAL  KUMAR</t>
  </si>
  <si>
    <t>V26319</t>
  </si>
  <si>
    <t>KAJAL  DEVI</t>
  </si>
  <si>
    <t>V43143</t>
  </si>
  <si>
    <t>Abhi  Bhatti</t>
  </si>
  <si>
    <t>V42819</t>
  </si>
  <si>
    <t>Aais</t>
  </si>
  <si>
    <t>V33339</t>
  </si>
  <si>
    <t>SUMAN  SUTRADHAR</t>
  </si>
  <si>
    <t>V28044</t>
  </si>
  <si>
    <t>V40723</t>
  </si>
  <si>
    <t>RAHUL  NAYAK</t>
  </si>
  <si>
    <t>V42546</t>
  </si>
  <si>
    <t>PRTIMA  GAUND</t>
  </si>
  <si>
    <t>V29524</t>
  </si>
  <si>
    <t>V38068</t>
  </si>
  <si>
    <t>RAHUL  GAUTAM</t>
  </si>
  <si>
    <t>V41078</t>
  </si>
  <si>
    <t>SAKTI  JENA</t>
  </si>
  <si>
    <t>V43609</t>
  </si>
  <si>
    <t>HARSH  CHAUHAN</t>
  </si>
  <si>
    <t>V14684</t>
  </si>
  <si>
    <t>V42302</t>
  </si>
  <si>
    <t>JITENDRA  BEHERA</t>
  </si>
  <si>
    <t>V35854</t>
  </si>
  <si>
    <t>LAVKUSH KUMAR</t>
  </si>
  <si>
    <t>V41750</t>
  </si>
  <si>
    <t>V40157</t>
  </si>
  <si>
    <t>SAMEER  BANJARE</t>
  </si>
  <si>
    <t>V21881</t>
  </si>
  <si>
    <t>V37154</t>
  </si>
  <si>
    <t>ABHISHEK  PATEL</t>
  </si>
  <si>
    <t>V37042</t>
  </si>
  <si>
    <t>SAURABH GAUTAM</t>
  </si>
  <si>
    <t>V46230</t>
  </si>
  <si>
    <t>V38853</t>
  </si>
  <si>
    <t>DEEPAK  SEN</t>
  </si>
  <si>
    <t>V36487</t>
  </si>
  <si>
    <t>AAYUSHI GOHITE</t>
  </si>
  <si>
    <t>V42055</t>
  </si>
  <si>
    <t>RAJA  ANAND</t>
  </si>
  <si>
    <t>V40632</t>
  </si>
  <si>
    <t>V02450</t>
  </si>
  <si>
    <t>BHOLA  JAISWAL</t>
  </si>
  <si>
    <t>V39808</t>
  </si>
  <si>
    <t>LAXMIPRIYA  DAS</t>
  </si>
  <si>
    <t>V08695</t>
  </si>
  <si>
    <t>JAY MANGAL SAHNI</t>
  </si>
  <si>
    <t>V41737</t>
  </si>
  <si>
    <t>V34275</t>
  </si>
  <si>
    <t>KRISHNA  JOSHI</t>
  </si>
  <si>
    <t>V47459</t>
  </si>
  <si>
    <t>SUJAY  KUMAR</t>
  </si>
  <si>
    <t>V26711</t>
  </si>
  <si>
    <t>SUDHEER  SINGH</t>
  </si>
  <si>
    <t>V42333</t>
  </si>
  <si>
    <t>SHABNAM  HANSDA</t>
  </si>
  <si>
    <t>V41211</t>
  </si>
  <si>
    <t>JYOTSNA  RAY</t>
  </si>
  <si>
    <t>V28109</t>
  </si>
  <si>
    <t>SATISH KUMAR YADAV</t>
  </si>
  <si>
    <t>V43520</t>
  </si>
  <si>
    <t>V44071</t>
  </si>
  <si>
    <t>Santosh Punjarao Karhale</t>
  </si>
  <si>
    <t>V40055</t>
  </si>
  <si>
    <t>V28441</t>
  </si>
  <si>
    <t>SOURAV  MAHARA</t>
  </si>
  <si>
    <t>V45170</t>
  </si>
  <si>
    <t>LAVKESH  THAKUR</t>
  </si>
  <si>
    <t>V38410</t>
  </si>
  <si>
    <t>V34428</t>
  </si>
  <si>
    <t>ANSH  VERMA</t>
  </si>
  <si>
    <t>V44199</t>
  </si>
  <si>
    <t>Ghongade Shivam Baban</t>
  </si>
  <si>
    <t>V41994</t>
  </si>
  <si>
    <t>Gourav  Dogra</t>
  </si>
  <si>
    <t>V40963</t>
  </si>
  <si>
    <t>SAYMA</t>
  </si>
  <si>
    <t>V26049</t>
  </si>
  <si>
    <t>V32361</t>
  </si>
  <si>
    <t>V34837</t>
  </si>
  <si>
    <t>MR. SAHIB</t>
  </si>
  <si>
    <t>V29723</t>
  </si>
  <si>
    <t>NIDHI  AGRAWAL</t>
  </si>
  <si>
    <t>V43235</t>
  </si>
  <si>
    <t>Madan</t>
  </si>
  <si>
    <t>V44581</t>
  </si>
  <si>
    <t>V37065</t>
  </si>
  <si>
    <t>V37166</t>
  </si>
  <si>
    <t>PRASHANT  SHUKLA</t>
  </si>
  <si>
    <t>V40898</t>
  </si>
  <si>
    <t>HIRAK JYOT NATH</t>
  </si>
  <si>
    <t>V45489</t>
  </si>
  <si>
    <t>V46052</t>
  </si>
  <si>
    <t>SHIVAM S S</t>
  </si>
  <si>
    <t>V30810</t>
  </si>
  <si>
    <t>KAMTA  PRASAD</t>
  </si>
  <si>
    <t>V31492</t>
  </si>
  <si>
    <t>LAKHAN</t>
  </si>
  <si>
    <t>V32308</t>
  </si>
  <si>
    <t>LUCKY  PARIHAR</t>
  </si>
  <si>
    <t>V34653</t>
  </si>
  <si>
    <t>MR. ASHISH PARMAR</t>
  </si>
  <si>
    <t>V46474</t>
  </si>
  <si>
    <t>Dalbir  Singh</t>
  </si>
  <si>
    <t>V44370</t>
  </si>
  <si>
    <t>Kanchan</t>
  </si>
  <si>
    <t>V44146</t>
  </si>
  <si>
    <t>VIJAY PRATAP BHADOURIA</t>
  </si>
  <si>
    <t>V47414</t>
  </si>
  <si>
    <t>V45981</t>
  </si>
  <si>
    <t>Nandram</t>
  </si>
  <si>
    <t>V43716</t>
  </si>
  <si>
    <t>Mayang Mayum Mutabir</t>
  </si>
  <si>
    <t>V47016</t>
  </si>
  <si>
    <t>LAL MOHAN MANDAL</t>
  </si>
  <si>
    <t>V43380</t>
  </si>
  <si>
    <t>Rahul  Nar</t>
  </si>
  <si>
    <t>V40040</t>
  </si>
  <si>
    <t>DULARI</t>
  </si>
  <si>
    <t>V46833</t>
  </si>
  <si>
    <t>Tribhuvan Narayan Sharma</t>
  </si>
  <si>
    <t>V42645</t>
  </si>
  <si>
    <t>V51386</t>
  </si>
  <si>
    <t>RAJAN  SHARMA</t>
  </si>
  <si>
    <t>V43319</t>
  </si>
  <si>
    <t>V39918</t>
  </si>
  <si>
    <t>JOHN  PEGU</t>
  </si>
  <si>
    <t>V40178</t>
  </si>
  <si>
    <t>DEEP JYOTI NATH</t>
  </si>
  <si>
    <t>V32299</t>
  </si>
  <si>
    <t>DISHA  BHARBHUJA</t>
  </si>
  <si>
    <t>V43129</t>
  </si>
  <si>
    <t>SIMRAN  DEVI</t>
  </si>
  <si>
    <t>V49890</t>
  </si>
  <si>
    <t>V50932</t>
  </si>
  <si>
    <t>Kansara  Shivam</t>
  </si>
  <si>
    <t>V44965</t>
  </si>
  <si>
    <t>Rajeev Ranjan Kumar</t>
  </si>
  <si>
    <t>V43204</t>
  </si>
  <si>
    <t>Amisha  Kumari</t>
  </si>
  <si>
    <t>V44225</t>
  </si>
  <si>
    <t>Amrendra  Kumar</t>
  </si>
  <si>
    <t>V43817</t>
  </si>
  <si>
    <t>V42290</t>
  </si>
  <si>
    <t>JASBIR SINGH</t>
  </si>
  <si>
    <t>V34646</t>
  </si>
  <si>
    <t>MR. BHASKAR SHUKLA</t>
  </si>
  <si>
    <t>V45548</t>
  </si>
  <si>
    <t>Anantha  Adhithya</t>
  </si>
  <si>
    <t>V46590</t>
  </si>
  <si>
    <t>Shyam  Sunder</t>
  </si>
  <si>
    <t>V43207</t>
  </si>
  <si>
    <t>Nehal  Kumar</t>
  </si>
  <si>
    <t>V40713</t>
  </si>
  <si>
    <t>BABLU HEMRAM</t>
  </si>
  <si>
    <t>V54005</t>
  </si>
  <si>
    <t>Gunit  Kapoor</t>
  </si>
  <si>
    <t>V44735</t>
  </si>
  <si>
    <t>STAT</t>
  </si>
  <si>
    <t>V43818</t>
  </si>
  <si>
    <t>V48796</t>
  </si>
  <si>
    <t>V43392</t>
  </si>
  <si>
    <t>V44948</t>
  </si>
  <si>
    <t>V45382</t>
  </si>
  <si>
    <t>K  Sagar</t>
  </si>
  <si>
    <t>V45525</t>
  </si>
  <si>
    <t>Nikita  Kulam</t>
  </si>
  <si>
    <t>V48332</t>
  </si>
  <si>
    <t>MANNU  KUMAR</t>
  </si>
  <si>
    <t>V46822</t>
  </si>
  <si>
    <t>Dilip Tayappa Shinde</t>
  </si>
  <si>
    <t>V44095</t>
  </si>
  <si>
    <t>Deepak Kumar Arya</t>
  </si>
  <si>
    <t>V50720</t>
  </si>
  <si>
    <t>V43838</t>
  </si>
  <si>
    <t>ABHIT KUMAR SHARMA</t>
  </si>
  <si>
    <t>V36406</t>
  </si>
  <si>
    <t>BINAY KUMAR PASWAN</t>
  </si>
  <si>
    <t>V45388</t>
  </si>
  <si>
    <t>Kartik Chandra Nirwan</t>
  </si>
  <si>
    <t>V44038</t>
  </si>
  <si>
    <t>Kuldip  Solanki</t>
  </si>
  <si>
    <t>V44256</t>
  </si>
  <si>
    <t>ABID SHAFI</t>
  </si>
  <si>
    <t>V39306</t>
  </si>
  <si>
    <t>LIPIKA  BORUAH</t>
  </si>
  <si>
    <t>V45074</t>
  </si>
  <si>
    <t>V44013</t>
  </si>
  <si>
    <t>MUNAZIRAH AKHTER</t>
  </si>
  <si>
    <t>V44744</t>
  </si>
  <si>
    <t>Ravi  Nayak</t>
  </si>
  <si>
    <t>V45065</t>
  </si>
  <si>
    <t>Geeta  Rani</t>
  </si>
  <si>
    <t>V44691</t>
  </si>
  <si>
    <t>BANTU  YADAV</t>
  </si>
  <si>
    <t>V47296</t>
  </si>
  <si>
    <t>Gopal  Prasad</t>
  </si>
  <si>
    <t>V45027</t>
  </si>
  <si>
    <t>RAJVIR  Kaur</t>
  </si>
  <si>
    <t>V50816</t>
  </si>
  <si>
    <t>Sameer  Ahsan</t>
  </si>
  <si>
    <t>V46712</t>
  </si>
  <si>
    <t>Mohammad Rafiq Badiger</t>
  </si>
  <si>
    <t>V17212</t>
  </si>
  <si>
    <t>V44500</t>
  </si>
  <si>
    <t>Kartik  Gupta</t>
  </si>
  <si>
    <t>V44525</t>
  </si>
  <si>
    <t>Renu  Sahu</t>
  </si>
  <si>
    <t>V47506</t>
  </si>
  <si>
    <t>Sarita  Kushwaha</t>
  </si>
  <si>
    <t>V44652</t>
  </si>
  <si>
    <t>Gauri  Devi</t>
  </si>
  <si>
    <t>V45529</t>
  </si>
  <si>
    <t>Pinkee  Devi</t>
  </si>
  <si>
    <t>V44584</t>
  </si>
  <si>
    <t>Manisha  Meghwal</t>
  </si>
  <si>
    <t>V51164</t>
  </si>
  <si>
    <t>Thakkar Dipak Mansukhbhai</t>
  </si>
  <si>
    <t>V49493</t>
  </si>
  <si>
    <t>Amit  Raju</t>
  </si>
  <si>
    <t>V47676</t>
  </si>
  <si>
    <t>Maram  Revanth</t>
  </si>
  <si>
    <t>V45669</t>
  </si>
  <si>
    <t>kondagorla  durgaraju</t>
  </si>
  <si>
    <t>V44412</t>
  </si>
  <si>
    <t>Asiya  Begum</t>
  </si>
  <si>
    <t>V44709</t>
  </si>
  <si>
    <t>Manju</t>
  </si>
  <si>
    <t>V44109</t>
  </si>
  <si>
    <t>Sudhakar</t>
  </si>
  <si>
    <t>V10213</t>
  </si>
  <si>
    <t>VINOD  RAY</t>
  </si>
  <si>
    <t>V43935</t>
  </si>
  <si>
    <t>Abhijit  Sutradhar</t>
  </si>
  <si>
    <t>V44457</t>
  </si>
  <si>
    <t>V44885</t>
  </si>
  <si>
    <t>MEERA  DHARMA</t>
  </si>
  <si>
    <t>V46146</t>
  </si>
  <si>
    <t>SHAHANUR  ISLAM</t>
  </si>
  <si>
    <t>V43271</t>
  </si>
  <si>
    <t>Chitralekha  Saikia</t>
  </si>
  <si>
    <t>V44233</t>
  </si>
  <si>
    <t>Pradip  Yadav</t>
  </si>
  <si>
    <t>anurag  tripathi</t>
  </si>
  <si>
    <t>V44632</t>
  </si>
  <si>
    <t>V46173</t>
  </si>
  <si>
    <t>V29157</t>
  </si>
  <si>
    <t>V46341</t>
  </si>
  <si>
    <t>Padmini  Dehury</t>
  </si>
  <si>
    <t>V46041</t>
  </si>
  <si>
    <t>SOMANNA IRAPPA VADDAR</t>
  </si>
  <si>
    <t>V15288</t>
  </si>
  <si>
    <t>ARUN KUMAR MAHTO</t>
  </si>
  <si>
    <t>V46878</t>
  </si>
  <si>
    <t>P H DEEPIKA  P H DEEPIKA</t>
  </si>
  <si>
    <t>V45010</t>
  </si>
  <si>
    <t>Ambrish  Yadav</t>
  </si>
  <si>
    <t>V44924</t>
  </si>
  <si>
    <t>Ashish  Tanwar</t>
  </si>
  <si>
    <t>V48938</t>
  </si>
  <si>
    <t>RAUSHAN  Kumar</t>
  </si>
  <si>
    <t>V44498</t>
  </si>
  <si>
    <t>Pouchamgai  Kamei</t>
  </si>
  <si>
    <t>V46145</t>
  </si>
  <si>
    <t>KAJAL  KATARIYA</t>
  </si>
  <si>
    <t>V45094</t>
  </si>
  <si>
    <t>SANNI</t>
  </si>
  <si>
    <t>V43862</t>
  </si>
  <si>
    <t>Subadeep  Bhowal</t>
  </si>
  <si>
    <t>V29606</t>
  </si>
  <si>
    <t>V44664</t>
  </si>
  <si>
    <t>PRIYANKA RASHOTRA</t>
  </si>
  <si>
    <t>V46410</t>
  </si>
  <si>
    <t>Prabhati  Das</t>
  </si>
  <si>
    <t>V44864</t>
  </si>
  <si>
    <t>Lokesh  Solanki</t>
  </si>
  <si>
    <t>V45344</t>
  </si>
  <si>
    <t>Usha  Devi</t>
  </si>
  <si>
    <t>V46296</t>
  </si>
  <si>
    <t>Ramdayal  yadav</t>
  </si>
  <si>
    <t>V47675</t>
  </si>
  <si>
    <t>Murikipudi  Naresh</t>
  </si>
  <si>
    <t>V48962</t>
  </si>
  <si>
    <t>Dhaneesh</t>
  </si>
  <si>
    <t>V45629</t>
  </si>
  <si>
    <t>Reeta  Devi</t>
  </si>
  <si>
    <t>V45499</t>
  </si>
  <si>
    <t>Harendra  Kumar</t>
  </si>
  <si>
    <t>V49924</t>
  </si>
  <si>
    <t>Deboprasad  Singha</t>
  </si>
  <si>
    <t>V45511</t>
  </si>
  <si>
    <t>V46026</t>
  </si>
  <si>
    <t>V44365</t>
  </si>
  <si>
    <t>Saiful  Islam</t>
  </si>
  <si>
    <t>V47495</t>
  </si>
  <si>
    <t>RAKSHITHA  HS</t>
  </si>
  <si>
    <t>V46418</t>
  </si>
  <si>
    <t>V45688</t>
  </si>
  <si>
    <t>V46823</t>
  </si>
  <si>
    <t>Rohan Rajendra Bandal</t>
  </si>
  <si>
    <t>V44839</t>
  </si>
  <si>
    <t>V46902</t>
  </si>
  <si>
    <t>V45283</t>
  </si>
  <si>
    <t>Mitra  Sen</t>
  </si>
  <si>
    <t>V46174</t>
  </si>
  <si>
    <t>Labhjinder  Singh</t>
  </si>
  <si>
    <t>V46915</t>
  </si>
  <si>
    <t>V46351</t>
  </si>
  <si>
    <t>Gouttam Kumar Jena</t>
  </si>
  <si>
    <t>V52098</t>
  </si>
  <si>
    <t>Jasbir  Singh</t>
  </si>
  <si>
    <t>V46408</t>
  </si>
  <si>
    <t>Deepak  Tijouri</t>
  </si>
  <si>
    <t>V45605</t>
  </si>
  <si>
    <t>Azuba  Khatoon</t>
  </si>
  <si>
    <t>V46743</t>
  </si>
  <si>
    <t>Bebeo Mangrak W Momin</t>
  </si>
  <si>
    <t>V46342</t>
  </si>
  <si>
    <t>Deepak Kumar Raushan</t>
  </si>
  <si>
    <t>V45410</t>
  </si>
  <si>
    <t>Kawaljeet  Kaur</t>
  </si>
  <si>
    <t>V47424</t>
  </si>
  <si>
    <t>Lakshmi  Muchu</t>
  </si>
  <si>
    <t>V47237</t>
  </si>
  <si>
    <t>Pawendra Singh Rana</t>
  </si>
  <si>
    <t>V47070</t>
  </si>
  <si>
    <t>Shivajee  Singh</t>
  </si>
  <si>
    <t>V47380</t>
  </si>
  <si>
    <t>V45925</t>
  </si>
  <si>
    <t>KASHIF  RAHAT</t>
  </si>
  <si>
    <t>V46029</t>
  </si>
  <si>
    <t>V46734</t>
  </si>
  <si>
    <t>Teju  Kumar</t>
  </si>
  <si>
    <t>V48327</t>
  </si>
  <si>
    <t>Janvi  Rajpoot</t>
  </si>
  <si>
    <t>Narjima Jyoti Begum</t>
  </si>
  <si>
    <t>V47152</t>
  </si>
  <si>
    <t>Asha  Bai</t>
  </si>
  <si>
    <t>V45593</t>
  </si>
  <si>
    <t>V47870</t>
  </si>
  <si>
    <t>Ravishankar  Singh</t>
  </si>
  <si>
    <t>V46888</t>
  </si>
  <si>
    <t>HIMANSHU . .</t>
  </si>
  <si>
    <t>V48576</t>
  </si>
  <si>
    <t>Kiran  Behera</t>
  </si>
  <si>
    <t>V44281</t>
  </si>
  <si>
    <t>Rakibul  Hussain</t>
  </si>
  <si>
    <t>Sonu BEBI DEVI Kumar</t>
  </si>
  <si>
    <t>V52097</t>
  </si>
  <si>
    <t>Deepak  Sah</t>
  </si>
  <si>
    <t>V47236</t>
  </si>
  <si>
    <t>SHANKAR  ORAON</t>
  </si>
  <si>
    <t>V44304</t>
  </si>
  <si>
    <t>Harvan</t>
  </si>
  <si>
    <t>V47320</t>
  </si>
  <si>
    <t>Pandey Sakshi Santosh Kumar</t>
  </si>
  <si>
    <t>V46965</t>
  </si>
  <si>
    <t>Somanath naik</t>
  </si>
  <si>
    <t>V47235</t>
  </si>
  <si>
    <t>Priti  Sarkar</t>
  </si>
  <si>
    <t>V46293</t>
  </si>
  <si>
    <t>V47902</t>
  </si>
  <si>
    <t>Jogot  Mili</t>
  </si>
  <si>
    <t>V47360</t>
  </si>
  <si>
    <t>Yadram  Bairwa</t>
  </si>
  <si>
    <t>V50518</t>
  </si>
  <si>
    <t>BIRCHANDRA  RAY</t>
  </si>
  <si>
    <t>V48473</t>
  </si>
  <si>
    <t>Rupali Machindra More</t>
  </si>
  <si>
    <t>V46171</t>
  </si>
  <si>
    <t>AKBAR HUSSAIN CHOUDHURY</t>
  </si>
  <si>
    <t>V50119</t>
  </si>
  <si>
    <t>Siddanna Subhash Kamble</t>
  </si>
  <si>
    <t>V46249</t>
  </si>
  <si>
    <t>Nitu  Devi</t>
  </si>
  <si>
    <t>V46306</t>
  </si>
  <si>
    <t>VED PRAKASH KUMAR</t>
  </si>
  <si>
    <t>V47835</t>
  </si>
  <si>
    <t>Jugal  Patowary</t>
  </si>
  <si>
    <t>V46526</t>
  </si>
  <si>
    <t>V46282</t>
  </si>
  <si>
    <t>MELIPAKA KIRAN KUMAR</t>
  </si>
  <si>
    <t>V48218</t>
  </si>
  <si>
    <t>MUKUL  KUMAR</t>
  </si>
  <si>
    <t>V46150</t>
  </si>
  <si>
    <t>VAIBHAV</t>
  </si>
  <si>
    <t>V47942</t>
  </si>
  <si>
    <t>Jaskaran</t>
  </si>
  <si>
    <t>V46165</t>
  </si>
  <si>
    <t>V48920</t>
  </si>
  <si>
    <t>Arshpreet  Singh</t>
  </si>
  <si>
    <t>V46319</t>
  </si>
  <si>
    <t>AVADESH</t>
  </si>
  <si>
    <t>V48081</t>
  </si>
  <si>
    <t>V44106</t>
  </si>
  <si>
    <t>Rajan</t>
  </si>
  <si>
    <t>SHIV SANKAR MANDAL</t>
  </si>
  <si>
    <t>V47412</t>
  </si>
  <si>
    <t>BIKARAM KUMAR DHANWAR</t>
  </si>
  <si>
    <t>V48043</t>
  </si>
  <si>
    <t>Chebrolu Naga Bhushanam</t>
  </si>
  <si>
    <t>V43774</t>
  </si>
  <si>
    <t>Dilip  Boruah</t>
  </si>
  <si>
    <t>V48239</t>
  </si>
  <si>
    <t>V47952</t>
  </si>
  <si>
    <t>V49047</t>
  </si>
  <si>
    <t>Aarti  Mehra</t>
  </si>
  <si>
    <t>V44484</t>
  </si>
  <si>
    <t>Mahesh Kumar Verma</t>
  </si>
  <si>
    <t>V50643</t>
  </si>
  <si>
    <t>V48147</t>
  </si>
  <si>
    <t>RAHUL  MEHAR</t>
  </si>
  <si>
    <t>V48298</t>
  </si>
  <si>
    <t>ASHEEL  KUMAR</t>
  </si>
  <si>
    <t>V50567</t>
  </si>
  <si>
    <t>Kamala  Bai</t>
  </si>
  <si>
    <t>V48635</t>
  </si>
  <si>
    <t>Laxhmi  Devi</t>
  </si>
  <si>
    <t>V46890</t>
  </si>
  <si>
    <t>V48112</t>
  </si>
  <si>
    <t>Audumbar Mohan Ghembad</t>
  </si>
  <si>
    <t>V47543</t>
  </si>
  <si>
    <t>Deepak  Pal</t>
  </si>
  <si>
    <t>V47134</t>
  </si>
  <si>
    <t>Nur  Mohammad</t>
  </si>
  <si>
    <t>V47948</t>
  </si>
  <si>
    <t>Shivani  Raghuwanshi</t>
  </si>
  <si>
    <t>V49883</t>
  </si>
  <si>
    <t>Radha  Kumari</t>
  </si>
  <si>
    <t>V47193</t>
  </si>
  <si>
    <t>Shahil  Balmiki</t>
  </si>
  <si>
    <t>V48262</t>
  </si>
  <si>
    <t>MOHAMMAD  SALLU</t>
  </si>
  <si>
    <t>V50779</t>
  </si>
  <si>
    <t>V48428</t>
  </si>
  <si>
    <t>V46861</t>
  </si>
  <si>
    <t>Golapi  Rabha</t>
  </si>
  <si>
    <t>V47208</t>
  </si>
  <si>
    <t>V41836</t>
  </si>
  <si>
    <t>V47423</t>
  </si>
  <si>
    <t>Kapil  Sharma</t>
  </si>
  <si>
    <t>V47399</t>
  </si>
  <si>
    <t>Shivam  Keshari</t>
  </si>
  <si>
    <t>V48993</t>
  </si>
  <si>
    <t>Shivam Rajababu Sharma</t>
  </si>
  <si>
    <t>V47431</t>
  </si>
  <si>
    <t>V48381</t>
  </si>
  <si>
    <t>RUBINA  MUKHI</t>
  </si>
  <si>
    <t>V50745</t>
  </si>
  <si>
    <t>SHREEKANT  KUMAR</t>
  </si>
  <si>
    <t>V48484</t>
  </si>
  <si>
    <t>Hemlata Gunrat Gunrat</t>
  </si>
  <si>
    <t>V44706</t>
  </si>
  <si>
    <t>Shri Pal  Verma</t>
  </si>
  <si>
    <t>V46685</t>
  </si>
  <si>
    <t>Sourav</t>
  </si>
  <si>
    <t>V49069</t>
  </si>
  <si>
    <t>Nitin Kumar Kaithwas</t>
  </si>
  <si>
    <t>Sunil Chandra Joshi</t>
  </si>
  <si>
    <t>V48930</t>
  </si>
  <si>
    <t>Saurabh  Gautam</t>
  </si>
  <si>
    <t>V48429</t>
  </si>
  <si>
    <t>Arti Kushwaha Kushwah</t>
  </si>
  <si>
    <t>V50765</t>
  </si>
  <si>
    <t>V51172</t>
  </si>
  <si>
    <t>GUDDU  PRASAD</t>
  </si>
  <si>
    <t>V48006</t>
  </si>
  <si>
    <t>Partha Sarathi Mahapatra</t>
  </si>
  <si>
    <t>V47730</t>
  </si>
  <si>
    <t>BAJANTI  DEVI</t>
  </si>
  <si>
    <t>V47267</t>
  </si>
  <si>
    <t>Altaf Ali Ahmed</t>
  </si>
  <si>
    <t>V48305</t>
  </si>
  <si>
    <t>Avinash  Karmali</t>
  </si>
  <si>
    <t>V48028</t>
  </si>
  <si>
    <t>Saroj  Kumari</t>
  </si>
  <si>
    <t>V47518</t>
  </si>
  <si>
    <t>Banrilang  Madur</t>
  </si>
  <si>
    <t>V48939</t>
  </si>
  <si>
    <t>Nikita  Choukse</t>
  </si>
  <si>
    <t>V48102</t>
  </si>
  <si>
    <t>Mamata  Kuar</t>
  </si>
  <si>
    <t>V48638</t>
  </si>
  <si>
    <t>SATRUGHNA  SAHOO</t>
  </si>
  <si>
    <t>V49436</t>
  </si>
  <si>
    <t>Jishay  Pradhan</t>
  </si>
  <si>
    <t>V49921</t>
  </si>
  <si>
    <t>Sikandar  Ram</t>
  </si>
  <si>
    <t>V48202</t>
  </si>
  <si>
    <t>KUNAL  SUNIYA</t>
  </si>
  <si>
    <t>V50520</t>
  </si>
  <si>
    <t>V46955</t>
  </si>
  <si>
    <t>Shyam  Kali</t>
  </si>
  <si>
    <t>V52130</t>
  </si>
  <si>
    <t>Shashi Prakash Singh</t>
  </si>
  <si>
    <t>V50769</t>
  </si>
  <si>
    <t>HARI OM  KUMAR</t>
  </si>
  <si>
    <t>V47941</t>
  </si>
  <si>
    <t>Ranjit  Kaur</t>
  </si>
  <si>
    <t>V47760</t>
  </si>
  <si>
    <t>Ram  Prashad</t>
  </si>
  <si>
    <t>V48031</t>
  </si>
  <si>
    <t>V48707</t>
  </si>
  <si>
    <t>Shivani Vijay Kumar Gupta</t>
  </si>
  <si>
    <t>V47316</t>
  </si>
  <si>
    <t>Chauhan Kumkum Rajendra</t>
  </si>
  <si>
    <t>V48172</t>
  </si>
  <si>
    <t>BIRJU  MARDI</t>
  </si>
  <si>
    <t>V48999</t>
  </si>
  <si>
    <t>Pankaj Singh Adhikari</t>
  </si>
  <si>
    <t>V50482</t>
  </si>
  <si>
    <t>V49622</t>
  </si>
  <si>
    <t>Yogesh  Verma</t>
  </si>
  <si>
    <t>V51289</t>
  </si>
  <si>
    <t>RAMASHISH  YADAV</t>
  </si>
  <si>
    <t>V48712</t>
  </si>
  <si>
    <t>Vaghela Mayur Ranjitbhai</t>
  </si>
  <si>
    <t>V48358</t>
  </si>
  <si>
    <t>GOVIND  SAROJ</t>
  </si>
  <si>
    <t>V48080</t>
  </si>
  <si>
    <t>Mude  Nirmala</t>
  </si>
  <si>
    <t>V49195</t>
  </si>
  <si>
    <t>Simran Sultana Begum</t>
  </si>
  <si>
    <t>V47914</t>
  </si>
  <si>
    <t>V47836</t>
  </si>
  <si>
    <t>V49338</t>
  </si>
  <si>
    <t>N Nandhu Shree</t>
  </si>
  <si>
    <t>V48593</t>
  </si>
  <si>
    <t>V49237</t>
  </si>
  <si>
    <t>Abhishek S Ittappanavar</t>
  </si>
  <si>
    <t>V48402</t>
  </si>
  <si>
    <t>V48957</t>
  </si>
  <si>
    <t>Rasika Suryakant Hajare</t>
  </si>
  <si>
    <t>V49183</t>
  </si>
  <si>
    <t>Shashank Shivanand Karakad</t>
  </si>
  <si>
    <t>V46228</t>
  </si>
  <si>
    <t>FIROZ  KUMAR</t>
  </si>
  <si>
    <t>V48434</t>
  </si>
  <si>
    <t>Annupriyabharti</t>
  </si>
  <si>
    <t>V50783</t>
  </si>
  <si>
    <t>V47564</t>
  </si>
  <si>
    <t>Mukesh  Sharma</t>
  </si>
  <si>
    <t>V47330</t>
  </si>
  <si>
    <t>Sonam Dorje Podo</t>
  </si>
  <si>
    <t>V49818</t>
  </si>
  <si>
    <t>Arwinder  Singh</t>
  </si>
  <si>
    <t>V50736</t>
  </si>
  <si>
    <t>Pardeep  Sharma</t>
  </si>
  <si>
    <t>V48424</t>
  </si>
  <si>
    <t>Rita  Mahanta</t>
  </si>
  <si>
    <t>V48431</t>
  </si>
  <si>
    <t>V48508</t>
  </si>
  <si>
    <t>KIRTI  KANDARA</t>
  </si>
  <si>
    <t>V48154</t>
  </si>
  <si>
    <t>AJAY  SINGH</t>
  </si>
  <si>
    <t>V48221</t>
  </si>
  <si>
    <t>PREM  ANAND</t>
  </si>
  <si>
    <t>V48517</t>
  </si>
  <si>
    <t>Santosh  Nayak</t>
  </si>
  <si>
    <t>V48282</t>
  </si>
  <si>
    <t>V50366</t>
  </si>
  <si>
    <t>Rishi  Basor</t>
  </si>
  <si>
    <t>V50936</t>
  </si>
  <si>
    <t>POOJA AMITKUMAR SINGH</t>
  </si>
  <si>
    <t>V48607</t>
  </si>
  <si>
    <t>Puja  Ghosh</t>
  </si>
  <si>
    <t>V48240</t>
  </si>
  <si>
    <t>Soumen  Chakraborty</t>
  </si>
  <si>
    <t>V49027</t>
  </si>
  <si>
    <t>Rishi  Anand</t>
  </si>
  <si>
    <t>V50029</t>
  </si>
  <si>
    <t>Sunny  Sazta</t>
  </si>
  <si>
    <t>V50120</t>
  </si>
  <si>
    <t>Goutam  Dharennavar</t>
  </si>
  <si>
    <t>V33942</t>
  </si>
  <si>
    <t>MANOJ KUMAR YADAV</t>
  </si>
  <si>
    <t>V16451</t>
  </si>
  <si>
    <t>SHANKAR BIHARI YADAV</t>
  </si>
  <si>
    <t>V50478</t>
  </si>
  <si>
    <t>V48439</t>
  </si>
  <si>
    <t>Neeraj  Bharti</t>
  </si>
  <si>
    <t>V48644</t>
  </si>
  <si>
    <t>Kapil Singh Rajawat</t>
  </si>
  <si>
    <t>V50022</t>
  </si>
  <si>
    <t>V49466</t>
  </si>
  <si>
    <t>Ravi  Kasar</t>
  </si>
  <si>
    <t>V48963</t>
  </si>
  <si>
    <t>Aditya  Ranjan</t>
  </si>
  <si>
    <t>V50742</t>
  </si>
  <si>
    <t>V48343</t>
  </si>
  <si>
    <t>V48219</t>
  </si>
  <si>
    <t>RAHUL . KUMAR</t>
  </si>
  <si>
    <t>V48466</t>
  </si>
  <si>
    <t>SHUBHAM  YADAV</t>
  </si>
  <si>
    <t>V46689</t>
  </si>
  <si>
    <t>V48806</t>
  </si>
  <si>
    <t>V49434</t>
  </si>
  <si>
    <t>SANJEEV KUMAR CHATTOPADHYAY</t>
  </si>
  <si>
    <t>V49063</t>
  </si>
  <si>
    <t>V48971</t>
  </si>
  <si>
    <t>V51856</t>
  </si>
  <si>
    <t>LAV KUMAR SINGH</t>
  </si>
  <si>
    <t>V48018</t>
  </si>
  <si>
    <t>V52541</t>
  </si>
  <si>
    <t>viplove  bhadwal</t>
  </si>
  <si>
    <t>V49380</t>
  </si>
  <si>
    <t>Puran Puran Singh</t>
  </si>
  <si>
    <t>V49499</t>
  </si>
  <si>
    <t>V51677</t>
  </si>
  <si>
    <t>ADARSH  PASWAN</t>
  </si>
  <si>
    <t>V50981</t>
  </si>
  <si>
    <t>V49244</t>
  </si>
  <si>
    <t>Niraj Nimbaji Pandao</t>
  </si>
  <si>
    <t>V50107</t>
  </si>
  <si>
    <t>Sanskriti</t>
  </si>
  <si>
    <t>V50644</t>
  </si>
  <si>
    <t>V51150</t>
  </si>
  <si>
    <t>Gopal Kumar Jha</t>
  </si>
  <si>
    <t>V48937</t>
  </si>
  <si>
    <t>Kunti  Devi</t>
  </si>
  <si>
    <t>V49161</t>
  </si>
  <si>
    <t>Sanjay  Rabidas</t>
  </si>
  <si>
    <t>V47203</t>
  </si>
  <si>
    <t>Saurabh Kumar Deka</t>
  </si>
  <si>
    <t>V49093</t>
  </si>
  <si>
    <t>Manju  Kumari</t>
  </si>
  <si>
    <t>V49190</t>
  </si>
  <si>
    <t>Babajan  Kamadolli</t>
  </si>
  <si>
    <t>V50206</t>
  </si>
  <si>
    <t>Majho  Hansdah</t>
  </si>
  <si>
    <t>V47864</t>
  </si>
  <si>
    <t>Pranajit  Dey</t>
  </si>
  <si>
    <t>V52962</t>
  </si>
  <si>
    <t>Mohd  Imran</t>
  </si>
  <si>
    <t>V48727</t>
  </si>
  <si>
    <t>Arnav  Kumar</t>
  </si>
  <si>
    <t>V48763</t>
  </si>
  <si>
    <t>Freshme  Bandara</t>
  </si>
  <si>
    <t>V49838</t>
  </si>
  <si>
    <t>Vedpal  Rathour</t>
  </si>
  <si>
    <t>V49204</t>
  </si>
  <si>
    <t>V48661</t>
  </si>
  <si>
    <t>V49224</t>
  </si>
  <si>
    <t>Manish Kumar Yadav</t>
  </si>
  <si>
    <t>V49297</t>
  </si>
  <si>
    <t>Uttam  Rajwar</t>
  </si>
  <si>
    <t>V49630</t>
  </si>
  <si>
    <t>SHRADHA SUMAN AIND</t>
  </si>
  <si>
    <t>V48841</t>
  </si>
  <si>
    <t>Lavkush  Sharma</t>
  </si>
  <si>
    <t>V47873</t>
  </si>
  <si>
    <t>NARESH  YADAV</t>
  </si>
  <si>
    <t>V49200</t>
  </si>
  <si>
    <t>Jalismita  Gamango</t>
  </si>
  <si>
    <t>V49502</t>
  </si>
  <si>
    <t>Fakkirappa  Singanalli</t>
  </si>
  <si>
    <t>V48781</t>
  </si>
  <si>
    <t>Surya  Uraon</t>
  </si>
  <si>
    <t>V49988</t>
  </si>
  <si>
    <t>Veena  B</t>
  </si>
  <si>
    <t>V52710</t>
  </si>
  <si>
    <t>Maidul  Islam</t>
  </si>
  <si>
    <t>V50039</t>
  </si>
  <si>
    <t>Piush  Das</t>
  </si>
  <si>
    <t>V49682</t>
  </si>
  <si>
    <t>Harsh  Raj</t>
  </si>
  <si>
    <t>V50290</t>
  </si>
  <si>
    <t>V50108</t>
  </si>
  <si>
    <t>Anjali  Satnami</t>
  </si>
  <si>
    <t>V48798</t>
  </si>
  <si>
    <t>MAMTA  KUMARI</t>
  </si>
  <si>
    <t>V50160</t>
  </si>
  <si>
    <t>Mahesha  G</t>
  </si>
  <si>
    <t>V49785</t>
  </si>
  <si>
    <t>Shivanshi  Katiyar</t>
  </si>
  <si>
    <t>V51193</t>
  </si>
  <si>
    <t>Nileshji  Thakor</t>
  </si>
  <si>
    <t>V49268</t>
  </si>
  <si>
    <t>Rashmita  Badhei</t>
  </si>
  <si>
    <t>V49142</t>
  </si>
  <si>
    <t>V49343</t>
  </si>
  <si>
    <t>Sandeep  Shirasangi</t>
  </si>
  <si>
    <t>V50780</t>
  </si>
  <si>
    <t>ASHOK  MURMU</t>
  </si>
  <si>
    <t>V49101</t>
  </si>
  <si>
    <t>Abhinav  Sharma</t>
  </si>
  <si>
    <t>V50098</t>
  </si>
  <si>
    <t>Bhanu . Pratap</t>
  </si>
  <si>
    <t>V49831</t>
  </si>
  <si>
    <t>Ritesh Kumar Singh</t>
  </si>
  <si>
    <t>V50164</t>
  </si>
  <si>
    <t>Shivraj  Singh</t>
  </si>
  <si>
    <t>V50421</t>
  </si>
  <si>
    <t>Vinayak  Verma</t>
  </si>
  <si>
    <t>V50548</t>
  </si>
  <si>
    <t>BISHAL  MAHALI</t>
  </si>
  <si>
    <t>V49148</t>
  </si>
  <si>
    <t>Imran Hussain Sheikh</t>
  </si>
  <si>
    <t>V49118</t>
  </si>
  <si>
    <t>Daijy  Das</t>
  </si>
  <si>
    <t>V49937</t>
  </si>
  <si>
    <t>V35561</t>
  </si>
  <si>
    <t>RAJ MIYAN</t>
  </si>
  <si>
    <t>V50020</t>
  </si>
  <si>
    <t>Kamaldeep  Kaur</t>
  </si>
  <si>
    <t>V51649</t>
  </si>
  <si>
    <t>ABHAY KUMAR RAI</t>
  </si>
  <si>
    <t>V49926</t>
  </si>
  <si>
    <t>V50019</t>
  </si>
  <si>
    <t>Manjula A J</t>
  </si>
  <si>
    <t>V49405</t>
  </si>
  <si>
    <t>Kamal  Swami</t>
  </si>
  <si>
    <t>V49568</t>
  </si>
  <si>
    <t>Sonu  Rani</t>
  </si>
  <si>
    <t>V51424</t>
  </si>
  <si>
    <t>ADITYA VADHUJI THAKOR</t>
  </si>
  <si>
    <t>V49830</t>
  </si>
  <si>
    <t>Pratima DEVI Devi</t>
  </si>
  <si>
    <t>V51146</t>
  </si>
  <si>
    <t>Bhukya  Naresh</t>
  </si>
  <si>
    <t>V49990</t>
  </si>
  <si>
    <t>Amir  Mushtaq</t>
  </si>
  <si>
    <t>V51004</t>
  </si>
  <si>
    <t>Vir  Bharat</t>
  </si>
  <si>
    <t>V49549</t>
  </si>
  <si>
    <t>Sushri Sarita Biswal</t>
  </si>
  <si>
    <t>V51321</t>
  </si>
  <si>
    <t>V49716</t>
  </si>
  <si>
    <t>Sunil  Solanki</t>
  </si>
  <si>
    <t>V46513</t>
  </si>
  <si>
    <t>VEER  SINGH</t>
  </si>
  <si>
    <t>V47015</t>
  </si>
  <si>
    <t>SUFIYAN  KHAN</t>
  </si>
  <si>
    <t>V48146</t>
  </si>
  <si>
    <t>ankit  sharma</t>
  </si>
  <si>
    <t>V50301</t>
  </si>
  <si>
    <t>Harshit  Bhagwanshi</t>
  </si>
  <si>
    <t>V50432</t>
  </si>
  <si>
    <t>Murikipudi Jaya Paul</t>
  </si>
  <si>
    <t>V50082</t>
  </si>
  <si>
    <t>Nandan  Kumar</t>
  </si>
  <si>
    <t>V49404</t>
  </si>
  <si>
    <t>Satyanarayan  Das</t>
  </si>
  <si>
    <t>V51789</t>
  </si>
  <si>
    <t>POONAM  KUMARI</t>
  </si>
  <si>
    <t>V51524</t>
  </si>
  <si>
    <t>ADITYA PRAVINBHAI PARMAR</t>
  </si>
  <si>
    <t>V49199</t>
  </si>
  <si>
    <t>Sanjukta Kumari Sahu</t>
  </si>
  <si>
    <t>V49548</t>
  </si>
  <si>
    <t>Puja  Majhi</t>
  </si>
  <si>
    <t>V48685</t>
  </si>
  <si>
    <t>darshan  r</t>
  </si>
  <si>
    <t>V51018</t>
  </si>
  <si>
    <t>V36064</t>
  </si>
  <si>
    <t>NIRANJAN KUMAR</t>
  </si>
  <si>
    <t>V48892</t>
  </si>
  <si>
    <t>Salka  Debbarma</t>
  </si>
  <si>
    <t>V50150</t>
  </si>
  <si>
    <t>Mahak  Gupta</t>
  </si>
  <si>
    <t>V51745</t>
  </si>
  <si>
    <t>naliganti  sushmanth</t>
  </si>
  <si>
    <t>V50330</t>
  </si>
  <si>
    <t>JAGESH  DEVESH</t>
  </si>
  <si>
    <t>V51804</t>
  </si>
  <si>
    <t>V49269</t>
  </si>
  <si>
    <t>Jitumoni  Pathak</t>
  </si>
  <si>
    <t>V49619</t>
  </si>
  <si>
    <t>Surendra  Sabar</t>
  </si>
  <si>
    <t>V49551</t>
  </si>
  <si>
    <t>Wartika  Meher</t>
  </si>
  <si>
    <t>V49384</t>
  </si>
  <si>
    <t>Sujay  Das</t>
  </si>
  <si>
    <t>V49761</t>
  </si>
  <si>
    <t>Shikha  Pradhan</t>
  </si>
  <si>
    <t>V50052</t>
  </si>
  <si>
    <t>V50125</t>
  </si>
  <si>
    <t>Kajal  Naik</t>
  </si>
  <si>
    <t>V51498</t>
  </si>
  <si>
    <t>YOGESH VISHNUBHAI PARMAR</t>
  </si>
  <si>
    <t>V52116</t>
  </si>
  <si>
    <t>Shivam Kumar Dubey</t>
  </si>
  <si>
    <t>V49954</t>
  </si>
  <si>
    <t>Piyush  Kumar</t>
  </si>
  <si>
    <t>V50243</t>
  </si>
  <si>
    <t>Mayank P Nippanikar</t>
  </si>
  <si>
    <t>V49799</t>
  </si>
  <si>
    <t>Hajari  Kumar</t>
  </si>
  <si>
    <t>V50057</t>
  </si>
  <si>
    <t>Talari  Akhila</t>
  </si>
  <si>
    <t>V51173</t>
  </si>
  <si>
    <t>PINTU KUMAR YADAV</t>
  </si>
  <si>
    <t>V49526</t>
  </si>
  <si>
    <t>Alok Kumar Mishra</t>
  </si>
  <si>
    <t>V51437</t>
  </si>
  <si>
    <t>kanchan  sen</t>
  </si>
  <si>
    <t>V51063</t>
  </si>
  <si>
    <t>Pankaj  Dangi</t>
  </si>
  <si>
    <t>V49417</t>
  </si>
  <si>
    <t>Chintu  Paswan</t>
  </si>
  <si>
    <t>V49835</t>
  </si>
  <si>
    <t>Deenanath  Topno</t>
  </si>
  <si>
    <t>V49084</t>
  </si>
  <si>
    <t>V50611</t>
  </si>
  <si>
    <t>Vaghela  Hiteshbhai</t>
  </si>
  <si>
    <t>V50310</t>
  </si>
  <si>
    <t>Aniket</t>
  </si>
  <si>
    <t>V51023</t>
  </si>
  <si>
    <t>V50399</t>
  </si>
  <si>
    <t>Rohan  Chouhan</t>
  </si>
  <si>
    <t>V50449</t>
  </si>
  <si>
    <t>Kishan  Joshi</t>
  </si>
  <si>
    <t>Stat</t>
  </si>
  <si>
    <t>Gurmeet</t>
  </si>
  <si>
    <t>V49720</t>
  </si>
  <si>
    <t>Niraj  Prajapati</t>
  </si>
  <si>
    <t>V51680</t>
  </si>
  <si>
    <t>SUNIL  RAIKA</t>
  </si>
  <si>
    <t>V50326</t>
  </si>
  <si>
    <t>RAM Ratan CHOUDHARY</t>
  </si>
  <si>
    <t>V50499</t>
  </si>
  <si>
    <t>Aman Parshuram Varpe</t>
  </si>
  <si>
    <t>V50986</t>
  </si>
  <si>
    <t>V52488</t>
  </si>
  <si>
    <t>Veerendra  T</t>
  </si>
  <si>
    <t>V52978</t>
  </si>
  <si>
    <t>Pulak  Dutta</t>
  </si>
  <si>
    <t>V52176</t>
  </si>
  <si>
    <t>Sinchit</t>
  </si>
  <si>
    <t>V52231</t>
  </si>
  <si>
    <t>BRIJ  PAL</t>
  </si>
  <si>
    <t>V49850</t>
  </si>
  <si>
    <t>Ram  Kumar</t>
  </si>
  <si>
    <t>V49416</t>
  </si>
  <si>
    <t>SAMIR  MADDY</t>
  </si>
  <si>
    <t>V51637</t>
  </si>
  <si>
    <t>V49821</t>
  </si>
  <si>
    <t>Shaik  Althaf</t>
  </si>
  <si>
    <t>V49779</t>
  </si>
  <si>
    <t>RITIK ROSHAN KUMAR</t>
  </si>
  <si>
    <t>V52162</t>
  </si>
  <si>
    <t>Voddi  Harika</t>
  </si>
  <si>
    <t>V50380</t>
  </si>
  <si>
    <t>Ranbeer  Singh</t>
  </si>
  <si>
    <t>V49674</t>
  </si>
  <si>
    <t>Dipjoyti  Barman</t>
  </si>
  <si>
    <t>V50570</t>
  </si>
  <si>
    <t>Sajan  Kumar</t>
  </si>
  <si>
    <t>V50110</t>
  </si>
  <si>
    <t>RIYA  KUMARI</t>
  </si>
  <si>
    <t>V49712</t>
  </si>
  <si>
    <t>Irshad  Ali</t>
  </si>
  <si>
    <t>V49146</t>
  </si>
  <si>
    <t>Shaik  Hussain</t>
  </si>
  <si>
    <t>V54052</t>
  </si>
  <si>
    <t>V50488</t>
  </si>
  <si>
    <t>ASHISH  URAIYA</t>
  </si>
  <si>
    <t>V51613</t>
  </si>
  <si>
    <t>Prashantha  B</t>
  </si>
  <si>
    <t>V52588</t>
  </si>
  <si>
    <t>Nagaraj Shivaji Nayak</t>
  </si>
  <si>
    <t>V49929</t>
  </si>
  <si>
    <t>Shailendra  Kanoujiya</t>
  </si>
  <si>
    <t>V49317</t>
  </si>
  <si>
    <t>Raviteja  Thamanam</t>
  </si>
  <si>
    <t>V48965</t>
  </si>
  <si>
    <t>V50234</t>
  </si>
  <si>
    <t>Adarsh  Soni</t>
  </si>
  <si>
    <t>V49145</t>
  </si>
  <si>
    <t>Nali  Venkatesh</t>
  </si>
  <si>
    <t>V51330</t>
  </si>
  <si>
    <t>Nidhi  Shaw</t>
  </si>
  <si>
    <t>V49971</t>
  </si>
  <si>
    <t>Tirth  Kumar</t>
  </si>
  <si>
    <t>V51609</t>
  </si>
  <si>
    <t>Pranjal Pradeep Mane</t>
  </si>
  <si>
    <t>V51032</t>
  </si>
  <si>
    <t>V52513</t>
  </si>
  <si>
    <t>V51003</t>
  </si>
  <si>
    <t>V50414</t>
  </si>
  <si>
    <t>Nagendra  Kurmi</t>
  </si>
  <si>
    <t>V52508</t>
  </si>
  <si>
    <t>YALLAPPA SHETTEPPA JAMBAGI</t>
  </si>
  <si>
    <t>V50966</t>
  </si>
  <si>
    <t>SUBHAM MANOJ DESHAMUKH</t>
  </si>
  <si>
    <t>V50158</t>
  </si>
  <si>
    <t>Rajkumar Singh Dhami</t>
  </si>
  <si>
    <t>V50113</t>
  </si>
  <si>
    <t>Ajit Kumar Yadav</t>
  </si>
  <si>
    <t>V51901</t>
  </si>
  <si>
    <t>MANISH  CHAUHAN</t>
  </si>
  <si>
    <t>V49819</t>
  </si>
  <si>
    <t>Chukka  Abhilash</t>
  </si>
  <si>
    <t>V44058</t>
  </si>
  <si>
    <t>V50431</t>
  </si>
  <si>
    <t>V51888</t>
  </si>
  <si>
    <t>ARMAN  KHAN</t>
  </si>
  <si>
    <t>V50859</t>
  </si>
  <si>
    <t>PARMAR  UMANGKUMAR</t>
  </si>
  <si>
    <t>V48966</t>
  </si>
  <si>
    <t>Amit Kumar Rana</t>
  </si>
  <si>
    <t>V49973</t>
  </si>
  <si>
    <t>V49879</t>
  </si>
  <si>
    <t>Aadi  Dhiman</t>
  </si>
  <si>
    <t>V49820</t>
  </si>
  <si>
    <t>Chikkala  Abhay</t>
  </si>
  <si>
    <t>V53012</t>
  </si>
  <si>
    <t>V50369</t>
  </si>
  <si>
    <t>V52393</t>
  </si>
  <si>
    <t>Manoj Kumar Mishra</t>
  </si>
  <si>
    <t>V50423</t>
  </si>
  <si>
    <t>V50281</t>
  </si>
  <si>
    <t>Piyush  Chauhan</t>
  </si>
  <si>
    <t>V50149</t>
  </si>
  <si>
    <t>Anurag  Chauhan</t>
  </si>
  <si>
    <t>V50876</t>
  </si>
  <si>
    <t>AUTI SAMARTH NANDKISHOR</t>
  </si>
  <si>
    <t>V53643</t>
  </si>
  <si>
    <t>ABHIRAM  NAYAK</t>
  </si>
  <si>
    <t>V51064</t>
  </si>
  <si>
    <t>Ankur Kumar Yadav</t>
  </si>
  <si>
    <t>V52075</t>
  </si>
  <si>
    <t>Tushar  Munda</t>
  </si>
  <si>
    <t>V50237</t>
  </si>
  <si>
    <t>V51137</t>
  </si>
  <si>
    <t>Sadik Mahamadjafar Savanur</t>
  </si>
  <si>
    <t>V51601</t>
  </si>
  <si>
    <t>SANJU  NATH</t>
  </si>
  <si>
    <t>V52480</t>
  </si>
  <si>
    <t>APIN  CHAUDHARI</t>
  </si>
  <si>
    <t>V50578</t>
  </si>
  <si>
    <t>Ujjawal Kumar Sinha</t>
  </si>
  <si>
    <t>V52148</t>
  </si>
  <si>
    <t>Ramesh Kumar Mishra</t>
  </si>
  <si>
    <t>V51092</t>
  </si>
  <si>
    <t>Abhilash  Dutta</t>
  </si>
  <si>
    <t>V50233</t>
  </si>
  <si>
    <t>Anurag  Tiwari</t>
  </si>
  <si>
    <t>V51889</t>
  </si>
  <si>
    <t>KONSAM KHRISTINA DEVI</t>
  </si>
  <si>
    <t>V51254</t>
  </si>
  <si>
    <t>V52514</t>
  </si>
  <si>
    <t>Rahul  Ibrahimpur</t>
  </si>
  <si>
    <t>V51482</t>
  </si>
  <si>
    <t>SAM</t>
  </si>
  <si>
    <t>V50386</t>
  </si>
  <si>
    <t>Akhilesh . Kumar</t>
  </si>
  <si>
    <t>V51072</t>
  </si>
  <si>
    <t>Mantesh Mallappa Talwar</t>
  </si>
  <si>
    <t>V52337</t>
  </si>
  <si>
    <t>Udit  Kumar</t>
  </si>
  <si>
    <t>V51119</t>
  </si>
  <si>
    <t>Tejraj  Chhatria</t>
  </si>
  <si>
    <t>V50587</t>
  </si>
  <si>
    <t>Seema  Naik</t>
  </si>
  <si>
    <t>V50344</t>
  </si>
  <si>
    <t>Jeetu  Prajapati</t>
  </si>
  <si>
    <t>V50063</t>
  </si>
  <si>
    <t>Preeti  Daimari</t>
  </si>
  <si>
    <t>V51441</t>
  </si>
  <si>
    <t>PADMABATI  PASAYAT</t>
  </si>
  <si>
    <t>V50964</t>
  </si>
  <si>
    <t>AKLESHWAR THAKUR</t>
  </si>
  <si>
    <t>V51012</t>
  </si>
  <si>
    <t>DEEPAK KUMAR DUBEY</t>
  </si>
  <si>
    <t>V50450</t>
  </si>
  <si>
    <t>Mohit</t>
  </si>
  <si>
    <t>V49409</t>
  </si>
  <si>
    <t>V50354</t>
  </si>
  <si>
    <t>V52024</t>
  </si>
  <si>
    <t>V51371</t>
  </si>
  <si>
    <t>BIKASH CHANDRA  GOUDA</t>
  </si>
  <si>
    <t>V52350</t>
  </si>
  <si>
    <t>Nilesh  Barkhne</t>
  </si>
  <si>
    <t>V52232</t>
  </si>
  <si>
    <t>THAKARDA PRAVIN BHAI GHEMAR  BHAI</t>
  </si>
  <si>
    <t>V53601</t>
  </si>
  <si>
    <t>VIJAY PRATAP SINGH</t>
  </si>
  <si>
    <t>V52302</t>
  </si>
  <si>
    <t>Laldinsangi  Laldinsangi</t>
  </si>
  <si>
    <t>V52569</t>
  </si>
  <si>
    <t>Ram Krishn Kumar</t>
  </si>
  <si>
    <t>V50028</t>
  </si>
  <si>
    <t>Vikash Kumar Vijay</t>
  </si>
  <si>
    <t>V49810</t>
  </si>
  <si>
    <t>Munendra Singh Chauhan</t>
  </si>
  <si>
    <t>V51903</t>
  </si>
  <si>
    <t>arun  beldar</t>
  </si>
  <si>
    <t>V50531</t>
  </si>
  <si>
    <t>Santosh  Singh</t>
  </si>
  <si>
    <t>V51480</t>
  </si>
  <si>
    <t>ABHISHEK KUMAR SHREEVASTAV</t>
  </si>
  <si>
    <t>V50109</t>
  </si>
  <si>
    <t>Banti Singh Parihar</t>
  </si>
  <si>
    <t>V51857</t>
  </si>
  <si>
    <t>KUSH KUMAR SINGH</t>
  </si>
  <si>
    <t>V52607</t>
  </si>
  <si>
    <t>V53056</t>
  </si>
  <si>
    <t>KAPIL  SHARMA</t>
  </si>
  <si>
    <t>V52691</t>
  </si>
  <si>
    <t>Om Prakash Rai</t>
  </si>
  <si>
    <t>V51204</t>
  </si>
  <si>
    <t>Patani Ravikumar Rajubhai</t>
  </si>
  <si>
    <t>V52220</t>
  </si>
  <si>
    <t>Soibam Chaoba Devi</t>
  </si>
  <si>
    <t>V52155</t>
  </si>
  <si>
    <t>CHEEPURUPALLI DURGA SHIVA SHANKAR</t>
  </si>
  <si>
    <t>V50890</t>
  </si>
  <si>
    <t>SADDIK AHMED LASKAR</t>
  </si>
  <si>
    <t>V52041</t>
  </si>
  <si>
    <t>Juanthaina  Kamei</t>
  </si>
  <si>
    <t>V51118</t>
  </si>
  <si>
    <t>Jitu  Sahu</t>
  </si>
  <si>
    <t>V52417</t>
  </si>
  <si>
    <t>Shakuntala</t>
  </si>
  <si>
    <t>V52644</t>
  </si>
  <si>
    <t>Pappu Kumar Bhuiyan</t>
  </si>
  <si>
    <t>V52303</t>
  </si>
  <si>
    <t>Esther  Buanglianmawii</t>
  </si>
  <si>
    <t>V50692</t>
  </si>
  <si>
    <t>ANKUR KUMAR SHAHI</t>
  </si>
  <si>
    <t>V50185</t>
  </si>
  <si>
    <t>Debasish Narayan Choudhury</t>
  </si>
  <si>
    <t>V52740</t>
  </si>
  <si>
    <t>Md  Shadab</t>
  </si>
  <si>
    <t>V51380</t>
  </si>
  <si>
    <t>Manjunath Veeranna Arkasali</t>
  </si>
  <si>
    <t>V51017</t>
  </si>
  <si>
    <t>V52457</t>
  </si>
  <si>
    <t>Jiganeshbhai Rajubhai Patel</t>
  </si>
  <si>
    <t>V52434</t>
  </si>
  <si>
    <t>V51008</t>
  </si>
  <si>
    <t>Amulya  Srivastava</t>
  </si>
  <si>
    <t>V51517</t>
  </si>
  <si>
    <t>VIKASH KUMAR VIJETA</t>
  </si>
  <si>
    <t>V52422</t>
  </si>
  <si>
    <t>J  Manjunath</t>
  </si>
  <si>
    <t>V52606</t>
  </si>
  <si>
    <t>Dipu  Mondal</t>
  </si>
  <si>
    <t>V52700</t>
  </si>
  <si>
    <t>Surekha Anant Phad</t>
  </si>
  <si>
    <t>V51195</t>
  </si>
  <si>
    <t>V52318</t>
  </si>
  <si>
    <t>Rohit  MALVIYA</t>
  </si>
  <si>
    <t>V51575</t>
  </si>
  <si>
    <t>FARIAD  FARIAD</t>
  </si>
  <si>
    <t>V51197</t>
  </si>
  <si>
    <t>Hardeep  Singh</t>
  </si>
  <si>
    <t>V51445</t>
  </si>
  <si>
    <t>SUBHRANSU KUMAR CHHATRIA</t>
  </si>
  <si>
    <t>V52040</t>
  </si>
  <si>
    <t>CHINGANGBAM  MONTESHWORI DEVI</t>
  </si>
  <si>
    <t>V51767</t>
  </si>
  <si>
    <t>V50841</t>
  </si>
  <si>
    <t>AMAN  RAJPUAT</t>
  </si>
  <si>
    <t>V52039</t>
  </si>
  <si>
    <t>Sadananda  Naorem</t>
  </si>
  <si>
    <t>V51315</t>
  </si>
  <si>
    <t>Shakti Kumar Gouda</t>
  </si>
  <si>
    <t>V52104</t>
  </si>
  <si>
    <t>Akash Sahani</t>
  </si>
  <si>
    <t>V52506</t>
  </si>
  <si>
    <t>ANSUIYA</t>
  </si>
  <si>
    <t>V52219</t>
  </si>
  <si>
    <t>Huidrom Deva Singh</t>
  </si>
  <si>
    <t>V52654</t>
  </si>
  <si>
    <t>Raktop  Chader</t>
  </si>
  <si>
    <t>V53226</t>
  </si>
  <si>
    <t>KUMMARI  BHAVAN</t>
  </si>
  <si>
    <t>V51051</t>
  </si>
  <si>
    <t>TAJUM  MITE</t>
  </si>
  <si>
    <t>V51605</t>
  </si>
  <si>
    <t>Alok Kumar Sharma</t>
  </si>
  <si>
    <t>V51290</t>
  </si>
  <si>
    <t>RAVINDRA  SINGH</t>
  </si>
  <si>
    <t>V50474</t>
  </si>
  <si>
    <t>Haripal Singh Tomar</t>
  </si>
  <si>
    <t>V51376</t>
  </si>
  <si>
    <t>PRAKASH  NAIK</t>
  </si>
  <si>
    <t>V52035</t>
  </si>
  <si>
    <t>Huidrom Lanthoi Singh</t>
  </si>
  <si>
    <t>V51746</t>
  </si>
  <si>
    <t>DHAWALSINH SURESHSINH WAGHELA</t>
  </si>
  <si>
    <t>V50935</t>
  </si>
  <si>
    <t>Syed Jamal Khadri</t>
  </si>
  <si>
    <t>V53556</t>
  </si>
  <si>
    <t>SUBOD  KUMAR</t>
  </si>
  <si>
    <t>V51527</t>
  </si>
  <si>
    <t>JITU  NAYAK</t>
  </si>
  <si>
    <t>V51312</t>
  </si>
  <si>
    <t>ROSHAN  PANIGRAHY</t>
  </si>
  <si>
    <t>V52296</t>
  </si>
  <si>
    <t>Shaitan  Singh</t>
  </si>
  <si>
    <t>V52649</t>
  </si>
  <si>
    <t>Santhosh</t>
  </si>
  <si>
    <t>V51062</t>
  </si>
  <si>
    <t>Kalavati</t>
  </si>
  <si>
    <t>V52715</t>
  </si>
  <si>
    <t>Mohini Machhindra Giri</t>
  </si>
  <si>
    <t>V51509</t>
  </si>
  <si>
    <t>LAKHAN KUMAR GUPTA</t>
  </si>
  <si>
    <t>V51253</t>
  </si>
  <si>
    <t>V53351</t>
  </si>
  <si>
    <t>BED PRAKASH BHUJUWA</t>
  </si>
  <si>
    <t>V50704</t>
  </si>
  <si>
    <t>V51991</t>
  </si>
  <si>
    <t>V52270</t>
  </si>
  <si>
    <t>Shobhnath  Yadav</t>
  </si>
  <si>
    <t>V51439</t>
  </si>
  <si>
    <t>JHARANA  NAG</t>
  </si>
  <si>
    <t>V51712</t>
  </si>
  <si>
    <t>SHIVA  SHARMA</t>
  </si>
  <si>
    <t>V53341</t>
  </si>
  <si>
    <t>ASHIS  JAYPURIA</t>
  </si>
  <si>
    <t>V51429</t>
  </si>
  <si>
    <t>Rameshbhai  Senma</t>
  </si>
  <si>
    <t>V51186</t>
  </si>
  <si>
    <t>V53084</t>
  </si>
  <si>
    <t>Uttam  Kulshreshtha</t>
  </si>
  <si>
    <t>V51790</t>
  </si>
  <si>
    <t>MAMATAJ MUSTAK ADMED YALAGACHCHA</t>
  </si>
  <si>
    <t>V52713</t>
  </si>
  <si>
    <t>Pranali Arun Kamble</t>
  </si>
  <si>
    <t>V51311</t>
  </si>
  <si>
    <t>Rakesh  Balmiki</t>
  </si>
  <si>
    <t>V51556</t>
  </si>
  <si>
    <t>ANUJ SINGH PANWAR</t>
  </si>
  <si>
    <t>V52360</t>
  </si>
  <si>
    <t>Sonali Shyam Mopkar</t>
  </si>
  <si>
    <t>V51267</t>
  </si>
  <si>
    <t>V50909</t>
  </si>
  <si>
    <t>Abhi  shakya</t>
  </si>
  <si>
    <t>V51773</t>
  </si>
  <si>
    <t>TUNA  MALLIK</t>
  </si>
  <si>
    <t>V51860</t>
  </si>
  <si>
    <t>NILI  NAYAK</t>
  </si>
  <si>
    <t>V53370</t>
  </si>
  <si>
    <t>GUNTASH  BHARTI</t>
  </si>
  <si>
    <t>V51738</t>
  </si>
  <si>
    <t>AMARJEET KUMAR NANDAN</t>
  </si>
  <si>
    <t>V53301</t>
  </si>
  <si>
    <t>VISHAL  PRASAD</t>
  </si>
  <si>
    <t>V51861</t>
  </si>
  <si>
    <t>RAHUL  CHAURASIA</t>
  </si>
  <si>
    <t>V51741</t>
  </si>
  <si>
    <t>DAYANAND DATTATRAY PADWAL</t>
  </si>
  <si>
    <t>V52037</t>
  </si>
  <si>
    <t>Roshni  Sandham</t>
  </si>
  <si>
    <t>V52042</t>
  </si>
  <si>
    <t>Gamgongpou  Kamei</t>
  </si>
  <si>
    <t>V51530</t>
  </si>
  <si>
    <t>V52689</t>
  </si>
  <si>
    <t>Deepak  Lakshakar</t>
  </si>
  <si>
    <t>V52750</t>
  </si>
  <si>
    <t>V53627</t>
  </si>
  <si>
    <t>V51872</t>
  </si>
  <si>
    <t>ANIKET  CHAURASIA</t>
  </si>
  <si>
    <t>V51623</t>
  </si>
  <si>
    <t>ASISH  NAIK</t>
  </si>
  <si>
    <t>V51560</t>
  </si>
  <si>
    <t>V52709</t>
  </si>
  <si>
    <t>Divya Yuvraj Mhaske</t>
  </si>
  <si>
    <t>V52954</t>
  </si>
  <si>
    <t>V52549</t>
  </si>
  <si>
    <t>V51847</t>
  </si>
  <si>
    <t>V51563</t>
  </si>
  <si>
    <t>Madhu Chintan Boruah</t>
  </si>
  <si>
    <t>V51277</t>
  </si>
  <si>
    <t>PARMAR  PRAKASHKUMAR</t>
  </si>
  <si>
    <t>V52468</t>
  </si>
  <si>
    <t>Praveen  Sonwani</t>
  </si>
  <si>
    <t>V51809</t>
  </si>
  <si>
    <t>ABHINAV</t>
  </si>
  <si>
    <t>V50842</t>
  </si>
  <si>
    <t>RAJA BABU  NA</t>
  </si>
  <si>
    <t>V52196</t>
  </si>
  <si>
    <t>ROHAN  BASFORE</t>
  </si>
  <si>
    <t>V51998</t>
  </si>
  <si>
    <t>Revaram  Sahu</t>
  </si>
  <si>
    <t>V52317</t>
  </si>
  <si>
    <t>Rohit  Laguri</t>
  </si>
  <si>
    <t>V31519</t>
  </si>
  <si>
    <t>KOUSAR  JAMADAR</t>
  </si>
  <si>
    <t>V51481</t>
  </si>
  <si>
    <t>JITU  KUMAR</t>
  </si>
  <si>
    <t>V51948</t>
  </si>
  <si>
    <t>JUSTIMAYA  MANDALA</t>
  </si>
  <si>
    <t>V53289</t>
  </si>
  <si>
    <t>JASWANT</t>
  </si>
  <si>
    <t>V51628</t>
  </si>
  <si>
    <t>VISHAL RAJ KUMAR</t>
  </si>
  <si>
    <t>V52193</t>
  </si>
  <si>
    <t>Malliksab  Sanadi</t>
  </si>
  <si>
    <t>V51995</t>
  </si>
  <si>
    <t>M  BISWANATH</t>
  </si>
  <si>
    <t>V51835</t>
  </si>
  <si>
    <t>ADITYA  SHARMA</t>
  </si>
  <si>
    <t>V52027</t>
  </si>
  <si>
    <t>RAJ  GAUD</t>
  </si>
  <si>
    <t>V52687</t>
  </si>
  <si>
    <t>Ritik  Ahirwar</t>
  </si>
  <si>
    <t>V52603</t>
  </si>
  <si>
    <t>Vasant Chandrashekar Rathod</t>
  </si>
  <si>
    <t>V53679</t>
  </si>
  <si>
    <t>V53344</t>
  </si>
  <si>
    <t>SONU  AHIRWAR</t>
  </si>
  <si>
    <t>V52055</t>
  </si>
  <si>
    <t>Dolmani  Mahakur</t>
  </si>
  <si>
    <t>V52250</t>
  </si>
  <si>
    <t>V52705</t>
  </si>
  <si>
    <t>Raghavendra  Singh</t>
  </si>
  <si>
    <t>V52542</t>
  </si>
  <si>
    <t>V51926</t>
  </si>
  <si>
    <t>SAGAR  SAHU</t>
  </si>
  <si>
    <t>V53877</t>
  </si>
  <si>
    <t>Solanki  Amitkumar</t>
  </si>
  <si>
    <t>V52602</t>
  </si>
  <si>
    <t>L Megha Meitei</t>
  </si>
  <si>
    <t>V51918</t>
  </si>
  <si>
    <t>OMPRAKASH  PAL</t>
  </si>
  <si>
    <t>V51039</t>
  </si>
  <si>
    <t>Dhanesh  Kumar</t>
  </si>
  <si>
    <t>V54044</t>
  </si>
  <si>
    <t>ROHAN SURESH BHALERAO</t>
  </si>
  <si>
    <t>V52086</t>
  </si>
  <si>
    <t>Dipanshu</t>
  </si>
  <si>
    <t>V53206</t>
  </si>
  <si>
    <t>Reena Devi</t>
  </si>
  <si>
    <t>V54116</t>
  </si>
  <si>
    <t>V51471</t>
  </si>
  <si>
    <t>SHAIK KHADAR BASHA</t>
  </si>
  <si>
    <t>V53481</t>
  </si>
  <si>
    <t>V51565</t>
  </si>
  <si>
    <t>Girish  Pegu</t>
  </si>
  <si>
    <t>V53307</t>
  </si>
  <si>
    <t>Anand</t>
  </si>
  <si>
    <t>V52111</t>
  </si>
  <si>
    <t>SUNITA  DEVI</t>
  </si>
  <si>
    <t>V51519</t>
  </si>
  <si>
    <t>abhay  kumar</t>
  </si>
  <si>
    <t>V52945</t>
  </si>
  <si>
    <t>Saksham  Jamwal</t>
  </si>
  <si>
    <t>V51456</t>
  </si>
  <si>
    <t>Shakti  KANDAPANI</t>
  </si>
  <si>
    <t>V52314</t>
  </si>
  <si>
    <t>Rajkumar  Tekwar</t>
  </si>
  <si>
    <t>V52304</t>
  </si>
  <si>
    <t>Indra  Devi</t>
  </si>
  <si>
    <t>V49965</t>
  </si>
  <si>
    <t>Sonmani  Chetia</t>
  </si>
  <si>
    <t>V51412</t>
  </si>
  <si>
    <t>MUKESH KUMAR RANJAN</t>
  </si>
  <si>
    <t>V52729</t>
  </si>
  <si>
    <t>Ajoy  Singha</t>
  </si>
  <si>
    <t>V52652</t>
  </si>
  <si>
    <t>Tanniru  Susila</t>
  </si>
  <si>
    <t>V53823</t>
  </si>
  <si>
    <t>Vikash  Paswan</t>
  </si>
  <si>
    <t>V53450</t>
  </si>
  <si>
    <t>ANSHU KUMAR YADAV</t>
  </si>
  <si>
    <t>V51583</t>
  </si>
  <si>
    <t>RAJESH  DAS</t>
  </si>
  <si>
    <t>V51484</t>
  </si>
  <si>
    <t>Firdous Ahmad Sheikh</t>
  </si>
  <si>
    <t>V52203</t>
  </si>
  <si>
    <t>Ujjaval  Tyagi</t>
  </si>
  <si>
    <t>V52084</t>
  </si>
  <si>
    <t>Roshni  Devi</t>
  </si>
  <si>
    <t>V52095</t>
  </si>
  <si>
    <t>Rahul  Naik</t>
  </si>
  <si>
    <t>V52197</t>
  </si>
  <si>
    <t>V53059</t>
  </si>
  <si>
    <t>V52727</t>
  </si>
  <si>
    <t>Gunabir  Singh</t>
  </si>
  <si>
    <t>V51853</t>
  </si>
  <si>
    <t>ARSHAD  WALI</t>
  </si>
  <si>
    <t>V42409</t>
  </si>
  <si>
    <t>RUPESH KUMAR GUPTA</t>
  </si>
  <si>
    <t>V52391</t>
  </si>
  <si>
    <t>Munendra  Singh</t>
  </si>
  <si>
    <t>V53563</t>
  </si>
  <si>
    <t>RUBI KUMARI</t>
  </si>
  <si>
    <t>V52293</t>
  </si>
  <si>
    <t>LAKSHRAJ SINGH RATHORE</t>
  </si>
  <si>
    <t>V53095</t>
  </si>
  <si>
    <t>Prabhat  Shukla</t>
  </si>
  <si>
    <t>V52630</t>
  </si>
  <si>
    <t>V52128</t>
  </si>
  <si>
    <t>vaghela sarang dashrathBhai</t>
  </si>
  <si>
    <t>V51865</t>
  </si>
  <si>
    <t>Reenu  Kaur</t>
  </si>
  <si>
    <t>V52564</t>
  </si>
  <si>
    <t>V53468</t>
  </si>
  <si>
    <t>Ikbal Ahmed Laskar</t>
  </si>
  <si>
    <t>V53111</t>
  </si>
  <si>
    <t>V52633</t>
  </si>
  <si>
    <t>Sarat Kumar Singha</t>
  </si>
  <si>
    <t>V53466</t>
  </si>
  <si>
    <t>Jahrul Huda Barbhuiya</t>
  </si>
  <si>
    <t>V52458</t>
  </si>
  <si>
    <t>V52818</t>
  </si>
  <si>
    <t>SHUBHAM  SONI</t>
  </si>
  <si>
    <t>V53506</t>
  </si>
  <si>
    <t>CHENNAM SHETTY REVANTH</t>
  </si>
  <si>
    <t>V52257</t>
  </si>
  <si>
    <t>Himalaya  Mishra</t>
  </si>
  <si>
    <t>V52168</t>
  </si>
  <si>
    <t>V52333</t>
  </si>
  <si>
    <t>Pritam</t>
  </si>
  <si>
    <t>V52375</t>
  </si>
  <si>
    <t>Arunakumar  Hiremani</t>
  </si>
  <si>
    <t>V53906</t>
  </si>
  <si>
    <t>Ishu  Nanda</t>
  </si>
  <si>
    <t>V53134</t>
  </si>
  <si>
    <t>Anjan Kumar Parimanik</t>
  </si>
  <si>
    <t>V52426</t>
  </si>
  <si>
    <t>RADHA  RANI</t>
  </si>
  <si>
    <t>V53729</t>
  </si>
  <si>
    <t>V53733</t>
  </si>
  <si>
    <t>VIKAS Kumar SONI</t>
  </si>
  <si>
    <t>V53554</t>
  </si>
  <si>
    <t>IMTIYAJ  ALAM</t>
  </si>
  <si>
    <t>V53831</t>
  </si>
  <si>
    <t>RAHUL KUMAR VERMA</t>
  </si>
  <si>
    <t>V53486</t>
  </si>
  <si>
    <t>NAGIRIMADUGU BHANU PRAKASH</t>
  </si>
  <si>
    <t>V53432</t>
  </si>
  <si>
    <t>Sanju Gopal Lamani</t>
  </si>
  <si>
    <t>V51310</t>
  </si>
  <si>
    <t>DIPAK  NAYAK</t>
  </si>
  <si>
    <t>V53007</t>
  </si>
  <si>
    <t>Rajib  Payeng</t>
  </si>
  <si>
    <t>V52152</t>
  </si>
  <si>
    <t>Aashish  Kumar</t>
  </si>
  <si>
    <t>V52300</t>
  </si>
  <si>
    <t>V54067</t>
  </si>
  <si>
    <t>Makhan  Das</t>
  </si>
  <si>
    <t>V53533</t>
  </si>
  <si>
    <t>RAVI PRAKASH KUSHVAHA</t>
  </si>
  <si>
    <t>V53958</t>
  </si>
  <si>
    <t>Sakshi Harichandra Gawde</t>
  </si>
  <si>
    <t>V53074</t>
  </si>
  <si>
    <t>V52766</t>
  </si>
  <si>
    <t>Arvind Kumar Paul</t>
  </si>
  <si>
    <t>V53700</t>
  </si>
  <si>
    <t>Pathan  Fardinkhan</t>
  </si>
  <si>
    <t>V53061</t>
  </si>
  <si>
    <t>Harshit  Kumar</t>
  </si>
  <si>
    <t>V52990</t>
  </si>
  <si>
    <t>Rahul Kumar Murmu</t>
  </si>
  <si>
    <t>V54161</t>
  </si>
  <si>
    <t>Pradip  Purkait</t>
  </si>
  <si>
    <t>V54061</t>
  </si>
  <si>
    <t>V52311</t>
  </si>
  <si>
    <t>Juli  Tappo</t>
  </si>
  <si>
    <t>V53616</t>
  </si>
  <si>
    <t>Mustak Goususab Pirakhanavar</t>
  </si>
  <si>
    <t>V52201</t>
  </si>
  <si>
    <t>Satyabrata  Behera</t>
  </si>
  <si>
    <t>V53290</t>
  </si>
  <si>
    <t>ABHAY  CHAUHAN</t>
  </si>
  <si>
    <t>V51982</t>
  </si>
  <si>
    <t>NEHAL  MANDAL</t>
  </si>
  <si>
    <t>V54246</t>
  </si>
  <si>
    <t>V53434</t>
  </si>
  <si>
    <t>Bhavin  Bhatiya</t>
  </si>
  <si>
    <t>V52036</t>
  </si>
  <si>
    <t>NONGMAITHEM SURCHANDRA SINGH</t>
  </si>
  <si>
    <t>V52182</t>
  </si>
  <si>
    <t>PRAMOD  SA</t>
  </si>
  <si>
    <t>V51491</t>
  </si>
  <si>
    <t>V52394</t>
  </si>
  <si>
    <t>V54456</t>
  </si>
  <si>
    <t>Prajapati Prins Maheshbhai</t>
  </si>
  <si>
    <t>V53781</t>
  </si>
  <si>
    <t>V53057</t>
  </si>
  <si>
    <t>Devnarayan  Bangra</t>
  </si>
  <si>
    <t>V53058</t>
  </si>
  <si>
    <t>Omprakash  Bajiya</t>
  </si>
  <si>
    <t>V53577</t>
  </si>
  <si>
    <t>SURBHI  JAISWAL</t>
  </si>
  <si>
    <t>V53697</t>
  </si>
  <si>
    <t>Indrajit  Rajwar</t>
  </si>
  <si>
    <t>V52356</t>
  </si>
  <si>
    <t>Ankush  Jat</t>
  </si>
  <si>
    <t>V54328</t>
  </si>
  <si>
    <t>V53435</t>
  </si>
  <si>
    <t>V54016</t>
  </si>
  <si>
    <t>Jay Kishan Basfor</t>
  </si>
  <si>
    <t>V54107</t>
  </si>
  <si>
    <t>NIHARIKA</t>
  </si>
  <si>
    <t>V52374</t>
  </si>
  <si>
    <t>Monu</t>
  </si>
  <si>
    <t>V52262</t>
  </si>
  <si>
    <t>Tina  Tatin</t>
  </si>
  <si>
    <t>V54403</t>
  </si>
  <si>
    <t>V52662</t>
  </si>
  <si>
    <t>V53909</t>
  </si>
  <si>
    <t>V53103</t>
  </si>
  <si>
    <t>Dakme  Yapa</t>
  </si>
  <si>
    <t>V53701</t>
  </si>
  <si>
    <t>PUDITAKULA  SREEDHAR</t>
  </si>
  <si>
    <t>V53640</t>
  </si>
  <si>
    <t>Basudev  Mahato</t>
  </si>
  <si>
    <t>V52665</t>
  </si>
  <si>
    <t>Vijay  Sarode</t>
  </si>
  <si>
    <t>V53235</t>
  </si>
  <si>
    <t>Kishore  Behera</t>
  </si>
  <si>
    <t>V52946</t>
  </si>
  <si>
    <t>Parmar Yashkumar Alkeshbhai</t>
  </si>
  <si>
    <t>V54315</t>
  </si>
  <si>
    <t>Kalicharan  Dom</t>
  </si>
  <si>
    <t>V52814</t>
  </si>
  <si>
    <t>ALOK  BHASKAR</t>
  </si>
  <si>
    <t>V53871</t>
  </si>
  <si>
    <t>Harjinder  Singh</t>
  </si>
  <si>
    <t>V53218</t>
  </si>
  <si>
    <t>Abhishek n/a Saroj</t>
  </si>
  <si>
    <t>V52663</t>
  </si>
  <si>
    <t>Gadadhar  Rana</t>
  </si>
  <si>
    <t>V52320</t>
  </si>
  <si>
    <t>Gajendra</t>
  </si>
  <si>
    <t>V52346</t>
  </si>
  <si>
    <t>HEMSAGAR  BUDULA</t>
  </si>
  <si>
    <t>V52451</t>
  </si>
  <si>
    <t>Prajapati Birjeshkumar Naginbhai</t>
  </si>
  <si>
    <t>V54397</t>
  </si>
  <si>
    <t>Ajeet Kumar Yadav</t>
  </si>
  <si>
    <t>V52817</t>
  </si>
  <si>
    <t>Md  Sohrab</t>
  </si>
  <si>
    <t>V53602</t>
  </si>
  <si>
    <t>ASHINI  CHETIA</t>
  </si>
  <si>
    <t>V52497</t>
  </si>
  <si>
    <t>Hemraj  Verma</t>
  </si>
  <si>
    <t>V52406</t>
  </si>
  <si>
    <t>Anoop Kumar Bajpai</t>
  </si>
  <si>
    <t>V52604</t>
  </si>
  <si>
    <t>ANUSHREE  DEY</t>
  </si>
  <si>
    <t>V54249</t>
  </si>
  <si>
    <t>Partha  Gope</t>
  </si>
  <si>
    <t>V52924</t>
  </si>
  <si>
    <t>Gunji  Kalyan</t>
  </si>
  <si>
    <t>V52538</t>
  </si>
  <si>
    <t>Punit Gangadhar Dodamani</t>
  </si>
  <si>
    <t>V53972</t>
  </si>
  <si>
    <t>Navdeep  Singh</t>
  </si>
  <si>
    <t>V53869</t>
  </si>
  <si>
    <t>Gajji  Raju</t>
  </si>
  <si>
    <t>V53294</t>
  </si>
  <si>
    <t>AYUSH  TIWARI</t>
  </si>
  <si>
    <t>V54117</t>
  </si>
  <si>
    <t>Ambuj  Yadav</t>
  </si>
  <si>
    <t>V53405</t>
  </si>
  <si>
    <t>RAJIV RAJ GAUR</t>
  </si>
  <si>
    <t>V52988</t>
  </si>
  <si>
    <t>Sagar  Mahato</t>
  </si>
  <si>
    <t>V53406</t>
  </si>
  <si>
    <t>Abhinandan  Shukla</t>
  </si>
  <si>
    <t>V53121</t>
  </si>
  <si>
    <t>Banda  Ramanamma</t>
  </si>
  <si>
    <t>V52438</t>
  </si>
  <si>
    <t>Riksan  Sangma</t>
  </si>
  <si>
    <t>V54267</t>
  </si>
  <si>
    <t>Reva  Devi</t>
  </si>
  <si>
    <t>V53280</t>
  </si>
  <si>
    <t>V53217</t>
  </si>
  <si>
    <t>Amandeep Singh Gill</t>
  </si>
  <si>
    <t>V52682</t>
  </si>
  <si>
    <t>V52585</t>
  </si>
  <si>
    <t>V53778</t>
  </si>
  <si>
    <t>Lalijyoti  Nag</t>
  </si>
  <si>
    <t>V51446</t>
  </si>
  <si>
    <t>GHANASHYAM  PANDE</t>
  </si>
  <si>
    <t>V52673</t>
  </si>
  <si>
    <t>Kanha  Naik</t>
  </si>
  <si>
    <t>V52674</t>
  </si>
  <si>
    <t>Iskan  Behera</t>
  </si>
  <si>
    <t>V54180</t>
  </si>
  <si>
    <t>Khushal  Manchanda</t>
  </si>
  <si>
    <t>V52741</t>
  </si>
  <si>
    <t>Sumit Kumar Panjiyar</t>
  </si>
  <si>
    <t>V53309</t>
  </si>
  <si>
    <t>V52586</t>
  </si>
  <si>
    <t>Tara  Chetry</t>
  </si>
  <si>
    <t>V52276</t>
  </si>
  <si>
    <t>Debabrata  Podder</t>
  </si>
  <si>
    <t>V54555</t>
  </si>
  <si>
    <t>V53880</t>
  </si>
  <si>
    <t>Solanki Anita PrakashBhai</t>
  </si>
  <si>
    <t>V53967</t>
  </si>
  <si>
    <t>Lakhinandan  Konwar</t>
  </si>
  <si>
    <t>V53916</t>
  </si>
  <si>
    <t>Nanjunda</t>
  </si>
  <si>
    <t>V54404</t>
  </si>
  <si>
    <t>Hemchand  Yadav</t>
  </si>
  <si>
    <t>V53709</t>
  </si>
  <si>
    <t>Suman  Rajak</t>
  </si>
  <si>
    <t>V53725</t>
  </si>
  <si>
    <t>V54112</t>
  </si>
  <si>
    <t>Nanki  Paswan</t>
  </si>
  <si>
    <t>V52501</t>
  </si>
  <si>
    <t>Chandeshwar  Kumar</t>
  </si>
  <si>
    <t>V53319</t>
  </si>
  <si>
    <t>saurabh  yadav</t>
  </si>
  <si>
    <t>V51896</t>
  </si>
  <si>
    <t>V54230</t>
  </si>
  <si>
    <t>Pawan  Sharma</t>
  </si>
  <si>
    <t>V52749</t>
  </si>
  <si>
    <t>Amit Kumar Pandey</t>
  </si>
  <si>
    <t>V53412</t>
  </si>
  <si>
    <t>SUDHIR KUMAR SINGH</t>
  </si>
  <si>
    <t>V52763</t>
  </si>
  <si>
    <t>Govind Kumar Dubey</t>
  </si>
  <si>
    <t>V53461</t>
  </si>
  <si>
    <t>JAYDEEP  BHAR</t>
  </si>
  <si>
    <t>V54062</t>
  </si>
  <si>
    <t>V54604</t>
  </si>
  <si>
    <t>Dibya  Sabar</t>
  </si>
  <si>
    <t>V53478</t>
  </si>
  <si>
    <t>V52696</t>
  </si>
  <si>
    <t>Nippu  Kumar</t>
  </si>
  <si>
    <t>V53014</t>
  </si>
  <si>
    <t>Sameer R Shaikh</t>
  </si>
  <si>
    <t>V53317</t>
  </si>
  <si>
    <t>parmar  pujaben</t>
  </si>
  <si>
    <t>V54533</t>
  </si>
  <si>
    <t>Yekula  Indira</t>
  </si>
  <si>
    <t>V53312</t>
  </si>
  <si>
    <t>kureel  rima</t>
  </si>
  <si>
    <t>V53775</t>
  </si>
  <si>
    <t>Bariya  Nilesh Kumar</t>
  </si>
  <si>
    <t>V53784</t>
  </si>
  <si>
    <t>Solanki Kajalben Hirenkumar</t>
  </si>
  <si>
    <t>V53315</t>
  </si>
  <si>
    <t>Paridhi  Verma</t>
  </si>
  <si>
    <t>V53546</t>
  </si>
  <si>
    <t>ADARSH RAMCHANDRA DUBEY</t>
  </si>
  <si>
    <t>V53094</t>
  </si>
  <si>
    <t>Oge  Talom</t>
  </si>
  <si>
    <t>V54298</t>
  </si>
  <si>
    <t>V53772</t>
  </si>
  <si>
    <t>priti ben indrabaden solanki</t>
  </si>
  <si>
    <t>V52989</t>
  </si>
  <si>
    <t>Anila  Kumari</t>
  </si>
  <si>
    <t>V54468</t>
  </si>
  <si>
    <t>Shantanu</t>
  </si>
  <si>
    <t>V52272</t>
  </si>
  <si>
    <t>Anuj  Mali</t>
  </si>
  <si>
    <t>V52235</t>
  </si>
  <si>
    <t>Gurleen  Kaur</t>
  </si>
  <si>
    <t>V52368</t>
  </si>
  <si>
    <t>Shivani  Yadav</t>
  </si>
  <si>
    <t>V52618</t>
  </si>
  <si>
    <t>Ankit  Prajapati</t>
  </si>
  <si>
    <t>V54600</t>
  </si>
  <si>
    <t>V53005</t>
  </si>
  <si>
    <t>ANUJ  KURMI</t>
  </si>
  <si>
    <t>V52672</t>
  </si>
  <si>
    <t>V52283</t>
  </si>
  <si>
    <t>Urmila  Ray</t>
  </si>
  <si>
    <t>V54529</t>
  </si>
  <si>
    <t>Dileshwar</t>
  </si>
  <si>
    <t>V52209</t>
  </si>
  <si>
    <t>Priya  Mangal</t>
  </si>
  <si>
    <t>V53901</t>
  </si>
  <si>
    <t>Shaurya  Kumar</t>
  </si>
  <si>
    <t>V53832</t>
  </si>
  <si>
    <t>PRAKASH  KUMAR</t>
  </si>
  <si>
    <t>V53557</t>
  </si>
  <si>
    <t>Kajal  Halder</t>
  </si>
  <si>
    <t>V53311</t>
  </si>
  <si>
    <t>V53162</t>
  </si>
  <si>
    <t>V53564</t>
  </si>
  <si>
    <t>MUNNA  RISHI</t>
  </si>
  <si>
    <t>V54364</t>
  </si>
  <si>
    <t>Sangam  Kumar</t>
  </si>
  <si>
    <t>V54365</t>
  </si>
  <si>
    <t>V52443</t>
  </si>
  <si>
    <t>Vishakha  Kushwaha</t>
  </si>
  <si>
    <t>V53618</t>
  </si>
  <si>
    <t>Jagmohan KUMAR Kumar</t>
  </si>
  <si>
    <t>V53660</t>
  </si>
  <si>
    <t>Ramesh  Karmakar</t>
  </si>
  <si>
    <t>V53890</t>
  </si>
  <si>
    <t>Tapas  Chakraborty</t>
  </si>
  <si>
    <t>V54076</t>
  </si>
  <si>
    <t>V53566</t>
  </si>
  <si>
    <t>Smriti  Rajak</t>
  </si>
  <si>
    <t>V52637</t>
  </si>
  <si>
    <t>Avijit  Mazumder</t>
  </si>
  <si>
    <t>V53946</t>
  </si>
  <si>
    <t>Litan  Das</t>
  </si>
  <si>
    <t>V54009</t>
  </si>
  <si>
    <t>Rakom  Rongphar</t>
  </si>
  <si>
    <t>V53578</t>
  </si>
  <si>
    <t>Abdul Rahim C</t>
  </si>
  <si>
    <t>V52684</t>
  </si>
  <si>
    <t>V54520</t>
  </si>
  <si>
    <t>Pankaj  Pradhan</t>
  </si>
  <si>
    <t>V54359</t>
  </si>
  <si>
    <t>Lalit Lahu Chaudhari</t>
  </si>
  <si>
    <t>V53305</t>
  </si>
  <si>
    <t>HEMANT  SHARAMA</t>
  </si>
  <si>
    <t>V53140</t>
  </si>
  <si>
    <t>Angshuman  Nath</t>
  </si>
  <si>
    <t>V52858</t>
  </si>
  <si>
    <t>Jas  Pal</t>
  </si>
  <si>
    <t>V52519</t>
  </si>
  <si>
    <t>Sonu Singh Kushwah</t>
  </si>
  <si>
    <t>V54031</t>
  </si>
  <si>
    <t>Satyam  Yadav</t>
  </si>
  <si>
    <t>V52675</t>
  </si>
  <si>
    <t>Arpita  Pradhan</t>
  </si>
  <si>
    <t>V54394</t>
  </si>
  <si>
    <t>Abhishek Pratap Singh</t>
  </si>
  <si>
    <t>V54686</t>
  </si>
  <si>
    <t>Priyanshu  Sharma</t>
  </si>
  <si>
    <t>V53735</t>
  </si>
  <si>
    <t>V52910</t>
  </si>
  <si>
    <t>Mustafa  Ahmed</t>
  </si>
  <si>
    <t>V53150</t>
  </si>
  <si>
    <t>V53372</t>
  </si>
  <si>
    <t>Meraj  Alam</t>
  </si>
  <si>
    <t>V02023</t>
  </si>
  <si>
    <t>MR. GOPAL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</si>
</sst>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* #,##0.0_);_(* \(#,##0.0\);_(* &quot;-&quot;??_);_(@_)"/>
    <numFmt numFmtId="167" formatCode="0.0"/>
    <numFmt numFmtId="168" formatCode="_(* ###0_);_(* \(###0\);_(* &quot;-&quot;_);_(@_)"/>
    <numFmt numFmtId="169" formatCode="_(* #,##0_);_(* \(#,##0\);_(* &quot;-&quot;??_);_(@_)"/>
    <numFmt numFmtId="170" formatCode="[$-409]d\-mmm\-yy;@"/>
    <numFmt numFmtId="171" formatCode="[$-409]d\-mmm;@"/>
    <numFmt numFmtId="172" formatCode="0;[Red]0"/>
    <numFmt numFmtId="173" formatCode="[$-409]dd/mmm/yy;@"/>
    <numFmt numFmtId="174" formatCode="_ * ###0_ ;_ * \-###0_ ;_ * &quot;-&quot;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left"/>
    </xf>
    <xf numFmtId="164" fontId="3" fillId="0" borderId="1" xfId="0" applyNumberFormat="1" applyFont="1" applyBorder="1" applyAlignment="1" applyProtection="1">
      <alignment horizontal="left"/>
      <protection hidden="1"/>
    </xf>
    <xf numFmtId="165" fontId="3" fillId="0" borderId="1" xfId="2" applyFont="1" applyBorder="1"/>
    <xf numFmtId="43" fontId="3" fillId="2" borderId="1" xfId="0" applyNumberFormat="1" applyFont="1" applyFill="1" applyBorder="1"/>
    <xf numFmtId="165" fontId="3" fillId="0" borderId="1" xfId="2" applyFont="1" applyFill="1" applyBorder="1" applyAlignment="1" applyProtection="1">
      <alignment horizontal="center" vertical="center"/>
      <protection hidden="1"/>
    </xf>
    <xf numFmtId="166" fontId="3" fillId="0" borderId="1" xfId="2" applyNumberFormat="1" applyFont="1" applyFill="1" applyBorder="1" applyAlignment="1" applyProtection="1">
      <alignment horizontal="center" vertical="center"/>
      <protection hidden="1"/>
    </xf>
    <xf numFmtId="166" fontId="3" fillId="0" borderId="1" xfId="2" applyNumberFormat="1" applyFont="1" applyFill="1" applyBorder="1" applyAlignment="1" applyProtection="1">
      <alignment horizontal="center"/>
      <protection hidden="1"/>
    </xf>
    <xf numFmtId="166" fontId="3" fillId="2" borderId="1" xfId="2" applyNumberFormat="1" applyFont="1" applyFill="1" applyBorder="1" applyAlignment="1" applyProtection="1">
      <alignment horizontal="center" vertical="center" wrapText="1"/>
      <protection hidden="1"/>
    </xf>
    <xf numFmtId="1" fontId="3" fillId="2" borderId="1" xfId="0" applyNumberFormat="1" applyFont="1" applyFill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 applyProtection="1">
      <alignment horizontal="center" vertical="center"/>
      <protection hidden="1"/>
    </xf>
    <xf numFmtId="165" fontId="3" fillId="0" borderId="1" xfId="2" applyFont="1" applyBorder="1" applyAlignment="1" applyProtection="1">
      <alignment horizontal="center" vertical="center"/>
      <protection hidden="1"/>
    </xf>
    <xf numFmtId="167" fontId="3" fillId="0" borderId="1" xfId="0" applyNumberFormat="1" applyFont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14" fontId="3" fillId="2" borderId="1" xfId="0" applyNumberFormat="1" applyFont="1" applyFill="1" applyBorder="1"/>
    <xf numFmtId="168" fontId="3" fillId="0" borderId="1" xfId="2" applyNumberFormat="1" applyFont="1" applyFill="1" applyBorder="1" applyAlignment="1" applyProtection="1">
      <alignment horizontal="center" vertical="center"/>
      <protection hidden="1"/>
    </xf>
    <xf numFmtId="168" fontId="3" fillId="2" borderId="1" xfId="2" applyNumberFormat="1" applyFont="1" applyFill="1" applyBorder="1" applyAlignment="1" applyProtection="1">
      <alignment horizontal="center" vertical="center"/>
      <protection hidden="1"/>
    </xf>
    <xf numFmtId="169" fontId="3" fillId="0" borderId="1" xfId="2" applyNumberFormat="1" applyFont="1" applyFill="1" applyBorder="1" applyAlignment="1" applyProtection="1">
      <alignment horizontal="center" vertical="center"/>
      <protection hidden="1"/>
    </xf>
    <xf numFmtId="164" fontId="3" fillId="2" borderId="1" xfId="0" applyNumberFormat="1" applyFont="1" applyFill="1" applyBorder="1" applyAlignment="1" applyProtection="1">
      <alignment horizontal="center"/>
      <protection hidden="1"/>
    </xf>
    <xf numFmtId="164" fontId="3" fillId="0" borderId="1" xfId="0" applyNumberFormat="1" applyFont="1" applyBorder="1" applyAlignment="1" applyProtection="1">
      <alignment horizontal="center"/>
      <protection hidden="1"/>
    </xf>
    <xf numFmtId="9" fontId="3" fillId="0" borderId="1" xfId="1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/>
    <xf numFmtId="0" fontId="3" fillId="0" borderId="1" xfId="0" applyFont="1" applyBorder="1"/>
    <xf numFmtId="1" fontId="3" fillId="0" borderId="1" xfId="0" applyNumberFormat="1" applyFont="1" applyBorder="1"/>
    <xf numFmtId="14" fontId="3" fillId="0" borderId="1" xfId="0" applyNumberFormat="1" applyFont="1" applyBorder="1" applyAlignment="1" applyProtection="1">
      <alignment horizontal="left"/>
      <protection hidden="1"/>
    </xf>
    <xf numFmtId="170" fontId="3" fillId="0" borderId="1" xfId="0" applyNumberFormat="1" applyFont="1" applyBorder="1" applyAlignment="1" applyProtection="1">
      <alignment horizontal="left"/>
      <protection hidden="1"/>
    </xf>
    <xf numFmtId="171" fontId="3" fillId="0" borderId="1" xfId="0" applyNumberFormat="1" applyFont="1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center"/>
      <protection hidden="1"/>
    </xf>
    <xf numFmtId="166" fontId="3" fillId="2" borderId="1" xfId="2" applyNumberFormat="1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167" fontId="3" fillId="3" borderId="1" xfId="0" applyNumberFormat="1" applyFont="1" applyFill="1" applyBorder="1" applyAlignment="1" applyProtection="1">
      <alignment horizontal="center"/>
      <protection hidden="1"/>
    </xf>
    <xf numFmtId="3" fontId="3" fillId="2" borderId="1" xfId="0" applyNumberFormat="1" applyFont="1" applyFill="1" applyBorder="1" applyAlignment="1" applyProtection="1">
      <alignment horizontal="center"/>
      <protection hidden="1"/>
    </xf>
    <xf numFmtId="3" fontId="3" fillId="3" borderId="1" xfId="0" applyNumberFormat="1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right"/>
      <protection hidden="1"/>
    </xf>
    <xf numFmtId="167" fontId="3" fillId="2" borderId="1" xfId="0" applyNumberFormat="1" applyFont="1" applyFill="1" applyBorder="1" applyProtection="1">
      <protection hidden="1"/>
    </xf>
    <xf numFmtId="167" fontId="3" fillId="3" borderId="1" xfId="0" applyNumberFormat="1" applyFont="1" applyFill="1" applyBorder="1" applyProtection="1">
      <protection hidden="1"/>
    </xf>
    <xf numFmtId="167" fontId="3" fillId="2" borderId="1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left"/>
      <protection hidden="1"/>
    </xf>
    <xf numFmtId="0" fontId="3" fillId="3" borderId="1" xfId="0" applyFont="1" applyFill="1" applyBorder="1" applyAlignment="1" applyProtection="1">
      <alignment horizontal="left"/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14" fontId="3" fillId="3" borderId="1" xfId="0" applyNumberFormat="1" applyFont="1" applyFill="1" applyBorder="1" applyAlignment="1" applyProtection="1">
      <alignment horizontal="center"/>
      <protection hidden="1"/>
    </xf>
    <xf numFmtId="15" fontId="3" fillId="3" borderId="1" xfId="0" applyNumberFormat="1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left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172" fontId="3" fillId="3" borderId="1" xfId="0" applyNumberFormat="1" applyFont="1" applyFill="1" applyBorder="1" applyAlignment="1" applyProtection="1">
      <alignment vertical="center"/>
      <protection hidden="1"/>
    </xf>
    <xf numFmtId="165" fontId="3" fillId="3" borderId="1" xfId="2" applyFont="1" applyFill="1" applyBorder="1" applyAlignment="1" applyProtection="1">
      <alignment horizontal="left"/>
      <protection hidden="1"/>
    </xf>
    <xf numFmtId="165" fontId="3" fillId="2" borderId="1" xfId="2" applyFont="1" applyFill="1" applyBorder="1" applyAlignment="1" applyProtection="1">
      <alignment horizontal="left"/>
      <protection hidden="1"/>
    </xf>
    <xf numFmtId="168" fontId="3" fillId="3" borderId="1" xfId="0" applyNumberFormat="1" applyFont="1" applyFill="1" applyBorder="1" applyAlignment="1" applyProtection="1">
      <alignment horizontal="right"/>
      <protection hidden="1"/>
    </xf>
    <xf numFmtId="166" fontId="3" fillId="2" borderId="1" xfId="0" applyNumberFormat="1" applyFont="1" applyFill="1" applyBorder="1" applyAlignment="1" applyProtection="1">
      <alignment horizontal="right"/>
      <protection hidden="1"/>
    </xf>
    <xf numFmtId="166" fontId="3" fillId="3" borderId="1" xfId="0" applyNumberFormat="1" applyFont="1" applyFill="1" applyBorder="1" applyAlignment="1" applyProtection="1">
      <alignment horizontal="right"/>
      <protection hidden="1"/>
    </xf>
    <xf numFmtId="14" fontId="3" fillId="4" borderId="1" xfId="0" applyNumberFormat="1" applyFont="1" applyFill="1" applyBorder="1" applyAlignment="1" applyProtection="1">
      <alignment horizontal="center"/>
      <protection hidden="1"/>
    </xf>
    <xf numFmtId="165" fontId="3" fillId="3" borderId="1" xfId="2" applyFont="1" applyFill="1" applyBorder="1" applyAlignment="1" applyProtection="1">
      <alignment horizontal="right"/>
      <protection hidden="1"/>
    </xf>
    <xf numFmtId="165" fontId="3" fillId="2" borderId="1" xfId="2" applyFont="1" applyFill="1" applyBorder="1" applyAlignment="1" applyProtection="1">
      <alignment horizontal="right"/>
      <protection hidden="1"/>
    </xf>
    <xf numFmtId="2" fontId="4" fillId="2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hidden="1"/>
    </xf>
    <xf numFmtId="0" fontId="4" fillId="5" borderId="2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 wrapText="1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4" fillId="5" borderId="4" xfId="0" applyFont="1" applyFill="1" applyBorder="1" applyAlignment="1" applyProtection="1">
      <alignment horizontal="center" vertical="center" wrapText="1"/>
      <protection hidden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5" borderId="3" xfId="0" applyFont="1" applyFill="1" applyBorder="1" applyAlignment="1" applyProtection="1">
      <alignment horizontal="center" vertical="center" wrapText="1"/>
      <protection hidden="1"/>
    </xf>
    <xf numFmtId="0" fontId="3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14" fontId="4" fillId="4" borderId="3" xfId="0" applyNumberFormat="1" applyFont="1" applyFill="1" applyBorder="1" applyAlignment="1" applyProtection="1">
      <alignment horizontal="center" vertical="center" wrapText="1"/>
      <protection hidden="1"/>
    </xf>
    <xf numFmtId="171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14" fontId="4" fillId="5" borderId="3" xfId="0" applyNumberFormat="1" applyFont="1" applyFill="1" applyBorder="1" applyAlignment="1" applyProtection="1">
      <alignment horizontal="center" vertical="center" wrapText="1"/>
      <protection hidden="1"/>
    </xf>
    <xf numFmtId="0" fontId="4" fillId="5" borderId="3" xfId="0" applyFont="1" applyFill="1" applyBorder="1" applyAlignment="1" applyProtection="1">
      <alignment horizontal="center" vertical="center"/>
      <protection hidden="1"/>
    </xf>
    <xf numFmtId="0" fontId="3" fillId="6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8" xfId="0" applyFont="1" applyFill="1" applyBorder="1" applyAlignment="1" applyProtection="1">
      <alignment horizontal="center" vertical="center" wrapText="1"/>
      <protection hidden="1"/>
    </xf>
    <xf numFmtId="0" fontId="4" fillId="2" borderId="9" xfId="0" applyFont="1" applyFill="1" applyBorder="1" applyAlignment="1" applyProtection="1">
      <alignment horizontal="center" vertical="center" wrapText="1"/>
      <protection hidden="1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67" fontId="3" fillId="5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14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71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14" fontId="4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1" xfId="0" applyFont="1" applyBorder="1"/>
    <xf numFmtId="0" fontId="4" fillId="5" borderId="8" xfId="0" applyFont="1" applyFill="1" applyBorder="1" applyProtection="1">
      <protection hidden="1"/>
    </xf>
    <xf numFmtId="0" fontId="4" fillId="2" borderId="8" xfId="0" applyFont="1" applyFill="1" applyBorder="1" applyProtection="1">
      <protection hidden="1"/>
    </xf>
    <xf numFmtId="0" fontId="4" fillId="2" borderId="8" xfId="0" applyFont="1" applyFill="1" applyBorder="1" applyAlignment="1" applyProtection="1">
      <alignment horizontal="center"/>
      <protection hidden="1"/>
    </xf>
    <xf numFmtId="0" fontId="4" fillId="5" borderId="8" xfId="0" applyFont="1" applyFill="1" applyBorder="1" applyAlignment="1" applyProtection="1">
      <alignment horizontal="center"/>
      <protection hidden="1"/>
    </xf>
    <xf numFmtId="0" fontId="4" fillId="5" borderId="9" xfId="0" applyFont="1" applyFill="1" applyBorder="1" applyAlignment="1" applyProtection="1">
      <alignment horizontal="center"/>
      <protection hidden="1"/>
    </xf>
    <xf numFmtId="0" fontId="3" fillId="2" borderId="0" xfId="0" applyFont="1" applyFill="1"/>
    <xf numFmtId="0" fontId="4" fillId="5" borderId="0" xfId="0" applyFont="1" applyFill="1" applyAlignment="1" applyProtection="1">
      <alignment horizontal="center"/>
      <protection hidden="1"/>
    </xf>
    <xf numFmtId="0" fontId="4" fillId="5" borderId="5" xfId="0" applyFont="1" applyFill="1" applyBorder="1" applyAlignment="1" applyProtection="1">
      <alignment horizontal="center"/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0" fontId="4" fillId="5" borderId="7" xfId="0" applyFont="1" applyFill="1" applyBorder="1" applyAlignment="1" applyProtection="1">
      <alignment horizontal="center"/>
      <protection hidden="1"/>
    </xf>
    <xf numFmtId="0" fontId="4" fillId="7" borderId="7" xfId="0" applyFont="1" applyFill="1" applyBorder="1" applyAlignment="1" applyProtection="1">
      <alignment horizontal="center"/>
      <protection hidden="1"/>
    </xf>
    <xf numFmtId="0" fontId="4" fillId="7" borderId="8" xfId="0" applyFont="1" applyFill="1" applyBorder="1" applyAlignment="1" applyProtection="1">
      <alignment horizontal="center"/>
      <protection hidden="1"/>
    </xf>
    <xf numFmtId="0" fontId="4" fillId="7" borderId="9" xfId="0" applyFont="1" applyFill="1" applyBorder="1" applyAlignment="1" applyProtection="1">
      <alignment horizontal="center"/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0" fontId="4" fillId="2" borderId="8" xfId="0" applyFont="1" applyFill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20" fontId="7" fillId="0" borderId="10" xfId="0" applyNumberFormat="1" applyFont="1" applyBorder="1" applyAlignment="1" applyProtection="1">
      <alignment horizontal="center"/>
      <protection hidden="1"/>
    </xf>
    <xf numFmtId="0" fontId="8" fillId="0" borderId="0" xfId="0" applyFont="1"/>
    <xf numFmtId="0" fontId="8" fillId="2" borderId="0" xfId="0" applyFont="1" applyFill="1"/>
    <xf numFmtId="0" fontId="6" fillId="0" borderId="0" xfId="0" applyFont="1"/>
    <xf numFmtId="0" fontId="3" fillId="2" borderId="0" xfId="0" applyFont="1" applyFill="1" applyAlignment="1">
      <alignment horizontal="right"/>
    </xf>
    <xf numFmtId="9" fontId="3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11" xfId="0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wrapText="1"/>
    </xf>
    <xf numFmtId="9" fontId="12" fillId="5" borderId="1" xfId="1" applyFont="1" applyFill="1" applyBorder="1" applyAlignment="1">
      <alignment wrapText="1"/>
    </xf>
    <xf numFmtId="0" fontId="12" fillId="11" borderId="1" xfId="0" applyFont="1" applyFill="1" applyBorder="1" applyAlignment="1">
      <alignment wrapText="1"/>
    </xf>
    <xf numFmtId="0" fontId="12" fillId="0" borderId="3" xfId="0" applyFont="1" applyBorder="1"/>
    <xf numFmtId="9" fontId="12" fillId="0" borderId="3" xfId="1" applyFont="1" applyBorder="1" applyAlignment="1"/>
    <xf numFmtId="0" fontId="5" fillId="0" borderId="1" xfId="0" applyFont="1" applyBorder="1"/>
    <xf numFmtId="0" fontId="12" fillId="0" borderId="9" xfId="0" applyFont="1" applyBorder="1"/>
    <xf numFmtId="0" fontId="12" fillId="0" borderId="1" xfId="0" applyFont="1" applyBorder="1"/>
    <xf numFmtId="9" fontId="3" fillId="0" borderId="7" xfId="1" applyFont="1" applyFill="1" applyBorder="1" applyAlignment="1"/>
    <xf numFmtId="173" fontId="3" fillId="0" borderId="1" xfId="0" applyNumberFormat="1" applyFont="1" applyBorder="1"/>
    <xf numFmtId="174" fontId="3" fillId="0" borderId="1" xfId="0" applyNumberFormat="1" applyFont="1" applyBorder="1" applyAlignment="1">
      <alignment horizontal="center"/>
    </xf>
    <xf numFmtId="0" fontId="3" fillId="0" borderId="9" xfId="0" applyFont="1" applyBorder="1"/>
    <xf numFmtId="0" fontId="5" fillId="2" borderId="1" xfId="0" applyFont="1" applyFill="1" applyBorder="1"/>
    <xf numFmtId="0" fontId="0" fillId="0" borderId="9" xfId="0" applyBorder="1"/>
    <xf numFmtId="0" fontId="0" fillId="0" borderId="1" xfId="0" applyBorder="1"/>
    <xf numFmtId="0" fontId="12" fillId="0" borderId="0" xfId="0" applyFont="1"/>
    <xf numFmtId="15" fontId="3" fillId="0" borderId="1" xfId="0" applyNumberFormat="1" applyFont="1" applyBorder="1" applyAlignment="1">
      <alignment horizontal="center"/>
    </xf>
  </cellXfs>
  <cellStyles count="3">
    <cellStyle name="Comma 2" xfId="2" xr:uid="{FC09F239-F5E1-4618-A277-0BEC1D9A2BEF}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123825</xdr:colOff>
      <xdr:row>0</xdr:row>
      <xdr:rowOff>47625</xdr:rowOff>
    </xdr:from>
    <xdr:to>
      <xdr:col>132</xdr:col>
      <xdr:colOff>552450</xdr:colOff>
      <xdr:row>0</xdr:row>
      <xdr:rowOff>171450</xdr:rowOff>
    </xdr:to>
    <xdr:sp macro="[0]!GetAttendanceData" textlink="">
      <xdr:nvSpPr>
        <xdr:cNvPr id="2" name="Rounded Rectangle 2">
          <a:extLst>
            <a:ext uri="{FF2B5EF4-FFF2-40B4-BE49-F238E27FC236}">
              <a16:creationId xmlns:a16="http://schemas.microsoft.com/office/drawing/2014/main" id="{BC00E23A-9064-4D9C-8369-342770D5D602}"/>
            </a:ext>
          </a:extLst>
        </xdr:cNvPr>
        <xdr:cNvSpPr/>
      </xdr:nvSpPr>
      <xdr:spPr>
        <a:xfrm>
          <a:off x="83029425" y="47625"/>
          <a:ext cx="428625" cy="1238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n-US" sz="1100" b="1"/>
            <a:t>RUN</a:t>
          </a:r>
        </a:p>
      </xdr:txBody>
    </xdr:sp>
    <xdr:clientData/>
  </xdr:twoCellAnchor>
  <xdr:twoCellAnchor>
    <xdr:from>
      <xdr:col>14</xdr:col>
      <xdr:colOff>123825</xdr:colOff>
      <xdr:row>0</xdr:row>
      <xdr:rowOff>19050</xdr:rowOff>
    </xdr:from>
    <xdr:to>
      <xdr:col>14</xdr:col>
      <xdr:colOff>857250</xdr:colOff>
      <xdr:row>1</xdr:row>
      <xdr:rowOff>66675</xdr:rowOff>
    </xdr:to>
    <xdr:sp macro="[0]!RAW_FIL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CDA714E-6498-4769-B157-FEF56AABDCA2}"/>
            </a:ext>
          </a:extLst>
        </xdr:cNvPr>
        <xdr:cNvSpPr/>
      </xdr:nvSpPr>
      <xdr:spPr>
        <a:xfrm>
          <a:off x="9877425" y="19050"/>
          <a:ext cx="485775" cy="238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RW_FILE</a:t>
          </a:r>
        </a:p>
      </xdr:txBody>
    </xdr:sp>
    <xdr:clientData/>
  </xdr:twoCellAnchor>
  <xdr:twoCellAnchor>
    <xdr:from>
      <xdr:col>14</xdr:col>
      <xdr:colOff>904875</xdr:colOff>
      <xdr:row>0</xdr:row>
      <xdr:rowOff>19050</xdr:rowOff>
    </xdr:from>
    <xdr:to>
      <xdr:col>15</xdr:col>
      <xdr:colOff>276225</xdr:colOff>
      <xdr:row>1</xdr:row>
      <xdr:rowOff>66675</xdr:rowOff>
    </xdr:to>
    <xdr:sp macro="[0]!DATA_PASTE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E1A08396-DFC1-4606-92A4-048F9635B44E}"/>
            </a:ext>
          </a:extLst>
        </xdr:cNvPr>
        <xdr:cNvSpPr/>
      </xdr:nvSpPr>
      <xdr:spPr>
        <a:xfrm>
          <a:off x="10363200" y="19050"/>
          <a:ext cx="276225" cy="2381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MACRO</a:t>
          </a:r>
        </a:p>
      </xdr:txBody>
    </xdr:sp>
    <xdr:clientData/>
  </xdr:twoCellAnchor>
  <xdr:twoCellAnchor>
    <xdr:from>
      <xdr:col>32</xdr:col>
      <xdr:colOff>114300</xdr:colOff>
      <xdr:row>0</xdr:row>
      <xdr:rowOff>9525</xdr:rowOff>
    </xdr:from>
    <xdr:to>
      <xdr:col>35</xdr:col>
      <xdr:colOff>219075</xdr:colOff>
      <xdr:row>1</xdr:row>
      <xdr:rowOff>57150</xdr:rowOff>
    </xdr:to>
    <xdr:sp macro="[0]!DATA_SPLIT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B42D16A-D529-4C90-B518-43AAC784AB69}"/>
            </a:ext>
          </a:extLst>
        </xdr:cNvPr>
        <xdr:cNvSpPr/>
      </xdr:nvSpPr>
      <xdr:spPr>
        <a:xfrm>
          <a:off x="22059900" y="9525"/>
          <a:ext cx="1933575" cy="23812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700"/>
            <a:t>SPLIT_DATA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4-DEPARTMENT/05-HR/20-MIS/02-SALARY-MONTH-WISE/JUN-2026/SALARY-CONSOLIDATE-REPORT-2026-JUNE%20-%20Cop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ALARY WORKING"/>
      <sheetName val="MACRO"/>
      <sheetName val="Sheet3"/>
      <sheetName val="Sheet1"/>
    </sheetNames>
    <sheetDataSet>
      <sheetData sheetId="0">
        <row r="1">
          <cell r="A1" t="str">
            <v>LP STATUS</v>
          </cell>
        </row>
        <row r="2">
          <cell r="A2" t="str">
            <v>EMP CODE</v>
          </cell>
          <cell r="D2" t="str">
            <v>REASON</v>
          </cell>
        </row>
        <row r="6">
          <cell r="A6" t="str">
            <v>V25639</v>
          </cell>
          <cell r="D6" t="str">
            <v>RESIGN</v>
          </cell>
        </row>
        <row r="7">
          <cell r="A7" t="str">
            <v>V28872</v>
          </cell>
          <cell r="D7" t="str">
            <v>RESIGN</v>
          </cell>
        </row>
        <row r="8">
          <cell r="A8" t="str">
            <v>V26513</v>
          </cell>
          <cell r="D8" t="str">
            <v>RESIGN</v>
          </cell>
        </row>
        <row r="9">
          <cell r="A9" t="str">
            <v>V36074</v>
          </cell>
          <cell r="D9" t="str">
            <v>RESIGN</v>
          </cell>
        </row>
        <row r="10">
          <cell r="A10" t="str">
            <v>V36078</v>
          </cell>
          <cell r="D10" t="str">
            <v>RESIGN</v>
          </cell>
        </row>
        <row r="11">
          <cell r="A11" t="str">
            <v>V36885</v>
          </cell>
          <cell r="D11" t="str">
            <v>RESIGNATION</v>
          </cell>
        </row>
        <row r="12">
          <cell r="A12" t="str">
            <v>V35072</v>
          </cell>
          <cell r="D12" t="str">
            <v>ABSCONDING</v>
          </cell>
        </row>
        <row r="13">
          <cell r="A13" t="str">
            <v>V36122</v>
          </cell>
          <cell r="D13" t="str">
            <v>ABSCONDING</v>
          </cell>
        </row>
        <row r="14">
          <cell r="A14" t="str">
            <v>V32880</v>
          </cell>
          <cell r="D14" t="str">
            <v>ABSCONDING</v>
          </cell>
        </row>
        <row r="15">
          <cell r="A15" t="str">
            <v>V33665</v>
          </cell>
          <cell r="D15" t="str">
            <v>ABSCONDING</v>
          </cell>
        </row>
        <row r="16">
          <cell r="A16" t="str">
            <v>V37316</v>
          </cell>
          <cell r="D16" t="str">
            <v>ABSCONDING</v>
          </cell>
        </row>
        <row r="17">
          <cell r="A17" t="str">
            <v>V36801</v>
          </cell>
          <cell r="D17" t="str">
            <v>ABSCONDING</v>
          </cell>
        </row>
        <row r="18">
          <cell r="A18" t="str">
            <v>V36182</v>
          </cell>
          <cell r="D18" t="str">
            <v>LEFT THE JOB</v>
          </cell>
        </row>
        <row r="19">
          <cell r="A19" t="str">
            <v>V36163</v>
          </cell>
          <cell r="D19" t="str">
            <v>LEFT THE JOB</v>
          </cell>
        </row>
        <row r="20">
          <cell r="A20" t="str">
            <v>V36121</v>
          </cell>
          <cell r="D20" t="str">
            <v>LEFT THE JOB</v>
          </cell>
        </row>
        <row r="21">
          <cell r="A21" t="str">
            <v>V36123</v>
          </cell>
          <cell r="D21" t="str">
            <v>LEFT THE JOB</v>
          </cell>
        </row>
        <row r="22">
          <cell r="A22" t="str">
            <v>V36285</v>
          </cell>
          <cell r="D22" t="str">
            <v>LEFT THE JOB</v>
          </cell>
        </row>
        <row r="23">
          <cell r="A23" t="str">
            <v>V35654</v>
          </cell>
          <cell r="D23" t="str">
            <v>LEFT THE JOB</v>
          </cell>
        </row>
        <row r="24">
          <cell r="A24" t="str">
            <v>V37013</v>
          </cell>
          <cell r="D24" t="str">
            <v>LEFT THE JOB</v>
          </cell>
        </row>
        <row r="25">
          <cell r="A25" t="str">
            <v>V34149</v>
          </cell>
          <cell r="D25" t="str">
            <v>PERSONAL RESIGON</v>
          </cell>
        </row>
        <row r="26">
          <cell r="A26" t="str">
            <v>V31790</v>
          </cell>
          <cell r="D26" t="str">
            <v>PERSONAL RESIGON</v>
          </cell>
        </row>
        <row r="27">
          <cell r="A27" t="str">
            <v>V36691</v>
          </cell>
          <cell r="D27" t="str">
            <v>PERSONAL RESIGON</v>
          </cell>
        </row>
        <row r="28">
          <cell r="A28" t="str">
            <v>V34120</v>
          </cell>
          <cell r="D28" t="str">
            <v>RESIGN</v>
          </cell>
        </row>
        <row r="29">
          <cell r="A29" t="str">
            <v>V34538</v>
          </cell>
          <cell r="D29" t="str">
            <v>RESIGN</v>
          </cell>
        </row>
        <row r="30">
          <cell r="A30" t="str">
            <v>V36093</v>
          </cell>
          <cell r="D30" t="str">
            <v>RESIGN</v>
          </cell>
        </row>
        <row r="31">
          <cell r="A31" t="str">
            <v>V34658</v>
          </cell>
          <cell r="D31" t="str">
            <v xml:space="preserve">RESGINATIOM </v>
          </cell>
        </row>
        <row r="32">
          <cell r="A32" t="str">
            <v>V34642</v>
          </cell>
          <cell r="D32" t="str">
            <v xml:space="preserve">RESGINATIOM </v>
          </cell>
        </row>
        <row r="33">
          <cell r="A33" t="str">
            <v>V34620</v>
          </cell>
          <cell r="D33" t="str">
            <v xml:space="preserve">RESGINATIOM </v>
          </cell>
        </row>
        <row r="34">
          <cell r="A34" t="str">
            <v>V34609</v>
          </cell>
          <cell r="D34" t="str">
            <v xml:space="preserve">RESGINATIOM </v>
          </cell>
        </row>
        <row r="35">
          <cell r="A35" t="str">
            <v>V34608</v>
          </cell>
          <cell r="D35" t="str">
            <v xml:space="preserve">RESGINATIOM </v>
          </cell>
        </row>
        <row r="36">
          <cell r="A36" t="str">
            <v>V35019</v>
          </cell>
          <cell r="D36" t="str">
            <v xml:space="preserve">ABSCONDING </v>
          </cell>
        </row>
        <row r="37">
          <cell r="A37" t="str">
            <v>V35804</v>
          </cell>
          <cell r="D37" t="str">
            <v xml:space="preserve">ABSCONDING </v>
          </cell>
        </row>
        <row r="38">
          <cell r="A38" t="str">
            <v>V36330</v>
          </cell>
          <cell r="D38" t="str">
            <v xml:space="preserve">ABSCONDING </v>
          </cell>
        </row>
        <row r="39">
          <cell r="A39" t="str">
            <v>V34868</v>
          </cell>
          <cell r="D39" t="str">
            <v xml:space="preserve">ABSCONDING </v>
          </cell>
        </row>
        <row r="40">
          <cell r="A40" t="str">
            <v>V36676</v>
          </cell>
          <cell r="D40" t="str">
            <v xml:space="preserve">ABSCONDING </v>
          </cell>
        </row>
        <row r="41">
          <cell r="A41" t="str">
            <v>V31183</v>
          </cell>
          <cell r="D41" t="str">
            <v xml:space="preserve">RESGINATIOM </v>
          </cell>
        </row>
        <row r="42">
          <cell r="A42" t="str">
            <v>V31989</v>
          </cell>
          <cell r="D42" t="str">
            <v xml:space="preserve">RESGINATIOM </v>
          </cell>
        </row>
        <row r="43">
          <cell r="A43" t="str">
            <v>V34169</v>
          </cell>
          <cell r="D43" t="str">
            <v xml:space="preserve">RESGINATIOM </v>
          </cell>
        </row>
        <row r="44">
          <cell r="A44" t="str">
            <v>V31889</v>
          </cell>
          <cell r="D44" t="str">
            <v xml:space="preserve">RESGINATIOM </v>
          </cell>
        </row>
        <row r="45">
          <cell r="A45" t="str">
            <v>V31906</v>
          </cell>
          <cell r="D45" t="str">
            <v xml:space="preserve">RESGINATIOM </v>
          </cell>
        </row>
        <row r="46">
          <cell r="A46" t="str">
            <v>V37137</v>
          </cell>
          <cell r="D46" t="str">
            <v>ABSCONDING</v>
          </cell>
        </row>
        <row r="47">
          <cell r="A47" t="str">
            <v>V36089</v>
          </cell>
          <cell r="D47" t="str">
            <v>RESIGNED</v>
          </cell>
        </row>
        <row r="48">
          <cell r="A48" t="str">
            <v>V28143</v>
          </cell>
          <cell r="D48" t="str">
            <v>ABSCONDING</v>
          </cell>
        </row>
        <row r="49">
          <cell r="A49" t="str">
            <v>V36713</v>
          </cell>
          <cell r="D49" t="str">
            <v>ABSCONDING</v>
          </cell>
        </row>
        <row r="50">
          <cell r="A50" t="str">
            <v>V36464</v>
          </cell>
          <cell r="D50" t="str">
            <v>ABSCONDING</v>
          </cell>
        </row>
        <row r="51">
          <cell r="A51" t="str">
            <v>V23434</v>
          </cell>
          <cell r="D51" t="str">
            <v>RESIGNED</v>
          </cell>
        </row>
        <row r="52">
          <cell r="A52" t="str">
            <v>V27263</v>
          </cell>
          <cell r="D52" t="str">
            <v>RESIGNED</v>
          </cell>
        </row>
        <row r="53">
          <cell r="A53" t="str">
            <v>N03312</v>
          </cell>
          <cell r="D53" t="str">
            <v>ABSCONDING</v>
          </cell>
        </row>
        <row r="54">
          <cell r="A54" t="str">
            <v>V26881</v>
          </cell>
          <cell r="D54" t="str">
            <v>RESIGNATION</v>
          </cell>
        </row>
        <row r="55">
          <cell r="A55" t="str">
            <v>V29637</v>
          </cell>
          <cell r="D55" t="str">
            <v>RESIGNED</v>
          </cell>
        </row>
        <row r="56">
          <cell r="A56" t="str">
            <v>V17948</v>
          </cell>
          <cell r="D56" t="str">
            <v>RESIGNED</v>
          </cell>
        </row>
        <row r="57">
          <cell r="A57" t="str">
            <v>V33695</v>
          </cell>
          <cell r="D57" t="str">
            <v>ABSCONDING</v>
          </cell>
        </row>
        <row r="58">
          <cell r="A58" t="str">
            <v>V30765</v>
          </cell>
          <cell r="D58" t="str">
            <v>RESIGNED</v>
          </cell>
        </row>
        <row r="59">
          <cell r="A59" t="str">
            <v>V30777</v>
          </cell>
          <cell r="D59" t="str">
            <v>RESIGNED</v>
          </cell>
        </row>
        <row r="60">
          <cell r="A60" t="str">
            <v>V34302</v>
          </cell>
          <cell r="D60" t="str">
            <v>ABSCONDING</v>
          </cell>
        </row>
        <row r="61">
          <cell r="A61" t="str">
            <v>V34031</v>
          </cell>
          <cell r="D61" t="str">
            <v>ABSCONDING</v>
          </cell>
        </row>
        <row r="62">
          <cell r="A62" t="str">
            <v>V32022</v>
          </cell>
          <cell r="D62" t="str">
            <v>ABSCONDING</v>
          </cell>
        </row>
        <row r="63">
          <cell r="A63" t="str">
            <v>V35777</v>
          </cell>
          <cell r="D63" t="str">
            <v>ABSCONDING</v>
          </cell>
        </row>
        <row r="64">
          <cell r="A64" t="str">
            <v>V24478</v>
          </cell>
          <cell r="D64" t="str">
            <v>ABSCONDING</v>
          </cell>
        </row>
        <row r="65">
          <cell r="A65" t="str">
            <v>V32224</v>
          </cell>
          <cell r="D65" t="str">
            <v>ABSCONDING</v>
          </cell>
        </row>
        <row r="66">
          <cell r="A66" t="str">
            <v>V32225</v>
          </cell>
          <cell r="D66" t="str">
            <v>ABSCONDING</v>
          </cell>
        </row>
        <row r="67">
          <cell r="A67" t="str">
            <v>V35776</v>
          </cell>
          <cell r="D67" t="str">
            <v>ABSCONDING</v>
          </cell>
        </row>
        <row r="68">
          <cell r="A68" t="str">
            <v>V30597</v>
          </cell>
          <cell r="D68" t="str">
            <v>ABSCONDING</v>
          </cell>
        </row>
        <row r="69">
          <cell r="A69" t="str">
            <v>V36299</v>
          </cell>
          <cell r="D69" t="str">
            <v>ABSCONDING</v>
          </cell>
        </row>
        <row r="70">
          <cell r="A70" t="str">
            <v>V34671</v>
          </cell>
          <cell r="D70" t="str">
            <v>ABSCONDING</v>
          </cell>
        </row>
        <row r="71">
          <cell r="A71" t="str">
            <v>V35981</v>
          </cell>
          <cell r="D71" t="str">
            <v>ABSCONDING</v>
          </cell>
        </row>
        <row r="72">
          <cell r="A72" t="str">
            <v>V25755</v>
          </cell>
          <cell r="D72" t="str">
            <v>RESIGNED</v>
          </cell>
        </row>
        <row r="73">
          <cell r="A73" t="str">
            <v>V33791</v>
          </cell>
          <cell r="D73" t="str">
            <v>RESIGNED</v>
          </cell>
        </row>
        <row r="74">
          <cell r="A74" t="str">
            <v>V17930</v>
          </cell>
          <cell r="D74" t="str">
            <v>RESIGNED</v>
          </cell>
        </row>
        <row r="75">
          <cell r="A75" t="str">
            <v>V18503</v>
          </cell>
          <cell r="D75" t="str">
            <v>RESIGNED</v>
          </cell>
        </row>
        <row r="76">
          <cell r="A76" t="str">
            <v>V36030</v>
          </cell>
          <cell r="D76" t="str">
            <v>ABSCONDING</v>
          </cell>
        </row>
        <row r="77">
          <cell r="A77" t="str">
            <v>V35330</v>
          </cell>
          <cell r="D77" t="str">
            <v>ABSCONDING</v>
          </cell>
        </row>
        <row r="78">
          <cell r="A78" t="str">
            <v>V36479</v>
          </cell>
          <cell r="D78" t="str">
            <v>ABSCONDING</v>
          </cell>
        </row>
        <row r="79">
          <cell r="A79" t="str">
            <v>V22374</v>
          </cell>
          <cell r="D79" t="str">
            <v>RESIGNED</v>
          </cell>
        </row>
        <row r="80">
          <cell r="A80" t="str">
            <v>V32048</v>
          </cell>
          <cell r="D80" t="str">
            <v>RESIGNED</v>
          </cell>
        </row>
        <row r="81">
          <cell r="A81" t="str">
            <v>V35740</v>
          </cell>
          <cell r="D81" t="str">
            <v xml:space="preserve">Absconding </v>
          </cell>
        </row>
        <row r="82">
          <cell r="A82" t="str">
            <v>V35744</v>
          </cell>
          <cell r="D82" t="str">
            <v xml:space="preserve">Absconding </v>
          </cell>
        </row>
        <row r="83">
          <cell r="A83" t="str">
            <v>V24987</v>
          </cell>
          <cell r="D83" t="str">
            <v xml:space="preserve">Absconding </v>
          </cell>
        </row>
        <row r="84">
          <cell r="A84" t="str">
            <v>V37600</v>
          </cell>
          <cell r="D84" t="str">
            <v xml:space="preserve">Absconding </v>
          </cell>
        </row>
        <row r="85">
          <cell r="A85" t="str">
            <v>V37601</v>
          </cell>
          <cell r="D85" t="str">
            <v xml:space="preserve">Absconding </v>
          </cell>
        </row>
        <row r="86">
          <cell r="A86" t="str">
            <v>V30528</v>
          </cell>
          <cell r="D86" t="str">
            <v xml:space="preserve">Absconding </v>
          </cell>
        </row>
        <row r="87">
          <cell r="A87" t="str">
            <v>V33308</v>
          </cell>
          <cell r="D87" t="str">
            <v xml:space="preserve">Absconding </v>
          </cell>
        </row>
        <row r="88">
          <cell r="A88" t="str">
            <v>V32679</v>
          </cell>
          <cell r="D88" t="str">
            <v xml:space="preserve">Absconding </v>
          </cell>
        </row>
        <row r="89">
          <cell r="A89" t="str">
            <v>V32891</v>
          </cell>
          <cell r="D89" t="str">
            <v xml:space="preserve">Absconding </v>
          </cell>
        </row>
        <row r="90">
          <cell r="A90" t="str">
            <v>V36589</v>
          </cell>
          <cell r="D90" t="str">
            <v xml:space="preserve">Absconding </v>
          </cell>
        </row>
        <row r="91">
          <cell r="A91" t="str">
            <v>V36572</v>
          </cell>
          <cell r="D91" t="str">
            <v xml:space="preserve">Absconding </v>
          </cell>
        </row>
        <row r="92">
          <cell r="A92" t="str">
            <v>V23532</v>
          </cell>
          <cell r="D92" t="str">
            <v>STAFF LIFT</v>
          </cell>
        </row>
        <row r="93">
          <cell r="A93" t="str">
            <v>V37664</v>
          </cell>
          <cell r="D93" t="str">
            <v>STAFF LIFT</v>
          </cell>
        </row>
        <row r="94">
          <cell r="A94" t="str">
            <v>V36686</v>
          </cell>
          <cell r="D94" t="str">
            <v xml:space="preserve">HE LEFT THE JOB WITHOUT ANY INFORMATION </v>
          </cell>
        </row>
        <row r="95">
          <cell r="A95" t="str">
            <v>V34984</v>
          </cell>
          <cell r="D95" t="str">
            <v xml:space="preserve">HE LEFT  THE JOB WITHOUT ANY INFORMATION. </v>
          </cell>
        </row>
        <row r="96">
          <cell r="A96" t="str">
            <v>V29210</v>
          </cell>
          <cell r="D96" t="str">
            <v xml:space="preserve">THEFT </v>
          </cell>
        </row>
        <row r="97">
          <cell r="A97" t="str">
            <v>V29209</v>
          </cell>
          <cell r="D97" t="str">
            <v xml:space="preserve">THEFT </v>
          </cell>
        </row>
        <row r="98">
          <cell r="A98" t="str">
            <v>V29212</v>
          </cell>
          <cell r="D98" t="str">
            <v xml:space="preserve">THEFT </v>
          </cell>
        </row>
        <row r="99">
          <cell r="A99" t="str">
            <v>V31817</v>
          </cell>
          <cell r="D99" t="str">
            <v>PERSONL ISSUE</v>
          </cell>
        </row>
        <row r="100">
          <cell r="A100" t="str">
            <v>V29565</v>
          </cell>
          <cell r="D100" t="str">
            <v>GIVEN RESIGNATION</v>
          </cell>
        </row>
        <row r="101">
          <cell r="A101" t="str">
            <v>V28372</v>
          </cell>
          <cell r="D101" t="str">
            <v>LEFT</v>
          </cell>
        </row>
        <row r="102">
          <cell r="A102" t="str">
            <v>V36189</v>
          </cell>
          <cell r="D102" t="str">
            <v>PERSONAL</v>
          </cell>
        </row>
        <row r="103">
          <cell r="A103" t="str">
            <v>V36192</v>
          </cell>
          <cell r="D103" t="str">
            <v>PERSONAL</v>
          </cell>
        </row>
        <row r="104">
          <cell r="A104" t="str">
            <v>V36212</v>
          </cell>
          <cell r="D104" t="str">
            <v xml:space="preserve">WITH  OUT INFORMATION NOT COME </v>
          </cell>
        </row>
        <row r="105">
          <cell r="A105" t="str">
            <v>V36193</v>
          </cell>
          <cell r="D105" t="str">
            <v>PERSONAL</v>
          </cell>
        </row>
        <row r="106">
          <cell r="A106" t="str">
            <v>V36535</v>
          </cell>
          <cell r="D106" t="str">
            <v>PERSONAL</v>
          </cell>
        </row>
        <row r="107">
          <cell r="A107" t="str">
            <v>V36753</v>
          </cell>
          <cell r="D107" t="str">
            <v>PERSONAL</v>
          </cell>
        </row>
        <row r="108">
          <cell r="A108" t="str">
            <v>V36991</v>
          </cell>
          <cell r="D108" t="str">
            <v>PERSONAL</v>
          </cell>
        </row>
        <row r="109">
          <cell r="A109" t="str">
            <v>V36997</v>
          </cell>
          <cell r="D109" t="str">
            <v>PERSONAL</v>
          </cell>
        </row>
        <row r="110">
          <cell r="A110" t="str">
            <v>V36869</v>
          </cell>
          <cell r="D110" t="str">
            <v>PERSONAL</v>
          </cell>
        </row>
        <row r="111">
          <cell r="A111" t="str">
            <v>V36996</v>
          </cell>
          <cell r="D111" t="str">
            <v xml:space="preserve">THEFT </v>
          </cell>
        </row>
        <row r="112">
          <cell r="A112" t="str">
            <v>V23179</v>
          </cell>
          <cell r="D112" t="str">
            <v>PERSONAL</v>
          </cell>
        </row>
        <row r="113">
          <cell r="A113" t="str">
            <v>V22611</v>
          </cell>
          <cell r="D113" t="str">
            <v>INTEGRITY</v>
          </cell>
        </row>
        <row r="114">
          <cell r="A114" t="str">
            <v>V33833</v>
          </cell>
          <cell r="D114" t="str">
            <v>PERSONAL</v>
          </cell>
        </row>
        <row r="115">
          <cell r="A115" t="str">
            <v>V24469</v>
          </cell>
          <cell r="D115" t="str">
            <v>THEFT ISSUE</v>
          </cell>
        </row>
        <row r="116">
          <cell r="A116" t="str">
            <v>V31685</v>
          </cell>
          <cell r="D116" t="str">
            <v>THEFT ISSUE</v>
          </cell>
        </row>
        <row r="117">
          <cell r="A117" t="str">
            <v>V37585</v>
          </cell>
          <cell r="D117" t="str">
            <v xml:space="preserve">ABSCONDING </v>
          </cell>
        </row>
        <row r="118">
          <cell r="A118" t="str">
            <v>V33151</v>
          </cell>
          <cell r="D118" t="str">
            <v>RESIGNATION</v>
          </cell>
        </row>
        <row r="119">
          <cell r="A119" t="str">
            <v>V34368</v>
          </cell>
          <cell r="D119" t="str">
            <v>RESIGNATION</v>
          </cell>
        </row>
        <row r="120">
          <cell r="A120" t="str">
            <v>V27498</v>
          </cell>
          <cell r="D120" t="str">
            <v>RESIGNATION</v>
          </cell>
        </row>
        <row r="121">
          <cell r="A121" t="str">
            <v>V32539</v>
          </cell>
          <cell r="D121" t="str">
            <v>RESIGNATION</v>
          </cell>
        </row>
        <row r="122">
          <cell r="A122" t="str">
            <v>V32526</v>
          </cell>
          <cell r="D122" t="str">
            <v>RESIGNATION</v>
          </cell>
        </row>
        <row r="123">
          <cell r="A123" t="str">
            <v>V24151</v>
          </cell>
          <cell r="D123" t="str">
            <v>ABSCONDING</v>
          </cell>
        </row>
        <row r="124">
          <cell r="A124" t="str">
            <v>V26987</v>
          </cell>
          <cell r="D124" t="str">
            <v>RESIGNATION</v>
          </cell>
        </row>
        <row r="125">
          <cell r="A125" t="str">
            <v>V30403</v>
          </cell>
          <cell r="D125" t="str">
            <v>ABSCONDING</v>
          </cell>
        </row>
        <row r="126">
          <cell r="A126" t="str">
            <v>V37790</v>
          </cell>
          <cell r="D126" t="str">
            <v>ABSCONDING</v>
          </cell>
        </row>
        <row r="127">
          <cell r="A127" t="str">
            <v>V32390</v>
          </cell>
          <cell r="D127" t="str">
            <v>ABSCONDING</v>
          </cell>
        </row>
        <row r="128">
          <cell r="A128" t="str">
            <v>V35923</v>
          </cell>
          <cell r="D128" t="str">
            <v>RESIGNATION</v>
          </cell>
        </row>
        <row r="129">
          <cell r="A129" t="str">
            <v>V29521</v>
          </cell>
          <cell r="D129" t="str">
            <v>RESIGNATION</v>
          </cell>
        </row>
        <row r="130">
          <cell r="A130" t="str">
            <v>V37362</v>
          </cell>
          <cell r="D130" t="str">
            <v>RESIGNATION</v>
          </cell>
        </row>
        <row r="131">
          <cell r="A131" t="str">
            <v>V37228</v>
          </cell>
          <cell r="D131" t="str">
            <v>RESIGNATION</v>
          </cell>
        </row>
        <row r="132">
          <cell r="A132" t="str">
            <v>V36018</v>
          </cell>
          <cell r="D132" t="str">
            <v>ABSCONDING</v>
          </cell>
        </row>
        <row r="133">
          <cell r="A133" t="str">
            <v>N03483</v>
          </cell>
          <cell r="D133" t="str">
            <v>ABSCONDING</v>
          </cell>
        </row>
        <row r="134">
          <cell r="A134" t="str">
            <v>V36587</v>
          </cell>
          <cell r="D134" t="str">
            <v>ABSCONDING</v>
          </cell>
        </row>
        <row r="135">
          <cell r="A135" t="str">
            <v>V36590</v>
          </cell>
          <cell r="D135" t="str">
            <v>ABSCONDING</v>
          </cell>
        </row>
        <row r="136">
          <cell r="A136" t="str">
            <v>V22550</v>
          </cell>
          <cell r="D136" t="str">
            <v>ABSCONDING</v>
          </cell>
        </row>
        <row r="137">
          <cell r="A137" t="str">
            <v>V36644</v>
          </cell>
          <cell r="D137" t="str">
            <v>ABSCONDING</v>
          </cell>
        </row>
        <row r="138">
          <cell r="A138" t="str">
            <v>V32504</v>
          </cell>
          <cell r="D138" t="str">
            <v>ABSCONDING</v>
          </cell>
        </row>
        <row r="139">
          <cell r="A139" t="str">
            <v>V33547</v>
          </cell>
          <cell r="D139" t="str">
            <v>ABSCONDING</v>
          </cell>
        </row>
        <row r="140">
          <cell r="A140" t="str">
            <v>V36718</v>
          </cell>
          <cell r="D140" t="str">
            <v>ABSCONDING</v>
          </cell>
        </row>
        <row r="141">
          <cell r="A141" t="str">
            <v>V37146</v>
          </cell>
          <cell r="D141" t="str">
            <v>ABSCONDING</v>
          </cell>
        </row>
        <row r="142">
          <cell r="A142" t="str">
            <v>V27019</v>
          </cell>
          <cell r="D142" t="str">
            <v>RESIGNATION</v>
          </cell>
        </row>
        <row r="143">
          <cell r="A143" t="str">
            <v>V32217</v>
          </cell>
          <cell r="D143" t="str">
            <v>ABSCONDING</v>
          </cell>
        </row>
        <row r="144">
          <cell r="A144" t="str">
            <v>V31616</v>
          </cell>
          <cell r="D144" t="str">
            <v>ABSCONDING</v>
          </cell>
        </row>
        <row r="145">
          <cell r="A145" t="str">
            <v>V32150</v>
          </cell>
          <cell r="D145" t="str">
            <v>ABSCONDING</v>
          </cell>
        </row>
        <row r="146">
          <cell r="A146" t="str">
            <v>V29604</v>
          </cell>
          <cell r="D146" t="str">
            <v>ABSCONDING</v>
          </cell>
        </row>
      </sheetData>
      <sheetData sheetId="1"/>
      <sheetData sheetId="2"/>
      <sheetData sheetId="3">
        <row r="3">
          <cell r="A3" t="str">
            <v>V00025</v>
          </cell>
          <cell r="B3" t="str">
            <v>MR. ANUPAM KUMAR SINGH</v>
          </cell>
          <cell r="C3">
            <v>1</v>
          </cell>
          <cell r="E3">
            <v>168946</v>
          </cell>
          <cell r="F3">
            <v>0.7</v>
          </cell>
          <cell r="I3" t="str">
            <v>V00128</v>
          </cell>
          <cell r="J3" t="str">
            <v>CTC</v>
          </cell>
          <cell r="K3" t="str">
            <v>YES</v>
          </cell>
        </row>
        <row r="4">
          <cell r="A4" t="str">
            <v>V00128</v>
          </cell>
          <cell r="B4" t="str">
            <v>MR. PRATIK ADUKIA</v>
          </cell>
          <cell r="C4">
            <v>1</v>
          </cell>
          <cell r="D4" t="str">
            <v>PLANNING</v>
          </cell>
          <cell r="E4">
            <v>823521</v>
          </cell>
          <cell r="F4">
            <v>0.7</v>
          </cell>
          <cell r="I4" t="str">
            <v>V06164</v>
          </cell>
          <cell r="J4" t="str">
            <v>CTC</v>
          </cell>
          <cell r="K4" t="str">
            <v>YES</v>
          </cell>
        </row>
        <row r="5">
          <cell r="A5" t="str">
            <v>V00362</v>
          </cell>
          <cell r="B5" t="str">
            <v>MR. PAPPU KUMAR</v>
          </cell>
          <cell r="C5">
            <v>1</v>
          </cell>
          <cell r="E5">
            <v>295488</v>
          </cell>
          <cell r="F5">
            <v>0.7</v>
          </cell>
          <cell r="I5" t="str">
            <v>V00746</v>
          </cell>
          <cell r="J5" t="str">
            <v>CTC</v>
          </cell>
          <cell r="K5" t="str">
            <v>YES</v>
          </cell>
        </row>
        <row r="6">
          <cell r="A6" t="str">
            <v>V00394</v>
          </cell>
          <cell r="B6" t="str">
            <v>MR. RAJNISH KUMAR SINGH</v>
          </cell>
          <cell r="C6">
            <v>1</v>
          </cell>
          <cell r="E6">
            <v>99360</v>
          </cell>
          <cell r="F6">
            <v>0.7</v>
          </cell>
          <cell r="I6" t="str">
            <v>V16381</v>
          </cell>
          <cell r="J6" t="str">
            <v>CTC</v>
          </cell>
          <cell r="K6" t="str">
            <v>YES</v>
          </cell>
        </row>
        <row r="7">
          <cell r="A7" t="str">
            <v>V00498</v>
          </cell>
          <cell r="B7" t="str">
            <v>MR. PURSHOTTAM KUMAR</v>
          </cell>
          <cell r="C7">
            <v>1</v>
          </cell>
          <cell r="E7">
            <v>42577</v>
          </cell>
          <cell r="F7">
            <v>0.5</v>
          </cell>
          <cell r="I7" t="str">
            <v>V00362</v>
          </cell>
          <cell r="J7" t="str">
            <v>CTC</v>
          </cell>
          <cell r="K7" t="str">
            <v>YES</v>
          </cell>
        </row>
        <row r="8">
          <cell r="A8" t="str">
            <v>V00534</v>
          </cell>
          <cell r="B8" t="str">
            <v>MR. LAXMIKANT MANDAL</v>
          </cell>
          <cell r="C8">
            <v>1</v>
          </cell>
          <cell r="E8">
            <v>127648</v>
          </cell>
          <cell r="F8">
            <v>0.5</v>
          </cell>
          <cell r="I8" t="str">
            <v>V23574</v>
          </cell>
          <cell r="J8" t="str">
            <v>CTC</v>
          </cell>
          <cell r="K8" t="str">
            <v>YES</v>
          </cell>
        </row>
        <row r="9">
          <cell r="A9" t="str">
            <v>V00549</v>
          </cell>
          <cell r="B9" t="str">
            <v>MR. BABLU  KUMAR</v>
          </cell>
          <cell r="C9">
            <v>1</v>
          </cell>
          <cell r="E9">
            <v>73574</v>
          </cell>
          <cell r="F9">
            <v>0.2</v>
          </cell>
          <cell r="I9" t="str">
            <v>V38598</v>
          </cell>
          <cell r="J9" t="str">
            <v>CTC</v>
          </cell>
          <cell r="K9" t="str">
            <v>YES</v>
          </cell>
        </row>
        <row r="10">
          <cell r="A10" t="str">
            <v>V00743</v>
          </cell>
          <cell r="B10" t="str">
            <v>MR. YOGESH KUMAR</v>
          </cell>
          <cell r="C10">
            <v>1</v>
          </cell>
          <cell r="E10">
            <v>97152</v>
          </cell>
          <cell r="F10">
            <v>0.7</v>
          </cell>
          <cell r="I10" t="str">
            <v>V18585</v>
          </cell>
          <cell r="J10" t="str">
            <v>CTC</v>
          </cell>
          <cell r="K10" t="str">
            <v>YES</v>
          </cell>
        </row>
        <row r="11">
          <cell r="A11" t="str">
            <v>V00746</v>
          </cell>
          <cell r="B11" t="str">
            <v>MR. SHAKTI PRASAD MOHANTY</v>
          </cell>
          <cell r="C11">
            <v>1</v>
          </cell>
          <cell r="E11">
            <v>444528</v>
          </cell>
          <cell r="F11">
            <v>0.7</v>
          </cell>
          <cell r="I11" t="str">
            <v>V40543</v>
          </cell>
          <cell r="J11" t="str">
            <v>CTC</v>
          </cell>
          <cell r="K11" t="str">
            <v>YES</v>
          </cell>
        </row>
        <row r="12">
          <cell r="A12" t="str">
            <v>V01033</v>
          </cell>
          <cell r="B12" t="str">
            <v>MR. AMIT MISHRA</v>
          </cell>
          <cell r="C12">
            <v>1</v>
          </cell>
          <cell r="E12">
            <v>107553</v>
          </cell>
          <cell r="F12">
            <v>0.5</v>
          </cell>
          <cell r="I12" t="str">
            <v>V18204</v>
          </cell>
          <cell r="J12" t="str">
            <v>CTC</v>
          </cell>
          <cell r="K12" t="str">
            <v>YES</v>
          </cell>
        </row>
        <row r="13">
          <cell r="A13" t="str">
            <v>V01300</v>
          </cell>
          <cell r="B13" t="str">
            <v>MR. ANIL KUMAR PANIGRAHI</v>
          </cell>
          <cell r="C13">
            <v>1</v>
          </cell>
          <cell r="E13">
            <v>39165</v>
          </cell>
          <cell r="F13">
            <v>0.2</v>
          </cell>
          <cell r="I13" t="str">
            <v>V23375</v>
          </cell>
          <cell r="J13" t="str">
            <v>CTC</v>
          </cell>
          <cell r="K13" t="str">
            <v>YES</v>
          </cell>
        </row>
        <row r="14">
          <cell r="A14" t="str">
            <v>V01305</v>
          </cell>
          <cell r="B14" t="str">
            <v>MR. SUSMIT RANJAN MOHANTY</v>
          </cell>
          <cell r="C14">
            <v>1</v>
          </cell>
          <cell r="E14">
            <v>78470</v>
          </cell>
          <cell r="F14">
            <v>0.2</v>
          </cell>
          <cell r="I14" t="str">
            <v>V03346</v>
          </cell>
          <cell r="J14" t="str">
            <v>CTC</v>
          </cell>
          <cell r="K14" t="str">
            <v>YES</v>
          </cell>
        </row>
        <row r="15">
          <cell r="A15" t="str">
            <v>V01541</v>
          </cell>
          <cell r="B15" t="str">
            <v>MR. MANISH  KUMAR</v>
          </cell>
          <cell r="C15">
            <v>1</v>
          </cell>
          <cell r="E15">
            <v>65121</v>
          </cell>
          <cell r="F15">
            <v>0.2</v>
          </cell>
          <cell r="I15" t="str">
            <v>V04462</v>
          </cell>
          <cell r="J15" t="str">
            <v>CTC</v>
          </cell>
          <cell r="K15" t="str">
            <v>YES</v>
          </cell>
        </row>
        <row r="16">
          <cell r="A16" t="str">
            <v>V02335</v>
          </cell>
          <cell r="B16" t="str">
            <v>MR. RAHUL KUMAR</v>
          </cell>
          <cell r="C16">
            <v>1</v>
          </cell>
          <cell r="E16">
            <v>102562</v>
          </cell>
          <cell r="F16">
            <v>0.5</v>
          </cell>
          <cell r="I16" t="str">
            <v>V02455</v>
          </cell>
          <cell r="J16" t="str">
            <v>CTC</v>
          </cell>
          <cell r="K16" t="str">
            <v>YES</v>
          </cell>
        </row>
        <row r="17">
          <cell r="A17" t="str">
            <v>V02455</v>
          </cell>
          <cell r="B17" t="str">
            <v>MR. ASHISH MISHRA</v>
          </cell>
          <cell r="C17">
            <v>1</v>
          </cell>
          <cell r="E17">
            <v>185395</v>
          </cell>
          <cell r="F17">
            <v>0.5</v>
          </cell>
          <cell r="I17" t="str">
            <v>V2S168</v>
          </cell>
          <cell r="J17" t="str">
            <v>CTC</v>
          </cell>
          <cell r="K17" t="str">
            <v>YES</v>
          </cell>
        </row>
        <row r="18">
          <cell r="A18" t="str">
            <v>V03346</v>
          </cell>
          <cell r="B18" t="str">
            <v>MR. ASHISH KUMAR</v>
          </cell>
          <cell r="C18">
            <v>1</v>
          </cell>
          <cell r="E18">
            <v>211216</v>
          </cell>
          <cell r="F18">
            <v>0.5</v>
          </cell>
          <cell r="I18" t="str">
            <v>V18412</v>
          </cell>
          <cell r="J18" t="str">
            <v>CTC</v>
          </cell>
          <cell r="K18" t="str">
            <v>YES</v>
          </cell>
        </row>
        <row r="19">
          <cell r="A19" t="str">
            <v>V04209</v>
          </cell>
          <cell r="B19" t="str">
            <v>MR. VIKKY  KESHRI</v>
          </cell>
          <cell r="C19">
            <v>1</v>
          </cell>
          <cell r="E19">
            <v>45700</v>
          </cell>
          <cell r="F19">
            <v>0.5</v>
          </cell>
          <cell r="I19" t="str">
            <v>V30469</v>
          </cell>
          <cell r="J19" t="str">
            <v>CTC</v>
          </cell>
          <cell r="K19" t="str">
            <v>YES</v>
          </cell>
        </row>
        <row r="20">
          <cell r="A20" t="str">
            <v>V04462</v>
          </cell>
          <cell r="B20" t="str">
            <v>MR. SANTOSH KUMAR</v>
          </cell>
          <cell r="C20">
            <v>1</v>
          </cell>
          <cell r="E20">
            <v>185926</v>
          </cell>
          <cell r="F20">
            <v>0.7</v>
          </cell>
          <cell r="I20" t="str">
            <v>V00025</v>
          </cell>
          <cell r="J20" t="str">
            <v>CTC</v>
          </cell>
          <cell r="K20" t="str">
            <v>YES</v>
          </cell>
        </row>
        <row r="21">
          <cell r="A21" t="str">
            <v>V04667</v>
          </cell>
          <cell r="B21" t="str">
            <v>MR. KARTIK NAYAK</v>
          </cell>
          <cell r="C21">
            <v>1</v>
          </cell>
          <cell r="E21">
            <v>36543</v>
          </cell>
          <cell r="F21">
            <v>0.2</v>
          </cell>
          <cell r="I21" t="str">
            <v>V24494</v>
          </cell>
          <cell r="J21" t="str">
            <v>CTC</v>
          </cell>
          <cell r="K21" t="str">
            <v>YES</v>
          </cell>
        </row>
        <row r="22">
          <cell r="A22" t="str">
            <v>V06776</v>
          </cell>
          <cell r="B22" t="str">
            <v>MR. AJAY KUMAR</v>
          </cell>
          <cell r="C22">
            <v>1</v>
          </cell>
          <cell r="E22">
            <v>55149</v>
          </cell>
          <cell r="F22">
            <v>0.5</v>
          </cell>
          <cell r="I22" t="str">
            <v>V26548</v>
          </cell>
          <cell r="J22" t="str">
            <v>CTC</v>
          </cell>
          <cell r="K22" t="str">
            <v>YES</v>
          </cell>
        </row>
        <row r="23">
          <cell r="A23" t="str">
            <v>V06776</v>
          </cell>
          <cell r="B23" t="str">
            <v>MR. AJAY KUMAR</v>
          </cell>
          <cell r="C23">
            <v>0</v>
          </cell>
          <cell r="E23">
            <v>45957</v>
          </cell>
          <cell r="F23">
            <v>0.2</v>
          </cell>
          <cell r="I23" t="str">
            <v>V42190</v>
          </cell>
          <cell r="J23" t="str">
            <v>CTC</v>
          </cell>
          <cell r="K23" t="str">
            <v>YES</v>
          </cell>
        </row>
        <row r="24">
          <cell r="A24" t="str">
            <v>V06781</v>
          </cell>
          <cell r="B24" t="str">
            <v>MR. DEEPAK  THAKUR</v>
          </cell>
          <cell r="C24">
            <v>1</v>
          </cell>
          <cell r="E24">
            <v>49991</v>
          </cell>
          <cell r="F24">
            <v>0.5</v>
          </cell>
          <cell r="I24" t="str">
            <v>V00394</v>
          </cell>
          <cell r="J24" t="str">
            <v>CTC</v>
          </cell>
          <cell r="K24" t="str">
            <v>YES</v>
          </cell>
        </row>
        <row r="25">
          <cell r="A25" t="str">
            <v>V06847</v>
          </cell>
          <cell r="B25" t="str">
            <v>MR. VISHNU KUMAR</v>
          </cell>
          <cell r="C25">
            <v>1</v>
          </cell>
          <cell r="E25">
            <v>43264</v>
          </cell>
          <cell r="F25">
            <v>0.5</v>
          </cell>
          <cell r="I25" t="str">
            <v>V25382</v>
          </cell>
          <cell r="J25" t="str">
            <v>CTC</v>
          </cell>
          <cell r="K25" t="str">
            <v>YES</v>
          </cell>
        </row>
        <row r="26">
          <cell r="A26" t="str">
            <v>V06847</v>
          </cell>
          <cell r="B26" t="str">
            <v>MR. VISHNU KUMAR</v>
          </cell>
          <cell r="C26">
            <v>0</v>
          </cell>
          <cell r="E26">
            <v>39331</v>
          </cell>
          <cell r="F26">
            <v>0.2</v>
          </cell>
          <cell r="I26" t="str">
            <v>V17487</v>
          </cell>
          <cell r="J26" t="str">
            <v>CTC</v>
          </cell>
          <cell r="K26" t="str">
            <v>YES</v>
          </cell>
        </row>
        <row r="27">
          <cell r="A27" t="str">
            <v>V07863</v>
          </cell>
          <cell r="B27" t="str">
            <v>MR. SANJAY  PRASAD</v>
          </cell>
          <cell r="C27">
            <v>1</v>
          </cell>
          <cell r="E27">
            <v>66929</v>
          </cell>
          <cell r="F27">
            <v>0.2</v>
          </cell>
          <cell r="I27" t="str">
            <v>V48625</v>
          </cell>
          <cell r="J27" t="str">
            <v>CTC</v>
          </cell>
          <cell r="K27" t="str">
            <v>YES</v>
          </cell>
        </row>
        <row r="28">
          <cell r="A28" t="str">
            <v>V08175</v>
          </cell>
          <cell r="B28" t="str">
            <v>MR. AJAY KUMAR</v>
          </cell>
          <cell r="C28">
            <v>1</v>
          </cell>
          <cell r="E28">
            <v>102961</v>
          </cell>
          <cell r="F28">
            <v>0.7</v>
          </cell>
          <cell r="I28" t="str">
            <v>V23373</v>
          </cell>
          <cell r="J28" t="str">
            <v>CTC</v>
          </cell>
          <cell r="K28" t="str">
            <v>YES</v>
          </cell>
        </row>
        <row r="29">
          <cell r="A29" t="str">
            <v>V08461</v>
          </cell>
          <cell r="B29" t="str">
            <v>MR. SATISH CHAND</v>
          </cell>
          <cell r="C29">
            <v>1</v>
          </cell>
          <cell r="E29">
            <v>37961</v>
          </cell>
          <cell r="F29">
            <v>0.5</v>
          </cell>
          <cell r="I29" t="str">
            <v>V18609</v>
          </cell>
          <cell r="J29" t="str">
            <v>CTC</v>
          </cell>
          <cell r="K29" t="str">
            <v>YES</v>
          </cell>
        </row>
        <row r="30">
          <cell r="A30" t="str">
            <v>V08461</v>
          </cell>
          <cell r="B30" t="str">
            <v>MR. SATISH CHAND</v>
          </cell>
          <cell r="C30">
            <v>0</v>
          </cell>
          <cell r="E30">
            <v>31634</v>
          </cell>
          <cell r="F30">
            <v>0.2</v>
          </cell>
          <cell r="I30" t="str">
            <v>V00534</v>
          </cell>
          <cell r="J30" t="str">
            <v>CTC</v>
          </cell>
          <cell r="K30" t="str">
            <v>YES</v>
          </cell>
        </row>
        <row r="31">
          <cell r="A31" t="str">
            <v>V08774</v>
          </cell>
          <cell r="B31" t="str">
            <v>MR. MANISH</v>
          </cell>
          <cell r="C31">
            <v>1</v>
          </cell>
          <cell r="E31">
            <v>37495</v>
          </cell>
          <cell r="F31">
            <v>0.2</v>
          </cell>
          <cell r="I31" t="str">
            <v>V13915</v>
          </cell>
          <cell r="J31" t="str">
            <v>CTC</v>
          </cell>
          <cell r="K31" t="str">
            <v>YES</v>
          </cell>
        </row>
        <row r="32">
          <cell r="A32" t="str">
            <v>V09417</v>
          </cell>
          <cell r="B32" t="str">
            <v>MR. DIPAK KUMAR SINGH</v>
          </cell>
          <cell r="C32">
            <v>1</v>
          </cell>
          <cell r="E32">
            <v>57778</v>
          </cell>
          <cell r="F32">
            <v>0.2</v>
          </cell>
          <cell r="I32" t="str">
            <v>V24495</v>
          </cell>
          <cell r="J32" t="str">
            <v>CTC</v>
          </cell>
          <cell r="K32" t="str">
            <v>YES</v>
          </cell>
        </row>
        <row r="33">
          <cell r="A33" t="str">
            <v>V09553</v>
          </cell>
          <cell r="B33" t="str">
            <v>MR. SANTOSH KUMAR PANDEY</v>
          </cell>
          <cell r="C33">
            <v>1</v>
          </cell>
          <cell r="E33">
            <v>64145</v>
          </cell>
          <cell r="F33">
            <v>0.2</v>
          </cell>
          <cell r="I33" t="str">
            <v>V18224</v>
          </cell>
          <cell r="J33" t="str">
            <v>CTC</v>
          </cell>
          <cell r="K33" t="str">
            <v>YES</v>
          </cell>
        </row>
        <row r="34">
          <cell r="A34" t="str">
            <v>V09822</v>
          </cell>
          <cell r="B34" t="str">
            <v>MR. RANJAN KUMAR</v>
          </cell>
          <cell r="C34">
            <v>1</v>
          </cell>
          <cell r="E34">
            <v>105156</v>
          </cell>
          <cell r="F34">
            <v>0.7</v>
          </cell>
          <cell r="I34" t="str">
            <v>V26692</v>
          </cell>
          <cell r="J34" t="str">
            <v>CTC</v>
          </cell>
          <cell r="K34" t="str">
            <v>YES</v>
          </cell>
        </row>
        <row r="35">
          <cell r="A35" t="str">
            <v>V10215</v>
          </cell>
          <cell r="B35" t="str">
            <v>MR. ANISH KUMAR</v>
          </cell>
          <cell r="C35">
            <v>1</v>
          </cell>
          <cell r="E35">
            <v>55538</v>
          </cell>
          <cell r="F35">
            <v>0.2</v>
          </cell>
          <cell r="I35" t="str">
            <v>V15109</v>
          </cell>
          <cell r="J35" t="str">
            <v>CTC</v>
          </cell>
          <cell r="K35" t="str">
            <v>YES</v>
          </cell>
        </row>
        <row r="36">
          <cell r="A36" t="str">
            <v>V10217</v>
          </cell>
          <cell r="B36" t="str">
            <v>MR. ASHUTOSH KUMAR</v>
          </cell>
          <cell r="C36">
            <v>1</v>
          </cell>
          <cell r="E36">
            <v>80000</v>
          </cell>
          <cell r="F36">
            <v>0.7</v>
          </cell>
          <cell r="I36" t="str">
            <v>V25581</v>
          </cell>
          <cell r="J36" t="str">
            <v>CTC</v>
          </cell>
          <cell r="K36" t="str">
            <v>YES</v>
          </cell>
        </row>
        <row r="37">
          <cell r="A37" t="str">
            <v>V11298</v>
          </cell>
          <cell r="B37" t="str">
            <v>MR. NISHANT KUMAR VISHWAS</v>
          </cell>
          <cell r="C37">
            <v>1</v>
          </cell>
          <cell r="E37">
            <v>54000</v>
          </cell>
          <cell r="F37">
            <v>0.5</v>
          </cell>
          <cell r="I37" t="str">
            <v>V37334</v>
          </cell>
          <cell r="J37" t="str">
            <v>CTC</v>
          </cell>
          <cell r="K37" t="str">
            <v>YES</v>
          </cell>
        </row>
        <row r="38">
          <cell r="A38" t="str">
            <v>V11298</v>
          </cell>
          <cell r="B38" t="str">
            <v>MR. NISHANT KUMAR VISHWAS</v>
          </cell>
          <cell r="C38">
            <v>0</v>
          </cell>
          <cell r="E38">
            <v>45000</v>
          </cell>
          <cell r="F38">
            <v>0.2</v>
          </cell>
          <cell r="I38" t="str">
            <v>V09562</v>
          </cell>
          <cell r="J38" t="str">
            <v>CTC</v>
          </cell>
          <cell r="K38" t="str">
            <v>YES</v>
          </cell>
        </row>
        <row r="39">
          <cell r="A39" t="str">
            <v>V13519</v>
          </cell>
          <cell r="B39" t="str">
            <v>MR. HARSH KUMAR SINGH</v>
          </cell>
          <cell r="C39">
            <v>1</v>
          </cell>
          <cell r="E39">
            <v>89040</v>
          </cell>
          <cell r="F39">
            <v>0.7</v>
          </cell>
          <cell r="I39" t="str">
            <v>V21447</v>
          </cell>
          <cell r="J39" t="str">
            <v>CTC</v>
          </cell>
          <cell r="K39" t="str">
            <v>YES</v>
          </cell>
        </row>
        <row r="40">
          <cell r="A40" t="str">
            <v>V13609</v>
          </cell>
          <cell r="B40" t="str">
            <v>MR. JAGMOHAN  KUMAR</v>
          </cell>
          <cell r="C40">
            <v>1</v>
          </cell>
          <cell r="E40">
            <v>48335</v>
          </cell>
          <cell r="F40">
            <v>0.5</v>
          </cell>
          <cell r="I40" t="str">
            <v>V19258</v>
          </cell>
          <cell r="J40" t="str">
            <v>CTC</v>
          </cell>
          <cell r="K40" t="str">
            <v>YES</v>
          </cell>
        </row>
        <row r="41">
          <cell r="A41" t="str">
            <v>V13652</v>
          </cell>
          <cell r="B41" t="str">
            <v>MR. JOGINDER SINGH GARG</v>
          </cell>
          <cell r="C41">
            <v>1</v>
          </cell>
          <cell r="E41">
            <v>49670</v>
          </cell>
          <cell r="F41">
            <v>0.5</v>
          </cell>
          <cell r="I41" t="str">
            <v>V01033</v>
          </cell>
          <cell r="J41" t="str">
            <v>CTC</v>
          </cell>
          <cell r="K41" t="str">
            <v>YES</v>
          </cell>
        </row>
        <row r="42">
          <cell r="A42" t="str">
            <v>V13652</v>
          </cell>
          <cell r="B42" t="str">
            <v>MR. JOGINDER SINGH GARG</v>
          </cell>
          <cell r="C42">
            <v>0</v>
          </cell>
          <cell r="E42">
            <v>43192</v>
          </cell>
          <cell r="F42">
            <v>0.2</v>
          </cell>
          <cell r="I42" t="str">
            <v>V36656</v>
          </cell>
          <cell r="J42" t="str">
            <v>CTC</v>
          </cell>
          <cell r="K42" t="str">
            <v>YES</v>
          </cell>
        </row>
        <row r="43">
          <cell r="A43" t="str">
            <v>V13915</v>
          </cell>
          <cell r="B43" t="str">
            <v>MR. KHUSHAL KUMAR</v>
          </cell>
          <cell r="C43">
            <v>1</v>
          </cell>
          <cell r="E43">
            <v>127183</v>
          </cell>
          <cell r="F43">
            <v>0.7</v>
          </cell>
          <cell r="I43" t="str">
            <v>V22545</v>
          </cell>
          <cell r="J43" t="str">
            <v>CTC</v>
          </cell>
          <cell r="K43" t="str">
            <v>YES</v>
          </cell>
        </row>
        <row r="44">
          <cell r="A44" t="str">
            <v>V14073</v>
          </cell>
          <cell r="B44" t="str">
            <v>MR. MEHFUJ</v>
          </cell>
          <cell r="C44">
            <v>1</v>
          </cell>
          <cell r="E44">
            <v>39802</v>
          </cell>
          <cell r="F44">
            <v>0.5</v>
          </cell>
          <cell r="I44" t="str">
            <v>V01305</v>
          </cell>
          <cell r="J44" t="str">
            <v>CTC</v>
          </cell>
          <cell r="K44" t="str">
            <v>YES</v>
          </cell>
        </row>
        <row r="45">
          <cell r="A45" t="str">
            <v>V14436</v>
          </cell>
          <cell r="B45" t="str">
            <v>MR. ABHINAVA  KUMAR</v>
          </cell>
          <cell r="C45">
            <v>1</v>
          </cell>
          <cell r="E45">
            <v>40310</v>
          </cell>
          <cell r="F45">
            <v>0.2</v>
          </cell>
          <cell r="I45" t="str">
            <v>V09822</v>
          </cell>
          <cell r="J45" t="str">
            <v>CTC</v>
          </cell>
          <cell r="K45" t="str">
            <v>YES</v>
          </cell>
        </row>
        <row r="46">
          <cell r="A46" t="str">
            <v>V14940</v>
          </cell>
          <cell r="B46" t="str">
            <v>MR. GAJENDRA KUMAR PATHAK</v>
          </cell>
          <cell r="C46">
            <v>1</v>
          </cell>
          <cell r="E46">
            <v>40874</v>
          </cell>
          <cell r="F46">
            <v>0.2</v>
          </cell>
          <cell r="I46" t="str">
            <v>V2S503</v>
          </cell>
          <cell r="J46" t="str">
            <v>CTC</v>
          </cell>
          <cell r="K46" t="str">
            <v>YES</v>
          </cell>
        </row>
        <row r="47">
          <cell r="A47" t="str">
            <v>V15525</v>
          </cell>
          <cell r="B47" t="str">
            <v>MR. VIVEK  KUMAR</v>
          </cell>
          <cell r="C47">
            <v>1</v>
          </cell>
          <cell r="E47">
            <v>26268</v>
          </cell>
          <cell r="F47">
            <v>0.2</v>
          </cell>
          <cell r="I47" t="str">
            <v>V08177</v>
          </cell>
          <cell r="J47" t="str">
            <v>CTC</v>
          </cell>
          <cell r="K47" t="str">
            <v>YES</v>
          </cell>
        </row>
        <row r="48">
          <cell r="A48" t="str">
            <v>V16530</v>
          </cell>
          <cell r="B48" t="str">
            <v>MR. ANAND PRATAP SINGH</v>
          </cell>
          <cell r="C48">
            <v>1</v>
          </cell>
          <cell r="E48">
            <v>72000</v>
          </cell>
          <cell r="F48">
            <v>0.7</v>
          </cell>
          <cell r="I48" t="str">
            <v>V02335</v>
          </cell>
          <cell r="J48" t="str">
            <v>CTC</v>
          </cell>
          <cell r="K48" t="str">
            <v>YES</v>
          </cell>
        </row>
        <row r="49">
          <cell r="A49" t="str">
            <v>V16530</v>
          </cell>
          <cell r="B49" t="str">
            <v>MR. ANAND PRATAP SINGH</v>
          </cell>
          <cell r="C49">
            <v>0</v>
          </cell>
          <cell r="E49">
            <v>60000</v>
          </cell>
          <cell r="F49">
            <v>0.2</v>
          </cell>
          <cell r="I49" t="str">
            <v>V18574</v>
          </cell>
          <cell r="J49" t="str">
            <v>CTC</v>
          </cell>
          <cell r="K49" t="str">
            <v>YES</v>
          </cell>
        </row>
        <row r="50">
          <cell r="A50" t="str">
            <v>V16619</v>
          </cell>
          <cell r="B50" t="str">
            <v>MR. VIRENDER SINGH</v>
          </cell>
          <cell r="C50">
            <v>1</v>
          </cell>
          <cell r="E50">
            <v>57500</v>
          </cell>
          <cell r="F50">
            <v>0.5</v>
          </cell>
          <cell r="I50" t="str">
            <v>V46116</v>
          </cell>
          <cell r="J50" t="str">
            <v>CTC</v>
          </cell>
          <cell r="K50" t="str">
            <v>YES</v>
          </cell>
        </row>
        <row r="51">
          <cell r="A51" t="str">
            <v>V16619</v>
          </cell>
          <cell r="B51" t="str">
            <v>MR. VIRENDER SINGH</v>
          </cell>
          <cell r="C51">
            <v>0</v>
          </cell>
          <cell r="E51">
            <v>50000</v>
          </cell>
          <cell r="F51">
            <v>0.2</v>
          </cell>
          <cell r="I51" t="str">
            <v>V08175</v>
          </cell>
          <cell r="J51" t="str">
            <v>CTC</v>
          </cell>
          <cell r="K51" t="str">
            <v>YES</v>
          </cell>
        </row>
        <row r="52">
          <cell r="A52" t="str">
            <v>V17484</v>
          </cell>
          <cell r="B52" t="str">
            <v>MR. RITESH KUMAR JHA</v>
          </cell>
          <cell r="C52">
            <v>1</v>
          </cell>
          <cell r="E52">
            <v>80000</v>
          </cell>
          <cell r="F52">
            <v>0.7</v>
          </cell>
          <cell r="I52" t="str">
            <v>V00743</v>
          </cell>
          <cell r="J52" t="str">
            <v>CTC</v>
          </cell>
          <cell r="K52" t="str">
            <v>YES</v>
          </cell>
        </row>
        <row r="53">
          <cell r="A53" t="str">
            <v>V17487</v>
          </cell>
          <cell r="B53" t="str">
            <v>MR. ANURAG SRIVASTAV</v>
          </cell>
          <cell r="C53">
            <v>1</v>
          </cell>
          <cell r="E53">
            <v>144719</v>
          </cell>
          <cell r="F53">
            <v>0.7</v>
          </cell>
          <cell r="I53" t="str">
            <v>V09553</v>
          </cell>
          <cell r="J53" t="str">
            <v>CTC</v>
          </cell>
          <cell r="K53" t="str">
            <v>YES</v>
          </cell>
        </row>
        <row r="54">
          <cell r="A54" t="str">
            <v>V17512</v>
          </cell>
          <cell r="B54" t="str">
            <v>MS. KONIKA</v>
          </cell>
          <cell r="C54">
            <v>1</v>
          </cell>
          <cell r="E54">
            <v>40000</v>
          </cell>
          <cell r="F54">
            <v>0.5</v>
          </cell>
          <cell r="I54" t="str">
            <v>V2S182</v>
          </cell>
          <cell r="J54" t="str">
            <v>CTC</v>
          </cell>
          <cell r="K54" t="str">
            <v>YES</v>
          </cell>
        </row>
        <row r="55">
          <cell r="A55" t="str">
            <v>V17512</v>
          </cell>
          <cell r="B55" t="str">
            <v>MS. KONIKA</v>
          </cell>
          <cell r="C55">
            <v>0</v>
          </cell>
          <cell r="E55">
            <v>29000</v>
          </cell>
          <cell r="F55">
            <v>0.2</v>
          </cell>
          <cell r="I55" t="str">
            <v>V22248</v>
          </cell>
          <cell r="J55" t="str">
            <v>CTC</v>
          </cell>
          <cell r="K55" t="str">
            <v>YES</v>
          </cell>
        </row>
        <row r="56">
          <cell r="A56" t="str">
            <v>V17518</v>
          </cell>
          <cell r="B56" t="str">
            <v>MS. AARTI CHAND</v>
          </cell>
          <cell r="C56">
            <v>1</v>
          </cell>
          <cell r="E56">
            <v>24588</v>
          </cell>
          <cell r="F56">
            <v>0.2</v>
          </cell>
          <cell r="I56" t="str">
            <v>V18132</v>
          </cell>
          <cell r="J56" t="str">
            <v>CTC</v>
          </cell>
          <cell r="K56" t="str">
            <v>YES</v>
          </cell>
        </row>
        <row r="57">
          <cell r="A57" t="str">
            <v>V17532</v>
          </cell>
          <cell r="B57" t="str">
            <v>MS. VARSHA RAWAT</v>
          </cell>
          <cell r="C57">
            <v>1</v>
          </cell>
          <cell r="E57">
            <v>33168</v>
          </cell>
          <cell r="F57">
            <v>0.2</v>
          </cell>
          <cell r="I57" t="str">
            <v>V41772</v>
          </cell>
          <cell r="J57" t="str">
            <v>CTC</v>
          </cell>
          <cell r="K57" t="str">
            <v>YES</v>
          </cell>
        </row>
        <row r="58">
          <cell r="A58" t="str">
            <v>V17741</v>
          </cell>
          <cell r="B58" t="str">
            <v>MR. AKASH SINGH</v>
          </cell>
          <cell r="C58">
            <v>1</v>
          </cell>
          <cell r="E58">
            <v>49994</v>
          </cell>
          <cell r="F58">
            <v>0.2</v>
          </cell>
          <cell r="I58" t="str">
            <v>V27069</v>
          </cell>
          <cell r="J58" t="str">
            <v>CTC</v>
          </cell>
          <cell r="K58" t="str">
            <v>YES</v>
          </cell>
        </row>
        <row r="59">
          <cell r="A59" t="str">
            <v>V18132</v>
          </cell>
          <cell r="B59" t="str">
            <v>MR. AMIT KUMAR YADAV</v>
          </cell>
          <cell r="C59">
            <v>1</v>
          </cell>
          <cell r="E59">
            <v>91380</v>
          </cell>
          <cell r="F59">
            <v>0.5</v>
          </cell>
          <cell r="I59" t="str">
            <v>V21860</v>
          </cell>
          <cell r="J59" t="str">
            <v>CTC</v>
          </cell>
          <cell r="K59" t="str">
            <v>YES</v>
          </cell>
        </row>
        <row r="60">
          <cell r="A60" t="str">
            <v>V18132</v>
          </cell>
          <cell r="B60" t="str">
            <v>MR. AMIT KUMAR YADAV</v>
          </cell>
          <cell r="C60">
            <v>0</v>
          </cell>
          <cell r="E60">
            <v>79460</v>
          </cell>
          <cell r="F60">
            <v>0.2</v>
          </cell>
          <cell r="I60" t="str">
            <v>V24663</v>
          </cell>
          <cell r="J60" t="str">
            <v>CTC</v>
          </cell>
          <cell r="K60" t="str">
            <v>YES</v>
          </cell>
        </row>
        <row r="61">
          <cell r="A61" t="str">
            <v>V18204</v>
          </cell>
          <cell r="B61" t="str">
            <v>MR. AMIT SEHRAWAT</v>
          </cell>
          <cell r="C61">
            <v>1</v>
          </cell>
          <cell r="E61">
            <v>215107</v>
          </cell>
          <cell r="F61">
            <v>0.7</v>
          </cell>
          <cell r="I61" t="str">
            <v>V2S192</v>
          </cell>
          <cell r="J61" t="str">
            <v>CTC</v>
          </cell>
          <cell r="K61" t="str">
            <v>YES</v>
          </cell>
        </row>
        <row r="62">
          <cell r="A62" t="str">
            <v>V18222</v>
          </cell>
          <cell r="B62" t="str">
            <v>MS. ANKITA  PACHAURI</v>
          </cell>
          <cell r="C62">
            <v>1</v>
          </cell>
          <cell r="E62">
            <v>70000</v>
          </cell>
          <cell r="F62">
            <v>0.5</v>
          </cell>
          <cell r="I62" t="str">
            <v>V13519</v>
          </cell>
          <cell r="J62" t="str">
            <v>CTC</v>
          </cell>
          <cell r="K62" t="str">
            <v>YES</v>
          </cell>
        </row>
        <row r="63">
          <cell r="A63" t="str">
            <v>V18222</v>
          </cell>
          <cell r="B63" t="str">
            <v>MS. ANKITA  PACHAURI</v>
          </cell>
          <cell r="C63">
            <v>0</v>
          </cell>
          <cell r="E63">
            <v>50000</v>
          </cell>
          <cell r="F63">
            <v>0.2</v>
          </cell>
          <cell r="I63" t="str">
            <v>V2S038</v>
          </cell>
          <cell r="J63" t="str">
            <v>CTC</v>
          </cell>
          <cell r="K63" t="str">
            <v>YES</v>
          </cell>
        </row>
        <row r="64">
          <cell r="A64" t="str">
            <v>V18224</v>
          </cell>
          <cell r="B64" t="str">
            <v>MR. SURINDER  KUMAR</v>
          </cell>
          <cell r="C64">
            <v>1</v>
          </cell>
          <cell r="E64">
            <v>105235</v>
          </cell>
          <cell r="F64">
            <v>0.7</v>
          </cell>
          <cell r="I64" t="str">
            <v>V20634</v>
          </cell>
          <cell r="J64" t="str">
            <v>CTC</v>
          </cell>
          <cell r="K64" t="str">
            <v>YES</v>
          </cell>
        </row>
        <row r="65">
          <cell r="A65" t="str">
            <v>V18412</v>
          </cell>
          <cell r="B65" t="str">
            <v>MR. ARUN  NARDIA</v>
          </cell>
          <cell r="C65">
            <v>1</v>
          </cell>
          <cell r="E65">
            <v>175436</v>
          </cell>
          <cell r="F65">
            <v>0.7</v>
          </cell>
          <cell r="I65" t="str">
            <v>V2S043</v>
          </cell>
          <cell r="J65" t="str">
            <v>CTC</v>
          </cell>
          <cell r="K65" t="str">
            <v>YES</v>
          </cell>
        </row>
        <row r="66">
          <cell r="A66" t="str">
            <v>V18412</v>
          </cell>
          <cell r="B66" t="str">
            <v>MR. ARUN  NARDIA</v>
          </cell>
          <cell r="C66">
            <v>0</v>
          </cell>
          <cell r="E66">
            <v>103500</v>
          </cell>
          <cell r="F66">
            <v>0.2</v>
          </cell>
          <cell r="I66" t="str">
            <v>V44093</v>
          </cell>
          <cell r="J66" t="str">
            <v>CTC</v>
          </cell>
          <cell r="K66" t="str">
            <v>YES</v>
          </cell>
        </row>
        <row r="67">
          <cell r="A67" t="str">
            <v>V18585</v>
          </cell>
          <cell r="B67" t="str">
            <v>MR. MOHIT KUMAR</v>
          </cell>
          <cell r="C67">
            <v>1</v>
          </cell>
          <cell r="E67">
            <v>222923</v>
          </cell>
          <cell r="F67">
            <v>0.7</v>
          </cell>
          <cell r="I67" t="str">
            <v>V24502</v>
          </cell>
          <cell r="J67" t="str">
            <v>CTC</v>
          </cell>
          <cell r="K67" t="str">
            <v>YES</v>
          </cell>
        </row>
        <row r="68">
          <cell r="A68" t="str">
            <v>V18585</v>
          </cell>
          <cell r="B68" t="str">
            <v>MR. MOHIT KUMAR</v>
          </cell>
          <cell r="C68">
            <v>0</v>
          </cell>
          <cell r="E68">
            <v>136413</v>
          </cell>
          <cell r="F68">
            <v>0.2</v>
          </cell>
          <cell r="I68" t="str">
            <v>V37004</v>
          </cell>
          <cell r="J68" t="str">
            <v>CTC</v>
          </cell>
          <cell r="K68" t="str">
            <v>YES</v>
          </cell>
        </row>
        <row r="69">
          <cell r="A69" t="str">
            <v>V18609</v>
          </cell>
          <cell r="B69" t="str">
            <v>MR. AMIT  KUMAR</v>
          </cell>
          <cell r="C69">
            <v>1</v>
          </cell>
          <cell r="E69">
            <v>127140</v>
          </cell>
          <cell r="F69">
            <v>0.5</v>
          </cell>
          <cell r="I69" t="str">
            <v>V25415</v>
          </cell>
          <cell r="J69" t="str">
            <v>CTC</v>
          </cell>
          <cell r="K69" t="str">
            <v>YES</v>
          </cell>
        </row>
        <row r="70">
          <cell r="A70" t="str">
            <v>V18609</v>
          </cell>
          <cell r="B70" t="str">
            <v>MR. AMIT  KUMAR</v>
          </cell>
          <cell r="C70">
            <v>0</v>
          </cell>
          <cell r="E70">
            <v>105074</v>
          </cell>
          <cell r="F70">
            <v>0.2</v>
          </cell>
          <cell r="I70" t="str">
            <v>V17484</v>
          </cell>
          <cell r="J70" t="str">
            <v>CTC</v>
          </cell>
          <cell r="K70" t="str">
            <v>YES</v>
          </cell>
        </row>
        <row r="71">
          <cell r="A71" t="str">
            <v>V19090</v>
          </cell>
          <cell r="B71" t="str">
            <v>MR. JAIKRISHNA CHOUDHARY</v>
          </cell>
          <cell r="C71">
            <v>1</v>
          </cell>
          <cell r="E71">
            <v>48000</v>
          </cell>
          <cell r="F71">
            <v>0.7</v>
          </cell>
          <cell r="I71" t="str">
            <v>V41893</v>
          </cell>
          <cell r="J71" t="str">
            <v>CTC</v>
          </cell>
          <cell r="K71" t="str">
            <v>YES</v>
          </cell>
        </row>
        <row r="72">
          <cell r="A72" t="str">
            <v>V19145</v>
          </cell>
          <cell r="B72" t="str">
            <v>MR. RAMAKANT</v>
          </cell>
          <cell r="C72">
            <v>1</v>
          </cell>
          <cell r="E72">
            <v>22165</v>
          </cell>
          <cell r="F72">
            <v>0.2</v>
          </cell>
          <cell r="I72" t="str">
            <v>V37335</v>
          </cell>
          <cell r="J72" t="str">
            <v>CTC</v>
          </cell>
          <cell r="K72" t="str">
            <v>YES</v>
          </cell>
        </row>
        <row r="73">
          <cell r="A73" t="str">
            <v>V19258</v>
          </cell>
          <cell r="B73" t="str">
            <v>MR. DEEPAK KUMAR TIWARI</v>
          </cell>
          <cell r="C73">
            <v>1</v>
          </cell>
          <cell r="E73">
            <v>107713</v>
          </cell>
          <cell r="F73">
            <v>0.7</v>
          </cell>
          <cell r="I73" t="str">
            <v>V28194</v>
          </cell>
          <cell r="J73" t="str">
            <v>CTC</v>
          </cell>
          <cell r="K73" t="str">
            <v>YES</v>
          </cell>
        </row>
        <row r="74">
          <cell r="A74" t="str">
            <v>V19376</v>
          </cell>
          <cell r="B74" t="str">
            <v>MR. KRISHNA CHANDRA BHATT</v>
          </cell>
          <cell r="C74">
            <v>1</v>
          </cell>
          <cell r="E74">
            <v>25490</v>
          </cell>
          <cell r="F74">
            <v>0.5</v>
          </cell>
          <cell r="I74" t="str">
            <v>V19880</v>
          </cell>
          <cell r="J74" t="str">
            <v>CTC</v>
          </cell>
          <cell r="K74" t="str">
            <v>YES</v>
          </cell>
        </row>
        <row r="75">
          <cell r="A75" t="str">
            <v>V19675</v>
          </cell>
          <cell r="B75" t="str">
            <v>MR. GAURAV BHUTANI</v>
          </cell>
          <cell r="C75">
            <v>1</v>
          </cell>
          <cell r="E75">
            <v>645407</v>
          </cell>
          <cell r="F75">
            <v>0.7</v>
          </cell>
          <cell r="I75" t="str">
            <v>V10217</v>
          </cell>
          <cell r="J75" t="str">
            <v>CTC</v>
          </cell>
          <cell r="K75" t="str">
            <v>YES</v>
          </cell>
        </row>
        <row r="76">
          <cell r="A76" t="str">
            <v>V19794</v>
          </cell>
          <cell r="B76" t="str">
            <v>MR. AJAY  TANWAR</v>
          </cell>
          <cell r="C76">
            <v>1</v>
          </cell>
          <cell r="E76">
            <v>46368</v>
          </cell>
          <cell r="F76">
            <v>0.2</v>
          </cell>
          <cell r="I76" t="str">
            <v>V2S163</v>
          </cell>
          <cell r="J76" t="str">
            <v>CTC</v>
          </cell>
          <cell r="K76" t="str">
            <v>YES</v>
          </cell>
        </row>
        <row r="77">
          <cell r="A77" t="str">
            <v>V19880</v>
          </cell>
          <cell r="B77" t="str">
            <v>MR. AMIT KUMAR</v>
          </cell>
          <cell r="C77">
            <v>1</v>
          </cell>
          <cell r="E77">
            <v>79258</v>
          </cell>
          <cell r="F77">
            <v>0.2</v>
          </cell>
          <cell r="I77" t="str">
            <v>V2S364</v>
          </cell>
          <cell r="J77" t="str">
            <v>CTC</v>
          </cell>
          <cell r="K77" t="str">
            <v>YES</v>
          </cell>
        </row>
        <row r="78">
          <cell r="A78" t="str">
            <v>V20322</v>
          </cell>
          <cell r="B78" t="str">
            <v>MR. CHETAN DEV</v>
          </cell>
          <cell r="C78">
            <v>1</v>
          </cell>
          <cell r="E78">
            <v>48530</v>
          </cell>
          <cell r="F78">
            <v>0.2</v>
          </cell>
          <cell r="I78" t="str">
            <v>V35982</v>
          </cell>
          <cell r="J78" t="str">
            <v>CTC</v>
          </cell>
          <cell r="K78" t="str">
            <v>YES</v>
          </cell>
        </row>
        <row r="79">
          <cell r="A79" t="str">
            <v>V20588</v>
          </cell>
          <cell r="B79" t="str">
            <v>MR. AMAN KUMAR</v>
          </cell>
          <cell r="C79">
            <v>1</v>
          </cell>
          <cell r="E79">
            <v>38500</v>
          </cell>
          <cell r="F79">
            <v>0.5</v>
          </cell>
          <cell r="I79" t="str">
            <v>V41098</v>
          </cell>
          <cell r="J79" t="str">
            <v>CTC</v>
          </cell>
          <cell r="K79" t="str">
            <v>YES</v>
          </cell>
        </row>
        <row r="80">
          <cell r="A80" t="str">
            <v>V20602</v>
          </cell>
          <cell r="B80" t="str">
            <v>MR. SHIVAM KUMAR</v>
          </cell>
          <cell r="C80">
            <v>1</v>
          </cell>
          <cell r="E80">
            <v>28050</v>
          </cell>
          <cell r="F80">
            <v>0.2</v>
          </cell>
          <cell r="I80" t="str">
            <v>V43398</v>
          </cell>
          <cell r="J80" t="str">
            <v>CTC</v>
          </cell>
          <cell r="K80" t="str">
            <v>YES</v>
          </cell>
        </row>
        <row r="81">
          <cell r="A81" t="str">
            <v>V20888</v>
          </cell>
          <cell r="B81" t="str">
            <v>MR. BARUN GHOSH</v>
          </cell>
          <cell r="C81">
            <v>1</v>
          </cell>
          <cell r="E81">
            <v>38962</v>
          </cell>
          <cell r="F81">
            <v>0.2</v>
          </cell>
          <cell r="I81" t="str">
            <v>V18233</v>
          </cell>
          <cell r="J81" t="str">
            <v>CTC</v>
          </cell>
          <cell r="K81" t="str">
            <v>YES</v>
          </cell>
        </row>
        <row r="82">
          <cell r="A82" t="str">
            <v>V21447</v>
          </cell>
          <cell r="B82" t="str">
            <v>MR. RAJNEESH SHARMA</v>
          </cell>
          <cell r="C82">
            <v>1</v>
          </cell>
          <cell r="E82">
            <v>108000</v>
          </cell>
          <cell r="F82">
            <v>0.7</v>
          </cell>
          <cell r="I82" t="str">
            <v>V18379</v>
          </cell>
          <cell r="J82" t="str">
            <v>CTC</v>
          </cell>
          <cell r="K82" t="str">
            <v>YES</v>
          </cell>
        </row>
        <row r="83">
          <cell r="A83" t="str">
            <v>V21704</v>
          </cell>
          <cell r="B83" t="str">
            <v>MR. RAJESH KUMAR</v>
          </cell>
          <cell r="C83">
            <v>1</v>
          </cell>
          <cell r="E83">
            <v>32200</v>
          </cell>
          <cell r="F83">
            <v>0.2</v>
          </cell>
          <cell r="I83" t="str">
            <v>V00549</v>
          </cell>
          <cell r="J83" t="str">
            <v>CTC</v>
          </cell>
          <cell r="K83" t="str">
            <v>YES</v>
          </cell>
        </row>
        <row r="84">
          <cell r="A84" t="str">
            <v>V21860</v>
          </cell>
          <cell r="B84" t="str">
            <v>MR. SANTOSH SHARMA</v>
          </cell>
          <cell r="C84">
            <v>1</v>
          </cell>
          <cell r="E84">
            <v>88598</v>
          </cell>
          <cell r="F84">
            <v>0.7</v>
          </cell>
          <cell r="I84" t="str">
            <v>V41802</v>
          </cell>
          <cell r="J84" t="str">
            <v>CTC</v>
          </cell>
          <cell r="K84" t="str">
            <v>YES</v>
          </cell>
        </row>
        <row r="85">
          <cell r="A85" t="str">
            <v>V22107</v>
          </cell>
          <cell r="B85" t="str">
            <v>MR. ANMOL KUMAR</v>
          </cell>
          <cell r="C85">
            <v>1</v>
          </cell>
          <cell r="E85">
            <v>46200</v>
          </cell>
          <cell r="F85">
            <v>0.5</v>
          </cell>
          <cell r="I85" t="str">
            <v>V01668</v>
          </cell>
          <cell r="J85" t="str">
            <v>CTC</v>
          </cell>
          <cell r="K85" t="str">
            <v>YES</v>
          </cell>
        </row>
        <row r="86">
          <cell r="A86" t="str">
            <v>V22107</v>
          </cell>
          <cell r="B86" t="str">
            <v>MR. ANMOL KUMAR</v>
          </cell>
          <cell r="C86">
            <v>0</v>
          </cell>
          <cell r="E86">
            <v>38500</v>
          </cell>
          <cell r="F86">
            <v>0.2</v>
          </cell>
          <cell r="I86" t="str">
            <v>V19090</v>
          </cell>
          <cell r="J86" t="str">
            <v>CTC</v>
          </cell>
          <cell r="K86" t="str">
            <v>YES</v>
          </cell>
        </row>
        <row r="87">
          <cell r="A87" t="str">
            <v>V22545</v>
          </cell>
          <cell r="B87" t="str">
            <v>MR. PRAKASH MISHRA</v>
          </cell>
          <cell r="C87">
            <v>1</v>
          </cell>
          <cell r="E87">
            <v>116402</v>
          </cell>
          <cell r="F87">
            <v>0.5</v>
          </cell>
          <cell r="I87" t="str">
            <v>V41797</v>
          </cell>
          <cell r="J87" t="str">
            <v>CTC</v>
          </cell>
          <cell r="K87" t="str">
            <v>YES</v>
          </cell>
        </row>
        <row r="88">
          <cell r="A88" t="str">
            <v>V22545</v>
          </cell>
          <cell r="B88" t="str">
            <v>MR. PRAKASH MISHRA</v>
          </cell>
          <cell r="C88">
            <v>0</v>
          </cell>
          <cell r="E88">
            <v>105820</v>
          </cell>
          <cell r="F88">
            <v>0.2</v>
          </cell>
          <cell r="I88" t="str">
            <v>V25659</v>
          </cell>
          <cell r="J88" t="str">
            <v>CTC</v>
          </cell>
          <cell r="K88" t="str">
            <v>YES</v>
          </cell>
        </row>
        <row r="89">
          <cell r="A89" t="str">
            <v>V23373</v>
          </cell>
          <cell r="B89" t="str">
            <v>MR. AAYUSH  GARG</v>
          </cell>
          <cell r="C89">
            <v>1</v>
          </cell>
          <cell r="E89">
            <v>134242</v>
          </cell>
          <cell r="F89">
            <v>0.5</v>
          </cell>
          <cell r="I89" t="str">
            <v>V39630</v>
          </cell>
          <cell r="J89" t="str">
            <v>CTC</v>
          </cell>
          <cell r="K89" t="str">
            <v>YES</v>
          </cell>
        </row>
        <row r="90">
          <cell r="A90" t="str">
            <v>V23375</v>
          </cell>
          <cell r="B90" t="str">
            <v>MR. NIKHIL</v>
          </cell>
          <cell r="C90">
            <v>1</v>
          </cell>
          <cell r="E90">
            <v>248010</v>
          </cell>
          <cell r="F90">
            <v>0.2</v>
          </cell>
          <cell r="I90" t="str">
            <v>V18222</v>
          </cell>
          <cell r="J90" t="str">
            <v>CTC</v>
          </cell>
          <cell r="K90" t="str">
            <v>YES</v>
          </cell>
        </row>
        <row r="91">
          <cell r="A91" t="str">
            <v>V23574</v>
          </cell>
          <cell r="B91" t="str">
            <v>MR. AMAR NATH YADAV</v>
          </cell>
          <cell r="C91">
            <v>1</v>
          </cell>
          <cell r="E91">
            <v>284846</v>
          </cell>
          <cell r="F91">
            <v>0.7</v>
          </cell>
          <cell r="I91" t="str">
            <v>V24893</v>
          </cell>
          <cell r="J91" t="str">
            <v>CTC</v>
          </cell>
          <cell r="K91" t="str">
            <v>YES</v>
          </cell>
        </row>
        <row r="92">
          <cell r="A92" t="str">
            <v>V23574</v>
          </cell>
          <cell r="B92" t="str">
            <v>MR. AMAR NATH YADAV</v>
          </cell>
          <cell r="C92">
            <v>0</v>
          </cell>
          <cell r="E92">
            <v>243100</v>
          </cell>
          <cell r="F92">
            <v>0.2</v>
          </cell>
          <cell r="I92" t="str">
            <v>V17911</v>
          </cell>
          <cell r="J92" t="str">
            <v>CTC</v>
          </cell>
          <cell r="K92" t="str">
            <v>YES</v>
          </cell>
        </row>
        <row r="93">
          <cell r="A93" t="str">
            <v>V23899</v>
          </cell>
          <cell r="B93" t="str">
            <v>MR. RANDHIR KUMAR SINGH</v>
          </cell>
          <cell r="C93">
            <v>1</v>
          </cell>
          <cell r="E93">
            <v>53900</v>
          </cell>
          <cell r="F93">
            <v>0.2</v>
          </cell>
          <cell r="I93" t="str">
            <v>V12326</v>
          </cell>
          <cell r="J93" t="str">
            <v>CTC</v>
          </cell>
          <cell r="K93" t="str">
            <v>YES</v>
          </cell>
        </row>
        <row r="94">
          <cell r="A94" t="str">
            <v>V23938</v>
          </cell>
          <cell r="B94" t="str">
            <v>MR. VISHAL SINGH</v>
          </cell>
          <cell r="C94">
            <v>1</v>
          </cell>
          <cell r="E94">
            <v>60500</v>
          </cell>
          <cell r="F94">
            <v>0.2</v>
          </cell>
          <cell r="I94" t="str">
            <v>V29249</v>
          </cell>
          <cell r="J94" t="str">
            <v>CTC</v>
          </cell>
          <cell r="K94" t="str">
            <v>YES</v>
          </cell>
        </row>
        <row r="95">
          <cell r="A95" t="str">
            <v>V23939</v>
          </cell>
          <cell r="B95" t="str">
            <v>MR. SHYAM SUNDAR KARDAM</v>
          </cell>
          <cell r="C95">
            <v>1</v>
          </cell>
          <cell r="E95">
            <v>20776</v>
          </cell>
          <cell r="F95">
            <v>0.2</v>
          </cell>
          <cell r="I95" t="str">
            <v>V25536</v>
          </cell>
          <cell r="J95" t="str">
            <v>CTC</v>
          </cell>
          <cell r="K95" t="str">
            <v>YES</v>
          </cell>
        </row>
        <row r="96">
          <cell r="A96" t="str">
            <v>V23962</v>
          </cell>
          <cell r="B96" t="str">
            <v>MR. MANISH KUMARR</v>
          </cell>
          <cell r="C96">
            <v>1</v>
          </cell>
          <cell r="E96">
            <v>30000</v>
          </cell>
          <cell r="F96">
            <v>0.2</v>
          </cell>
          <cell r="I96" t="str">
            <v>V27810</v>
          </cell>
          <cell r="J96" t="str">
            <v>CTC</v>
          </cell>
          <cell r="K96" t="str">
            <v>YES</v>
          </cell>
        </row>
        <row r="97">
          <cell r="A97" t="str">
            <v>V24494</v>
          </cell>
          <cell r="B97" t="str">
            <v>MR. AJAY KUMAR RANA</v>
          </cell>
          <cell r="C97">
            <v>1</v>
          </cell>
          <cell r="E97">
            <v>159231</v>
          </cell>
          <cell r="F97">
            <v>0.5</v>
          </cell>
          <cell r="I97" t="str">
            <v>V09740</v>
          </cell>
          <cell r="J97" t="str">
            <v>CTC</v>
          </cell>
          <cell r="K97" t="str">
            <v>YES</v>
          </cell>
        </row>
        <row r="98">
          <cell r="A98" t="str">
            <v>V24893</v>
          </cell>
          <cell r="B98" t="str">
            <v>MR. AATISH BAJAJ</v>
          </cell>
          <cell r="C98">
            <v>1</v>
          </cell>
          <cell r="E98">
            <v>65780</v>
          </cell>
          <cell r="F98">
            <v>0.5</v>
          </cell>
          <cell r="I98" t="str">
            <v>V21781</v>
          </cell>
          <cell r="J98" t="str">
            <v>CTC</v>
          </cell>
          <cell r="K98" t="str">
            <v>YES</v>
          </cell>
        </row>
        <row r="99">
          <cell r="A99" t="str">
            <v>V24893</v>
          </cell>
          <cell r="B99" t="str">
            <v>MR. AATISH BAJAJ</v>
          </cell>
          <cell r="C99">
            <v>0</v>
          </cell>
          <cell r="E99">
            <v>59800</v>
          </cell>
          <cell r="F99">
            <v>0.2</v>
          </cell>
          <cell r="I99" t="str">
            <v>V37436</v>
          </cell>
          <cell r="J99" t="str">
            <v>CTC</v>
          </cell>
          <cell r="K99" t="str">
            <v>YES</v>
          </cell>
        </row>
        <row r="100">
          <cell r="A100" t="str">
            <v>V25150</v>
          </cell>
          <cell r="B100" t="str">
            <v>MR. DEEPANSH PRATAP</v>
          </cell>
          <cell r="C100">
            <v>1</v>
          </cell>
          <cell r="E100">
            <v>35000</v>
          </cell>
          <cell r="F100">
            <v>0.2</v>
          </cell>
          <cell r="I100" t="str">
            <v>V20008</v>
          </cell>
          <cell r="J100" t="str">
            <v>CTC</v>
          </cell>
          <cell r="K100" t="str">
            <v>YES</v>
          </cell>
        </row>
        <row r="101">
          <cell r="A101" t="str">
            <v>V25153</v>
          </cell>
          <cell r="B101" t="str">
            <v>MR. SANDEEPT KUMAR ROUT</v>
          </cell>
          <cell r="C101">
            <v>1</v>
          </cell>
          <cell r="E101">
            <v>42000</v>
          </cell>
          <cell r="F101">
            <v>0.7</v>
          </cell>
          <cell r="I101" t="str">
            <v>V26510</v>
          </cell>
          <cell r="J101" t="str">
            <v>CTC</v>
          </cell>
          <cell r="K101" t="str">
            <v>YES</v>
          </cell>
        </row>
        <row r="102">
          <cell r="A102" t="str">
            <v>V25153</v>
          </cell>
          <cell r="B102" t="str">
            <v>MR. SANDEEPT KUMAR ROUT</v>
          </cell>
          <cell r="C102">
            <v>0</v>
          </cell>
          <cell r="E102">
            <v>25000</v>
          </cell>
          <cell r="F102">
            <v>0.2</v>
          </cell>
          <cell r="I102" t="str">
            <v>V43726</v>
          </cell>
          <cell r="J102" t="str">
            <v>CTC</v>
          </cell>
          <cell r="K102" t="str">
            <v>YES</v>
          </cell>
        </row>
        <row r="103">
          <cell r="A103" t="str">
            <v>V25382</v>
          </cell>
          <cell r="B103" t="str">
            <v>MR. INDRA KUMAR MISHRA</v>
          </cell>
          <cell r="C103">
            <v>1</v>
          </cell>
          <cell r="E103">
            <v>120999</v>
          </cell>
          <cell r="F103">
            <v>0.7</v>
          </cell>
          <cell r="I103" t="str">
            <v>V18239</v>
          </cell>
          <cell r="J103" t="str">
            <v>CTC</v>
          </cell>
          <cell r="K103" t="str">
            <v>YES</v>
          </cell>
        </row>
        <row r="104">
          <cell r="A104" t="str">
            <v>V25382</v>
          </cell>
          <cell r="B104" t="str">
            <v>MR. INDRA KUMAR MISHRA</v>
          </cell>
          <cell r="C104">
            <v>0</v>
          </cell>
          <cell r="E104">
            <v>110000</v>
          </cell>
          <cell r="F104">
            <v>0.2</v>
          </cell>
          <cell r="I104" t="str">
            <v>V44613</v>
          </cell>
          <cell r="J104" t="str">
            <v>CTC</v>
          </cell>
          <cell r="K104" t="str">
            <v>YES</v>
          </cell>
        </row>
        <row r="105">
          <cell r="A105" t="str">
            <v>V25415</v>
          </cell>
          <cell r="B105" t="str">
            <v>MR. PINTU VERMA</v>
          </cell>
          <cell r="C105">
            <v>1</v>
          </cell>
          <cell r="E105">
            <v>61800</v>
          </cell>
          <cell r="F105">
            <v>0.2</v>
          </cell>
          <cell r="I105" t="str">
            <v>V15104</v>
          </cell>
          <cell r="J105" t="str">
            <v>CTC</v>
          </cell>
          <cell r="K105" t="str">
            <v>YES</v>
          </cell>
        </row>
        <row r="106">
          <cell r="A106" t="str">
            <v>V25581</v>
          </cell>
          <cell r="B106" t="str">
            <v>MR. SHIVAM AGGARWAL</v>
          </cell>
          <cell r="C106">
            <v>1</v>
          </cell>
          <cell r="E106">
            <v>111120</v>
          </cell>
          <cell r="F106">
            <v>0.5</v>
          </cell>
          <cell r="I106" t="str">
            <v>V09417</v>
          </cell>
          <cell r="J106" t="str">
            <v>CTC</v>
          </cell>
          <cell r="K106" t="str">
            <v>YES</v>
          </cell>
        </row>
        <row r="107">
          <cell r="A107" t="str">
            <v>V25581</v>
          </cell>
          <cell r="B107" t="str">
            <v>MR. SHIVAM AGGARWAL</v>
          </cell>
          <cell r="C107">
            <v>0</v>
          </cell>
          <cell r="E107">
            <v>92600</v>
          </cell>
          <cell r="F107">
            <v>0.2</v>
          </cell>
          <cell r="I107" t="str">
            <v>V18079</v>
          </cell>
          <cell r="J107" t="str">
            <v>CTC</v>
          </cell>
          <cell r="K107" t="str">
            <v>YES</v>
          </cell>
        </row>
        <row r="108">
          <cell r="A108" t="str">
            <v>V25962</v>
          </cell>
          <cell r="B108" t="str">
            <v>MR. GAUTAM KUMAR</v>
          </cell>
          <cell r="C108">
            <v>1</v>
          </cell>
          <cell r="E108">
            <v>46800</v>
          </cell>
          <cell r="F108">
            <v>0.2</v>
          </cell>
          <cell r="I108" t="str">
            <v>V2S497</v>
          </cell>
          <cell r="J108" t="str">
            <v>CTC</v>
          </cell>
          <cell r="K108" t="str">
            <v>YES</v>
          </cell>
        </row>
        <row r="109">
          <cell r="A109" t="str">
            <v>V26187</v>
          </cell>
          <cell r="B109" t="str">
            <v>MR. GAURAV TIWARI</v>
          </cell>
          <cell r="C109">
            <v>1</v>
          </cell>
          <cell r="E109">
            <v>40000</v>
          </cell>
          <cell r="F109">
            <v>0.2</v>
          </cell>
          <cell r="I109" t="str">
            <v>V47553</v>
          </cell>
          <cell r="J109" t="str">
            <v>CTC</v>
          </cell>
          <cell r="K109" t="str">
            <v>YES</v>
          </cell>
        </row>
        <row r="110">
          <cell r="A110" t="str">
            <v>V26472</v>
          </cell>
          <cell r="B110" t="str">
            <v>MR. PRAVAT KUMAR BEHERA</v>
          </cell>
          <cell r="C110">
            <v>1</v>
          </cell>
          <cell r="E110">
            <v>36685</v>
          </cell>
          <cell r="F110">
            <v>0.2</v>
          </cell>
          <cell r="I110" t="str">
            <v>V07863</v>
          </cell>
          <cell r="J110" t="str">
            <v>CTC</v>
          </cell>
          <cell r="K110" t="str">
            <v>YES</v>
          </cell>
        </row>
        <row r="111">
          <cell r="A111" t="str">
            <v>V26510</v>
          </cell>
          <cell r="B111" t="str">
            <v>MR. ANIL KUMAR</v>
          </cell>
          <cell r="C111">
            <v>1</v>
          </cell>
          <cell r="E111">
            <v>65320</v>
          </cell>
          <cell r="F111">
            <v>0.5</v>
          </cell>
          <cell r="I111" t="str">
            <v>V31280</v>
          </cell>
          <cell r="J111" t="str">
            <v>CTC</v>
          </cell>
          <cell r="K111" t="str">
            <v>YES</v>
          </cell>
        </row>
        <row r="112">
          <cell r="A112" t="str">
            <v>V26510</v>
          </cell>
          <cell r="B112" t="str">
            <v>MR. ANIL KUMAR</v>
          </cell>
          <cell r="C112">
            <v>0</v>
          </cell>
          <cell r="E112">
            <v>56800</v>
          </cell>
          <cell r="F112">
            <v>0.2</v>
          </cell>
          <cell r="I112" t="str">
            <v>V13652</v>
          </cell>
          <cell r="J112" t="str">
            <v>CTC</v>
          </cell>
          <cell r="K112" t="str">
            <v>YES</v>
          </cell>
        </row>
        <row r="113">
          <cell r="A113" t="str">
            <v>V26548</v>
          </cell>
          <cell r="B113" t="str">
            <v>MR. RAHUL MEHTA</v>
          </cell>
          <cell r="C113">
            <v>1</v>
          </cell>
          <cell r="E113">
            <v>151000</v>
          </cell>
          <cell r="F113">
            <v>0.2</v>
          </cell>
          <cell r="I113" t="str">
            <v>V01541</v>
          </cell>
          <cell r="J113" t="str">
            <v>CTC</v>
          </cell>
          <cell r="K113" t="str">
            <v>YES</v>
          </cell>
        </row>
        <row r="114">
          <cell r="A114" t="str">
            <v>V26600</v>
          </cell>
          <cell r="B114" t="str">
            <v>MR. AKASH KUSHWAHA</v>
          </cell>
          <cell r="C114">
            <v>1</v>
          </cell>
          <cell r="E114">
            <v>51600</v>
          </cell>
          <cell r="F114">
            <v>0.7</v>
          </cell>
          <cell r="I114" t="str">
            <v>V19904</v>
          </cell>
          <cell r="J114" t="str">
            <v>CTC</v>
          </cell>
          <cell r="K114" t="str">
            <v>YES</v>
          </cell>
        </row>
        <row r="115">
          <cell r="A115" t="str">
            <v>V26600</v>
          </cell>
          <cell r="B115" t="str">
            <v>MR. AKASH KUSHWAHA</v>
          </cell>
          <cell r="C115">
            <v>0</v>
          </cell>
          <cell r="E115">
            <v>43000</v>
          </cell>
          <cell r="F115">
            <v>0.2</v>
          </cell>
          <cell r="I115" t="str">
            <v>V18769</v>
          </cell>
          <cell r="J115" t="str">
            <v>CTC</v>
          </cell>
          <cell r="K115" t="str">
            <v>YES</v>
          </cell>
        </row>
        <row r="116">
          <cell r="A116" t="str">
            <v>V26692</v>
          </cell>
          <cell r="B116" t="str">
            <v>MR. AKHIL GERA</v>
          </cell>
          <cell r="C116">
            <v>1</v>
          </cell>
          <cell r="E116">
            <v>115000</v>
          </cell>
          <cell r="F116">
            <v>0.5</v>
          </cell>
          <cell r="I116" t="str">
            <v>V25541</v>
          </cell>
          <cell r="J116" t="str">
            <v>CTC</v>
          </cell>
          <cell r="K116" t="str">
            <v>YES</v>
          </cell>
        </row>
        <row r="117">
          <cell r="A117" t="str">
            <v>V26692</v>
          </cell>
          <cell r="B117" t="str">
            <v>MR. AKHIL GERA</v>
          </cell>
          <cell r="C117">
            <v>0</v>
          </cell>
          <cell r="E117">
            <v>100000</v>
          </cell>
          <cell r="F117">
            <v>0.2</v>
          </cell>
          <cell r="I117" t="str">
            <v>V24323</v>
          </cell>
          <cell r="J117" t="str">
            <v>CTC</v>
          </cell>
          <cell r="K117" t="str">
            <v>YES</v>
          </cell>
        </row>
        <row r="118">
          <cell r="A118" t="str">
            <v>V29250</v>
          </cell>
          <cell r="B118" t="str">
            <v>MR. SHIVAM  RANJAN</v>
          </cell>
          <cell r="C118">
            <v>1</v>
          </cell>
          <cell r="E118">
            <v>46800</v>
          </cell>
          <cell r="F118">
            <v>0.5</v>
          </cell>
          <cell r="I118" t="str">
            <v>V20669</v>
          </cell>
          <cell r="J118" t="str">
            <v>CTC</v>
          </cell>
          <cell r="K118" t="str">
            <v>YES</v>
          </cell>
        </row>
        <row r="119">
          <cell r="A119" t="str">
            <v>V2S030</v>
          </cell>
          <cell r="B119" t="str">
            <v xml:space="preserve">MR. SANGRAM PAN </v>
          </cell>
          <cell r="C119">
            <v>1</v>
          </cell>
          <cell r="E119">
            <v>53365</v>
          </cell>
          <cell r="F119">
            <v>0.5</v>
          </cell>
          <cell r="I119" t="str">
            <v>V12071</v>
          </cell>
          <cell r="J119" t="str">
            <v>CTC</v>
          </cell>
          <cell r="K119" t="str">
            <v>YES</v>
          </cell>
        </row>
        <row r="120">
          <cell r="A120" t="str">
            <v>V2S033</v>
          </cell>
          <cell r="B120" t="str">
            <v>MR. DHARMENDRA KUMAR PATHAK</v>
          </cell>
          <cell r="C120">
            <v>1</v>
          </cell>
          <cell r="E120">
            <v>56292</v>
          </cell>
          <cell r="F120">
            <v>0.5</v>
          </cell>
          <cell r="I120" t="str">
            <v>V10215</v>
          </cell>
          <cell r="J120" t="str">
            <v>CTC</v>
          </cell>
          <cell r="K120" t="str">
            <v>YES</v>
          </cell>
        </row>
        <row r="121">
          <cell r="A121" t="str">
            <v>V2S163</v>
          </cell>
          <cell r="B121" t="str">
            <v>MR. RAJEEV RANJAN SINHA</v>
          </cell>
          <cell r="C121">
            <v>1</v>
          </cell>
          <cell r="E121">
            <v>76593</v>
          </cell>
          <cell r="F121">
            <v>0.7</v>
          </cell>
          <cell r="I121" t="str">
            <v>V18689</v>
          </cell>
          <cell r="J121" t="str">
            <v>CTC</v>
          </cell>
          <cell r="K121" t="str">
            <v>YES</v>
          </cell>
        </row>
        <row r="122">
          <cell r="A122" t="str">
            <v>V2S164</v>
          </cell>
          <cell r="B122" t="str">
            <v>MR. AJAY KUMAR PRASAD</v>
          </cell>
          <cell r="C122">
            <v>1</v>
          </cell>
          <cell r="E122">
            <v>48181</v>
          </cell>
          <cell r="F122">
            <v>0.5</v>
          </cell>
          <cell r="I122" t="str">
            <v>V31664</v>
          </cell>
          <cell r="J122" t="str">
            <v>CTC</v>
          </cell>
          <cell r="K122" t="str">
            <v>YES</v>
          </cell>
        </row>
        <row r="123">
          <cell r="A123" t="str">
            <v>V2S165</v>
          </cell>
          <cell r="B123" t="str">
            <v>MR. SATY PRAKASH JAISWAL</v>
          </cell>
          <cell r="C123">
            <v>1</v>
          </cell>
          <cell r="E123">
            <v>54363</v>
          </cell>
          <cell r="F123">
            <v>0.5</v>
          </cell>
          <cell r="I123" t="str">
            <v>V2S1749</v>
          </cell>
          <cell r="J123" t="str">
            <v>CTC</v>
          </cell>
          <cell r="K123" t="str">
            <v>YES</v>
          </cell>
        </row>
        <row r="124">
          <cell r="A124" t="str">
            <v>V2S165</v>
          </cell>
          <cell r="B124" t="str">
            <v>MR. SATY PRAKASH JAISWAL</v>
          </cell>
          <cell r="C124">
            <v>0</v>
          </cell>
          <cell r="E124">
            <v>45302</v>
          </cell>
          <cell r="F124">
            <v>0.2</v>
          </cell>
          <cell r="I124" t="str">
            <v>V20428</v>
          </cell>
          <cell r="J124" t="str">
            <v>CTC</v>
          </cell>
          <cell r="K124" t="str">
            <v>YES</v>
          </cell>
        </row>
        <row r="125">
          <cell r="A125" t="str">
            <v>V2S168</v>
          </cell>
          <cell r="B125" t="str">
            <v>MR. RAJ KUMAR KAMBOJ</v>
          </cell>
          <cell r="C125">
            <v>1</v>
          </cell>
          <cell r="E125">
            <v>179913</v>
          </cell>
          <cell r="F125">
            <v>0.5</v>
          </cell>
          <cell r="I125" t="str">
            <v>V38723</v>
          </cell>
          <cell r="J125" t="str">
            <v>CTC</v>
          </cell>
          <cell r="K125" t="str">
            <v>YES</v>
          </cell>
        </row>
        <row r="126">
          <cell r="A126" t="str">
            <v>V2S184</v>
          </cell>
          <cell r="B126" t="str">
            <v>MR. ARUN KAPOOR</v>
          </cell>
          <cell r="C126">
            <v>1</v>
          </cell>
          <cell r="E126">
            <v>273243</v>
          </cell>
          <cell r="F126">
            <v>0.5</v>
          </cell>
          <cell r="I126" t="str">
            <v>V2S032</v>
          </cell>
          <cell r="J126" t="str">
            <v>CTC</v>
          </cell>
          <cell r="K126" t="str">
            <v>YES</v>
          </cell>
        </row>
        <row r="127">
          <cell r="A127" t="str">
            <v>V2S192</v>
          </cell>
          <cell r="B127" t="str">
            <v>MR. ARUNA KUMAR MAHAPATRA</v>
          </cell>
          <cell r="C127">
            <v>1</v>
          </cell>
          <cell r="E127">
            <v>90308</v>
          </cell>
          <cell r="F127">
            <v>0.5</v>
          </cell>
          <cell r="I127" t="str">
            <v>V22312</v>
          </cell>
          <cell r="J127" t="str">
            <v>CTC</v>
          </cell>
          <cell r="K127" t="str">
            <v>YES</v>
          </cell>
        </row>
        <row r="128">
          <cell r="A128" t="str">
            <v>V2S364</v>
          </cell>
          <cell r="B128" t="str">
            <v>MR. ANIL KAUSHIK</v>
          </cell>
          <cell r="C128">
            <v>1</v>
          </cell>
          <cell r="E128">
            <v>71414</v>
          </cell>
          <cell r="F128">
            <v>0.5</v>
          </cell>
          <cell r="I128" t="str">
            <v>V09843</v>
          </cell>
          <cell r="J128" t="str">
            <v>CTC</v>
          </cell>
          <cell r="K128" t="str">
            <v>YES</v>
          </cell>
        </row>
        <row r="129">
          <cell r="A129" t="str">
            <v>V2S401</v>
          </cell>
          <cell r="B129" t="str">
            <v>MR. JITENDER YOGI</v>
          </cell>
          <cell r="C129">
            <v>1</v>
          </cell>
          <cell r="E129">
            <v>136874</v>
          </cell>
          <cell r="F129">
            <v>0.2</v>
          </cell>
          <cell r="I129" t="str">
            <v>V21593</v>
          </cell>
          <cell r="J129" t="str">
            <v>CTC</v>
          </cell>
          <cell r="K129" t="str">
            <v>YES</v>
          </cell>
        </row>
        <row r="130">
          <cell r="A130" t="str">
            <v>V2S497</v>
          </cell>
          <cell r="B130" t="str">
            <v>MR. RAJESH MANDAL</v>
          </cell>
          <cell r="C130">
            <v>1</v>
          </cell>
          <cell r="E130">
            <v>65485</v>
          </cell>
          <cell r="F130">
            <v>0.2</v>
          </cell>
          <cell r="I130" t="str">
            <v>V25500</v>
          </cell>
          <cell r="J130" t="str">
            <v>CTC</v>
          </cell>
          <cell r="K130" t="str">
            <v>YES</v>
          </cell>
        </row>
        <row r="131">
          <cell r="A131" t="str">
            <v>V2S503</v>
          </cell>
          <cell r="B131" t="str">
            <v>MRS. MAHIMA SINGH</v>
          </cell>
          <cell r="C131">
            <v>1</v>
          </cell>
          <cell r="E131">
            <v>0</v>
          </cell>
          <cell r="F131">
            <v>0</v>
          </cell>
          <cell r="I131" t="str">
            <v>V35004</v>
          </cell>
          <cell r="J131" t="str">
            <v>CTC</v>
          </cell>
          <cell r="K131" t="str">
            <v>YES</v>
          </cell>
        </row>
        <row r="132">
          <cell r="A132" t="str">
            <v>V2S503</v>
          </cell>
          <cell r="B132" t="str">
            <v>MRS. MAHIMA SINGH</v>
          </cell>
          <cell r="C132">
            <v>0</v>
          </cell>
          <cell r="E132">
            <v>0</v>
          </cell>
          <cell r="F132">
            <v>0</v>
          </cell>
          <cell r="I132" t="str">
            <v>V40359</v>
          </cell>
          <cell r="J132" t="str">
            <v>CTC</v>
          </cell>
          <cell r="K132" t="str">
            <v>YES</v>
          </cell>
        </row>
        <row r="133">
          <cell r="A133" t="str">
            <v>V30151</v>
          </cell>
          <cell r="B133" t="str">
            <v>MR. MAYANK BEHL</v>
          </cell>
          <cell r="C133">
            <v>1</v>
          </cell>
          <cell r="E133">
            <v>51800</v>
          </cell>
          <cell r="F133">
            <v>0.2</v>
          </cell>
          <cell r="I133" t="str">
            <v>V18640</v>
          </cell>
          <cell r="J133" t="str">
            <v>CTC</v>
          </cell>
          <cell r="K133" t="str">
            <v>YES</v>
          </cell>
        </row>
        <row r="134">
          <cell r="A134" t="str">
            <v>V30469</v>
          </cell>
          <cell r="B134" t="str">
            <v>MR. SANTOSH  KUMAR</v>
          </cell>
          <cell r="C134">
            <v>1</v>
          </cell>
          <cell r="E134">
            <v>172500</v>
          </cell>
          <cell r="F134">
            <v>0.7</v>
          </cell>
          <cell r="I134" t="str">
            <v>V29250</v>
          </cell>
          <cell r="J134" t="str">
            <v>CTC</v>
          </cell>
          <cell r="K134" t="str">
            <v>YES</v>
          </cell>
        </row>
        <row r="135">
          <cell r="A135" t="str">
            <v>V31696</v>
          </cell>
          <cell r="B135" t="str">
            <v xml:space="preserve">MR. AMIT  </v>
          </cell>
          <cell r="C135">
            <v>1</v>
          </cell>
          <cell r="E135">
            <v>44592</v>
          </cell>
          <cell r="F135">
            <v>0.2</v>
          </cell>
          <cell r="I135" t="str">
            <v>V2S033</v>
          </cell>
          <cell r="J135" t="str">
            <v>CTC</v>
          </cell>
          <cell r="K135" t="str">
            <v>YES</v>
          </cell>
        </row>
        <row r="136">
          <cell r="A136" t="str">
            <v>V33250</v>
          </cell>
          <cell r="B136" t="str">
            <v>MR. KULDEEP  SINGH</v>
          </cell>
          <cell r="C136">
            <v>1</v>
          </cell>
          <cell r="E136">
            <v>149200</v>
          </cell>
          <cell r="F136">
            <v>0.2</v>
          </cell>
          <cell r="I136" t="str">
            <v>V00529</v>
          </cell>
          <cell r="J136" t="str">
            <v>CTC</v>
          </cell>
          <cell r="K136" t="str">
            <v>YES</v>
          </cell>
        </row>
        <row r="137">
          <cell r="A137" t="str">
            <v>V33251</v>
          </cell>
          <cell r="B137" t="str">
            <v>MR. NITISH KUMAR</v>
          </cell>
          <cell r="C137">
            <v>1</v>
          </cell>
          <cell r="E137">
            <v>34800</v>
          </cell>
          <cell r="F137">
            <v>0.2</v>
          </cell>
          <cell r="I137" t="str">
            <v>V30265</v>
          </cell>
          <cell r="J137" t="str">
            <v>CTC</v>
          </cell>
          <cell r="K137" t="str">
            <v>YES</v>
          </cell>
        </row>
        <row r="138">
          <cell r="A138" t="str">
            <v>V33596</v>
          </cell>
          <cell r="B138" t="str">
            <v>MR. NOOR MOHAMMAD</v>
          </cell>
          <cell r="C138">
            <v>1</v>
          </cell>
          <cell r="E138">
            <v>38105</v>
          </cell>
          <cell r="F138">
            <v>0.2</v>
          </cell>
          <cell r="I138" t="str">
            <v>V18468</v>
          </cell>
          <cell r="J138" t="str">
            <v>CTC</v>
          </cell>
          <cell r="K138" t="str">
            <v>YES</v>
          </cell>
        </row>
        <row r="139">
          <cell r="A139" t="str">
            <v>V36538</v>
          </cell>
          <cell r="B139" t="str">
            <v>MR. Ankit Kumar Singh</v>
          </cell>
          <cell r="C139">
            <v>1</v>
          </cell>
          <cell r="E139">
            <v>28800</v>
          </cell>
          <cell r="F139">
            <v>0.5</v>
          </cell>
          <cell r="I139" t="str">
            <v>V16619</v>
          </cell>
          <cell r="J139" t="str">
            <v>CTC</v>
          </cell>
          <cell r="K139" t="str">
            <v>YES</v>
          </cell>
        </row>
        <row r="140">
          <cell r="A140" t="str">
            <v>V37334</v>
          </cell>
          <cell r="B140" t="str">
            <v>MR. RAJNISH  SHARMA</v>
          </cell>
          <cell r="C140">
            <v>1</v>
          </cell>
          <cell r="E140">
            <v>88541</v>
          </cell>
          <cell r="F140">
            <v>0.7</v>
          </cell>
          <cell r="I140" t="str">
            <v>V06776</v>
          </cell>
          <cell r="J140" t="str">
            <v>CTC</v>
          </cell>
          <cell r="K140" t="str">
            <v>YES</v>
          </cell>
        </row>
        <row r="141">
          <cell r="A141" t="str">
            <v>V37335</v>
          </cell>
          <cell r="B141" t="str">
            <v>MRS. POOJA GOYAL</v>
          </cell>
          <cell r="C141">
            <v>1</v>
          </cell>
          <cell r="E141">
            <v>91000</v>
          </cell>
          <cell r="F141">
            <v>0.2</v>
          </cell>
          <cell r="I141" t="str">
            <v>V14940</v>
          </cell>
          <cell r="J141" t="str">
            <v>CTC</v>
          </cell>
          <cell r="K141" t="str">
            <v>YES</v>
          </cell>
        </row>
        <row r="142">
          <cell r="A142" t="str">
            <v>V40359</v>
          </cell>
          <cell r="B142" t="str">
            <v>MR. SANDEEP KUMAR SRIVASTAVA</v>
          </cell>
          <cell r="C142">
            <v>1</v>
          </cell>
          <cell r="E142">
            <v>58800</v>
          </cell>
          <cell r="F142">
            <v>0.5</v>
          </cell>
          <cell r="I142" t="str">
            <v>V11298</v>
          </cell>
          <cell r="J142" t="str">
            <v>CTC</v>
          </cell>
          <cell r="K142" t="str">
            <v>YES</v>
          </cell>
        </row>
        <row r="143">
          <cell r="I143" t="str">
            <v>V2S165</v>
          </cell>
          <cell r="J143" t="str">
            <v>CTC</v>
          </cell>
          <cell r="K143" t="str">
            <v>YES</v>
          </cell>
        </row>
        <row r="144">
          <cell r="I144" t="str">
            <v>V04209</v>
          </cell>
          <cell r="J144" t="str">
            <v>CTC</v>
          </cell>
          <cell r="K144" t="str">
            <v>YES</v>
          </cell>
        </row>
        <row r="145">
          <cell r="I145" t="str">
            <v>V35575</v>
          </cell>
          <cell r="J145" t="str">
            <v>CTC</v>
          </cell>
          <cell r="K145" t="str">
            <v>YES</v>
          </cell>
        </row>
        <row r="146">
          <cell r="I146" t="str">
            <v>V2S030</v>
          </cell>
          <cell r="J146" t="str">
            <v>CTC</v>
          </cell>
          <cell r="K146" t="str">
            <v>YES</v>
          </cell>
        </row>
        <row r="147">
          <cell r="I147" t="str">
            <v>V38722</v>
          </cell>
          <cell r="J147" t="str">
            <v>CTC</v>
          </cell>
          <cell r="K147" t="str">
            <v>YES</v>
          </cell>
        </row>
        <row r="148">
          <cell r="I148" t="str">
            <v>V2S209</v>
          </cell>
          <cell r="J148" t="str">
            <v>CTC</v>
          </cell>
          <cell r="K148" t="str">
            <v>YES</v>
          </cell>
        </row>
        <row r="149">
          <cell r="I149" t="str">
            <v>V25962</v>
          </cell>
          <cell r="J149" t="str">
            <v>CTC</v>
          </cell>
          <cell r="K149" t="str">
            <v>YES</v>
          </cell>
        </row>
        <row r="150">
          <cell r="I150" t="str">
            <v>V20614</v>
          </cell>
          <cell r="J150" t="str">
            <v>CTC</v>
          </cell>
          <cell r="K150" t="str">
            <v>YES</v>
          </cell>
        </row>
        <row r="151">
          <cell r="I151" t="str">
            <v>V20074</v>
          </cell>
          <cell r="J151" t="str">
            <v>CTC</v>
          </cell>
          <cell r="K151" t="str">
            <v>YES</v>
          </cell>
        </row>
        <row r="152">
          <cell r="I152" t="str">
            <v>V33832</v>
          </cell>
          <cell r="J152" t="str">
            <v>CTC</v>
          </cell>
          <cell r="K152" t="str">
            <v>YES</v>
          </cell>
        </row>
        <row r="153">
          <cell r="I153" t="str">
            <v>V18081</v>
          </cell>
          <cell r="J153" t="str">
            <v>CTC</v>
          </cell>
          <cell r="K153" t="str">
            <v>YES</v>
          </cell>
        </row>
        <row r="154">
          <cell r="I154" t="str">
            <v>V24499</v>
          </cell>
          <cell r="J154" t="str">
            <v>CTC</v>
          </cell>
          <cell r="K154" t="str">
            <v>YES</v>
          </cell>
        </row>
        <row r="155">
          <cell r="I155" t="str">
            <v>V09987</v>
          </cell>
          <cell r="J155" t="str">
            <v>CTC</v>
          </cell>
          <cell r="K155" t="str">
            <v>YES</v>
          </cell>
        </row>
        <row r="156">
          <cell r="I156" t="str">
            <v>V03707</v>
          </cell>
          <cell r="J156" t="str">
            <v>CTC</v>
          </cell>
          <cell r="K156" t="str">
            <v>YES</v>
          </cell>
        </row>
        <row r="157">
          <cell r="I157" t="str">
            <v>V23899</v>
          </cell>
          <cell r="J157" t="str">
            <v>CTC</v>
          </cell>
          <cell r="K157" t="str">
            <v>YES</v>
          </cell>
        </row>
        <row r="158">
          <cell r="I158" t="str">
            <v>V26600</v>
          </cell>
          <cell r="J158" t="str">
            <v>CTC</v>
          </cell>
          <cell r="K158" t="str">
            <v>YES</v>
          </cell>
        </row>
        <row r="159">
          <cell r="I159" t="str">
            <v>V44066</v>
          </cell>
          <cell r="J159" t="str">
            <v>CTC</v>
          </cell>
          <cell r="K159" t="str">
            <v>YES</v>
          </cell>
        </row>
        <row r="160">
          <cell r="I160" t="str">
            <v>V04512</v>
          </cell>
          <cell r="J160" t="str">
            <v>CTC</v>
          </cell>
          <cell r="K160" t="str">
            <v>YES</v>
          </cell>
        </row>
        <row r="161">
          <cell r="I161" t="str">
            <v>V29382</v>
          </cell>
          <cell r="J161" t="str">
            <v>CTC</v>
          </cell>
          <cell r="K161" t="str">
            <v>YES</v>
          </cell>
        </row>
        <row r="162">
          <cell r="I162" t="str">
            <v>V48106</v>
          </cell>
          <cell r="J162" t="str">
            <v>CTC</v>
          </cell>
          <cell r="K162" t="str">
            <v>YES</v>
          </cell>
        </row>
        <row r="163">
          <cell r="I163" t="str">
            <v>V21452</v>
          </cell>
          <cell r="J163" t="str">
            <v>CTC</v>
          </cell>
          <cell r="K163" t="str">
            <v>YES</v>
          </cell>
        </row>
        <row r="164">
          <cell r="I164" t="str">
            <v>V20548</v>
          </cell>
          <cell r="J164" t="str">
            <v>CTC</v>
          </cell>
          <cell r="K164" t="str">
            <v>YES</v>
          </cell>
        </row>
        <row r="165">
          <cell r="I165" t="str">
            <v>V19192</v>
          </cell>
          <cell r="J165" t="str">
            <v>CTC</v>
          </cell>
          <cell r="K165" t="str">
            <v>YES</v>
          </cell>
        </row>
        <row r="166">
          <cell r="I166" t="str">
            <v>V33167</v>
          </cell>
          <cell r="J166" t="str">
            <v>CTC</v>
          </cell>
          <cell r="K166" t="str">
            <v>YES</v>
          </cell>
        </row>
        <row r="167">
          <cell r="I167" t="str">
            <v>V17741</v>
          </cell>
          <cell r="J167" t="str">
            <v>CTC</v>
          </cell>
          <cell r="K167" t="str">
            <v>YES</v>
          </cell>
        </row>
        <row r="168">
          <cell r="I168" t="str">
            <v>V35853</v>
          </cell>
          <cell r="J168" t="str">
            <v>CTC</v>
          </cell>
          <cell r="K168" t="str">
            <v>YES</v>
          </cell>
        </row>
        <row r="169">
          <cell r="I169" t="str">
            <v>V27883</v>
          </cell>
          <cell r="J169" t="str">
            <v>CTC</v>
          </cell>
          <cell r="K169" t="str">
            <v>YES</v>
          </cell>
        </row>
        <row r="170">
          <cell r="I170" t="str">
            <v>V00381</v>
          </cell>
          <cell r="J170" t="str">
            <v>CTC</v>
          </cell>
          <cell r="K170" t="str">
            <v>YES</v>
          </cell>
        </row>
        <row r="171">
          <cell r="I171" t="str">
            <v>V06781</v>
          </cell>
          <cell r="J171" t="str">
            <v>CTC</v>
          </cell>
          <cell r="K171" t="str">
            <v>YES</v>
          </cell>
        </row>
        <row r="172">
          <cell r="I172" t="str">
            <v>V41094</v>
          </cell>
          <cell r="J172" t="str">
            <v>CTC</v>
          </cell>
          <cell r="K172" t="str">
            <v>YES</v>
          </cell>
        </row>
        <row r="173">
          <cell r="I173" t="str">
            <v>V20320</v>
          </cell>
          <cell r="J173" t="str">
            <v>CTC</v>
          </cell>
          <cell r="K173" t="str">
            <v>YES</v>
          </cell>
        </row>
        <row r="174">
          <cell r="I174" t="str">
            <v>V40799</v>
          </cell>
          <cell r="J174" t="str">
            <v>CTC</v>
          </cell>
          <cell r="K174" t="str">
            <v>YES</v>
          </cell>
        </row>
        <row r="175">
          <cell r="I175" t="str">
            <v>V04101</v>
          </cell>
          <cell r="J175" t="str">
            <v>CTC</v>
          </cell>
          <cell r="K175" t="str">
            <v>YES</v>
          </cell>
        </row>
        <row r="176">
          <cell r="I176" t="str">
            <v>V00517</v>
          </cell>
          <cell r="J176" t="str">
            <v>CTC</v>
          </cell>
          <cell r="K176" t="str">
            <v>YES</v>
          </cell>
        </row>
        <row r="177">
          <cell r="I177" t="str">
            <v>V16380</v>
          </cell>
          <cell r="J177" t="str">
            <v>CTC</v>
          </cell>
          <cell r="K177" t="str">
            <v>YES</v>
          </cell>
        </row>
        <row r="178">
          <cell r="I178" t="str">
            <v>V2S035</v>
          </cell>
          <cell r="J178" t="str">
            <v>CTC</v>
          </cell>
          <cell r="K178" t="str">
            <v>YES</v>
          </cell>
        </row>
        <row r="179">
          <cell r="I179" t="str">
            <v>V08156</v>
          </cell>
          <cell r="J179" t="str">
            <v>CTC</v>
          </cell>
          <cell r="K179" t="str">
            <v>YES</v>
          </cell>
        </row>
        <row r="180">
          <cell r="I180" t="str">
            <v>V25517</v>
          </cell>
          <cell r="J180" t="str">
            <v>CTC</v>
          </cell>
          <cell r="K180" t="str">
            <v>YES</v>
          </cell>
        </row>
        <row r="181">
          <cell r="I181" t="str">
            <v>V22068</v>
          </cell>
          <cell r="J181" t="str">
            <v>CTC</v>
          </cell>
          <cell r="K181" t="str">
            <v>YES</v>
          </cell>
        </row>
        <row r="182">
          <cell r="I182" t="str">
            <v>V44747</v>
          </cell>
          <cell r="J182" t="str">
            <v>CTC</v>
          </cell>
          <cell r="K182" t="str">
            <v>YES</v>
          </cell>
        </row>
        <row r="183">
          <cell r="I183" t="str">
            <v>V10189</v>
          </cell>
          <cell r="J183" t="str">
            <v>CTC</v>
          </cell>
          <cell r="K183" t="str">
            <v>YES</v>
          </cell>
        </row>
        <row r="184">
          <cell r="I184" t="str">
            <v>V36279</v>
          </cell>
          <cell r="J184" t="str">
            <v>CTC</v>
          </cell>
          <cell r="K184" t="str">
            <v>YES</v>
          </cell>
        </row>
        <row r="185">
          <cell r="I185" t="str">
            <v>V19116</v>
          </cell>
          <cell r="J185" t="str">
            <v>CTC</v>
          </cell>
          <cell r="K185" t="str">
            <v>YES</v>
          </cell>
        </row>
        <row r="186">
          <cell r="I186" t="str">
            <v>V05884</v>
          </cell>
          <cell r="J186" t="str">
            <v>CTC</v>
          </cell>
          <cell r="K186" t="str">
            <v>YES</v>
          </cell>
        </row>
        <row r="187">
          <cell r="I187" t="str">
            <v>V11290</v>
          </cell>
          <cell r="J187" t="str">
            <v>CTC</v>
          </cell>
          <cell r="K187" t="str">
            <v>YES</v>
          </cell>
        </row>
        <row r="188">
          <cell r="I188" t="str">
            <v>V14436</v>
          </cell>
          <cell r="J188" t="str">
            <v>CTC</v>
          </cell>
          <cell r="K188" t="str">
            <v>YES</v>
          </cell>
        </row>
        <row r="189">
          <cell r="I189" t="str">
            <v>V25531</v>
          </cell>
          <cell r="J189" t="str">
            <v>CTC</v>
          </cell>
          <cell r="K189" t="str">
            <v>YES</v>
          </cell>
        </row>
        <row r="190">
          <cell r="I190" t="str">
            <v>V19960</v>
          </cell>
          <cell r="J190" t="str">
            <v>CTC</v>
          </cell>
          <cell r="K190" t="str">
            <v>YES</v>
          </cell>
        </row>
        <row r="191">
          <cell r="I191" t="str">
            <v>V13609</v>
          </cell>
          <cell r="J191" t="str">
            <v>CTC</v>
          </cell>
          <cell r="K191" t="str">
            <v>YES</v>
          </cell>
        </row>
        <row r="192">
          <cell r="I192" t="str">
            <v>V23938</v>
          </cell>
          <cell r="J192" t="str">
            <v>CTC</v>
          </cell>
          <cell r="K192" t="str">
            <v>YES</v>
          </cell>
        </row>
        <row r="193">
          <cell r="I193" t="str">
            <v>V26187</v>
          </cell>
          <cell r="J193" t="str">
            <v>CTC</v>
          </cell>
          <cell r="K193" t="str">
            <v>YES</v>
          </cell>
        </row>
        <row r="194">
          <cell r="I194" t="str">
            <v>V41689</v>
          </cell>
          <cell r="J194" t="str">
            <v>CTC</v>
          </cell>
          <cell r="K194" t="str">
            <v>YES</v>
          </cell>
        </row>
        <row r="195">
          <cell r="I195" t="str">
            <v>V2S037</v>
          </cell>
          <cell r="J195" t="str">
            <v>CTC</v>
          </cell>
          <cell r="K195" t="str">
            <v>YES</v>
          </cell>
        </row>
        <row r="196">
          <cell r="I196" t="str">
            <v>V12823</v>
          </cell>
          <cell r="J196" t="str">
            <v>CTC</v>
          </cell>
          <cell r="K196" t="str">
            <v>YES</v>
          </cell>
        </row>
        <row r="197">
          <cell r="I197" t="str">
            <v>V24496</v>
          </cell>
          <cell r="J197" t="str">
            <v>CTC</v>
          </cell>
          <cell r="K197" t="str">
            <v>YES</v>
          </cell>
        </row>
        <row r="198">
          <cell r="I198" t="str">
            <v>V2S164</v>
          </cell>
          <cell r="J198" t="str">
            <v>CTC</v>
          </cell>
          <cell r="K198" t="str">
            <v>YES</v>
          </cell>
        </row>
        <row r="199">
          <cell r="I199" t="str">
            <v>V12772</v>
          </cell>
          <cell r="J199" t="str">
            <v>CTC</v>
          </cell>
          <cell r="K199" t="str">
            <v>YES</v>
          </cell>
        </row>
        <row r="200">
          <cell r="I200" t="str">
            <v>V2S295</v>
          </cell>
          <cell r="J200" t="str">
            <v>CTC</v>
          </cell>
          <cell r="K200" t="str">
            <v>YES</v>
          </cell>
        </row>
        <row r="201">
          <cell r="I201" t="str">
            <v>V17907</v>
          </cell>
          <cell r="J201" t="str">
            <v>CTC</v>
          </cell>
          <cell r="K201" t="str">
            <v>YES</v>
          </cell>
        </row>
        <row r="202">
          <cell r="I202" t="str">
            <v>V21371</v>
          </cell>
          <cell r="J202" t="str">
            <v>CTC</v>
          </cell>
          <cell r="K202" t="str">
            <v>YES</v>
          </cell>
        </row>
        <row r="203">
          <cell r="I203" t="str">
            <v>V2S1702</v>
          </cell>
          <cell r="J203" t="str">
            <v>CTC</v>
          </cell>
          <cell r="K203" t="str">
            <v>YES</v>
          </cell>
        </row>
        <row r="204">
          <cell r="I204" t="str">
            <v>V00974</v>
          </cell>
          <cell r="J204" t="str">
            <v>CTC</v>
          </cell>
          <cell r="K204" t="str">
            <v>YES</v>
          </cell>
        </row>
        <row r="205">
          <cell r="I205" t="str">
            <v>V26432</v>
          </cell>
          <cell r="J205" t="str">
            <v>CTC</v>
          </cell>
          <cell r="K205" t="str">
            <v>YES</v>
          </cell>
        </row>
        <row r="206">
          <cell r="I206" t="str">
            <v>V43898</v>
          </cell>
          <cell r="J206" t="str">
            <v>CTC</v>
          </cell>
          <cell r="K206" t="str">
            <v>YES</v>
          </cell>
        </row>
        <row r="207">
          <cell r="I207" t="str">
            <v>V26377</v>
          </cell>
          <cell r="J207" t="str">
            <v>CTC</v>
          </cell>
          <cell r="K207" t="str">
            <v>YES</v>
          </cell>
        </row>
        <row r="208">
          <cell r="I208" t="str">
            <v>V28592</v>
          </cell>
          <cell r="J208" t="str">
            <v>CTC</v>
          </cell>
          <cell r="K208" t="str">
            <v>YES</v>
          </cell>
        </row>
        <row r="209">
          <cell r="I209" t="str">
            <v>V28804</v>
          </cell>
          <cell r="J209" t="str">
            <v>CTC</v>
          </cell>
          <cell r="K209" t="str">
            <v>YES</v>
          </cell>
        </row>
        <row r="210">
          <cell r="I210" t="str">
            <v>V08061</v>
          </cell>
          <cell r="J210" t="str">
            <v>CTC</v>
          </cell>
          <cell r="K210" t="str">
            <v>YES</v>
          </cell>
        </row>
        <row r="211">
          <cell r="I211" t="str">
            <v>V24486</v>
          </cell>
          <cell r="J211" t="str">
            <v>CTC</v>
          </cell>
          <cell r="K211" t="str">
            <v>YES</v>
          </cell>
        </row>
        <row r="212">
          <cell r="I212" t="str">
            <v>V2S176</v>
          </cell>
          <cell r="J212" t="str">
            <v>CTC</v>
          </cell>
          <cell r="K212" t="str">
            <v>YES</v>
          </cell>
        </row>
        <row r="213">
          <cell r="I213" t="str">
            <v>V41410</v>
          </cell>
          <cell r="J213" t="str">
            <v>CTC</v>
          </cell>
          <cell r="K213" t="str">
            <v>YES</v>
          </cell>
        </row>
        <row r="214">
          <cell r="I214" t="str">
            <v>V22107</v>
          </cell>
          <cell r="J214" t="str">
            <v>CTC</v>
          </cell>
          <cell r="K214" t="str">
            <v>YES</v>
          </cell>
        </row>
        <row r="215">
          <cell r="I215" t="str">
            <v>V30468</v>
          </cell>
          <cell r="J215" t="str">
            <v>CTC</v>
          </cell>
          <cell r="K215" t="str">
            <v>YES</v>
          </cell>
        </row>
        <row r="216">
          <cell r="I216" t="str">
            <v>V36002</v>
          </cell>
          <cell r="J216" t="str">
            <v>CTC</v>
          </cell>
          <cell r="K216" t="str">
            <v>YES</v>
          </cell>
        </row>
        <row r="217">
          <cell r="I217" t="str">
            <v>V19794</v>
          </cell>
          <cell r="J217" t="str">
            <v>CTC</v>
          </cell>
          <cell r="K217" t="str">
            <v>YES</v>
          </cell>
        </row>
        <row r="218">
          <cell r="I218" t="str">
            <v>V17354</v>
          </cell>
          <cell r="J218" t="str">
            <v>CTC</v>
          </cell>
          <cell r="K218" t="str">
            <v>YES</v>
          </cell>
        </row>
        <row r="219">
          <cell r="I219" t="str">
            <v>V15710</v>
          </cell>
          <cell r="J219" t="str">
            <v>CTC</v>
          </cell>
          <cell r="K219" t="str">
            <v>YES</v>
          </cell>
        </row>
        <row r="220">
          <cell r="I220" t="str">
            <v>V36105</v>
          </cell>
          <cell r="J220" t="str">
            <v>CTC</v>
          </cell>
          <cell r="K220" t="str">
            <v>YES</v>
          </cell>
        </row>
        <row r="221">
          <cell r="I221" t="str">
            <v>V23462</v>
          </cell>
          <cell r="J221" t="str">
            <v>CTC</v>
          </cell>
          <cell r="K221" t="str">
            <v>YES</v>
          </cell>
        </row>
        <row r="222">
          <cell r="I222" t="str">
            <v>V21453</v>
          </cell>
          <cell r="J222" t="str">
            <v>CTC</v>
          </cell>
          <cell r="K222" t="str">
            <v>YES</v>
          </cell>
        </row>
        <row r="223">
          <cell r="I223" t="str">
            <v>V26192</v>
          </cell>
          <cell r="J223" t="str">
            <v>CTC</v>
          </cell>
          <cell r="K223" t="str">
            <v>YES</v>
          </cell>
        </row>
        <row r="224">
          <cell r="I224" t="str">
            <v>V26441</v>
          </cell>
          <cell r="J224" t="str">
            <v>CTC</v>
          </cell>
          <cell r="K224" t="str">
            <v>YES</v>
          </cell>
        </row>
        <row r="225">
          <cell r="I225" t="str">
            <v>V42559</v>
          </cell>
          <cell r="J225" t="str">
            <v>CTC</v>
          </cell>
          <cell r="K225" t="str">
            <v>YES</v>
          </cell>
        </row>
        <row r="226">
          <cell r="I226" t="str">
            <v>V20193</v>
          </cell>
          <cell r="J226" t="str">
            <v>CTC</v>
          </cell>
          <cell r="K226" t="str">
            <v>YES</v>
          </cell>
        </row>
        <row r="227">
          <cell r="I227" t="str">
            <v>V06847</v>
          </cell>
          <cell r="J227" t="str">
            <v>CTC</v>
          </cell>
          <cell r="K227" t="str">
            <v>YES</v>
          </cell>
        </row>
        <row r="228">
          <cell r="I228" t="str">
            <v>V35251</v>
          </cell>
          <cell r="J228" t="str">
            <v>CTC</v>
          </cell>
          <cell r="K228" t="str">
            <v>YES</v>
          </cell>
        </row>
        <row r="229">
          <cell r="I229" t="str">
            <v>V07071</v>
          </cell>
          <cell r="J229" t="str">
            <v>CTC</v>
          </cell>
          <cell r="K229" t="str">
            <v>YES</v>
          </cell>
        </row>
        <row r="230">
          <cell r="I230" t="str">
            <v>V09641</v>
          </cell>
          <cell r="J230" t="str">
            <v>CTC</v>
          </cell>
          <cell r="K230" t="str">
            <v>YES</v>
          </cell>
        </row>
        <row r="231">
          <cell r="I231" t="str">
            <v>V00577</v>
          </cell>
          <cell r="J231" t="str">
            <v>CTC</v>
          </cell>
          <cell r="K231" t="str">
            <v>YES</v>
          </cell>
        </row>
        <row r="232">
          <cell r="I232" t="str">
            <v>V41696</v>
          </cell>
          <cell r="J232" t="str">
            <v>CTC</v>
          </cell>
          <cell r="K232" t="str">
            <v>YES</v>
          </cell>
        </row>
        <row r="233">
          <cell r="I233" t="str">
            <v>V05641</v>
          </cell>
          <cell r="J233" t="str">
            <v>CTC</v>
          </cell>
          <cell r="K233" t="str">
            <v>YES</v>
          </cell>
        </row>
        <row r="234">
          <cell r="I234" t="str">
            <v>V31687</v>
          </cell>
          <cell r="J234" t="str">
            <v>CTC</v>
          </cell>
          <cell r="K234" t="str">
            <v>YES</v>
          </cell>
        </row>
        <row r="235">
          <cell r="I235" t="str">
            <v>V2S312</v>
          </cell>
          <cell r="J235" t="str">
            <v>CTC</v>
          </cell>
          <cell r="K235" t="str">
            <v>YES</v>
          </cell>
        </row>
        <row r="236">
          <cell r="I236" t="str">
            <v>V35682</v>
          </cell>
          <cell r="J236" t="str">
            <v>CTC</v>
          </cell>
          <cell r="K236" t="str">
            <v>YES</v>
          </cell>
        </row>
        <row r="237">
          <cell r="I237" t="str">
            <v>V18369</v>
          </cell>
          <cell r="J237" t="str">
            <v>CTC</v>
          </cell>
          <cell r="K237" t="str">
            <v>YES</v>
          </cell>
        </row>
        <row r="238">
          <cell r="I238" t="str">
            <v>V18272</v>
          </cell>
          <cell r="J238" t="str">
            <v>CTC</v>
          </cell>
          <cell r="K238" t="str">
            <v>YES</v>
          </cell>
        </row>
        <row r="239">
          <cell r="I239" t="str">
            <v>V29305</v>
          </cell>
          <cell r="J239" t="str">
            <v>CTC</v>
          </cell>
          <cell r="K239" t="str">
            <v>YES</v>
          </cell>
        </row>
        <row r="240">
          <cell r="I240" t="str">
            <v>V28412</v>
          </cell>
          <cell r="J240" t="str">
            <v>CTC</v>
          </cell>
          <cell r="K240" t="str">
            <v>YES</v>
          </cell>
        </row>
        <row r="241">
          <cell r="I241" t="str">
            <v>V39155</v>
          </cell>
          <cell r="J241" t="str">
            <v>CTC</v>
          </cell>
          <cell r="K241" t="str">
            <v>YES</v>
          </cell>
        </row>
        <row r="242">
          <cell r="I242" t="str">
            <v>V40363</v>
          </cell>
          <cell r="J242" t="str">
            <v>CTC</v>
          </cell>
          <cell r="K242" t="str">
            <v>YES</v>
          </cell>
        </row>
        <row r="243">
          <cell r="I243" t="str">
            <v>V39531</v>
          </cell>
          <cell r="J243" t="str">
            <v>CTC</v>
          </cell>
          <cell r="K243" t="str">
            <v>YES</v>
          </cell>
        </row>
        <row r="244">
          <cell r="I244" t="str">
            <v>V35025</v>
          </cell>
          <cell r="J244" t="str">
            <v>CTC</v>
          </cell>
          <cell r="K244" t="str">
            <v>YES</v>
          </cell>
        </row>
        <row r="245">
          <cell r="I245" t="str">
            <v>V24565</v>
          </cell>
          <cell r="J245" t="str">
            <v>CTC</v>
          </cell>
          <cell r="K245" t="str">
            <v>YES</v>
          </cell>
        </row>
        <row r="246">
          <cell r="I246" t="str">
            <v>V26191</v>
          </cell>
          <cell r="J246" t="str">
            <v>CTC</v>
          </cell>
          <cell r="K246" t="str">
            <v>YES</v>
          </cell>
        </row>
        <row r="247">
          <cell r="I247" t="str">
            <v>V25501</v>
          </cell>
          <cell r="J247" t="str">
            <v>CTC</v>
          </cell>
          <cell r="K247" t="str">
            <v>YES</v>
          </cell>
        </row>
        <row r="248">
          <cell r="I248" t="str">
            <v>V2S267</v>
          </cell>
          <cell r="J248" t="str">
            <v>CTC</v>
          </cell>
          <cell r="K248" t="str">
            <v>YES</v>
          </cell>
        </row>
        <row r="249">
          <cell r="I249" t="str">
            <v>V19326</v>
          </cell>
          <cell r="J249" t="str">
            <v>CTC</v>
          </cell>
          <cell r="K249" t="str">
            <v>YES</v>
          </cell>
        </row>
        <row r="250">
          <cell r="I250" t="str">
            <v>V39200</v>
          </cell>
          <cell r="J250" t="str">
            <v>CTC</v>
          </cell>
          <cell r="K250" t="str">
            <v>YES</v>
          </cell>
        </row>
        <row r="251">
          <cell r="I251" t="str">
            <v>V24246</v>
          </cell>
          <cell r="J251" t="str">
            <v>CTC</v>
          </cell>
          <cell r="K251" t="str">
            <v>YES</v>
          </cell>
        </row>
        <row r="252">
          <cell r="I252" t="str">
            <v>V23182</v>
          </cell>
          <cell r="J252" t="str">
            <v>CTC</v>
          </cell>
          <cell r="K252" t="str">
            <v>YES</v>
          </cell>
        </row>
        <row r="253">
          <cell r="I253" t="str">
            <v>V20307</v>
          </cell>
          <cell r="J253" t="str">
            <v>CTC</v>
          </cell>
          <cell r="K253" t="str">
            <v>YES</v>
          </cell>
        </row>
        <row r="254">
          <cell r="I254" t="str">
            <v>V30412</v>
          </cell>
          <cell r="J254" t="str">
            <v>CTC</v>
          </cell>
          <cell r="K254" t="str">
            <v>YES</v>
          </cell>
        </row>
        <row r="255">
          <cell r="I255" t="str">
            <v>V38076</v>
          </cell>
          <cell r="J255" t="str">
            <v>CTC</v>
          </cell>
          <cell r="K255" t="str">
            <v>YES</v>
          </cell>
        </row>
        <row r="256">
          <cell r="I256" t="str">
            <v>V41241</v>
          </cell>
          <cell r="J256" t="str">
            <v>CTC</v>
          </cell>
          <cell r="K256" t="str">
            <v>YES</v>
          </cell>
        </row>
        <row r="257">
          <cell r="I257" t="str">
            <v>V20944</v>
          </cell>
          <cell r="J257" t="str">
            <v>CTC</v>
          </cell>
          <cell r="K257" t="str">
            <v>YES</v>
          </cell>
        </row>
        <row r="258">
          <cell r="I258" t="str">
            <v>V27695</v>
          </cell>
          <cell r="J258" t="str">
            <v>CTC</v>
          </cell>
          <cell r="K258" t="str">
            <v>YES</v>
          </cell>
        </row>
        <row r="259">
          <cell r="I259" t="str">
            <v>V08591</v>
          </cell>
          <cell r="J259" t="str">
            <v>CTC</v>
          </cell>
          <cell r="K259" t="str">
            <v>YES</v>
          </cell>
        </row>
        <row r="260">
          <cell r="I260" t="str">
            <v>V24740</v>
          </cell>
          <cell r="J260" t="str">
            <v>CTC</v>
          </cell>
          <cell r="K260" t="str">
            <v>YES</v>
          </cell>
        </row>
        <row r="261">
          <cell r="I261" t="str">
            <v>V31173</v>
          </cell>
          <cell r="J261" t="str">
            <v>CTC</v>
          </cell>
          <cell r="K261" t="str">
            <v>YES</v>
          </cell>
        </row>
        <row r="262">
          <cell r="I262" t="str">
            <v>V35182</v>
          </cell>
          <cell r="J262" t="str">
            <v>CTC</v>
          </cell>
          <cell r="K262" t="str">
            <v>YES</v>
          </cell>
        </row>
        <row r="263">
          <cell r="I263" t="str">
            <v>V29739</v>
          </cell>
          <cell r="J263" t="str">
            <v>CTC</v>
          </cell>
          <cell r="K263" t="str">
            <v>YES</v>
          </cell>
        </row>
        <row r="264">
          <cell r="I264" t="str">
            <v>V20322</v>
          </cell>
          <cell r="J264" t="str">
            <v>CTC</v>
          </cell>
          <cell r="K264" t="str">
            <v>YES</v>
          </cell>
        </row>
        <row r="265">
          <cell r="I265" t="str">
            <v>V20597</v>
          </cell>
          <cell r="J265" t="str">
            <v>CTC</v>
          </cell>
          <cell r="K265" t="str">
            <v>YES</v>
          </cell>
        </row>
        <row r="266">
          <cell r="I266" t="str">
            <v>V17563</v>
          </cell>
          <cell r="J266" t="str">
            <v>CTC</v>
          </cell>
          <cell r="K266" t="str">
            <v>YES</v>
          </cell>
        </row>
        <row r="267">
          <cell r="I267" t="str">
            <v>V00498</v>
          </cell>
          <cell r="J267" t="str">
            <v>CTC</v>
          </cell>
          <cell r="K267" t="str">
            <v>YES</v>
          </cell>
        </row>
        <row r="268">
          <cell r="I268" t="str">
            <v>V37322</v>
          </cell>
          <cell r="J268" t="str">
            <v>CTC</v>
          </cell>
          <cell r="K268" t="str">
            <v>YES</v>
          </cell>
        </row>
        <row r="269">
          <cell r="I269" t="str">
            <v>V37736</v>
          </cell>
          <cell r="J269" t="str">
            <v>CTC</v>
          </cell>
          <cell r="K269" t="str">
            <v>YES</v>
          </cell>
        </row>
        <row r="270">
          <cell r="I270" t="str">
            <v>V25153</v>
          </cell>
          <cell r="J270" t="str">
            <v>CTC</v>
          </cell>
          <cell r="K270" t="str">
            <v>YES</v>
          </cell>
        </row>
        <row r="271">
          <cell r="I271" t="str">
            <v>V14071</v>
          </cell>
          <cell r="J271" t="str">
            <v>CTC</v>
          </cell>
          <cell r="K271" t="str">
            <v>YES</v>
          </cell>
        </row>
        <row r="272">
          <cell r="I272" t="str">
            <v>V17464</v>
          </cell>
          <cell r="J272" t="str">
            <v>CTC</v>
          </cell>
          <cell r="K272" t="str">
            <v>YES</v>
          </cell>
        </row>
        <row r="273">
          <cell r="I273" t="str">
            <v>V27558</v>
          </cell>
          <cell r="J273" t="str">
            <v>CTC</v>
          </cell>
          <cell r="K273" t="str">
            <v>YES</v>
          </cell>
        </row>
        <row r="274">
          <cell r="I274" t="str">
            <v>V23802</v>
          </cell>
          <cell r="J274" t="str">
            <v>CTC</v>
          </cell>
          <cell r="K274" t="str">
            <v>YES</v>
          </cell>
        </row>
        <row r="275">
          <cell r="I275" t="str">
            <v>V20579</v>
          </cell>
          <cell r="J275" t="str">
            <v>CTC</v>
          </cell>
          <cell r="K275" t="str">
            <v>YES</v>
          </cell>
        </row>
        <row r="276">
          <cell r="I276" t="str">
            <v>V19871</v>
          </cell>
          <cell r="J276" t="str">
            <v>CTC</v>
          </cell>
          <cell r="K276" t="str">
            <v>YES</v>
          </cell>
        </row>
        <row r="277">
          <cell r="I277" t="str">
            <v>V35690</v>
          </cell>
          <cell r="J277" t="str">
            <v>CTC</v>
          </cell>
          <cell r="K277" t="str">
            <v>YES</v>
          </cell>
        </row>
        <row r="278">
          <cell r="I278" t="str">
            <v>V39587</v>
          </cell>
          <cell r="J278" t="str">
            <v>CTC</v>
          </cell>
          <cell r="K278" t="str">
            <v>YES</v>
          </cell>
        </row>
        <row r="279">
          <cell r="I279" t="str">
            <v>V30858</v>
          </cell>
          <cell r="J279" t="str">
            <v>CTC</v>
          </cell>
          <cell r="K279" t="str">
            <v>YES</v>
          </cell>
        </row>
        <row r="280">
          <cell r="I280" t="str">
            <v>V22260</v>
          </cell>
          <cell r="J280" t="str">
            <v>CTC</v>
          </cell>
          <cell r="K280" t="str">
            <v>YES</v>
          </cell>
        </row>
        <row r="281">
          <cell r="I281" t="str">
            <v>V05506</v>
          </cell>
          <cell r="J281" t="str">
            <v>CTC</v>
          </cell>
          <cell r="K281" t="str">
            <v>YES</v>
          </cell>
        </row>
        <row r="282">
          <cell r="I282" t="str">
            <v>V42262</v>
          </cell>
          <cell r="J282" t="str">
            <v>CTC</v>
          </cell>
          <cell r="K282" t="str">
            <v>YES</v>
          </cell>
        </row>
        <row r="283">
          <cell r="I283" t="str">
            <v>V23739</v>
          </cell>
          <cell r="J283" t="str">
            <v>CTC</v>
          </cell>
          <cell r="K283" t="str">
            <v>YES</v>
          </cell>
        </row>
        <row r="284">
          <cell r="I284" t="str">
            <v>V12170</v>
          </cell>
          <cell r="J284" t="str">
            <v>CTC</v>
          </cell>
          <cell r="K284" t="str">
            <v>YES</v>
          </cell>
        </row>
        <row r="285">
          <cell r="I285" t="str">
            <v>V35026</v>
          </cell>
          <cell r="J285" t="str">
            <v>CTC</v>
          </cell>
          <cell r="K285" t="str">
            <v>YES</v>
          </cell>
        </row>
        <row r="286">
          <cell r="I286" t="str">
            <v>V27694</v>
          </cell>
          <cell r="J286" t="str">
            <v>CTC</v>
          </cell>
          <cell r="K286" t="str">
            <v>YES</v>
          </cell>
        </row>
        <row r="287">
          <cell r="I287" t="str">
            <v>V20138</v>
          </cell>
          <cell r="J287" t="str">
            <v>CTC</v>
          </cell>
          <cell r="K287" t="str">
            <v>YES</v>
          </cell>
        </row>
        <row r="288">
          <cell r="I288" t="str">
            <v>V19037</v>
          </cell>
          <cell r="J288" t="str">
            <v>CTC</v>
          </cell>
          <cell r="K288" t="str">
            <v>YES</v>
          </cell>
        </row>
        <row r="289">
          <cell r="I289" t="str">
            <v>V03697</v>
          </cell>
          <cell r="J289" t="str">
            <v>CTC</v>
          </cell>
          <cell r="K289" t="str">
            <v>YES</v>
          </cell>
        </row>
        <row r="290">
          <cell r="I290" t="str">
            <v>V30612</v>
          </cell>
          <cell r="J290" t="str">
            <v>CTC</v>
          </cell>
          <cell r="K290" t="str">
            <v>YES</v>
          </cell>
        </row>
        <row r="291">
          <cell r="I291" t="str">
            <v>V34942</v>
          </cell>
          <cell r="J291" t="str">
            <v>CTC</v>
          </cell>
          <cell r="K291" t="str">
            <v>YES</v>
          </cell>
        </row>
        <row r="292">
          <cell r="I292" t="str">
            <v>V2S407</v>
          </cell>
          <cell r="J292" t="str">
            <v>CTC</v>
          </cell>
          <cell r="K292" t="str">
            <v>YES</v>
          </cell>
        </row>
        <row r="293">
          <cell r="I293" t="str">
            <v>V34075</v>
          </cell>
          <cell r="J293" t="str">
            <v>CTC</v>
          </cell>
          <cell r="K293" t="str">
            <v>YES</v>
          </cell>
        </row>
        <row r="294">
          <cell r="I294" t="str">
            <v>V13746</v>
          </cell>
          <cell r="J294" t="str">
            <v>CTC</v>
          </cell>
          <cell r="K294" t="str">
            <v>YES</v>
          </cell>
        </row>
        <row r="295">
          <cell r="I295" t="str">
            <v>V18302</v>
          </cell>
          <cell r="J295" t="str">
            <v>CTC</v>
          </cell>
          <cell r="K295" t="str">
            <v>YES</v>
          </cell>
        </row>
        <row r="296">
          <cell r="I296" t="str">
            <v>V18601</v>
          </cell>
          <cell r="J296" t="str">
            <v>CTC</v>
          </cell>
          <cell r="K296" t="str">
            <v>YES</v>
          </cell>
        </row>
        <row r="297">
          <cell r="I297" t="str">
            <v>V21528</v>
          </cell>
          <cell r="J297" t="str">
            <v>CTC</v>
          </cell>
          <cell r="K297" t="str">
            <v>YES</v>
          </cell>
        </row>
        <row r="298">
          <cell r="I298" t="str">
            <v>V36462</v>
          </cell>
          <cell r="J298" t="str">
            <v>CTC</v>
          </cell>
          <cell r="K298" t="str">
            <v>YES</v>
          </cell>
        </row>
        <row r="299">
          <cell r="I299" t="str">
            <v>V37686</v>
          </cell>
          <cell r="J299" t="str">
            <v>CTC</v>
          </cell>
          <cell r="K299" t="str">
            <v>YES</v>
          </cell>
        </row>
        <row r="300">
          <cell r="I300" t="str">
            <v>V20523</v>
          </cell>
          <cell r="J300" t="str">
            <v>CTC</v>
          </cell>
          <cell r="K300" t="str">
            <v>YES</v>
          </cell>
        </row>
        <row r="301">
          <cell r="I301" t="str">
            <v>V16869</v>
          </cell>
          <cell r="J301" t="str">
            <v>CTC</v>
          </cell>
          <cell r="K301" t="str">
            <v>YES</v>
          </cell>
        </row>
        <row r="302">
          <cell r="I302" t="str">
            <v>V30629</v>
          </cell>
          <cell r="J302" t="str">
            <v>CTC</v>
          </cell>
          <cell r="K302" t="str">
            <v>YES</v>
          </cell>
        </row>
        <row r="303">
          <cell r="I303" t="str">
            <v>V25093</v>
          </cell>
          <cell r="J303" t="str">
            <v>CTC</v>
          </cell>
          <cell r="K303" t="str">
            <v>YES</v>
          </cell>
        </row>
        <row r="304">
          <cell r="I304" t="str">
            <v>V18232</v>
          </cell>
          <cell r="J304" t="str">
            <v>CTC</v>
          </cell>
          <cell r="K304" t="str">
            <v>YES</v>
          </cell>
        </row>
        <row r="305">
          <cell r="I305" t="str">
            <v>V31647</v>
          </cell>
          <cell r="J305" t="str">
            <v>CTC</v>
          </cell>
          <cell r="K305" t="str">
            <v>YES</v>
          </cell>
        </row>
        <row r="306">
          <cell r="I306" t="str">
            <v>V15525</v>
          </cell>
          <cell r="J306" t="str">
            <v>CTC</v>
          </cell>
          <cell r="K306" t="str">
            <v>YES</v>
          </cell>
        </row>
        <row r="307">
          <cell r="I307" t="str">
            <v>V22264</v>
          </cell>
          <cell r="J307" t="str">
            <v>CTC</v>
          </cell>
          <cell r="K307" t="str">
            <v>YES</v>
          </cell>
        </row>
        <row r="308">
          <cell r="I308" t="str">
            <v>V25645</v>
          </cell>
          <cell r="J308" t="str">
            <v>CTC</v>
          </cell>
          <cell r="K308" t="str">
            <v>YES</v>
          </cell>
        </row>
        <row r="309">
          <cell r="I309" t="str">
            <v>V27433</v>
          </cell>
          <cell r="J309" t="str">
            <v>CTC</v>
          </cell>
          <cell r="K309" t="str">
            <v>YES</v>
          </cell>
        </row>
        <row r="310">
          <cell r="I310" t="str">
            <v>V18133</v>
          </cell>
          <cell r="J310" t="str">
            <v>CTC</v>
          </cell>
          <cell r="K310" t="str">
            <v>YES</v>
          </cell>
        </row>
        <row r="311">
          <cell r="I311" t="str">
            <v>V39125</v>
          </cell>
          <cell r="J311" t="str">
            <v>CTC</v>
          </cell>
          <cell r="K311" t="str">
            <v>YES</v>
          </cell>
        </row>
        <row r="312">
          <cell r="I312" t="str">
            <v>V22590</v>
          </cell>
          <cell r="J312" t="str">
            <v>CTC</v>
          </cell>
          <cell r="K312" t="str">
            <v>YES</v>
          </cell>
        </row>
        <row r="313">
          <cell r="I313" t="str">
            <v>V16522</v>
          </cell>
          <cell r="J313" t="str">
            <v>CTC</v>
          </cell>
          <cell r="K313" t="str">
            <v>YES</v>
          </cell>
        </row>
        <row r="314">
          <cell r="I314" t="str">
            <v>V25162</v>
          </cell>
          <cell r="J314" t="str">
            <v>CTC</v>
          </cell>
          <cell r="K314" t="str">
            <v>YES</v>
          </cell>
        </row>
        <row r="315">
          <cell r="I315" t="str">
            <v>V23829</v>
          </cell>
          <cell r="J315" t="str">
            <v>CTC</v>
          </cell>
          <cell r="K315" t="str">
            <v>YES</v>
          </cell>
        </row>
        <row r="316">
          <cell r="I316" t="str">
            <v>V14073</v>
          </cell>
          <cell r="J316" t="str">
            <v>CTC</v>
          </cell>
          <cell r="K316" t="str">
            <v>YES</v>
          </cell>
        </row>
        <row r="317">
          <cell r="I317" t="str">
            <v>V27072</v>
          </cell>
          <cell r="J317" t="str">
            <v>CTC</v>
          </cell>
          <cell r="K317" t="str">
            <v>YES</v>
          </cell>
        </row>
        <row r="318">
          <cell r="I318" t="str">
            <v>V42624</v>
          </cell>
          <cell r="J318" t="str">
            <v>CTC</v>
          </cell>
          <cell r="K318" t="str">
            <v>YES</v>
          </cell>
        </row>
        <row r="319">
          <cell r="I319" t="str">
            <v>V08271</v>
          </cell>
          <cell r="J319" t="str">
            <v>CTC</v>
          </cell>
          <cell r="K319" t="str">
            <v>YES</v>
          </cell>
        </row>
        <row r="320">
          <cell r="I320" t="str">
            <v>V07080</v>
          </cell>
          <cell r="J320" t="str">
            <v>CTC</v>
          </cell>
          <cell r="K320" t="str">
            <v>YES</v>
          </cell>
        </row>
        <row r="321">
          <cell r="I321" t="str">
            <v>V05222</v>
          </cell>
          <cell r="J321" t="str">
            <v>CTC</v>
          </cell>
          <cell r="K321" t="str">
            <v>YES</v>
          </cell>
        </row>
        <row r="322">
          <cell r="I322" t="str">
            <v>V00071</v>
          </cell>
          <cell r="J322" t="str">
            <v>CTC</v>
          </cell>
          <cell r="K322" t="str">
            <v>YES</v>
          </cell>
        </row>
        <row r="323">
          <cell r="I323" t="str">
            <v>V17968</v>
          </cell>
          <cell r="J323" t="str">
            <v>CTC</v>
          </cell>
          <cell r="K323" t="str">
            <v>YES</v>
          </cell>
        </row>
        <row r="324">
          <cell r="I324" t="str">
            <v>V25768</v>
          </cell>
          <cell r="J324" t="str">
            <v>CTC</v>
          </cell>
          <cell r="K324" t="str">
            <v>YES</v>
          </cell>
        </row>
        <row r="325">
          <cell r="I325" t="str">
            <v>V08381</v>
          </cell>
          <cell r="J325" t="str">
            <v>CTC</v>
          </cell>
          <cell r="K325" t="str">
            <v>YES</v>
          </cell>
        </row>
        <row r="326">
          <cell r="I326" t="str">
            <v>V2S504</v>
          </cell>
          <cell r="J326" t="str">
            <v>CTC</v>
          </cell>
          <cell r="K326" t="str">
            <v>YES</v>
          </cell>
        </row>
        <row r="327">
          <cell r="I327" t="str">
            <v>V39899</v>
          </cell>
          <cell r="J327" t="str">
            <v>CTC</v>
          </cell>
          <cell r="K327" t="str">
            <v>YES</v>
          </cell>
        </row>
        <row r="328">
          <cell r="I328" t="str">
            <v>V40365</v>
          </cell>
          <cell r="J328" t="str">
            <v>CTC</v>
          </cell>
          <cell r="K328" t="str">
            <v>YES</v>
          </cell>
        </row>
        <row r="329">
          <cell r="I329" t="str">
            <v>V27807</v>
          </cell>
          <cell r="J329" t="str">
            <v>CTC</v>
          </cell>
          <cell r="K329" t="str">
            <v>YES</v>
          </cell>
        </row>
        <row r="330">
          <cell r="I330" t="str">
            <v>V42913</v>
          </cell>
          <cell r="J330" t="str">
            <v>CTC</v>
          </cell>
          <cell r="K330" t="str">
            <v>YES</v>
          </cell>
        </row>
        <row r="331">
          <cell r="I331" t="str">
            <v>V04324</v>
          </cell>
          <cell r="J331" t="str">
            <v>CTC</v>
          </cell>
          <cell r="K331" t="str">
            <v>YES</v>
          </cell>
        </row>
        <row r="332">
          <cell r="I332" t="str">
            <v>V42612</v>
          </cell>
          <cell r="J332" t="str">
            <v>CTC</v>
          </cell>
          <cell r="K332" t="str">
            <v>YES</v>
          </cell>
        </row>
        <row r="333">
          <cell r="I333" t="str">
            <v>V09157</v>
          </cell>
          <cell r="J333" t="str">
            <v>CTC</v>
          </cell>
          <cell r="K333" t="str">
            <v>YES</v>
          </cell>
        </row>
        <row r="334">
          <cell r="I334" t="str">
            <v>V31707</v>
          </cell>
          <cell r="J334" t="str">
            <v>CTC</v>
          </cell>
          <cell r="K334" t="str">
            <v>YES</v>
          </cell>
        </row>
        <row r="335">
          <cell r="I335" t="str">
            <v>V26956</v>
          </cell>
          <cell r="J335" t="str">
            <v>CTC</v>
          </cell>
          <cell r="K335" t="str">
            <v>YES</v>
          </cell>
        </row>
        <row r="336">
          <cell r="I336" t="str">
            <v>V20888</v>
          </cell>
          <cell r="J336" t="str">
            <v>CTC</v>
          </cell>
          <cell r="K336" t="str">
            <v>YES</v>
          </cell>
        </row>
        <row r="337">
          <cell r="I337" t="str">
            <v>V36496</v>
          </cell>
          <cell r="J337" t="str">
            <v>CTC</v>
          </cell>
          <cell r="K337" t="str">
            <v>YES</v>
          </cell>
        </row>
        <row r="338">
          <cell r="I338" t="str">
            <v>V20337</v>
          </cell>
          <cell r="J338" t="str">
            <v>CTC</v>
          </cell>
          <cell r="K338" t="str">
            <v>YES</v>
          </cell>
        </row>
        <row r="339">
          <cell r="I339" t="str">
            <v>V35286</v>
          </cell>
          <cell r="J339" t="str">
            <v>CTC</v>
          </cell>
          <cell r="K339" t="str">
            <v>YES</v>
          </cell>
        </row>
        <row r="340">
          <cell r="I340" t="str">
            <v>V39413</v>
          </cell>
          <cell r="J340" t="str">
            <v>CTC</v>
          </cell>
          <cell r="K340" t="str">
            <v>YES</v>
          </cell>
        </row>
        <row r="341">
          <cell r="I341" t="str">
            <v>V42757</v>
          </cell>
          <cell r="J341" t="str">
            <v>CTC</v>
          </cell>
          <cell r="K341" t="str">
            <v>YES</v>
          </cell>
        </row>
        <row r="342">
          <cell r="I342" t="str">
            <v>V01300</v>
          </cell>
          <cell r="J342" t="str">
            <v>CTC</v>
          </cell>
          <cell r="K342" t="str">
            <v>YES</v>
          </cell>
        </row>
        <row r="343">
          <cell r="I343" t="str">
            <v>V25255</v>
          </cell>
          <cell r="J343" t="str">
            <v>CTC</v>
          </cell>
          <cell r="K343" t="str">
            <v>YES</v>
          </cell>
        </row>
        <row r="344">
          <cell r="I344" t="str">
            <v>V02109</v>
          </cell>
          <cell r="J344" t="str">
            <v>CTC</v>
          </cell>
          <cell r="K344" t="str">
            <v>YES</v>
          </cell>
        </row>
        <row r="345">
          <cell r="I345" t="str">
            <v>V34535</v>
          </cell>
          <cell r="J345" t="str">
            <v>CTC</v>
          </cell>
          <cell r="K345" t="str">
            <v>YES</v>
          </cell>
        </row>
        <row r="346">
          <cell r="I346" t="str">
            <v>V41036</v>
          </cell>
          <cell r="J346" t="str">
            <v>CTC</v>
          </cell>
          <cell r="K346" t="str">
            <v>YES</v>
          </cell>
        </row>
        <row r="347">
          <cell r="I347" t="str">
            <v>V24899</v>
          </cell>
          <cell r="J347" t="str">
            <v>CTC</v>
          </cell>
          <cell r="K347" t="str">
            <v>YES</v>
          </cell>
        </row>
        <row r="348">
          <cell r="I348" t="str">
            <v>V26921</v>
          </cell>
          <cell r="J348" t="str">
            <v>CTC</v>
          </cell>
          <cell r="K348" t="str">
            <v>YES</v>
          </cell>
        </row>
        <row r="349">
          <cell r="I349" t="str">
            <v>V26855</v>
          </cell>
          <cell r="J349" t="str">
            <v>CTC</v>
          </cell>
          <cell r="K349" t="str">
            <v>YES</v>
          </cell>
        </row>
        <row r="350">
          <cell r="I350" t="str">
            <v>V38007</v>
          </cell>
          <cell r="J350" t="str">
            <v>CTC</v>
          </cell>
          <cell r="K350" t="str">
            <v>YES</v>
          </cell>
        </row>
        <row r="351">
          <cell r="I351" t="str">
            <v>V18080</v>
          </cell>
          <cell r="J351" t="str">
            <v>CTC</v>
          </cell>
          <cell r="K351" t="str">
            <v>YES</v>
          </cell>
        </row>
        <row r="352">
          <cell r="I352" t="str">
            <v>V16670</v>
          </cell>
          <cell r="J352" t="str">
            <v>CTC</v>
          </cell>
          <cell r="K352" t="str">
            <v>YES</v>
          </cell>
        </row>
        <row r="353">
          <cell r="I353" t="str">
            <v>V34603</v>
          </cell>
          <cell r="J353" t="str">
            <v>CTC</v>
          </cell>
          <cell r="K353" t="str">
            <v>YES</v>
          </cell>
        </row>
        <row r="354">
          <cell r="I354" t="str">
            <v>V15182</v>
          </cell>
          <cell r="J354" t="str">
            <v>CTC</v>
          </cell>
          <cell r="K354" t="str">
            <v>YES</v>
          </cell>
        </row>
        <row r="355">
          <cell r="I355" t="str">
            <v>V08461</v>
          </cell>
          <cell r="J355" t="str">
            <v>CTC</v>
          </cell>
          <cell r="K355" t="str">
            <v>YES</v>
          </cell>
        </row>
        <row r="356">
          <cell r="I356" t="str">
            <v>V21367</v>
          </cell>
          <cell r="J356" t="str">
            <v>CTC</v>
          </cell>
          <cell r="K356" t="str">
            <v>YES</v>
          </cell>
        </row>
        <row r="357">
          <cell r="I357" t="str">
            <v>V2S171</v>
          </cell>
          <cell r="J357" t="str">
            <v>CTC</v>
          </cell>
          <cell r="K357" t="str">
            <v>YES</v>
          </cell>
        </row>
        <row r="358">
          <cell r="I358" t="str">
            <v>V24901</v>
          </cell>
          <cell r="J358" t="str">
            <v>CTC</v>
          </cell>
          <cell r="K358" t="str">
            <v>YES</v>
          </cell>
        </row>
        <row r="359">
          <cell r="I359" t="str">
            <v>V09070</v>
          </cell>
          <cell r="J359" t="str">
            <v>CTC</v>
          </cell>
          <cell r="K359" t="str">
            <v>YES</v>
          </cell>
        </row>
        <row r="360">
          <cell r="I360" t="str">
            <v>V37579</v>
          </cell>
          <cell r="J360" t="str">
            <v>CTC</v>
          </cell>
          <cell r="K360" t="str">
            <v>YES</v>
          </cell>
        </row>
        <row r="361">
          <cell r="I361" t="str">
            <v>V04787</v>
          </cell>
          <cell r="J361" t="str">
            <v>CTC</v>
          </cell>
          <cell r="K361" t="str">
            <v>YES</v>
          </cell>
        </row>
        <row r="362">
          <cell r="I362" t="str">
            <v>V22429</v>
          </cell>
          <cell r="J362" t="str">
            <v>CTC</v>
          </cell>
          <cell r="K362" t="str">
            <v>YES</v>
          </cell>
        </row>
        <row r="363">
          <cell r="I363" t="str">
            <v>V15999</v>
          </cell>
          <cell r="J363" t="str">
            <v>CTC</v>
          </cell>
          <cell r="K363" t="str">
            <v>YES</v>
          </cell>
        </row>
        <row r="364">
          <cell r="I364" t="str">
            <v>V25147</v>
          </cell>
          <cell r="J364" t="str">
            <v>CTC</v>
          </cell>
          <cell r="K364" t="str">
            <v>YES</v>
          </cell>
        </row>
        <row r="365">
          <cell r="I365" t="str">
            <v>V43222</v>
          </cell>
          <cell r="J365" t="str">
            <v>CTC</v>
          </cell>
          <cell r="K365" t="str">
            <v>YES</v>
          </cell>
        </row>
        <row r="366">
          <cell r="I366" t="str">
            <v>V42565</v>
          </cell>
          <cell r="J366" t="str">
            <v>CTC</v>
          </cell>
          <cell r="K366" t="str">
            <v>YES</v>
          </cell>
        </row>
        <row r="367">
          <cell r="I367" t="str">
            <v>V21811</v>
          </cell>
          <cell r="J367" t="str">
            <v>CTC</v>
          </cell>
          <cell r="K367" t="str">
            <v>YES</v>
          </cell>
        </row>
        <row r="368">
          <cell r="I368" t="str">
            <v>V30619</v>
          </cell>
          <cell r="J368" t="str">
            <v>CTC</v>
          </cell>
          <cell r="K368" t="str">
            <v>YES</v>
          </cell>
        </row>
        <row r="369">
          <cell r="I369" t="str">
            <v>V17512</v>
          </cell>
          <cell r="J369" t="str">
            <v>CTC</v>
          </cell>
          <cell r="K369" t="str">
            <v>YES</v>
          </cell>
        </row>
        <row r="370">
          <cell r="I370" t="str">
            <v>V34940</v>
          </cell>
          <cell r="J370" t="str">
            <v>CTC</v>
          </cell>
          <cell r="K370" t="str">
            <v>YES</v>
          </cell>
        </row>
        <row r="371">
          <cell r="I371" t="str">
            <v>V38677</v>
          </cell>
          <cell r="J371" t="str">
            <v>CTC</v>
          </cell>
          <cell r="K371" t="str">
            <v>YES</v>
          </cell>
        </row>
        <row r="372">
          <cell r="I372" t="str">
            <v>V36709</v>
          </cell>
          <cell r="J372" t="str">
            <v>CTC</v>
          </cell>
          <cell r="K372" t="str">
            <v>YES</v>
          </cell>
        </row>
        <row r="373">
          <cell r="I373" t="str">
            <v>V23910</v>
          </cell>
          <cell r="J373" t="str">
            <v>CTC</v>
          </cell>
          <cell r="K373" t="str">
            <v>YES</v>
          </cell>
        </row>
        <row r="374">
          <cell r="I374" t="str">
            <v>V32059</v>
          </cell>
          <cell r="J374" t="str">
            <v>CTC</v>
          </cell>
          <cell r="K374" t="str">
            <v>YES</v>
          </cell>
        </row>
        <row r="375">
          <cell r="I375" t="str">
            <v>V42886</v>
          </cell>
          <cell r="J375" t="str">
            <v>CTC</v>
          </cell>
          <cell r="K375" t="str">
            <v>YES</v>
          </cell>
        </row>
        <row r="376">
          <cell r="I376" t="str">
            <v>V33004</v>
          </cell>
          <cell r="J376" t="str">
            <v>CTC</v>
          </cell>
          <cell r="K376" t="str">
            <v>YES</v>
          </cell>
        </row>
        <row r="377">
          <cell r="I377" t="str">
            <v>V22222</v>
          </cell>
          <cell r="J377" t="str">
            <v>CTC</v>
          </cell>
          <cell r="K377" t="str">
            <v>YES</v>
          </cell>
        </row>
        <row r="378">
          <cell r="I378" t="str">
            <v>V26101</v>
          </cell>
          <cell r="J378" t="str">
            <v>CTC</v>
          </cell>
          <cell r="K378" t="str">
            <v>YES</v>
          </cell>
        </row>
        <row r="379">
          <cell r="I379" t="str">
            <v>V18571</v>
          </cell>
          <cell r="J379" t="str">
            <v>CTC</v>
          </cell>
          <cell r="K379" t="str">
            <v>YES</v>
          </cell>
        </row>
        <row r="380">
          <cell r="I380" t="str">
            <v>V42619</v>
          </cell>
          <cell r="J380" t="str">
            <v>CTC</v>
          </cell>
          <cell r="K380" t="str">
            <v>YES</v>
          </cell>
        </row>
        <row r="381">
          <cell r="I381" t="str">
            <v>V22588</v>
          </cell>
          <cell r="J381" t="str">
            <v>CTC</v>
          </cell>
          <cell r="K381" t="str">
            <v>YES</v>
          </cell>
        </row>
        <row r="382">
          <cell r="I382" t="str">
            <v>V2S119</v>
          </cell>
          <cell r="J382" t="str">
            <v>CTC</v>
          </cell>
          <cell r="K382" t="str">
            <v>YES</v>
          </cell>
        </row>
        <row r="383">
          <cell r="I383" t="str">
            <v>V30406</v>
          </cell>
          <cell r="J383" t="str">
            <v>CTC</v>
          </cell>
          <cell r="K383" t="str">
            <v>YES</v>
          </cell>
        </row>
        <row r="384">
          <cell r="I384" t="str">
            <v>V05706</v>
          </cell>
          <cell r="J384" t="str">
            <v>CTC</v>
          </cell>
          <cell r="K384" t="str">
            <v>YES</v>
          </cell>
        </row>
        <row r="385">
          <cell r="I385" t="str">
            <v>V21592</v>
          </cell>
          <cell r="J385" t="str">
            <v>CTC</v>
          </cell>
          <cell r="K385" t="str">
            <v>YES</v>
          </cell>
        </row>
        <row r="386">
          <cell r="I386" t="str">
            <v>V38392</v>
          </cell>
          <cell r="J386" t="str">
            <v>CTC</v>
          </cell>
          <cell r="K386" t="str">
            <v>YES</v>
          </cell>
        </row>
        <row r="387">
          <cell r="I387" t="str">
            <v>V08774</v>
          </cell>
          <cell r="J387" t="str">
            <v>CTC</v>
          </cell>
          <cell r="K387" t="str">
            <v>YES</v>
          </cell>
        </row>
        <row r="388">
          <cell r="I388" t="str">
            <v>V29280</v>
          </cell>
          <cell r="J388" t="str">
            <v>CTC</v>
          </cell>
          <cell r="K388" t="str">
            <v>YES</v>
          </cell>
        </row>
        <row r="389">
          <cell r="I389" t="str">
            <v>V25845</v>
          </cell>
          <cell r="J389" t="str">
            <v>CTC</v>
          </cell>
          <cell r="K389" t="str">
            <v>YES</v>
          </cell>
        </row>
        <row r="390">
          <cell r="I390" t="str">
            <v>V20588</v>
          </cell>
          <cell r="J390" t="str">
            <v>CTC</v>
          </cell>
          <cell r="K390" t="str">
            <v>YES</v>
          </cell>
        </row>
        <row r="391">
          <cell r="I391" t="str">
            <v>V41002</v>
          </cell>
          <cell r="J391" t="str">
            <v>CTC</v>
          </cell>
          <cell r="K391" t="str">
            <v>YES</v>
          </cell>
        </row>
        <row r="392">
          <cell r="I392" t="str">
            <v>V01590</v>
          </cell>
          <cell r="J392" t="str">
            <v>CTC</v>
          </cell>
          <cell r="K392" t="str">
            <v>YES</v>
          </cell>
        </row>
        <row r="393">
          <cell r="I393" t="str">
            <v>V26472</v>
          </cell>
          <cell r="J393" t="str">
            <v>CTC</v>
          </cell>
          <cell r="K393" t="str">
            <v>YES</v>
          </cell>
        </row>
        <row r="394">
          <cell r="I394" t="str">
            <v>V26997</v>
          </cell>
          <cell r="J394" t="str">
            <v>CTC</v>
          </cell>
          <cell r="K394" t="str">
            <v>YES</v>
          </cell>
        </row>
        <row r="395">
          <cell r="I395" t="str">
            <v>V08168</v>
          </cell>
          <cell r="J395" t="str">
            <v>CTC</v>
          </cell>
          <cell r="K395" t="str">
            <v>YES</v>
          </cell>
        </row>
        <row r="396">
          <cell r="I396" t="str">
            <v>V31279</v>
          </cell>
          <cell r="J396" t="str">
            <v>CTC</v>
          </cell>
          <cell r="K396" t="str">
            <v>YES</v>
          </cell>
        </row>
        <row r="397">
          <cell r="I397" t="str">
            <v>V03952</v>
          </cell>
          <cell r="J397" t="str">
            <v>CTC</v>
          </cell>
          <cell r="K397" t="str">
            <v>YES</v>
          </cell>
        </row>
        <row r="398">
          <cell r="I398" t="str">
            <v>V39220</v>
          </cell>
          <cell r="J398" t="str">
            <v>CTC</v>
          </cell>
          <cell r="K398" t="str">
            <v>YES</v>
          </cell>
        </row>
        <row r="399">
          <cell r="I399" t="str">
            <v>V33590</v>
          </cell>
          <cell r="J399" t="str">
            <v>CTC</v>
          </cell>
          <cell r="K399" t="str">
            <v>YES</v>
          </cell>
        </row>
        <row r="400">
          <cell r="I400" t="str">
            <v>V42186</v>
          </cell>
          <cell r="J400" t="str">
            <v>CTC</v>
          </cell>
          <cell r="K400" t="str">
            <v>YES</v>
          </cell>
        </row>
        <row r="401">
          <cell r="I401" t="str">
            <v>V26169</v>
          </cell>
          <cell r="J401" t="str">
            <v>CTC</v>
          </cell>
          <cell r="K401" t="str">
            <v>YES</v>
          </cell>
        </row>
        <row r="402">
          <cell r="I402" t="str">
            <v>V25884</v>
          </cell>
          <cell r="J402" t="str">
            <v>CTC</v>
          </cell>
          <cell r="K402" t="str">
            <v>YES</v>
          </cell>
        </row>
        <row r="403">
          <cell r="I403" t="str">
            <v>V27799</v>
          </cell>
          <cell r="J403" t="str">
            <v>CTC</v>
          </cell>
          <cell r="K403" t="str">
            <v>YES</v>
          </cell>
        </row>
        <row r="404">
          <cell r="I404" t="str">
            <v>V28869</v>
          </cell>
          <cell r="J404" t="str">
            <v>CTC</v>
          </cell>
          <cell r="K404" t="str">
            <v>YES</v>
          </cell>
        </row>
        <row r="405">
          <cell r="I405" t="str">
            <v>V47086</v>
          </cell>
          <cell r="J405" t="str">
            <v>CTC</v>
          </cell>
          <cell r="K405" t="str">
            <v>YES</v>
          </cell>
        </row>
        <row r="406">
          <cell r="I406" t="str">
            <v>V15145</v>
          </cell>
          <cell r="J406" t="str">
            <v>CTC</v>
          </cell>
          <cell r="K406" t="str">
            <v>YES</v>
          </cell>
        </row>
        <row r="407">
          <cell r="I407" t="str">
            <v>V41699</v>
          </cell>
          <cell r="J407" t="str">
            <v>CTC</v>
          </cell>
          <cell r="K407" t="str">
            <v>YES</v>
          </cell>
        </row>
        <row r="408">
          <cell r="I408" t="str">
            <v>V14603</v>
          </cell>
          <cell r="J408" t="str">
            <v>CTC</v>
          </cell>
          <cell r="K408" t="str">
            <v>YES</v>
          </cell>
        </row>
        <row r="409">
          <cell r="I409" t="str">
            <v>V19661</v>
          </cell>
          <cell r="J409" t="str">
            <v>CTC</v>
          </cell>
          <cell r="K409" t="str">
            <v>YES</v>
          </cell>
        </row>
        <row r="410">
          <cell r="I410" t="str">
            <v>V19515</v>
          </cell>
          <cell r="J410" t="str">
            <v>CTC</v>
          </cell>
          <cell r="K410" t="str">
            <v>YES</v>
          </cell>
        </row>
        <row r="411">
          <cell r="I411" t="str">
            <v>V23962</v>
          </cell>
          <cell r="J411" t="str">
            <v>CTC</v>
          </cell>
          <cell r="K411" t="str">
            <v>YES</v>
          </cell>
        </row>
        <row r="412">
          <cell r="I412" t="str">
            <v>V16311</v>
          </cell>
          <cell r="J412" t="str">
            <v>CTC</v>
          </cell>
          <cell r="K412" t="str">
            <v>YES</v>
          </cell>
        </row>
        <row r="413">
          <cell r="I413" t="str">
            <v>V21088</v>
          </cell>
          <cell r="J413" t="str">
            <v>CTC</v>
          </cell>
          <cell r="K413" t="str">
            <v>YES</v>
          </cell>
        </row>
        <row r="414">
          <cell r="I414" t="str">
            <v>V36001</v>
          </cell>
          <cell r="J414" t="str">
            <v>CTC</v>
          </cell>
          <cell r="K414" t="str">
            <v>YES</v>
          </cell>
        </row>
        <row r="415">
          <cell r="I415" t="str">
            <v>V04667</v>
          </cell>
          <cell r="J415" t="str">
            <v>CTC</v>
          </cell>
          <cell r="K415" t="str">
            <v>YES</v>
          </cell>
        </row>
        <row r="416">
          <cell r="I416" t="str">
            <v>V37337</v>
          </cell>
          <cell r="J416" t="str">
            <v>CTC</v>
          </cell>
          <cell r="K416" t="str">
            <v>YES</v>
          </cell>
        </row>
        <row r="417">
          <cell r="I417" t="str">
            <v>V25160</v>
          </cell>
          <cell r="J417" t="str">
            <v>CTC</v>
          </cell>
          <cell r="K417" t="str">
            <v>YES</v>
          </cell>
        </row>
        <row r="418">
          <cell r="I418" t="str">
            <v>V35885</v>
          </cell>
          <cell r="J418" t="str">
            <v>CTC</v>
          </cell>
          <cell r="K418" t="str">
            <v>YES</v>
          </cell>
        </row>
        <row r="419">
          <cell r="I419" t="str">
            <v>V22785</v>
          </cell>
          <cell r="J419" t="str">
            <v>CTC</v>
          </cell>
          <cell r="K419" t="str">
            <v>YES</v>
          </cell>
        </row>
        <row r="420">
          <cell r="I420" t="str">
            <v>V25533</v>
          </cell>
          <cell r="J420" t="str">
            <v>CTC</v>
          </cell>
          <cell r="K420" t="str">
            <v>YES</v>
          </cell>
        </row>
        <row r="421">
          <cell r="I421" t="str">
            <v>V34913</v>
          </cell>
          <cell r="J421" t="str">
            <v>CTC</v>
          </cell>
          <cell r="K421" t="str">
            <v>YES</v>
          </cell>
        </row>
        <row r="422">
          <cell r="I422" t="str">
            <v>V25150</v>
          </cell>
          <cell r="J422" t="str">
            <v>CTC</v>
          </cell>
          <cell r="K422" t="str">
            <v>YES</v>
          </cell>
        </row>
        <row r="423">
          <cell r="I423" t="str">
            <v>V26489</v>
          </cell>
          <cell r="J423" t="str">
            <v>CTC</v>
          </cell>
          <cell r="K423" t="str">
            <v>YES</v>
          </cell>
        </row>
        <row r="424">
          <cell r="I424" t="str">
            <v>V35021</v>
          </cell>
          <cell r="J424" t="str">
            <v>CTC</v>
          </cell>
          <cell r="K424" t="str">
            <v>YES</v>
          </cell>
        </row>
        <row r="425">
          <cell r="I425" t="str">
            <v>V17902</v>
          </cell>
          <cell r="J425" t="str">
            <v>CTC</v>
          </cell>
          <cell r="K425" t="str">
            <v>YES</v>
          </cell>
        </row>
        <row r="426">
          <cell r="I426" t="str">
            <v>V31285</v>
          </cell>
          <cell r="J426" t="str">
            <v>CTC</v>
          </cell>
          <cell r="K426" t="str">
            <v>YES</v>
          </cell>
        </row>
        <row r="427">
          <cell r="I427" t="str">
            <v>V45839</v>
          </cell>
          <cell r="J427" t="str">
            <v>CTC</v>
          </cell>
          <cell r="K427" t="str">
            <v>YES</v>
          </cell>
        </row>
        <row r="428">
          <cell r="I428" t="str">
            <v>V24743</v>
          </cell>
          <cell r="J428" t="str">
            <v>CTC</v>
          </cell>
          <cell r="K428" t="str">
            <v>YES</v>
          </cell>
        </row>
        <row r="429">
          <cell r="I429" t="str">
            <v>V40464</v>
          </cell>
          <cell r="J429" t="str">
            <v>CTC</v>
          </cell>
          <cell r="K429" t="str">
            <v>YES</v>
          </cell>
        </row>
        <row r="430">
          <cell r="I430" t="str">
            <v>V19259</v>
          </cell>
          <cell r="J430" t="str">
            <v>CTC</v>
          </cell>
          <cell r="K430" t="str">
            <v>YES</v>
          </cell>
        </row>
        <row r="431">
          <cell r="I431" t="str">
            <v>V18033</v>
          </cell>
          <cell r="J431" t="str">
            <v>CTC</v>
          </cell>
          <cell r="K431" t="str">
            <v>YES</v>
          </cell>
        </row>
        <row r="432">
          <cell r="I432" t="str">
            <v>V24513</v>
          </cell>
          <cell r="J432" t="str">
            <v>CTC</v>
          </cell>
          <cell r="K432" t="str">
            <v>YES</v>
          </cell>
        </row>
        <row r="433">
          <cell r="I433" t="str">
            <v>V21454</v>
          </cell>
          <cell r="J433" t="str">
            <v>CTC</v>
          </cell>
          <cell r="K433" t="str">
            <v>YES</v>
          </cell>
        </row>
        <row r="434">
          <cell r="I434" t="str">
            <v>V46122</v>
          </cell>
          <cell r="J434" t="str">
            <v>CTC</v>
          </cell>
          <cell r="K434" t="str">
            <v>YES</v>
          </cell>
        </row>
        <row r="435">
          <cell r="I435" t="str">
            <v>V20504</v>
          </cell>
          <cell r="J435" t="str">
            <v>CTC</v>
          </cell>
          <cell r="K435" t="str">
            <v>YES</v>
          </cell>
        </row>
        <row r="436">
          <cell r="I436" t="str">
            <v>V32912</v>
          </cell>
          <cell r="J436" t="str">
            <v>CTC</v>
          </cell>
          <cell r="K436" t="str">
            <v>YES</v>
          </cell>
        </row>
        <row r="437">
          <cell r="I437" t="str">
            <v>V29832</v>
          </cell>
          <cell r="J437" t="str">
            <v>CTC</v>
          </cell>
          <cell r="K437" t="str">
            <v>YES</v>
          </cell>
        </row>
        <row r="438">
          <cell r="I438" t="str">
            <v>V40361</v>
          </cell>
          <cell r="J438" t="str">
            <v>CTC</v>
          </cell>
          <cell r="K438" t="str">
            <v>YES</v>
          </cell>
        </row>
        <row r="439">
          <cell r="I439" t="str">
            <v>V21704</v>
          </cell>
          <cell r="J439" t="str">
            <v>CTC</v>
          </cell>
          <cell r="K439" t="str">
            <v>YES</v>
          </cell>
        </row>
        <row r="440">
          <cell r="I440" t="str">
            <v>V24042</v>
          </cell>
          <cell r="J440" t="str">
            <v>CTC</v>
          </cell>
          <cell r="K440" t="str">
            <v>YES</v>
          </cell>
        </row>
        <row r="441">
          <cell r="I441" t="str">
            <v>V27798</v>
          </cell>
          <cell r="J441" t="str">
            <v>CTC</v>
          </cell>
          <cell r="K441" t="str">
            <v>YES</v>
          </cell>
        </row>
        <row r="442">
          <cell r="I442" t="str">
            <v>V23911</v>
          </cell>
          <cell r="J442" t="str">
            <v>CTC</v>
          </cell>
          <cell r="K442" t="str">
            <v>YES</v>
          </cell>
        </row>
        <row r="443">
          <cell r="I443" t="str">
            <v>V15575</v>
          </cell>
          <cell r="J443" t="str">
            <v>CTC</v>
          </cell>
          <cell r="K443" t="str">
            <v>YES</v>
          </cell>
        </row>
        <row r="444">
          <cell r="I444" t="str">
            <v>V16710</v>
          </cell>
          <cell r="J444" t="str">
            <v>CTC</v>
          </cell>
          <cell r="K444" t="str">
            <v>YES</v>
          </cell>
        </row>
        <row r="445">
          <cell r="I445" t="str">
            <v>V10426</v>
          </cell>
          <cell r="J445" t="str">
            <v>CTC</v>
          </cell>
          <cell r="K445" t="str">
            <v>YES</v>
          </cell>
        </row>
        <row r="446">
          <cell r="I446" t="str">
            <v>V22259</v>
          </cell>
          <cell r="J446" t="str">
            <v>CTC</v>
          </cell>
          <cell r="K446" t="str">
            <v>YES</v>
          </cell>
        </row>
        <row r="447">
          <cell r="I447" t="str">
            <v>V19949</v>
          </cell>
          <cell r="J447" t="str">
            <v>CTC</v>
          </cell>
          <cell r="K447" t="str">
            <v>YES</v>
          </cell>
        </row>
        <row r="448">
          <cell r="I448" t="str">
            <v>V18480</v>
          </cell>
          <cell r="J448" t="str">
            <v>CTC</v>
          </cell>
          <cell r="K448" t="str">
            <v>YES</v>
          </cell>
        </row>
        <row r="449">
          <cell r="I449" t="str">
            <v>V21565</v>
          </cell>
          <cell r="J449" t="str">
            <v>CTC</v>
          </cell>
          <cell r="K449" t="str">
            <v>YES</v>
          </cell>
        </row>
        <row r="450">
          <cell r="I450" t="str">
            <v>V08701</v>
          </cell>
          <cell r="J450" t="str">
            <v>CTC</v>
          </cell>
          <cell r="K450" t="str">
            <v>YES</v>
          </cell>
        </row>
        <row r="451">
          <cell r="I451" t="str">
            <v>V35661</v>
          </cell>
          <cell r="J451" t="str">
            <v>CTC</v>
          </cell>
          <cell r="K451" t="str">
            <v>YES</v>
          </cell>
        </row>
        <row r="452">
          <cell r="I452" t="str">
            <v>V29162</v>
          </cell>
          <cell r="J452" t="str">
            <v>CTC</v>
          </cell>
          <cell r="K452" t="str">
            <v>YES</v>
          </cell>
        </row>
        <row r="453">
          <cell r="I453" t="str">
            <v>V29988</v>
          </cell>
          <cell r="J453" t="str">
            <v>CTC</v>
          </cell>
          <cell r="K453" t="str">
            <v>YES</v>
          </cell>
        </row>
        <row r="454">
          <cell r="I454" t="str">
            <v>V33038</v>
          </cell>
          <cell r="J454" t="str">
            <v>CTC</v>
          </cell>
          <cell r="K454" t="str">
            <v>YES</v>
          </cell>
        </row>
        <row r="455">
          <cell r="I455" t="str">
            <v>V35446</v>
          </cell>
          <cell r="J455" t="str">
            <v>CTC</v>
          </cell>
          <cell r="K455" t="str">
            <v>YES</v>
          </cell>
        </row>
        <row r="456">
          <cell r="I456" t="str">
            <v>V25655</v>
          </cell>
          <cell r="J456" t="str">
            <v>CTC</v>
          </cell>
          <cell r="K456" t="str">
            <v>YES</v>
          </cell>
        </row>
        <row r="457">
          <cell r="I457" t="str">
            <v>V43223</v>
          </cell>
          <cell r="J457" t="str">
            <v>CTC</v>
          </cell>
          <cell r="K457" t="str">
            <v>YES</v>
          </cell>
        </row>
        <row r="458">
          <cell r="I458" t="str">
            <v>V23960</v>
          </cell>
          <cell r="J458" t="str">
            <v>CTC</v>
          </cell>
          <cell r="K458" t="str">
            <v>YES</v>
          </cell>
        </row>
        <row r="459">
          <cell r="I459" t="str">
            <v>V39573</v>
          </cell>
          <cell r="J459" t="str">
            <v>CTC</v>
          </cell>
          <cell r="K459" t="str">
            <v>YES</v>
          </cell>
        </row>
        <row r="460">
          <cell r="I460" t="str">
            <v>V20612</v>
          </cell>
          <cell r="J460" t="str">
            <v>CTC</v>
          </cell>
          <cell r="K460" t="str">
            <v>YES</v>
          </cell>
        </row>
        <row r="461">
          <cell r="I461" t="str">
            <v>V47824</v>
          </cell>
          <cell r="J461" t="str">
            <v>CTC</v>
          </cell>
          <cell r="K461" t="str">
            <v>YES</v>
          </cell>
        </row>
        <row r="462">
          <cell r="I462" t="str">
            <v>V24699</v>
          </cell>
          <cell r="J462" t="str">
            <v>CTC</v>
          </cell>
          <cell r="K462" t="str">
            <v>YES</v>
          </cell>
        </row>
        <row r="463">
          <cell r="I463" t="str">
            <v>V26149</v>
          </cell>
          <cell r="J463" t="str">
            <v>CTC</v>
          </cell>
          <cell r="K463" t="str">
            <v>YES</v>
          </cell>
        </row>
        <row r="464">
          <cell r="I464" t="str">
            <v>V18078</v>
          </cell>
          <cell r="J464" t="str">
            <v>CTC</v>
          </cell>
          <cell r="K464" t="str">
            <v>YES</v>
          </cell>
        </row>
        <row r="465">
          <cell r="I465" t="str">
            <v>V20767</v>
          </cell>
          <cell r="J465" t="str">
            <v>CTC</v>
          </cell>
          <cell r="K465" t="str">
            <v>YES</v>
          </cell>
        </row>
        <row r="466">
          <cell r="I466" t="str">
            <v>V30240</v>
          </cell>
          <cell r="J466" t="str">
            <v>CTC</v>
          </cell>
          <cell r="K466" t="str">
            <v>YES</v>
          </cell>
        </row>
        <row r="467">
          <cell r="I467" t="str">
            <v>V09888</v>
          </cell>
          <cell r="J467" t="str">
            <v>CTC</v>
          </cell>
          <cell r="K467" t="str">
            <v>YES</v>
          </cell>
        </row>
        <row r="468">
          <cell r="I468" t="str">
            <v>V27806</v>
          </cell>
          <cell r="J468" t="str">
            <v>CTC</v>
          </cell>
          <cell r="K468" t="str">
            <v>YES</v>
          </cell>
        </row>
        <row r="469">
          <cell r="I469" t="str">
            <v>V2S174</v>
          </cell>
          <cell r="J469" t="str">
            <v>CTC</v>
          </cell>
          <cell r="K469" t="str">
            <v>YES</v>
          </cell>
        </row>
        <row r="470">
          <cell r="I470" t="str">
            <v>V18179</v>
          </cell>
          <cell r="J470" t="str">
            <v>CTC</v>
          </cell>
          <cell r="K470" t="str">
            <v>YES</v>
          </cell>
        </row>
        <row r="471">
          <cell r="I471" t="str">
            <v>V37338</v>
          </cell>
          <cell r="J471" t="str">
            <v>CTC</v>
          </cell>
          <cell r="K471" t="str">
            <v>YES</v>
          </cell>
        </row>
        <row r="472">
          <cell r="I472" t="str">
            <v>V49500</v>
          </cell>
          <cell r="J472" t="str">
            <v>CTC</v>
          </cell>
          <cell r="K472" t="str">
            <v>YES</v>
          </cell>
        </row>
        <row r="473">
          <cell r="I473" t="str">
            <v>V35113</v>
          </cell>
          <cell r="J473" t="str">
            <v>CTC</v>
          </cell>
          <cell r="K473" t="str">
            <v>YES</v>
          </cell>
        </row>
        <row r="474">
          <cell r="I474" t="str">
            <v>V2S178</v>
          </cell>
          <cell r="J474" t="str">
            <v>CTC</v>
          </cell>
          <cell r="K474" t="str">
            <v>YES</v>
          </cell>
        </row>
        <row r="475">
          <cell r="I475" t="str">
            <v>V39886</v>
          </cell>
          <cell r="J475" t="str">
            <v>CTC</v>
          </cell>
          <cell r="K475" t="str">
            <v>YES</v>
          </cell>
        </row>
        <row r="476">
          <cell r="I476" t="str">
            <v>V23691</v>
          </cell>
          <cell r="J476" t="str">
            <v>CTC</v>
          </cell>
          <cell r="K476" t="str">
            <v>YES</v>
          </cell>
        </row>
        <row r="477">
          <cell r="I477" t="str">
            <v>V15777</v>
          </cell>
          <cell r="J477" t="str">
            <v>CTC</v>
          </cell>
          <cell r="K477" t="str">
            <v>YES</v>
          </cell>
        </row>
        <row r="478">
          <cell r="I478" t="str">
            <v>V30664</v>
          </cell>
          <cell r="J478" t="str">
            <v>CTC</v>
          </cell>
          <cell r="K478" t="str">
            <v>YES</v>
          </cell>
        </row>
        <row r="479">
          <cell r="I479" t="str">
            <v>V22483</v>
          </cell>
          <cell r="J479" t="str">
            <v>CTC</v>
          </cell>
          <cell r="K479" t="str">
            <v>YES</v>
          </cell>
        </row>
        <row r="480">
          <cell r="I480" t="str">
            <v>V07457</v>
          </cell>
          <cell r="J480" t="str">
            <v>CTC</v>
          </cell>
          <cell r="K480" t="str">
            <v>YES</v>
          </cell>
        </row>
        <row r="481">
          <cell r="I481" t="str">
            <v>V23970</v>
          </cell>
          <cell r="J481" t="str">
            <v>CTC</v>
          </cell>
          <cell r="K481" t="str">
            <v>YES</v>
          </cell>
        </row>
        <row r="482">
          <cell r="I482" t="str">
            <v>V24439</v>
          </cell>
          <cell r="J482" t="str">
            <v>CTC</v>
          </cell>
          <cell r="K482" t="str">
            <v>YES</v>
          </cell>
        </row>
        <row r="483">
          <cell r="I483" t="str">
            <v>V21858</v>
          </cell>
          <cell r="J483" t="str">
            <v>CTC</v>
          </cell>
          <cell r="K483" t="str">
            <v>YES</v>
          </cell>
        </row>
        <row r="484">
          <cell r="I484" t="str">
            <v>V22262</v>
          </cell>
          <cell r="J484" t="str">
            <v>CTC</v>
          </cell>
          <cell r="K484" t="str">
            <v>YES</v>
          </cell>
        </row>
        <row r="485">
          <cell r="I485" t="str">
            <v>V27561</v>
          </cell>
          <cell r="J485" t="str">
            <v>CTC</v>
          </cell>
          <cell r="K485" t="str">
            <v>YES</v>
          </cell>
        </row>
        <row r="486">
          <cell r="I486" t="str">
            <v>V34276</v>
          </cell>
          <cell r="J486" t="str">
            <v>CTC</v>
          </cell>
          <cell r="K486" t="str">
            <v>YES</v>
          </cell>
        </row>
        <row r="487">
          <cell r="I487" t="str">
            <v>V38728</v>
          </cell>
          <cell r="J487" t="str">
            <v>CTC</v>
          </cell>
          <cell r="K487" t="str">
            <v>YES</v>
          </cell>
        </row>
        <row r="488">
          <cell r="I488" t="str">
            <v>V35186</v>
          </cell>
          <cell r="J488" t="str">
            <v>CTC</v>
          </cell>
          <cell r="K488" t="str">
            <v>YES</v>
          </cell>
        </row>
        <row r="489">
          <cell r="I489" t="str">
            <v>V29424</v>
          </cell>
          <cell r="J489" t="str">
            <v>CTC</v>
          </cell>
          <cell r="K489" t="str">
            <v>YES</v>
          </cell>
        </row>
        <row r="490">
          <cell r="I490" t="str">
            <v>V46761</v>
          </cell>
          <cell r="J490" t="str">
            <v>CTC</v>
          </cell>
          <cell r="K490" t="str">
            <v>YES</v>
          </cell>
        </row>
        <row r="491">
          <cell r="I491" t="str">
            <v>V25819</v>
          </cell>
          <cell r="J491" t="str">
            <v>CTC</v>
          </cell>
          <cell r="K491" t="str">
            <v>YES</v>
          </cell>
        </row>
        <row r="492">
          <cell r="I492" t="str">
            <v>V44351</v>
          </cell>
          <cell r="J492" t="str">
            <v>CTC</v>
          </cell>
          <cell r="K492" t="str">
            <v>YES</v>
          </cell>
        </row>
        <row r="493">
          <cell r="I493" t="str">
            <v>V27068</v>
          </cell>
          <cell r="J493" t="str">
            <v>CTC</v>
          </cell>
          <cell r="K493" t="str">
            <v>YES</v>
          </cell>
        </row>
        <row r="494">
          <cell r="I494" t="str">
            <v>V2S1787</v>
          </cell>
          <cell r="J494" t="str">
            <v>CTC</v>
          </cell>
          <cell r="K494" t="str">
            <v>YES</v>
          </cell>
        </row>
        <row r="495">
          <cell r="I495" t="str">
            <v>V36458</v>
          </cell>
          <cell r="J495" t="str">
            <v>CTC</v>
          </cell>
          <cell r="K495" t="str">
            <v>YES</v>
          </cell>
        </row>
        <row r="496">
          <cell r="I496" t="str">
            <v>V19906</v>
          </cell>
          <cell r="J496" t="str">
            <v>CTC</v>
          </cell>
          <cell r="K496" t="str">
            <v>YES</v>
          </cell>
        </row>
        <row r="497">
          <cell r="I497" t="str">
            <v>V29163</v>
          </cell>
          <cell r="J497" t="str">
            <v>CTC</v>
          </cell>
          <cell r="K497" t="str">
            <v>YES</v>
          </cell>
        </row>
        <row r="498">
          <cell r="I498" t="str">
            <v>V39261</v>
          </cell>
          <cell r="J498" t="str">
            <v>CTC</v>
          </cell>
          <cell r="K498" t="str">
            <v>YES</v>
          </cell>
        </row>
        <row r="499">
          <cell r="I499" t="str">
            <v>V40370</v>
          </cell>
          <cell r="J499" t="str">
            <v>CTC</v>
          </cell>
          <cell r="K499" t="str">
            <v>YES</v>
          </cell>
        </row>
        <row r="500">
          <cell r="I500" t="str">
            <v>V42922</v>
          </cell>
          <cell r="J500" t="str">
            <v>CTC</v>
          </cell>
          <cell r="K500" t="str">
            <v>YES</v>
          </cell>
        </row>
        <row r="501">
          <cell r="I501" t="str">
            <v>V30272</v>
          </cell>
          <cell r="J501" t="str">
            <v>CTC</v>
          </cell>
          <cell r="K501" t="str">
            <v>YES</v>
          </cell>
        </row>
        <row r="502">
          <cell r="I502" t="str">
            <v>V16165</v>
          </cell>
          <cell r="J502" t="str">
            <v>CTC</v>
          </cell>
          <cell r="K502" t="str">
            <v>YES</v>
          </cell>
        </row>
        <row r="503">
          <cell r="I503" t="str">
            <v>V31674</v>
          </cell>
          <cell r="J503" t="str">
            <v>CTC</v>
          </cell>
          <cell r="K503" t="str">
            <v>YES</v>
          </cell>
        </row>
        <row r="504">
          <cell r="I504" t="str">
            <v>V17532</v>
          </cell>
          <cell r="J504" t="str">
            <v>CTC</v>
          </cell>
          <cell r="K504" t="str">
            <v>YES</v>
          </cell>
        </row>
        <row r="505">
          <cell r="I505" t="str">
            <v>V43317</v>
          </cell>
          <cell r="J505" t="str">
            <v>CTC</v>
          </cell>
          <cell r="K505" t="str">
            <v>YES</v>
          </cell>
        </row>
        <row r="506">
          <cell r="I506" t="str">
            <v>V01633</v>
          </cell>
          <cell r="J506" t="str">
            <v>CTC</v>
          </cell>
          <cell r="K506" t="str">
            <v>YES</v>
          </cell>
        </row>
        <row r="507">
          <cell r="I507" t="str">
            <v>V25598</v>
          </cell>
          <cell r="J507" t="str">
            <v>CTC</v>
          </cell>
          <cell r="K507" t="str">
            <v>YES</v>
          </cell>
        </row>
        <row r="508">
          <cell r="I508" t="str">
            <v>V43005</v>
          </cell>
          <cell r="J508" t="str">
            <v>CTC</v>
          </cell>
          <cell r="K508" t="str">
            <v>YES</v>
          </cell>
        </row>
        <row r="509">
          <cell r="I509" t="str">
            <v>V31910</v>
          </cell>
          <cell r="J509" t="str">
            <v>CTC</v>
          </cell>
          <cell r="K509" t="str">
            <v>YES</v>
          </cell>
        </row>
        <row r="510">
          <cell r="I510" t="str">
            <v>V04141</v>
          </cell>
          <cell r="J510" t="str">
            <v>CTC</v>
          </cell>
          <cell r="K510" t="str">
            <v>YES</v>
          </cell>
        </row>
        <row r="511">
          <cell r="I511" t="str">
            <v>V36348</v>
          </cell>
          <cell r="J511" t="str">
            <v>CTC</v>
          </cell>
          <cell r="K511" t="str">
            <v>YES</v>
          </cell>
        </row>
        <row r="512">
          <cell r="I512" t="str">
            <v>V02643</v>
          </cell>
          <cell r="J512" t="str">
            <v>CTC</v>
          </cell>
          <cell r="K512" t="str">
            <v>YES</v>
          </cell>
        </row>
        <row r="513">
          <cell r="I513" t="str">
            <v>V25430</v>
          </cell>
          <cell r="J513" t="str">
            <v>CTC</v>
          </cell>
          <cell r="K513" t="str">
            <v>YES</v>
          </cell>
        </row>
        <row r="514">
          <cell r="I514" t="str">
            <v>V33251</v>
          </cell>
          <cell r="J514" t="str">
            <v>CTC</v>
          </cell>
          <cell r="K514" t="str">
            <v>YES</v>
          </cell>
        </row>
        <row r="515">
          <cell r="I515" t="str">
            <v>V43227</v>
          </cell>
          <cell r="J515" t="str">
            <v>CTC</v>
          </cell>
          <cell r="K515" t="str">
            <v>YES</v>
          </cell>
        </row>
        <row r="516">
          <cell r="I516" t="str">
            <v>V34077</v>
          </cell>
          <cell r="J516" t="str">
            <v>CTC</v>
          </cell>
          <cell r="K516" t="str">
            <v>YES</v>
          </cell>
        </row>
        <row r="517">
          <cell r="I517" t="str">
            <v>V35663</v>
          </cell>
          <cell r="J517" t="str">
            <v>CTC</v>
          </cell>
          <cell r="K517" t="str">
            <v>YES</v>
          </cell>
        </row>
        <row r="518">
          <cell r="I518" t="str">
            <v>V27589</v>
          </cell>
          <cell r="J518" t="str">
            <v>CTC</v>
          </cell>
          <cell r="K518" t="str">
            <v>YES</v>
          </cell>
        </row>
        <row r="519">
          <cell r="I519" t="str">
            <v>V24399</v>
          </cell>
          <cell r="J519" t="str">
            <v>CTC</v>
          </cell>
          <cell r="K519" t="str">
            <v>YES</v>
          </cell>
        </row>
        <row r="520">
          <cell r="I520" t="str">
            <v>V26552</v>
          </cell>
          <cell r="J520" t="str">
            <v>CTC</v>
          </cell>
          <cell r="K520" t="str">
            <v>YES</v>
          </cell>
        </row>
        <row r="521">
          <cell r="I521" t="str">
            <v>V36683</v>
          </cell>
          <cell r="J521" t="str">
            <v>CTC</v>
          </cell>
          <cell r="K521" t="str">
            <v>YES</v>
          </cell>
        </row>
        <row r="522">
          <cell r="I522" t="str">
            <v>V25781</v>
          </cell>
          <cell r="J522" t="str">
            <v>CTC</v>
          </cell>
          <cell r="K522" t="str">
            <v>YES</v>
          </cell>
        </row>
        <row r="523">
          <cell r="I523" t="str">
            <v>V35187</v>
          </cell>
          <cell r="J523" t="str">
            <v>CTC</v>
          </cell>
          <cell r="K523" t="str">
            <v>YES</v>
          </cell>
        </row>
        <row r="524">
          <cell r="I524" t="str">
            <v>V41663</v>
          </cell>
          <cell r="J524" t="str">
            <v>CTC</v>
          </cell>
          <cell r="K524" t="str">
            <v>YES</v>
          </cell>
        </row>
        <row r="525">
          <cell r="I525" t="str">
            <v>V2S054</v>
          </cell>
          <cell r="J525" t="str">
            <v>CTC</v>
          </cell>
          <cell r="K525" t="str">
            <v>YES</v>
          </cell>
        </row>
        <row r="526">
          <cell r="I526" t="str">
            <v>V27118</v>
          </cell>
          <cell r="J526" t="str">
            <v>CTC</v>
          </cell>
          <cell r="K526" t="str">
            <v>YES</v>
          </cell>
        </row>
        <row r="527">
          <cell r="I527" t="str">
            <v>V28540</v>
          </cell>
          <cell r="J527" t="str">
            <v>CTC</v>
          </cell>
          <cell r="K527" t="str">
            <v>YES</v>
          </cell>
        </row>
        <row r="528">
          <cell r="I528" t="str">
            <v>V43662</v>
          </cell>
          <cell r="J528" t="str">
            <v>CTC</v>
          </cell>
          <cell r="K528" t="str">
            <v>YES</v>
          </cell>
        </row>
        <row r="529">
          <cell r="I529" t="str">
            <v>V34072</v>
          </cell>
          <cell r="J529" t="str">
            <v>CTC</v>
          </cell>
          <cell r="K529" t="str">
            <v>YES</v>
          </cell>
        </row>
        <row r="530">
          <cell r="I530" t="str">
            <v>V37506</v>
          </cell>
          <cell r="J530" t="str">
            <v>CTC</v>
          </cell>
          <cell r="K530" t="str">
            <v>YES</v>
          </cell>
        </row>
        <row r="531">
          <cell r="I531" t="str">
            <v>V33432</v>
          </cell>
          <cell r="J531" t="str">
            <v>CTC</v>
          </cell>
          <cell r="K531" t="str">
            <v>YES</v>
          </cell>
        </row>
        <row r="532">
          <cell r="I532" t="str">
            <v>V04362</v>
          </cell>
          <cell r="J532" t="str">
            <v>CTC</v>
          </cell>
          <cell r="K532" t="str">
            <v>YES</v>
          </cell>
        </row>
        <row r="533">
          <cell r="I533" t="str">
            <v>V05615</v>
          </cell>
          <cell r="J533" t="str">
            <v>CTC</v>
          </cell>
          <cell r="K533" t="str">
            <v>YES</v>
          </cell>
        </row>
        <row r="534">
          <cell r="I534" t="str">
            <v>V39887</v>
          </cell>
          <cell r="J534" t="str">
            <v>CTC</v>
          </cell>
          <cell r="K534" t="str">
            <v>YES</v>
          </cell>
        </row>
        <row r="535">
          <cell r="I535" t="str">
            <v>V19002</v>
          </cell>
          <cell r="J535" t="str">
            <v>CTC</v>
          </cell>
          <cell r="K535" t="str">
            <v>YES</v>
          </cell>
        </row>
        <row r="536">
          <cell r="I536" t="str">
            <v>V39257</v>
          </cell>
          <cell r="J536" t="str">
            <v>CTC</v>
          </cell>
          <cell r="K536" t="str">
            <v>YES</v>
          </cell>
        </row>
        <row r="537">
          <cell r="I537" t="str">
            <v>V43951</v>
          </cell>
          <cell r="J537" t="str">
            <v>CTC</v>
          </cell>
          <cell r="K537" t="str">
            <v>YES</v>
          </cell>
        </row>
        <row r="538">
          <cell r="I538" t="str">
            <v>V26551</v>
          </cell>
          <cell r="J538" t="str">
            <v>CTC</v>
          </cell>
          <cell r="K538" t="str">
            <v>YES</v>
          </cell>
        </row>
        <row r="539">
          <cell r="I539" t="str">
            <v>V25237</v>
          </cell>
          <cell r="J539" t="str">
            <v>CTC</v>
          </cell>
          <cell r="K539" t="str">
            <v>YES</v>
          </cell>
        </row>
        <row r="540">
          <cell r="I540" t="str">
            <v>V11804</v>
          </cell>
          <cell r="J540" t="str">
            <v>CTC</v>
          </cell>
          <cell r="K540" t="str">
            <v>YES</v>
          </cell>
        </row>
        <row r="541">
          <cell r="I541" t="str">
            <v>V2S1117</v>
          </cell>
          <cell r="J541" t="str">
            <v>CTC</v>
          </cell>
          <cell r="K541" t="str">
            <v>YES</v>
          </cell>
        </row>
        <row r="542">
          <cell r="I542" t="str">
            <v>V00932</v>
          </cell>
          <cell r="J542" t="str">
            <v>CTC</v>
          </cell>
          <cell r="K542" t="str">
            <v>YES</v>
          </cell>
        </row>
        <row r="543">
          <cell r="I543" t="str">
            <v>V18072</v>
          </cell>
          <cell r="J543" t="str">
            <v>CTC</v>
          </cell>
          <cell r="K543" t="str">
            <v>YES</v>
          </cell>
        </row>
        <row r="544">
          <cell r="I544" t="str">
            <v>V30831</v>
          </cell>
          <cell r="J544" t="str">
            <v>CTC</v>
          </cell>
          <cell r="K544" t="str">
            <v>YES</v>
          </cell>
        </row>
        <row r="545">
          <cell r="I545" t="str">
            <v>V36529</v>
          </cell>
          <cell r="J545" t="str">
            <v>CTC</v>
          </cell>
          <cell r="K545" t="str">
            <v>YES</v>
          </cell>
        </row>
        <row r="546">
          <cell r="I546" t="str">
            <v>V39889</v>
          </cell>
          <cell r="J546" t="str">
            <v>CTC</v>
          </cell>
          <cell r="K546" t="str">
            <v>YES</v>
          </cell>
        </row>
        <row r="547">
          <cell r="I547" t="str">
            <v>V33596</v>
          </cell>
          <cell r="J547" t="str">
            <v>CTC</v>
          </cell>
          <cell r="K547" t="str">
            <v>YES</v>
          </cell>
        </row>
        <row r="548">
          <cell r="I548" t="str">
            <v>V08681</v>
          </cell>
          <cell r="J548" t="str">
            <v>CTC</v>
          </cell>
          <cell r="K548" t="str">
            <v>YES</v>
          </cell>
        </row>
        <row r="549">
          <cell r="I549" t="str">
            <v>V17795</v>
          </cell>
          <cell r="J549" t="str">
            <v>CTC</v>
          </cell>
          <cell r="K549" t="str">
            <v>YES</v>
          </cell>
        </row>
        <row r="550">
          <cell r="I550" t="str">
            <v>V42924</v>
          </cell>
          <cell r="J550" t="str">
            <v>CTC</v>
          </cell>
          <cell r="K550" t="str">
            <v>YES</v>
          </cell>
        </row>
        <row r="551">
          <cell r="I551" t="str">
            <v>V20569</v>
          </cell>
          <cell r="J551" t="str">
            <v>CTC</v>
          </cell>
          <cell r="K551" t="str">
            <v>YES</v>
          </cell>
        </row>
        <row r="552">
          <cell r="I552" t="str">
            <v>V06912</v>
          </cell>
          <cell r="J552" t="str">
            <v>CTC</v>
          </cell>
          <cell r="K552" t="str">
            <v>YES</v>
          </cell>
        </row>
        <row r="553">
          <cell r="I553" t="str">
            <v>V25723</v>
          </cell>
          <cell r="J553" t="str">
            <v>CTC</v>
          </cell>
          <cell r="K553" t="str">
            <v>YES</v>
          </cell>
        </row>
        <row r="554">
          <cell r="I554" t="str">
            <v>V29412</v>
          </cell>
          <cell r="J554" t="str">
            <v>CTC</v>
          </cell>
          <cell r="K554" t="str">
            <v>YES</v>
          </cell>
        </row>
        <row r="555">
          <cell r="I555" t="str">
            <v>V22580</v>
          </cell>
          <cell r="J555" t="str">
            <v>CTC</v>
          </cell>
          <cell r="K555" t="str">
            <v>YES</v>
          </cell>
        </row>
        <row r="556">
          <cell r="I556" t="str">
            <v>V35015</v>
          </cell>
          <cell r="J556" t="str">
            <v>CTC</v>
          </cell>
          <cell r="K556" t="str">
            <v>YES</v>
          </cell>
        </row>
        <row r="557">
          <cell r="I557" t="str">
            <v>V27948</v>
          </cell>
          <cell r="J557" t="str">
            <v>CTC</v>
          </cell>
          <cell r="K557" t="str">
            <v>YES</v>
          </cell>
        </row>
        <row r="558">
          <cell r="I558" t="str">
            <v>V37463</v>
          </cell>
          <cell r="J558" t="str">
            <v>CTC</v>
          </cell>
          <cell r="K558" t="str">
            <v>YES</v>
          </cell>
        </row>
        <row r="559">
          <cell r="I559" t="str">
            <v>V23258</v>
          </cell>
          <cell r="J559" t="str">
            <v>CTC</v>
          </cell>
          <cell r="K559" t="str">
            <v>YES</v>
          </cell>
        </row>
        <row r="560">
          <cell r="I560" t="str">
            <v>V31646</v>
          </cell>
          <cell r="J560" t="str">
            <v>CTC</v>
          </cell>
          <cell r="K560" t="str">
            <v>YES</v>
          </cell>
        </row>
        <row r="561">
          <cell r="I561" t="str">
            <v>V2S417</v>
          </cell>
          <cell r="J561" t="str">
            <v>CTC</v>
          </cell>
          <cell r="K561" t="str">
            <v>YES</v>
          </cell>
        </row>
        <row r="562">
          <cell r="I562" t="str">
            <v>V02375</v>
          </cell>
          <cell r="J562" t="str">
            <v>CTC</v>
          </cell>
          <cell r="K562" t="str">
            <v>YES</v>
          </cell>
        </row>
        <row r="563">
          <cell r="I563" t="str">
            <v>V19277</v>
          </cell>
          <cell r="J563" t="str">
            <v>CTC</v>
          </cell>
          <cell r="K563" t="str">
            <v>YES</v>
          </cell>
        </row>
        <row r="564">
          <cell r="I564" t="str">
            <v>V16714</v>
          </cell>
          <cell r="J564" t="str">
            <v>CTC</v>
          </cell>
          <cell r="K564" t="str">
            <v>YES</v>
          </cell>
        </row>
        <row r="565">
          <cell r="I565" t="str">
            <v>V30366</v>
          </cell>
          <cell r="J565" t="str">
            <v>CTC</v>
          </cell>
          <cell r="K565" t="str">
            <v>YES</v>
          </cell>
        </row>
        <row r="566">
          <cell r="I566" t="str">
            <v>V25256</v>
          </cell>
          <cell r="J566" t="str">
            <v>CTC</v>
          </cell>
          <cell r="K566" t="str">
            <v>YES</v>
          </cell>
        </row>
        <row r="567">
          <cell r="I567" t="str">
            <v>V37063</v>
          </cell>
          <cell r="J567" t="str">
            <v>CTC</v>
          </cell>
          <cell r="K567" t="str">
            <v>YES</v>
          </cell>
        </row>
        <row r="568">
          <cell r="I568" t="str">
            <v>V17177</v>
          </cell>
          <cell r="J568" t="str">
            <v>CTC</v>
          </cell>
          <cell r="K568" t="str">
            <v>YES</v>
          </cell>
        </row>
        <row r="569">
          <cell r="I569" t="str">
            <v>V21010</v>
          </cell>
          <cell r="J569" t="str">
            <v>CTC</v>
          </cell>
          <cell r="K569" t="str">
            <v>YES</v>
          </cell>
        </row>
        <row r="570">
          <cell r="I570" t="str">
            <v>V31046</v>
          </cell>
          <cell r="J570" t="str">
            <v>CTC</v>
          </cell>
          <cell r="K570" t="str">
            <v>YES</v>
          </cell>
        </row>
        <row r="571">
          <cell r="I571" t="str">
            <v>V40758</v>
          </cell>
          <cell r="J571" t="str">
            <v>CTC</v>
          </cell>
          <cell r="K571" t="str">
            <v>YES</v>
          </cell>
        </row>
        <row r="572">
          <cell r="I572" t="str">
            <v>V30628</v>
          </cell>
          <cell r="J572" t="str">
            <v>CTC</v>
          </cell>
          <cell r="K572" t="str">
            <v>YES</v>
          </cell>
        </row>
        <row r="573">
          <cell r="I573" t="str">
            <v>V44353</v>
          </cell>
          <cell r="J573" t="str">
            <v>CTC</v>
          </cell>
          <cell r="K573" t="str">
            <v>YES</v>
          </cell>
        </row>
        <row r="574">
          <cell r="I574" t="str">
            <v>V21498</v>
          </cell>
          <cell r="J574" t="str">
            <v>CTC</v>
          </cell>
          <cell r="K574" t="str">
            <v>YES</v>
          </cell>
        </row>
        <row r="575">
          <cell r="I575" t="str">
            <v>V43663</v>
          </cell>
          <cell r="J575" t="str">
            <v>CTC</v>
          </cell>
          <cell r="K575" t="str">
            <v>YES</v>
          </cell>
        </row>
        <row r="576">
          <cell r="I576" t="str">
            <v>V10767</v>
          </cell>
          <cell r="J576" t="str">
            <v>CTC</v>
          </cell>
          <cell r="K576" t="str">
            <v>YES</v>
          </cell>
        </row>
        <row r="577">
          <cell r="I577" t="str">
            <v>V30659</v>
          </cell>
          <cell r="J577" t="str">
            <v>CTC</v>
          </cell>
          <cell r="K577" t="str">
            <v>YES</v>
          </cell>
        </row>
        <row r="578">
          <cell r="I578" t="str">
            <v>V43755</v>
          </cell>
          <cell r="J578" t="str">
            <v>CTC</v>
          </cell>
          <cell r="K578" t="str">
            <v>YES</v>
          </cell>
        </row>
        <row r="579">
          <cell r="I579" t="str">
            <v>V23592</v>
          </cell>
          <cell r="J579" t="str">
            <v>CTC</v>
          </cell>
          <cell r="K579" t="str">
            <v>YES</v>
          </cell>
        </row>
        <row r="580">
          <cell r="I580" t="str">
            <v>V04739</v>
          </cell>
          <cell r="J580" t="str">
            <v>CTC</v>
          </cell>
          <cell r="K580" t="str">
            <v>YES</v>
          </cell>
        </row>
        <row r="581">
          <cell r="I581" t="str">
            <v>V01077</v>
          </cell>
          <cell r="J581" t="str">
            <v>CTC</v>
          </cell>
          <cell r="K581" t="str">
            <v>YES</v>
          </cell>
        </row>
        <row r="582">
          <cell r="I582" t="str">
            <v>V42873</v>
          </cell>
          <cell r="J582" t="str">
            <v>CTC</v>
          </cell>
          <cell r="K582" t="str">
            <v>YES</v>
          </cell>
        </row>
        <row r="583">
          <cell r="I583" t="str">
            <v>V33948</v>
          </cell>
          <cell r="J583" t="str">
            <v>CTC</v>
          </cell>
          <cell r="K583" t="str">
            <v>YES</v>
          </cell>
        </row>
        <row r="584">
          <cell r="I584" t="str">
            <v>V39585</v>
          </cell>
          <cell r="J584" t="str">
            <v>CTC</v>
          </cell>
          <cell r="K584" t="str">
            <v>YES</v>
          </cell>
        </row>
        <row r="585">
          <cell r="I585" t="str">
            <v>V11913</v>
          </cell>
          <cell r="J585" t="str">
            <v>CTC</v>
          </cell>
          <cell r="K585" t="str">
            <v>YES</v>
          </cell>
        </row>
        <row r="586">
          <cell r="I586" t="str">
            <v>V41014</v>
          </cell>
          <cell r="J586" t="str">
            <v>CTC</v>
          </cell>
          <cell r="K586" t="str">
            <v>YES</v>
          </cell>
        </row>
        <row r="587">
          <cell r="I587" t="str">
            <v>V46617</v>
          </cell>
          <cell r="J587" t="str">
            <v>CTC</v>
          </cell>
          <cell r="K587" t="str">
            <v>YES</v>
          </cell>
        </row>
        <row r="588">
          <cell r="I588" t="str">
            <v>V29604</v>
          </cell>
          <cell r="J588" t="str">
            <v>CTC</v>
          </cell>
          <cell r="K588" t="str">
            <v>YES</v>
          </cell>
        </row>
        <row r="589">
          <cell r="I589" t="str">
            <v>V38920</v>
          </cell>
          <cell r="J589" t="str">
            <v>CTC</v>
          </cell>
          <cell r="K589" t="str">
            <v>YES</v>
          </cell>
        </row>
        <row r="590">
          <cell r="I590" t="str">
            <v>V39298</v>
          </cell>
          <cell r="J590" t="str">
            <v>CTC</v>
          </cell>
          <cell r="K590" t="str">
            <v>YES</v>
          </cell>
        </row>
        <row r="591">
          <cell r="I591" t="str">
            <v>V42164</v>
          </cell>
          <cell r="J591" t="str">
            <v>CTC</v>
          </cell>
          <cell r="K591" t="str">
            <v>YES</v>
          </cell>
        </row>
        <row r="592">
          <cell r="I592" t="str">
            <v>V41800</v>
          </cell>
          <cell r="J592" t="str">
            <v>CTC</v>
          </cell>
          <cell r="K592" t="str">
            <v>YES</v>
          </cell>
        </row>
        <row r="593">
          <cell r="I593" t="str">
            <v>V26444</v>
          </cell>
          <cell r="J593" t="str">
            <v>CTC</v>
          </cell>
          <cell r="K593" t="str">
            <v>YES</v>
          </cell>
        </row>
        <row r="594">
          <cell r="I594" t="str">
            <v>V37505</v>
          </cell>
          <cell r="J594" t="str">
            <v>CTC</v>
          </cell>
          <cell r="K594" t="str">
            <v>YES</v>
          </cell>
        </row>
        <row r="595">
          <cell r="I595" t="str">
            <v>V40453</v>
          </cell>
          <cell r="J595" t="str">
            <v>CTC</v>
          </cell>
          <cell r="K595" t="str">
            <v>YES</v>
          </cell>
        </row>
        <row r="596">
          <cell r="I596" t="str">
            <v>V44374</v>
          </cell>
          <cell r="J596" t="str">
            <v>CTC</v>
          </cell>
          <cell r="K596" t="str">
            <v>YES</v>
          </cell>
        </row>
        <row r="597">
          <cell r="I597" t="str">
            <v>V19150</v>
          </cell>
          <cell r="J597" t="str">
            <v>CTC</v>
          </cell>
          <cell r="K597" t="str">
            <v>YES</v>
          </cell>
        </row>
        <row r="598">
          <cell r="I598" t="str">
            <v>V34612</v>
          </cell>
          <cell r="J598" t="str">
            <v>CTC</v>
          </cell>
          <cell r="K598" t="str">
            <v>YES</v>
          </cell>
        </row>
        <row r="599">
          <cell r="I599" t="str">
            <v>V26193</v>
          </cell>
          <cell r="J599" t="str">
            <v>CTC</v>
          </cell>
          <cell r="K599" t="str">
            <v>YES</v>
          </cell>
        </row>
        <row r="600">
          <cell r="I600" t="str">
            <v>V31922</v>
          </cell>
          <cell r="J600" t="str">
            <v>CTC</v>
          </cell>
          <cell r="K600" t="str">
            <v>YES</v>
          </cell>
        </row>
        <row r="601">
          <cell r="I601" t="str">
            <v>V30685</v>
          </cell>
          <cell r="J601" t="str">
            <v>CTC</v>
          </cell>
          <cell r="K601" t="str">
            <v>YES</v>
          </cell>
        </row>
        <row r="602">
          <cell r="I602" t="str">
            <v>V33655</v>
          </cell>
          <cell r="J602" t="str">
            <v>CTC</v>
          </cell>
          <cell r="K602" t="str">
            <v>YES</v>
          </cell>
        </row>
        <row r="603">
          <cell r="I603" t="str">
            <v>V36786</v>
          </cell>
          <cell r="J603" t="str">
            <v>CTC</v>
          </cell>
          <cell r="K603" t="str">
            <v>YES</v>
          </cell>
        </row>
        <row r="604">
          <cell r="I604" t="str">
            <v>V25159</v>
          </cell>
          <cell r="J604" t="str">
            <v>CTC</v>
          </cell>
          <cell r="K604" t="str">
            <v>YES</v>
          </cell>
        </row>
        <row r="605">
          <cell r="I605" t="str">
            <v>V23822</v>
          </cell>
          <cell r="J605" t="str">
            <v>CTC</v>
          </cell>
          <cell r="K605" t="str">
            <v>YES</v>
          </cell>
        </row>
        <row r="606">
          <cell r="I606" t="str">
            <v>V42871</v>
          </cell>
          <cell r="J606" t="str">
            <v>CTC</v>
          </cell>
          <cell r="K606" t="str">
            <v>YES</v>
          </cell>
        </row>
        <row r="607">
          <cell r="I607" t="str">
            <v>V33346</v>
          </cell>
          <cell r="J607" t="str">
            <v>CTC</v>
          </cell>
          <cell r="K607" t="str">
            <v>YES</v>
          </cell>
        </row>
        <row r="608">
          <cell r="I608" t="str">
            <v>V04338</v>
          </cell>
          <cell r="J608" t="str">
            <v>CTC</v>
          </cell>
          <cell r="K608" t="str">
            <v>YES</v>
          </cell>
        </row>
        <row r="609">
          <cell r="I609" t="str">
            <v>V42553</v>
          </cell>
          <cell r="J609" t="str">
            <v>CTC</v>
          </cell>
          <cell r="K609" t="str">
            <v>YES</v>
          </cell>
        </row>
        <row r="610">
          <cell r="I610" t="str">
            <v>V41808</v>
          </cell>
          <cell r="J610" t="str">
            <v>CTC</v>
          </cell>
          <cell r="K610" t="str">
            <v>YES</v>
          </cell>
        </row>
        <row r="611">
          <cell r="I611" t="str">
            <v>V26690</v>
          </cell>
          <cell r="J611" t="str">
            <v>CTC</v>
          </cell>
          <cell r="K611" t="str">
            <v>YES</v>
          </cell>
        </row>
        <row r="612">
          <cell r="I612" t="str">
            <v>V22257</v>
          </cell>
          <cell r="J612" t="str">
            <v>CTC</v>
          </cell>
          <cell r="K612" t="str">
            <v>YES</v>
          </cell>
        </row>
        <row r="613">
          <cell r="I613" t="str">
            <v>V41812</v>
          </cell>
          <cell r="J613" t="str">
            <v>CTC</v>
          </cell>
          <cell r="K613" t="str">
            <v>YES</v>
          </cell>
        </row>
        <row r="614">
          <cell r="I614" t="str">
            <v>V33426</v>
          </cell>
          <cell r="J614" t="str">
            <v>CTC</v>
          </cell>
          <cell r="K614" t="str">
            <v>YES</v>
          </cell>
        </row>
        <row r="615">
          <cell r="I615" t="str">
            <v>V41920</v>
          </cell>
          <cell r="J615" t="str">
            <v>CTC</v>
          </cell>
          <cell r="K615" t="str">
            <v>YES</v>
          </cell>
        </row>
        <row r="616">
          <cell r="I616" t="str">
            <v>V15147</v>
          </cell>
          <cell r="J616" t="str">
            <v>CTC</v>
          </cell>
          <cell r="K616" t="str">
            <v>YES</v>
          </cell>
        </row>
        <row r="617">
          <cell r="I617" t="str">
            <v>V31079</v>
          </cell>
          <cell r="J617" t="str">
            <v>CTC</v>
          </cell>
          <cell r="K617" t="str">
            <v>YES</v>
          </cell>
        </row>
        <row r="618">
          <cell r="I618" t="str">
            <v>V09705</v>
          </cell>
          <cell r="J618" t="str">
            <v>CTC</v>
          </cell>
          <cell r="K618" t="str">
            <v>YES</v>
          </cell>
        </row>
        <row r="619">
          <cell r="I619" t="str">
            <v>V27605</v>
          </cell>
          <cell r="J619" t="str">
            <v>CTC</v>
          </cell>
          <cell r="K619" t="str">
            <v>YES</v>
          </cell>
        </row>
        <row r="620">
          <cell r="I620" t="str">
            <v>V41796</v>
          </cell>
          <cell r="J620" t="str">
            <v>CTC</v>
          </cell>
          <cell r="K620" t="str">
            <v>YES</v>
          </cell>
        </row>
        <row r="621">
          <cell r="I621" t="str">
            <v>V41643</v>
          </cell>
          <cell r="J621" t="str">
            <v>CTC</v>
          </cell>
          <cell r="K621" t="str">
            <v>YES</v>
          </cell>
        </row>
        <row r="622">
          <cell r="I622" t="str">
            <v>V33864</v>
          </cell>
          <cell r="J622" t="str">
            <v>CTC</v>
          </cell>
          <cell r="K622" t="str">
            <v>YES</v>
          </cell>
        </row>
        <row r="623">
          <cell r="I623" t="str">
            <v>V45574</v>
          </cell>
          <cell r="J623" t="str">
            <v>CTC</v>
          </cell>
          <cell r="K623" t="str">
            <v>YES</v>
          </cell>
        </row>
        <row r="624">
          <cell r="I624" t="str">
            <v>V18488</v>
          </cell>
          <cell r="J624" t="str">
            <v>CTC</v>
          </cell>
          <cell r="K624" t="str">
            <v>YES</v>
          </cell>
        </row>
        <row r="625">
          <cell r="I625" t="str">
            <v>V39624</v>
          </cell>
          <cell r="J625" t="str">
            <v>CTC</v>
          </cell>
          <cell r="K625" t="str">
            <v>YES</v>
          </cell>
        </row>
        <row r="626">
          <cell r="I626" t="str">
            <v>V38002</v>
          </cell>
          <cell r="J626" t="str">
            <v>CTC</v>
          </cell>
          <cell r="K626" t="str">
            <v>YES</v>
          </cell>
        </row>
        <row r="627">
          <cell r="I627" t="str">
            <v>V32761</v>
          </cell>
          <cell r="J627" t="str">
            <v>CTC</v>
          </cell>
          <cell r="K627" t="str">
            <v>YES</v>
          </cell>
        </row>
        <row r="628">
          <cell r="I628" t="str">
            <v>V35049</v>
          </cell>
          <cell r="J628" t="str">
            <v>CTC</v>
          </cell>
          <cell r="K628" t="str">
            <v>YES</v>
          </cell>
        </row>
        <row r="629">
          <cell r="I629" t="str">
            <v>V29408</v>
          </cell>
          <cell r="J629" t="str">
            <v>CTC</v>
          </cell>
          <cell r="K629" t="str">
            <v>YES</v>
          </cell>
        </row>
        <row r="630">
          <cell r="I630" t="str">
            <v>V28215</v>
          </cell>
          <cell r="J630" t="str">
            <v>CTC</v>
          </cell>
          <cell r="K630" t="str">
            <v>YES</v>
          </cell>
        </row>
        <row r="631">
          <cell r="I631" t="str">
            <v>V16519</v>
          </cell>
          <cell r="J631" t="str">
            <v>CTC</v>
          </cell>
          <cell r="K631" t="str">
            <v>YES</v>
          </cell>
        </row>
        <row r="632">
          <cell r="I632" t="str">
            <v>V40355</v>
          </cell>
          <cell r="J632" t="str">
            <v>CTC</v>
          </cell>
          <cell r="K632" t="str">
            <v>YES</v>
          </cell>
        </row>
        <row r="633">
          <cell r="I633" t="str">
            <v>V32810</v>
          </cell>
          <cell r="J633" t="str">
            <v>CTC</v>
          </cell>
          <cell r="K633" t="str">
            <v>YES</v>
          </cell>
        </row>
        <row r="634">
          <cell r="I634" t="str">
            <v>V26828</v>
          </cell>
          <cell r="J634" t="str">
            <v>CTC</v>
          </cell>
          <cell r="K634" t="str">
            <v>YES</v>
          </cell>
        </row>
        <row r="635">
          <cell r="I635" t="str">
            <v>V17250</v>
          </cell>
          <cell r="J635" t="str">
            <v>CTC</v>
          </cell>
          <cell r="K635" t="str">
            <v>YES</v>
          </cell>
        </row>
        <row r="636">
          <cell r="I636" t="str">
            <v>V01563</v>
          </cell>
          <cell r="J636" t="str">
            <v>CTC</v>
          </cell>
          <cell r="K636" t="str">
            <v>YES</v>
          </cell>
        </row>
        <row r="637">
          <cell r="I637" t="str">
            <v>V17120</v>
          </cell>
          <cell r="J637" t="str">
            <v>CTC</v>
          </cell>
          <cell r="K637" t="str">
            <v>YES</v>
          </cell>
        </row>
        <row r="638">
          <cell r="I638" t="str">
            <v>V26861</v>
          </cell>
          <cell r="J638" t="str">
            <v>CTC</v>
          </cell>
          <cell r="K638" t="str">
            <v>YES</v>
          </cell>
        </row>
        <row r="639">
          <cell r="I639" t="str">
            <v>V02110</v>
          </cell>
          <cell r="J639" t="str">
            <v>CTC</v>
          </cell>
          <cell r="K639" t="str">
            <v>YES</v>
          </cell>
        </row>
        <row r="640">
          <cell r="I640" t="str">
            <v>V31412</v>
          </cell>
          <cell r="J640" t="str">
            <v>CTC</v>
          </cell>
          <cell r="K640" t="str">
            <v>YES</v>
          </cell>
        </row>
        <row r="641">
          <cell r="I641" t="str">
            <v>V13502</v>
          </cell>
          <cell r="J641" t="str">
            <v>CTC</v>
          </cell>
          <cell r="K641" t="str">
            <v>YES</v>
          </cell>
        </row>
        <row r="642">
          <cell r="I642" t="str">
            <v>V30938</v>
          </cell>
          <cell r="J642" t="str">
            <v>CTC</v>
          </cell>
          <cell r="K642" t="str">
            <v>YES</v>
          </cell>
        </row>
        <row r="643">
          <cell r="I643" t="str">
            <v>V29558</v>
          </cell>
          <cell r="J643" t="str">
            <v>CTC</v>
          </cell>
          <cell r="K643" t="str">
            <v>YES</v>
          </cell>
        </row>
        <row r="644">
          <cell r="I644" t="str">
            <v>V17230</v>
          </cell>
          <cell r="J644" t="str">
            <v>CTC</v>
          </cell>
          <cell r="K644" t="str">
            <v>YES</v>
          </cell>
        </row>
        <row r="645">
          <cell r="I645" t="str">
            <v>V41695</v>
          </cell>
          <cell r="J645" t="str">
            <v>CTC</v>
          </cell>
          <cell r="K645" t="str">
            <v>YES</v>
          </cell>
        </row>
        <row r="646">
          <cell r="I646" t="str">
            <v>V34102</v>
          </cell>
          <cell r="J646" t="str">
            <v>CTC</v>
          </cell>
          <cell r="K646" t="str">
            <v>YES</v>
          </cell>
        </row>
        <row r="647">
          <cell r="I647" t="str">
            <v>V35166</v>
          </cell>
          <cell r="J647" t="str">
            <v>CTC</v>
          </cell>
          <cell r="K647" t="str">
            <v>YES</v>
          </cell>
        </row>
        <row r="648">
          <cell r="I648" t="str">
            <v>V36398</v>
          </cell>
          <cell r="J648" t="str">
            <v>CTC</v>
          </cell>
          <cell r="K648" t="str">
            <v>YES</v>
          </cell>
        </row>
        <row r="649">
          <cell r="I649" t="str">
            <v>V39590</v>
          </cell>
          <cell r="J649" t="str">
            <v>CTC</v>
          </cell>
          <cell r="K649" t="str">
            <v>YES</v>
          </cell>
        </row>
        <row r="650">
          <cell r="I650" t="str">
            <v>V23814</v>
          </cell>
          <cell r="J650" t="str">
            <v>CTC</v>
          </cell>
          <cell r="K650" t="str">
            <v>YES</v>
          </cell>
        </row>
        <row r="651">
          <cell r="I651" t="str">
            <v>V29425</v>
          </cell>
          <cell r="J651" t="str">
            <v>CTC</v>
          </cell>
          <cell r="K651" t="str">
            <v>YES</v>
          </cell>
        </row>
        <row r="652">
          <cell r="I652" t="str">
            <v>V33673</v>
          </cell>
          <cell r="J652" t="str">
            <v>CTC</v>
          </cell>
          <cell r="K652" t="str">
            <v>YES</v>
          </cell>
        </row>
        <row r="653">
          <cell r="I653" t="str">
            <v>V26427</v>
          </cell>
          <cell r="J653" t="str">
            <v>CTC</v>
          </cell>
          <cell r="K653" t="str">
            <v>YES</v>
          </cell>
        </row>
        <row r="654">
          <cell r="I654" t="str">
            <v>V30385</v>
          </cell>
          <cell r="J654" t="str">
            <v>CTC</v>
          </cell>
          <cell r="K654" t="str">
            <v>YES</v>
          </cell>
        </row>
        <row r="655">
          <cell r="I655" t="str">
            <v>V37637</v>
          </cell>
          <cell r="J655" t="str">
            <v>CTC</v>
          </cell>
          <cell r="K655" t="str">
            <v>YES</v>
          </cell>
        </row>
        <row r="656">
          <cell r="I656" t="str">
            <v>V24398</v>
          </cell>
          <cell r="J656" t="str">
            <v>CTC</v>
          </cell>
          <cell r="K656" t="str">
            <v>YES</v>
          </cell>
        </row>
        <row r="657">
          <cell r="I657" t="str">
            <v>V07973</v>
          </cell>
          <cell r="J657" t="str">
            <v>CTC</v>
          </cell>
          <cell r="K657" t="str">
            <v>YES</v>
          </cell>
        </row>
        <row r="658">
          <cell r="I658" t="str">
            <v>V30839</v>
          </cell>
          <cell r="J658" t="str">
            <v>CTC</v>
          </cell>
          <cell r="K658" t="str">
            <v>YES</v>
          </cell>
        </row>
        <row r="659">
          <cell r="I659" t="str">
            <v>V43225</v>
          </cell>
          <cell r="J659" t="str">
            <v>CTC</v>
          </cell>
          <cell r="K659" t="str">
            <v>YES</v>
          </cell>
        </row>
        <row r="660">
          <cell r="I660" t="str">
            <v>V15711</v>
          </cell>
          <cell r="J660" t="str">
            <v>CTC</v>
          </cell>
          <cell r="K660" t="str">
            <v>YES</v>
          </cell>
        </row>
        <row r="661">
          <cell r="I661" t="str">
            <v>V06092</v>
          </cell>
          <cell r="J661" t="str">
            <v>CTC</v>
          </cell>
          <cell r="K661" t="str">
            <v>YES</v>
          </cell>
        </row>
        <row r="662">
          <cell r="I662" t="str">
            <v>V11480</v>
          </cell>
          <cell r="J662" t="str">
            <v>CTC</v>
          </cell>
          <cell r="K662" t="str">
            <v>YES</v>
          </cell>
        </row>
        <row r="663">
          <cell r="I663" t="str">
            <v>V22488</v>
          </cell>
          <cell r="J663" t="str">
            <v>CTC</v>
          </cell>
          <cell r="K663" t="str">
            <v>YES</v>
          </cell>
        </row>
        <row r="664">
          <cell r="I664" t="str">
            <v>V23593</v>
          </cell>
          <cell r="J664" t="str">
            <v>CTC</v>
          </cell>
          <cell r="K664" t="str">
            <v>YES</v>
          </cell>
        </row>
        <row r="665">
          <cell r="I665" t="str">
            <v>V41855</v>
          </cell>
          <cell r="J665" t="str">
            <v>CTC</v>
          </cell>
          <cell r="K665" t="str">
            <v>YES</v>
          </cell>
        </row>
        <row r="666">
          <cell r="I666" t="str">
            <v>V05825</v>
          </cell>
          <cell r="J666" t="str">
            <v>CTC</v>
          </cell>
          <cell r="K666" t="str">
            <v>YES</v>
          </cell>
        </row>
        <row r="667">
          <cell r="I667" t="str">
            <v>V27882</v>
          </cell>
          <cell r="J667" t="str">
            <v>CTC</v>
          </cell>
          <cell r="K667" t="str">
            <v>YES</v>
          </cell>
        </row>
        <row r="668">
          <cell r="I668" t="str">
            <v>V20602</v>
          </cell>
          <cell r="J668" t="str">
            <v>CTC</v>
          </cell>
          <cell r="K668" t="str">
            <v>YES</v>
          </cell>
        </row>
        <row r="669">
          <cell r="I669" t="str">
            <v>V29338</v>
          </cell>
          <cell r="J669" t="str">
            <v>CTC</v>
          </cell>
          <cell r="K669" t="str">
            <v>YES</v>
          </cell>
        </row>
        <row r="670">
          <cell r="I670" t="str">
            <v>V19266</v>
          </cell>
          <cell r="J670" t="str">
            <v>CTC</v>
          </cell>
          <cell r="K670" t="str">
            <v>YES</v>
          </cell>
        </row>
        <row r="671">
          <cell r="I671" t="str">
            <v>V44337</v>
          </cell>
          <cell r="J671" t="str">
            <v>CTC</v>
          </cell>
          <cell r="K671" t="str">
            <v>YES</v>
          </cell>
        </row>
        <row r="672">
          <cell r="I672" t="str">
            <v>V42967</v>
          </cell>
          <cell r="J672" t="str">
            <v>CTC</v>
          </cell>
          <cell r="K672" t="str">
            <v>YES</v>
          </cell>
        </row>
        <row r="673">
          <cell r="I673" t="str">
            <v>V37214</v>
          </cell>
          <cell r="J673" t="str">
            <v>CTC</v>
          </cell>
          <cell r="K673" t="str">
            <v>YES</v>
          </cell>
        </row>
        <row r="674">
          <cell r="I674" t="str">
            <v>V26096</v>
          </cell>
          <cell r="J674" t="str">
            <v>CTC</v>
          </cell>
          <cell r="K674" t="str">
            <v>YES</v>
          </cell>
        </row>
        <row r="675">
          <cell r="I675" t="str">
            <v>V35824</v>
          </cell>
          <cell r="J675" t="str">
            <v>CTC</v>
          </cell>
          <cell r="K675" t="str">
            <v>YES</v>
          </cell>
        </row>
        <row r="676">
          <cell r="I676" t="str">
            <v>V16990</v>
          </cell>
          <cell r="J676" t="str">
            <v>CTC</v>
          </cell>
          <cell r="K676" t="str">
            <v>YES</v>
          </cell>
        </row>
        <row r="677">
          <cell r="I677" t="str">
            <v>V38595</v>
          </cell>
          <cell r="J677" t="str">
            <v>CTC</v>
          </cell>
          <cell r="K677" t="str">
            <v>YES</v>
          </cell>
        </row>
        <row r="678">
          <cell r="I678" t="str">
            <v>V21950</v>
          </cell>
          <cell r="J678" t="str">
            <v>CTC</v>
          </cell>
          <cell r="K678" t="str">
            <v>YES</v>
          </cell>
        </row>
        <row r="679">
          <cell r="I679" t="str">
            <v>V10714</v>
          </cell>
          <cell r="J679" t="str">
            <v>CTC</v>
          </cell>
          <cell r="K679" t="str">
            <v>YES</v>
          </cell>
        </row>
        <row r="680">
          <cell r="I680" t="str">
            <v>V45082</v>
          </cell>
          <cell r="J680" t="str">
            <v>CTC</v>
          </cell>
          <cell r="K680" t="str">
            <v>YES</v>
          </cell>
        </row>
        <row r="681">
          <cell r="I681" t="str">
            <v>V41788</v>
          </cell>
          <cell r="J681" t="str">
            <v>CTC</v>
          </cell>
          <cell r="K681" t="str">
            <v>YES</v>
          </cell>
        </row>
        <row r="682">
          <cell r="I682" t="str">
            <v>V42845</v>
          </cell>
          <cell r="J682" t="str">
            <v>CTC</v>
          </cell>
          <cell r="K682" t="str">
            <v>YES</v>
          </cell>
        </row>
        <row r="683">
          <cell r="I683" t="str">
            <v>V25152</v>
          </cell>
          <cell r="J683" t="str">
            <v>CTC</v>
          </cell>
          <cell r="K683" t="str">
            <v>YES</v>
          </cell>
        </row>
        <row r="684">
          <cell r="I684" t="str">
            <v>V37897</v>
          </cell>
          <cell r="J684" t="str">
            <v>CTC</v>
          </cell>
          <cell r="K684" t="str">
            <v>YES</v>
          </cell>
        </row>
        <row r="685">
          <cell r="I685" t="str">
            <v>V09988</v>
          </cell>
          <cell r="J685" t="str">
            <v>CTC</v>
          </cell>
          <cell r="K685" t="str">
            <v>YES</v>
          </cell>
        </row>
        <row r="686">
          <cell r="I686" t="str">
            <v>V33667</v>
          </cell>
          <cell r="J686" t="str">
            <v>CTC</v>
          </cell>
          <cell r="K686" t="str">
            <v>YES</v>
          </cell>
        </row>
        <row r="687">
          <cell r="I687" t="str">
            <v>V36621</v>
          </cell>
          <cell r="J687" t="str">
            <v>CTC</v>
          </cell>
          <cell r="K687" t="str">
            <v>YES</v>
          </cell>
        </row>
        <row r="688">
          <cell r="I688" t="str">
            <v>V02120</v>
          </cell>
          <cell r="J688" t="str">
            <v>CTC</v>
          </cell>
          <cell r="K688" t="str">
            <v>YES</v>
          </cell>
        </row>
        <row r="689">
          <cell r="I689" t="str">
            <v>V45734</v>
          </cell>
          <cell r="J689" t="str">
            <v>CTC</v>
          </cell>
          <cell r="K689" t="str">
            <v>YES</v>
          </cell>
        </row>
        <row r="690">
          <cell r="I690" t="str">
            <v>V25151</v>
          </cell>
          <cell r="J690" t="str">
            <v>CTC</v>
          </cell>
          <cell r="K690" t="str">
            <v>YES</v>
          </cell>
        </row>
        <row r="691">
          <cell r="I691" t="str">
            <v>V39256</v>
          </cell>
          <cell r="J691" t="str">
            <v>CTC</v>
          </cell>
          <cell r="K691" t="str">
            <v>YES</v>
          </cell>
        </row>
        <row r="692">
          <cell r="I692" t="str">
            <v>V15141</v>
          </cell>
          <cell r="J692" t="str">
            <v>CTC</v>
          </cell>
          <cell r="K692" t="str">
            <v>YES</v>
          </cell>
        </row>
        <row r="693">
          <cell r="I693" t="str">
            <v>V18578</v>
          </cell>
          <cell r="J693" t="str">
            <v>CTC</v>
          </cell>
          <cell r="K693" t="str">
            <v>YES</v>
          </cell>
        </row>
        <row r="694">
          <cell r="I694" t="str">
            <v>V44369</v>
          </cell>
          <cell r="J694" t="str">
            <v>CTC</v>
          </cell>
          <cell r="K694" t="str">
            <v>YES</v>
          </cell>
        </row>
        <row r="695">
          <cell r="I695" t="str">
            <v>V46169</v>
          </cell>
          <cell r="J695" t="str">
            <v>CTC</v>
          </cell>
          <cell r="K695" t="str">
            <v>YES</v>
          </cell>
        </row>
        <row r="696">
          <cell r="I696" t="str">
            <v>V15419</v>
          </cell>
          <cell r="J696" t="str">
            <v>CTC</v>
          </cell>
          <cell r="K696" t="str">
            <v>YES</v>
          </cell>
        </row>
        <row r="697">
          <cell r="I697" t="str">
            <v>V39888</v>
          </cell>
          <cell r="J697" t="str">
            <v>CTC</v>
          </cell>
          <cell r="K697" t="str">
            <v>YES</v>
          </cell>
        </row>
        <row r="698">
          <cell r="I698" t="str">
            <v>V23961</v>
          </cell>
          <cell r="J698" t="str">
            <v>CTC</v>
          </cell>
          <cell r="K698" t="str">
            <v>YES</v>
          </cell>
        </row>
        <row r="699">
          <cell r="I699" t="str">
            <v>V41780</v>
          </cell>
          <cell r="J699" t="str">
            <v>CTC</v>
          </cell>
          <cell r="K699" t="str">
            <v>YES</v>
          </cell>
        </row>
        <row r="700">
          <cell r="I700" t="str">
            <v>V45196</v>
          </cell>
          <cell r="J700" t="str">
            <v>CTC</v>
          </cell>
          <cell r="K700" t="str">
            <v>YES</v>
          </cell>
        </row>
        <row r="701">
          <cell r="I701" t="str">
            <v>V23740</v>
          </cell>
          <cell r="J701" t="str">
            <v>CTC</v>
          </cell>
          <cell r="K701" t="str">
            <v>YES</v>
          </cell>
        </row>
        <row r="702">
          <cell r="I702" t="str">
            <v>V30419</v>
          </cell>
          <cell r="J702" t="str">
            <v>CTC</v>
          </cell>
          <cell r="K702" t="str">
            <v>YES</v>
          </cell>
        </row>
        <row r="703">
          <cell r="I703" t="str">
            <v>V39073</v>
          </cell>
          <cell r="J703" t="str">
            <v>CTC</v>
          </cell>
          <cell r="K703" t="str">
            <v>YES</v>
          </cell>
        </row>
        <row r="704">
          <cell r="I704" t="str">
            <v>V39149</v>
          </cell>
          <cell r="J704" t="str">
            <v>CTC</v>
          </cell>
          <cell r="K704" t="str">
            <v>YES</v>
          </cell>
        </row>
        <row r="705">
          <cell r="I705" t="str">
            <v>V36657</v>
          </cell>
          <cell r="J705" t="str">
            <v>CTC</v>
          </cell>
          <cell r="K705" t="str">
            <v>YES</v>
          </cell>
        </row>
        <row r="706">
          <cell r="I706" t="str">
            <v>V32924</v>
          </cell>
          <cell r="J706" t="str">
            <v>CTC</v>
          </cell>
          <cell r="K706" t="str">
            <v>YES</v>
          </cell>
        </row>
        <row r="707">
          <cell r="I707" t="str">
            <v>V05602</v>
          </cell>
          <cell r="J707" t="str">
            <v>CTC</v>
          </cell>
          <cell r="K707" t="str">
            <v>YES</v>
          </cell>
        </row>
        <row r="708">
          <cell r="I708" t="str">
            <v>V26219</v>
          </cell>
          <cell r="J708" t="str">
            <v>CTC</v>
          </cell>
          <cell r="K708" t="str">
            <v>YES</v>
          </cell>
        </row>
        <row r="709">
          <cell r="I709" t="str">
            <v>V43750</v>
          </cell>
          <cell r="J709" t="str">
            <v>CTC</v>
          </cell>
          <cell r="K709" t="str">
            <v>YES</v>
          </cell>
        </row>
        <row r="710">
          <cell r="I710" t="str">
            <v>V01551</v>
          </cell>
          <cell r="J710" t="str">
            <v>CTC</v>
          </cell>
          <cell r="K710" t="str">
            <v>YES</v>
          </cell>
        </row>
        <row r="711">
          <cell r="I711" t="str">
            <v>V14519</v>
          </cell>
          <cell r="J711" t="str">
            <v>CTC</v>
          </cell>
          <cell r="K711" t="str">
            <v>YES</v>
          </cell>
        </row>
        <row r="712">
          <cell r="I712" t="str">
            <v>V27516</v>
          </cell>
          <cell r="J712" t="str">
            <v>CTC</v>
          </cell>
          <cell r="K712" t="str">
            <v>YES</v>
          </cell>
        </row>
        <row r="713">
          <cell r="I713" t="str">
            <v>V42702</v>
          </cell>
          <cell r="J713" t="str">
            <v>CTC</v>
          </cell>
          <cell r="K713" t="str">
            <v>YES</v>
          </cell>
        </row>
        <row r="714">
          <cell r="I714" t="str">
            <v>V08521</v>
          </cell>
          <cell r="J714" t="str">
            <v>CTC</v>
          </cell>
          <cell r="K714" t="str">
            <v>YES</v>
          </cell>
        </row>
        <row r="715">
          <cell r="I715" t="str">
            <v>V45189</v>
          </cell>
          <cell r="J715" t="str">
            <v>CTC</v>
          </cell>
          <cell r="K715" t="str">
            <v>YES</v>
          </cell>
        </row>
        <row r="716">
          <cell r="I716" t="str">
            <v>V35832</v>
          </cell>
          <cell r="J716" t="str">
            <v>CTC</v>
          </cell>
          <cell r="K716" t="str">
            <v>YES</v>
          </cell>
        </row>
        <row r="717">
          <cell r="I717" t="str">
            <v>V35522</v>
          </cell>
          <cell r="J717" t="str">
            <v>CTC</v>
          </cell>
          <cell r="K717" t="str">
            <v>YES</v>
          </cell>
        </row>
        <row r="718">
          <cell r="I718" t="str">
            <v>V26554</v>
          </cell>
          <cell r="J718" t="str">
            <v>CTC</v>
          </cell>
          <cell r="K718" t="str">
            <v>YES</v>
          </cell>
        </row>
        <row r="719">
          <cell r="I719" t="str">
            <v>V27663</v>
          </cell>
          <cell r="J719" t="str">
            <v>CTC</v>
          </cell>
          <cell r="K719" t="str">
            <v>YES</v>
          </cell>
        </row>
        <row r="720">
          <cell r="I720" t="str">
            <v>V23963</v>
          </cell>
          <cell r="J720" t="str">
            <v>CTC</v>
          </cell>
          <cell r="K720" t="str">
            <v>YES</v>
          </cell>
        </row>
        <row r="721">
          <cell r="I721" t="str">
            <v>V19881</v>
          </cell>
          <cell r="J721" t="str">
            <v>CTC</v>
          </cell>
          <cell r="K721" t="str">
            <v>YES</v>
          </cell>
        </row>
        <row r="722">
          <cell r="I722" t="str">
            <v>V44758</v>
          </cell>
          <cell r="J722" t="str">
            <v>CTC</v>
          </cell>
          <cell r="K722" t="str">
            <v>YES</v>
          </cell>
        </row>
        <row r="723">
          <cell r="I723" t="str">
            <v>V2S292</v>
          </cell>
          <cell r="J723" t="str">
            <v>CTC</v>
          </cell>
          <cell r="K723" t="str">
            <v>YES</v>
          </cell>
        </row>
        <row r="724">
          <cell r="I724" t="str">
            <v>V21897</v>
          </cell>
          <cell r="J724" t="str">
            <v>CTC</v>
          </cell>
          <cell r="K724" t="str">
            <v>YES</v>
          </cell>
        </row>
        <row r="725">
          <cell r="I725" t="str">
            <v>V01647</v>
          </cell>
          <cell r="J725" t="str">
            <v>CTC</v>
          </cell>
          <cell r="K725" t="str">
            <v>YES</v>
          </cell>
        </row>
        <row r="726">
          <cell r="I726" t="str">
            <v>V01228</v>
          </cell>
          <cell r="J726" t="str">
            <v>CTC</v>
          </cell>
          <cell r="K726" t="str">
            <v>YES</v>
          </cell>
        </row>
        <row r="727">
          <cell r="I727" t="str">
            <v>V20793</v>
          </cell>
          <cell r="J727" t="str">
            <v>CTC</v>
          </cell>
          <cell r="K727" t="str">
            <v>YES</v>
          </cell>
        </row>
        <row r="728">
          <cell r="I728" t="str">
            <v>V25844</v>
          </cell>
          <cell r="J728" t="str">
            <v>CTC</v>
          </cell>
          <cell r="K728" t="str">
            <v>YES</v>
          </cell>
        </row>
        <row r="729">
          <cell r="I729" t="str">
            <v>V39786</v>
          </cell>
          <cell r="J729" t="str">
            <v>CTC</v>
          </cell>
          <cell r="K729" t="str">
            <v>YES</v>
          </cell>
        </row>
        <row r="730">
          <cell r="I730" t="str">
            <v>V00521</v>
          </cell>
          <cell r="J730" t="str">
            <v>CTC</v>
          </cell>
          <cell r="K730" t="str">
            <v>YES</v>
          </cell>
        </row>
        <row r="731">
          <cell r="I731" t="str">
            <v>V39718</v>
          </cell>
          <cell r="J731" t="str">
            <v>CTC</v>
          </cell>
          <cell r="K731" t="str">
            <v>YES</v>
          </cell>
        </row>
        <row r="732">
          <cell r="I732" t="str">
            <v>V24998</v>
          </cell>
          <cell r="J732" t="str">
            <v>CTC</v>
          </cell>
          <cell r="K732" t="str">
            <v>YES</v>
          </cell>
        </row>
        <row r="733">
          <cell r="I733" t="str">
            <v>V22008</v>
          </cell>
          <cell r="J733" t="str">
            <v>CTC</v>
          </cell>
          <cell r="K733" t="str">
            <v>YES</v>
          </cell>
        </row>
        <row r="734">
          <cell r="I734" t="str">
            <v>V38970</v>
          </cell>
          <cell r="J734" t="str">
            <v>CTC</v>
          </cell>
          <cell r="K734" t="str">
            <v>YES</v>
          </cell>
        </row>
        <row r="735">
          <cell r="I735" t="str">
            <v>V46160</v>
          </cell>
          <cell r="J735" t="str">
            <v>CTC</v>
          </cell>
          <cell r="K735" t="str">
            <v>YES</v>
          </cell>
        </row>
        <row r="736">
          <cell r="I736" t="str">
            <v>V31053</v>
          </cell>
          <cell r="J736" t="str">
            <v>CTC</v>
          </cell>
          <cell r="K736" t="str">
            <v>YES</v>
          </cell>
        </row>
        <row r="737">
          <cell r="I737" t="str">
            <v>V25848</v>
          </cell>
          <cell r="J737" t="str">
            <v>CTC</v>
          </cell>
          <cell r="K737" t="str">
            <v>YES</v>
          </cell>
        </row>
        <row r="738">
          <cell r="I738" t="str">
            <v>V41516</v>
          </cell>
          <cell r="J738" t="str">
            <v>CTC</v>
          </cell>
          <cell r="K738" t="str">
            <v>YES</v>
          </cell>
        </row>
        <row r="739">
          <cell r="I739" t="str">
            <v>V18948</v>
          </cell>
          <cell r="J739" t="str">
            <v>CTC</v>
          </cell>
          <cell r="K739" t="str">
            <v>YES</v>
          </cell>
        </row>
        <row r="740">
          <cell r="I740" t="str">
            <v>V36505</v>
          </cell>
          <cell r="J740" t="str">
            <v>CTC</v>
          </cell>
          <cell r="K740" t="str">
            <v>YES</v>
          </cell>
        </row>
        <row r="741">
          <cell r="I741" t="str">
            <v>V26095</v>
          </cell>
          <cell r="J741" t="str">
            <v>CTC</v>
          </cell>
          <cell r="K741" t="str">
            <v>YES</v>
          </cell>
        </row>
        <row r="742">
          <cell r="I742" t="str">
            <v>V19376</v>
          </cell>
          <cell r="J742" t="str">
            <v>CTC</v>
          </cell>
          <cell r="K742" t="str">
            <v>YES</v>
          </cell>
        </row>
        <row r="743">
          <cell r="I743" t="str">
            <v>V2S415</v>
          </cell>
          <cell r="J743" t="str">
            <v>CTC</v>
          </cell>
          <cell r="K743" t="str">
            <v>YES</v>
          </cell>
        </row>
        <row r="744">
          <cell r="I744" t="str">
            <v>V10084</v>
          </cell>
          <cell r="J744" t="str">
            <v>CTC</v>
          </cell>
          <cell r="K744" t="str">
            <v>YES</v>
          </cell>
        </row>
        <row r="745">
          <cell r="I745" t="str">
            <v>V42897</v>
          </cell>
          <cell r="J745" t="str">
            <v>CTC</v>
          </cell>
          <cell r="K745" t="str">
            <v>YES</v>
          </cell>
        </row>
        <row r="746">
          <cell r="I746" t="str">
            <v>V42726</v>
          </cell>
          <cell r="J746" t="str">
            <v>CTC</v>
          </cell>
          <cell r="K746" t="str">
            <v>YES</v>
          </cell>
        </row>
        <row r="747">
          <cell r="I747" t="str">
            <v>V04831</v>
          </cell>
          <cell r="J747" t="str">
            <v>CTC</v>
          </cell>
          <cell r="K747" t="str">
            <v>YES</v>
          </cell>
        </row>
        <row r="748">
          <cell r="I748" t="str">
            <v>V46114</v>
          </cell>
          <cell r="J748" t="str">
            <v>CTC</v>
          </cell>
          <cell r="K748" t="str">
            <v>YES</v>
          </cell>
        </row>
        <row r="749">
          <cell r="I749" t="str">
            <v>V26044</v>
          </cell>
          <cell r="J749" t="str">
            <v>CTC</v>
          </cell>
          <cell r="K749" t="str">
            <v>YES</v>
          </cell>
        </row>
        <row r="750">
          <cell r="I750" t="str">
            <v>V30470</v>
          </cell>
          <cell r="J750" t="str">
            <v>CTC</v>
          </cell>
          <cell r="K750" t="str">
            <v>YES</v>
          </cell>
        </row>
        <row r="751">
          <cell r="I751" t="str">
            <v>V43728</v>
          </cell>
          <cell r="J751" t="str">
            <v>CTC</v>
          </cell>
          <cell r="K751" t="str">
            <v>YES</v>
          </cell>
        </row>
        <row r="752">
          <cell r="I752" t="str">
            <v>V01555</v>
          </cell>
          <cell r="J752" t="str">
            <v>CTC</v>
          </cell>
          <cell r="K752" t="str">
            <v>YES</v>
          </cell>
        </row>
        <row r="753">
          <cell r="I753" t="str">
            <v>V01657</v>
          </cell>
          <cell r="J753" t="str">
            <v>CTC</v>
          </cell>
          <cell r="K753" t="str">
            <v>YES</v>
          </cell>
        </row>
        <row r="754">
          <cell r="I754" t="str">
            <v>V04029</v>
          </cell>
          <cell r="J754" t="str">
            <v>CTC</v>
          </cell>
          <cell r="K754" t="str">
            <v>YES</v>
          </cell>
        </row>
        <row r="755">
          <cell r="I755" t="str">
            <v>V29029</v>
          </cell>
          <cell r="J755" t="str">
            <v>CTC</v>
          </cell>
          <cell r="K755" t="str">
            <v>YES</v>
          </cell>
        </row>
        <row r="756">
          <cell r="I756" t="str">
            <v>V29795</v>
          </cell>
          <cell r="J756" t="str">
            <v>CTC</v>
          </cell>
          <cell r="K756" t="str">
            <v>YES</v>
          </cell>
        </row>
        <row r="757">
          <cell r="I757" t="str">
            <v>V30202</v>
          </cell>
          <cell r="J757" t="str">
            <v>CTC</v>
          </cell>
          <cell r="K757" t="str">
            <v>YES</v>
          </cell>
        </row>
        <row r="758">
          <cell r="I758" t="str">
            <v>V37344</v>
          </cell>
          <cell r="J758" t="str">
            <v>CTC</v>
          </cell>
          <cell r="K758" t="str">
            <v>YES</v>
          </cell>
        </row>
        <row r="759">
          <cell r="I759" t="str">
            <v>V04047</v>
          </cell>
          <cell r="J759" t="str">
            <v>CTC</v>
          </cell>
          <cell r="K759" t="str">
            <v>YES</v>
          </cell>
        </row>
        <row r="760">
          <cell r="I760" t="str">
            <v>V12051</v>
          </cell>
          <cell r="J760" t="str">
            <v>CTC</v>
          </cell>
          <cell r="K760" t="str">
            <v>YES</v>
          </cell>
        </row>
        <row r="761">
          <cell r="I761" t="str">
            <v>V15158</v>
          </cell>
          <cell r="J761" t="str">
            <v>CTC</v>
          </cell>
          <cell r="K761" t="str">
            <v>YES</v>
          </cell>
        </row>
        <row r="762">
          <cell r="I762" t="str">
            <v>V36215</v>
          </cell>
          <cell r="J762" t="str">
            <v>CTC</v>
          </cell>
          <cell r="K762" t="str">
            <v>YES</v>
          </cell>
        </row>
        <row r="763">
          <cell r="I763" t="str">
            <v>V40357</v>
          </cell>
          <cell r="J763" t="str">
            <v>CTC</v>
          </cell>
          <cell r="K763" t="str">
            <v>YES</v>
          </cell>
        </row>
        <row r="764">
          <cell r="I764" t="str">
            <v>V42921</v>
          </cell>
          <cell r="J764" t="str">
            <v>CTC</v>
          </cell>
          <cell r="K764" t="str">
            <v>YES</v>
          </cell>
        </row>
        <row r="765">
          <cell r="I765" t="str">
            <v>V16542</v>
          </cell>
          <cell r="J765" t="str">
            <v>CTC</v>
          </cell>
          <cell r="K765" t="str">
            <v>YES</v>
          </cell>
        </row>
        <row r="766">
          <cell r="I766" t="str">
            <v>V19145</v>
          </cell>
          <cell r="J766" t="str">
            <v>CTC</v>
          </cell>
          <cell r="K766" t="str">
            <v>YES</v>
          </cell>
        </row>
        <row r="767">
          <cell r="I767" t="str">
            <v>V45738</v>
          </cell>
          <cell r="J767" t="str">
            <v>CTC</v>
          </cell>
          <cell r="K767" t="str">
            <v>YES</v>
          </cell>
        </row>
        <row r="768">
          <cell r="I768" t="str">
            <v>V31131</v>
          </cell>
          <cell r="J768" t="str">
            <v>CTC</v>
          </cell>
          <cell r="K768" t="str">
            <v>YES</v>
          </cell>
        </row>
        <row r="769">
          <cell r="I769" t="str">
            <v>V45718</v>
          </cell>
          <cell r="J769" t="str">
            <v>CTC</v>
          </cell>
          <cell r="K769" t="str">
            <v>YES</v>
          </cell>
        </row>
        <row r="770">
          <cell r="I770" t="str">
            <v>V24484</v>
          </cell>
          <cell r="J770" t="str">
            <v>CTC</v>
          </cell>
          <cell r="K770" t="str">
            <v>YES</v>
          </cell>
        </row>
        <row r="771">
          <cell r="I771" t="str">
            <v>V15306</v>
          </cell>
          <cell r="J771" t="str">
            <v>CTC</v>
          </cell>
          <cell r="K771" t="str">
            <v>YES</v>
          </cell>
        </row>
        <row r="772">
          <cell r="I772" t="str">
            <v>V20655</v>
          </cell>
          <cell r="J772" t="str">
            <v>CTC</v>
          </cell>
          <cell r="K772" t="str">
            <v>YES</v>
          </cell>
        </row>
        <row r="773">
          <cell r="I773" t="str">
            <v>V42868</v>
          </cell>
          <cell r="J773" t="str">
            <v>CTC</v>
          </cell>
          <cell r="K773" t="str">
            <v>YES</v>
          </cell>
        </row>
        <row r="774">
          <cell r="I774" t="str">
            <v>V35111</v>
          </cell>
          <cell r="J774" t="str">
            <v>CTC</v>
          </cell>
          <cell r="K774" t="str">
            <v>YES</v>
          </cell>
        </row>
        <row r="775">
          <cell r="I775" t="str">
            <v>V18840</v>
          </cell>
          <cell r="J775" t="str">
            <v>CTC</v>
          </cell>
          <cell r="K775" t="str">
            <v>YES</v>
          </cell>
        </row>
        <row r="776">
          <cell r="I776" t="str">
            <v>V39302</v>
          </cell>
          <cell r="J776" t="str">
            <v>CTC</v>
          </cell>
          <cell r="K776" t="str">
            <v>YES</v>
          </cell>
        </row>
        <row r="777">
          <cell r="I777" t="str">
            <v>V02741</v>
          </cell>
          <cell r="J777" t="str">
            <v>CTC</v>
          </cell>
          <cell r="K777" t="str">
            <v>YES</v>
          </cell>
        </row>
        <row r="778">
          <cell r="I778" t="str">
            <v>V00777</v>
          </cell>
          <cell r="J778" t="str">
            <v>CTC</v>
          </cell>
          <cell r="K778" t="str">
            <v>YES</v>
          </cell>
        </row>
        <row r="779">
          <cell r="I779" t="str">
            <v>V01385</v>
          </cell>
          <cell r="J779" t="str">
            <v>CTC</v>
          </cell>
          <cell r="K779" t="str">
            <v>YES</v>
          </cell>
        </row>
        <row r="780">
          <cell r="I780" t="str">
            <v>V07145</v>
          </cell>
          <cell r="J780" t="str">
            <v>CTC</v>
          </cell>
          <cell r="K780" t="str">
            <v>YES</v>
          </cell>
        </row>
        <row r="781">
          <cell r="I781" t="str">
            <v>V08340</v>
          </cell>
          <cell r="J781" t="str">
            <v>CTC</v>
          </cell>
          <cell r="K781" t="str">
            <v>YES</v>
          </cell>
        </row>
        <row r="782">
          <cell r="I782" t="str">
            <v>V08868</v>
          </cell>
          <cell r="J782" t="str">
            <v>CTC</v>
          </cell>
          <cell r="K782" t="str">
            <v>YES</v>
          </cell>
        </row>
        <row r="783">
          <cell r="I783" t="str">
            <v>V09209</v>
          </cell>
          <cell r="J783" t="str">
            <v>CTC</v>
          </cell>
          <cell r="K783" t="str">
            <v>YES</v>
          </cell>
        </row>
        <row r="784">
          <cell r="I784" t="str">
            <v>V10268</v>
          </cell>
          <cell r="J784" t="str">
            <v>CTC</v>
          </cell>
          <cell r="K784" t="str">
            <v>YES</v>
          </cell>
        </row>
        <row r="785">
          <cell r="I785" t="str">
            <v>V12483</v>
          </cell>
          <cell r="J785" t="str">
            <v>CTC</v>
          </cell>
          <cell r="K785" t="str">
            <v>YES</v>
          </cell>
        </row>
        <row r="786">
          <cell r="I786" t="str">
            <v>V15134</v>
          </cell>
          <cell r="J786" t="str">
            <v>CTC</v>
          </cell>
          <cell r="K786" t="str">
            <v>YES</v>
          </cell>
        </row>
        <row r="787">
          <cell r="I787" t="str">
            <v>V15139</v>
          </cell>
          <cell r="J787" t="str">
            <v>CTC</v>
          </cell>
          <cell r="K787" t="str">
            <v>YES</v>
          </cell>
        </row>
        <row r="788">
          <cell r="I788" t="str">
            <v>V21025</v>
          </cell>
          <cell r="J788" t="str">
            <v>CTC</v>
          </cell>
          <cell r="K788" t="str">
            <v>YES</v>
          </cell>
        </row>
        <row r="789">
          <cell r="I789" t="str">
            <v>V34030</v>
          </cell>
          <cell r="J789" t="str">
            <v>CTC</v>
          </cell>
          <cell r="K789" t="str">
            <v>YES</v>
          </cell>
        </row>
        <row r="790">
          <cell r="I790" t="str">
            <v>V18992</v>
          </cell>
          <cell r="J790" t="str">
            <v>CTC</v>
          </cell>
          <cell r="K790" t="str">
            <v>YES</v>
          </cell>
        </row>
        <row r="791">
          <cell r="I791" t="str">
            <v>V08013</v>
          </cell>
          <cell r="J791" t="str">
            <v>CTC</v>
          </cell>
          <cell r="K791" t="str">
            <v>YES</v>
          </cell>
        </row>
        <row r="792">
          <cell r="I792" t="str">
            <v>V41387</v>
          </cell>
          <cell r="J792" t="str">
            <v>CTC</v>
          </cell>
          <cell r="K792" t="str">
            <v>YES</v>
          </cell>
        </row>
        <row r="793">
          <cell r="I793" t="str">
            <v>V19445</v>
          </cell>
          <cell r="J793" t="str">
            <v>CTC</v>
          </cell>
          <cell r="K793" t="str">
            <v>YES</v>
          </cell>
        </row>
        <row r="794">
          <cell r="I794" t="str">
            <v>V28349</v>
          </cell>
          <cell r="J794" t="str">
            <v>CTC</v>
          </cell>
          <cell r="K794" t="str">
            <v>YES</v>
          </cell>
        </row>
        <row r="795">
          <cell r="I795" t="str">
            <v>V34278</v>
          </cell>
          <cell r="J795" t="str">
            <v>CTC</v>
          </cell>
          <cell r="K795" t="str">
            <v>YES</v>
          </cell>
        </row>
        <row r="796">
          <cell r="I796" t="str">
            <v>V10779</v>
          </cell>
          <cell r="J796" t="str">
            <v>CTC</v>
          </cell>
          <cell r="K796" t="str">
            <v>YES</v>
          </cell>
        </row>
        <row r="797">
          <cell r="I797" t="str">
            <v>V35987</v>
          </cell>
          <cell r="J797" t="str">
            <v>CTC</v>
          </cell>
          <cell r="K797" t="str">
            <v>YES</v>
          </cell>
        </row>
        <row r="798">
          <cell r="I798" t="str">
            <v>V36231</v>
          </cell>
          <cell r="J798" t="str">
            <v>CTC</v>
          </cell>
          <cell r="K798" t="str">
            <v>YES</v>
          </cell>
        </row>
        <row r="799">
          <cell r="I799" t="str">
            <v>V44344</v>
          </cell>
          <cell r="J799" t="str">
            <v>CTC</v>
          </cell>
          <cell r="K799" t="str">
            <v>YES</v>
          </cell>
        </row>
        <row r="800">
          <cell r="I800" t="str">
            <v>V23969</v>
          </cell>
          <cell r="J800" t="str">
            <v>CTC</v>
          </cell>
          <cell r="K800" t="str">
            <v>YES</v>
          </cell>
        </row>
        <row r="801">
          <cell r="I801" t="str">
            <v>V29965</v>
          </cell>
          <cell r="J801" t="str">
            <v>CTC</v>
          </cell>
          <cell r="K801" t="str">
            <v>YES</v>
          </cell>
        </row>
        <row r="802">
          <cell r="I802" t="str">
            <v>V17668</v>
          </cell>
          <cell r="J802" t="str">
            <v>CTC</v>
          </cell>
          <cell r="K802" t="str">
            <v>YES</v>
          </cell>
        </row>
        <row r="803">
          <cell r="I803" t="str">
            <v>V11152</v>
          </cell>
          <cell r="J803" t="str">
            <v>CTC</v>
          </cell>
          <cell r="K803" t="str">
            <v>YES</v>
          </cell>
        </row>
        <row r="804">
          <cell r="I804" t="str">
            <v>V34762</v>
          </cell>
          <cell r="J804" t="str">
            <v>CTC</v>
          </cell>
          <cell r="K804" t="str">
            <v>YES</v>
          </cell>
        </row>
        <row r="805">
          <cell r="I805" t="str">
            <v>V37227</v>
          </cell>
          <cell r="J805" t="str">
            <v>CTC</v>
          </cell>
          <cell r="K805" t="str">
            <v>YES</v>
          </cell>
        </row>
        <row r="806">
          <cell r="I806" t="str">
            <v>V41805</v>
          </cell>
          <cell r="J806" t="str">
            <v>CTC</v>
          </cell>
          <cell r="K806" t="str">
            <v>YES</v>
          </cell>
        </row>
        <row r="807">
          <cell r="I807" t="str">
            <v>V27923</v>
          </cell>
          <cell r="J807" t="str">
            <v>CTC</v>
          </cell>
          <cell r="K807" t="str">
            <v>YES</v>
          </cell>
        </row>
        <row r="808">
          <cell r="I808" t="str">
            <v>V43359</v>
          </cell>
          <cell r="J808" t="str">
            <v>CTC</v>
          </cell>
          <cell r="K808" t="str">
            <v>YES</v>
          </cell>
        </row>
        <row r="809">
          <cell r="I809" t="str">
            <v>V21599</v>
          </cell>
          <cell r="J809" t="str">
            <v>CTC</v>
          </cell>
          <cell r="K809" t="str">
            <v>YES</v>
          </cell>
        </row>
        <row r="810">
          <cell r="I810" t="str">
            <v>V43436</v>
          </cell>
          <cell r="J810" t="str">
            <v>CTC</v>
          </cell>
          <cell r="K810" t="str">
            <v>YES</v>
          </cell>
        </row>
        <row r="811">
          <cell r="I811" t="str">
            <v>V11416</v>
          </cell>
          <cell r="J811" t="str">
            <v>CTC</v>
          </cell>
          <cell r="K811" t="str">
            <v>YES</v>
          </cell>
        </row>
        <row r="812">
          <cell r="I812" t="str">
            <v>V00979</v>
          </cell>
          <cell r="J812" t="str">
            <v>CTC</v>
          </cell>
          <cell r="K812" t="str">
            <v>YES</v>
          </cell>
        </row>
        <row r="813">
          <cell r="I813" t="str">
            <v>V39926</v>
          </cell>
          <cell r="J813" t="str">
            <v>CTC</v>
          </cell>
          <cell r="K813" t="str">
            <v>YES</v>
          </cell>
        </row>
        <row r="814">
          <cell r="I814" t="str">
            <v>V43567</v>
          </cell>
          <cell r="J814" t="str">
            <v>CTC</v>
          </cell>
          <cell r="K814" t="str">
            <v>YES</v>
          </cell>
        </row>
        <row r="815">
          <cell r="I815" t="str">
            <v>V44828</v>
          </cell>
          <cell r="J815" t="str">
            <v>CTC</v>
          </cell>
          <cell r="K815" t="str">
            <v>YES</v>
          </cell>
        </row>
        <row r="816">
          <cell r="I816" t="str">
            <v>V06792</v>
          </cell>
          <cell r="J816" t="str">
            <v>CTC</v>
          </cell>
          <cell r="K816" t="str">
            <v>YES</v>
          </cell>
        </row>
        <row r="817">
          <cell r="I817" t="str">
            <v>V36655</v>
          </cell>
          <cell r="J817" t="str">
            <v>CTC</v>
          </cell>
          <cell r="K817" t="str">
            <v>YES</v>
          </cell>
        </row>
        <row r="818">
          <cell r="I818" t="str">
            <v>V41409</v>
          </cell>
          <cell r="J818" t="str">
            <v>CTC</v>
          </cell>
          <cell r="K818" t="str">
            <v>YES</v>
          </cell>
        </row>
        <row r="819">
          <cell r="I819" t="str">
            <v>V01210</v>
          </cell>
          <cell r="J819" t="str">
            <v>CTC</v>
          </cell>
          <cell r="K819" t="str">
            <v>YES</v>
          </cell>
        </row>
        <row r="820">
          <cell r="I820" t="str">
            <v>V27691</v>
          </cell>
          <cell r="J820" t="str">
            <v>CTC</v>
          </cell>
          <cell r="K820" t="str">
            <v>YES</v>
          </cell>
        </row>
        <row r="821">
          <cell r="I821" t="str">
            <v>V21606</v>
          </cell>
          <cell r="J821" t="str">
            <v>CTC</v>
          </cell>
          <cell r="K821" t="str">
            <v>YES</v>
          </cell>
        </row>
        <row r="822">
          <cell r="I822" t="str">
            <v>V35110</v>
          </cell>
          <cell r="J822" t="str">
            <v>CTC</v>
          </cell>
          <cell r="K822" t="str">
            <v>YES</v>
          </cell>
        </row>
        <row r="823">
          <cell r="I823" t="str">
            <v>V26196</v>
          </cell>
          <cell r="J823" t="str">
            <v>CTC</v>
          </cell>
          <cell r="K823" t="str">
            <v>YES</v>
          </cell>
        </row>
        <row r="824">
          <cell r="I824" t="str">
            <v>V05852</v>
          </cell>
          <cell r="J824" t="str">
            <v>CTC</v>
          </cell>
          <cell r="K824" t="str">
            <v>YES</v>
          </cell>
        </row>
        <row r="825">
          <cell r="I825" t="str">
            <v>V24148</v>
          </cell>
          <cell r="J825" t="str">
            <v>CTC</v>
          </cell>
          <cell r="K825" t="str">
            <v>YES</v>
          </cell>
        </row>
        <row r="826">
          <cell r="I826" t="str">
            <v>V46143</v>
          </cell>
          <cell r="J826" t="str">
            <v>CTC</v>
          </cell>
          <cell r="K826" t="str">
            <v>YES</v>
          </cell>
        </row>
        <row r="827">
          <cell r="I827" t="str">
            <v>V24942</v>
          </cell>
          <cell r="J827" t="str">
            <v>CTC</v>
          </cell>
          <cell r="K827" t="str">
            <v>YES</v>
          </cell>
        </row>
        <row r="828">
          <cell r="I828" t="str">
            <v>V08374</v>
          </cell>
          <cell r="J828" t="str">
            <v>CTC</v>
          </cell>
          <cell r="K828" t="str">
            <v>YES</v>
          </cell>
        </row>
        <row r="829">
          <cell r="I829" t="str">
            <v>V17518</v>
          </cell>
          <cell r="J829" t="str">
            <v>CTC</v>
          </cell>
          <cell r="K829" t="str">
            <v>YES</v>
          </cell>
        </row>
        <row r="830">
          <cell r="I830" t="str">
            <v>V21208</v>
          </cell>
          <cell r="J830" t="str">
            <v>CTC</v>
          </cell>
          <cell r="K830" t="str">
            <v>YES</v>
          </cell>
        </row>
        <row r="831">
          <cell r="I831" t="str">
            <v>V42404</v>
          </cell>
          <cell r="J831" t="str">
            <v>CTC</v>
          </cell>
          <cell r="K831" t="str">
            <v>YES</v>
          </cell>
        </row>
        <row r="832">
          <cell r="I832" t="str">
            <v>V39927</v>
          </cell>
          <cell r="J832" t="str">
            <v>CTC</v>
          </cell>
          <cell r="K832" t="str">
            <v>YES</v>
          </cell>
        </row>
        <row r="833">
          <cell r="I833" t="str">
            <v>V20202</v>
          </cell>
          <cell r="J833" t="str">
            <v>CTC</v>
          </cell>
          <cell r="K833" t="str">
            <v>YES</v>
          </cell>
        </row>
        <row r="834">
          <cell r="I834" t="str">
            <v>V29760</v>
          </cell>
          <cell r="J834" t="str">
            <v>CTC</v>
          </cell>
          <cell r="K834" t="str">
            <v>YES</v>
          </cell>
        </row>
        <row r="835">
          <cell r="I835" t="str">
            <v>V48370</v>
          </cell>
          <cell r="J835" t="str">
            <v>CTC</v>
          </cell>
          <cell r="K835" t="str">
            <v>YES</v>
          </cell>
        </row>
        <row r="836">
          <cell r="I836" t="str">
            <v>V06613</v>
          </cell>
          <cell r="J836" t="str">
            <v>CTC</v>
          </cell>
          <cell r="K836" t="str">
            <v>YES</v>
          </cell>
        </row>
        <row r="837">
          <cell r="I837" t="str">
            <v>V13726</v>
          </cell>
          <cell r="J837" t="str">
            <v>CTC</v>
          </cell>
          <cell r="K837" t="str">
            <v>YES</v>
          </cell>
        </row>
        <row r="838">
          <cell r="I838" t="str">
            <v>V16889</v>
          </cell>
          <cell r="J838" t="str">
            <v>CTC</v>
          </cell>
          <cell r="K838" t="str">
            <v>YES</v>
          </cell>
        </row>
        <row r="839">
          <cell r="I839" t="str">
            <v>V21318</v>
          </cell>
          <cell r="J839" t="str">
            <v>CTC</v>
          </cell>
          <cell r="K839" t="str">
            <v>YES</v>
          </cell>
        </row>
        <row r="840">
          <cell r="I840" t="str">
            <v>V17691</v>
          </cell>
          <cell r="J840" t="str">
            <v>CTC</v>
          </cell>
          <cell r="K840" t="str">
            <v>YES</v>
          </cell>
        </row>
        <row r="841">
          <cell r="I841" t="str">
            <v>V03875</v>
          </cell>
          <cell r="J841" t="str">
            <v>CTC</v>
          </cell>
          <cell r="K841" t="str">
            <v>YES</v>
          </cell>
        </row>
        <row r="842">
          <cell r="I842" t="str">
            <v>V22100</v>
          </cell>
          <cell r="J842" t="str">
            <v>CTC</v>
          </cell>
          <cell r="K842" t="str">
            <v>YES</v>
          </cell>
        </row>
        <row r="843">
          <cell r="I843" t="str">
            <v>V37464</v>
          </cell>
          <cell r="J843" t="str">
            <v>CTC</v>
          </cell>
          <cell r="K843" t="str">
            <v>YES</v>
          </cell>
        </row>
        <row r="844">
          <cell r="I844" t="str">
            <v>V35692</v>
          </cell>
          <cell r="J844" t="str">
            <v>CTC</v>
          </cell>
          <cell r="K844" t="str">
            <v>YES</v>
          </cell>
        </row>
        <row r="845">
          <cell r="I845" t="str">
            <v>V23652</v>
          </cell>
          <cell r="J845" t="str">
            <v>CTC</v>
          </cell>
          <cell r="K845" t="str">
            <v>YES</v>
          </cell>
        </row>
        <row r="846">
          <cell r="I846" t="str">
            <v>V46628</v>
          </cell>
          <cell r="J846" t="str">
            <v>CTC</v>
          </cell>
          <cell r="K846" t="str">
            <v>YES</v>
          </cell>
        </row>
        <row r="847">
          <cell r="I847" t="str">
            <v>V35220</v>
          </cell>
          <cell r="J847" t="str">
            <v>CTC</v>
          </cell>
          <cell r="K847" t="str">
            <v>YES</v>
          </cell>
        </row>
        <row r="848">
          <cell r="I848" t="str">
            <v>V43854</v>
          </cell>
          <cell r="J848" t="str">
            <v>CTC</v>
          </cell>
          <cell r="K848" t="str">
            <v>YES</v>
          </cell>
        </row>
        <row r="849">
          <cell r="I849" t="str">
            <v>V38398</v>
          </cell>
          <cell r="J849" t="str">
            <v>CTC</v>
          </cell>
          <cell r="K849" t="str">
            <v>YES</v>
          </cell>
        </row>
        <row r="850">
          <cell r="I850" t="str">
            <v>V22579</v>
          </cell>
          <cell r="J850" t="str">
            <v>CTC</v>
          </cell>
          <cell r="K850" t="str">
            <v>YES</v>
          </cell>
        </row>
        <row r="851">
          <cell r="I851" t="str">
            <v>V20952</v>
          </cell>
          <cell r="J851" t="str">
            <v>CTC</v>
          </cell>
          <cell r="K851" t="str">
            <v>YES</v>
          </cell>
        </row>
        <row r="852">
          <cell r="I852" t="str">
            <v>V34846</v>
          </cell>
          <cell r="J852" t="str">
            <v>CTC</v>
          </cell>
          <cell r="K852" t="str">
            <v>YES</v>
          </cell>
        </row>
        <row r="853">
          <cell r="I853" t="str">
            <v>V22547</v>
          </cell>
          <cell r="J853" t="str">
            <v>CTC</v>
          </cell>
          <cell r="K853" t="str">
            <v>YES</v>
          </cell>
        </row>
        <row r="854">
          <cell r="I854" t="str">
            <v>V36368</v>
          </cell>
          <cell r="J854" t="str">
            <v>CTC</v>
          </cell>
          <cell r="K854" t="str">
            <v>YES</v>
          </cell>
        </row>
        <row r="855">
          <cell r="I855" t="str">
            <v>V24742</v>
          </cell>
          <cell r="J855" t="str">
            <v>CTC</v>
          </cell>
          <cell r="K855" t="str">
            <v>YES</v>
          </cell>
        </row>
        <row r="856">
          <cell r="I856" t="str">
            <v>V38724</v>
          </cell>
          <cell r="J856" t="str">
            <v>CTC</v>
          </cell>
          <cell r="K856" t="str">
            <v>YES</v>
          </cell>
        </row>
        <row r="857">
          <cell r="I857" t="str">
            <v>V25528</v>
          </cell>
          <cell r="J857" t="str">
            <v>CTC</v>
          </cell>
          <cell r="K857" t="str">
            <v>YES</v>
          </cell>
        </row>
        <row r="858">
          <cell r="I858" t="str">
            <v>V38667</v>
          </cell>
          <cell r="J858" t="str">
            <v>CTC</v>
          </cell>
          <cell r="K858" t="str">
            <v>YES</v>
          </cell>
        </row>
        <row r="859">
          <cell r="I859" t="str">
            <v>V12216</v>
          </cell>
          <cell r="J859" t="str">
            <v>CTC</v>
          </cell>
          <cell r="K859" t="str">
            <v>YES</v>
          </cell>
        </row>
        <row r="860">
          <cell r="I860" t="str">
            <v>V17629</v>
          </cell>
          <cell r="J860" t="str">
            <v>CTC</v>
          </cell>
          <cell r="K860" t="str">
            <v>YES</v>
          </cell>
        </row>
        <row r="861">
          <cell r="I861" t="str">
            <v>V42538</v>
          </cell>
          <cell r="J861" t="str">
            <v>CTC</v>
          </cell>
          <cell r="K861" t="str">
            <v>YES</v>
          </cell>
        </row>
        <row r="862">
          <cell r="I862" t="str">
            <v>V24615</v>
          </cell>
          <cell r="J862" t="str">
            <v>CTC</v>
          </cell>
          <cell r="K862" t="str">
            <v>YES</v>
          </cell>
        </row>
        <row r="863">
          <cell r="I863" t="str">
            <v>V13538</v>
          </cell>
          <cell r="J863" t="str">
            <v>CTC</v>
          </cell>
          <cell r="K863" t="str">
            <v>YES</v>
          </cell>
        </row>
        <row r="864">
          <cell r="I864" t="str">
            <v>V21856</v>
          </cell>
          <cell r="J864" t="str">
            <v>CTC</v>
          </cell>
          <cell r="K864" t="str">
            <v>YES</v>
          </cell>
        </row>
        <row r="865">
          <cell r="I865" t="str">
            <v>V08365</v>
          </cell>
          <cell r="J865" t="str">
            <v>CTC</v>
          </cell>
          <cell r="K865" t="str">
            <v>YES</v>
          </cell>
        </row>
        <row r="866">
          <cell r="I866" t="str">
            <v>V29164</v>
          </cell>
          <cell r="J866" t="str">
            <v>CTC</v>
          </cell>
          <cell r="K866" t="str">
            <v>YES</v>
          </cell>
        </row>
        <row r="867">
          <cell r="I867" t="str">
            <v>V2S170</v>
          </cell>
          <cell r="J867" t="str">
            <v>CTC</v>
          </cell>
          <cell r="K867" t="str">
            <v>YES</v>
          </cell>
        </row>
        <row r="868">
          <cell r="I868" t="str">
            <v>V14920</v>
          </cell>
          <cell r="J868" t="str">
            <v>CTC</v>
          </cell>
          <cell r="K868" t="str">
            <v>YES</v>
          </cell>
        </row>
        <row r="869">
          <cell r="I869" t="str">
            <v>V46654</v>
          </cell>
          <cell r="J869" t="str">
            <v>CTC</v>
          </cell>
          <cell r="K869" t="str">
            <v>YES</v>
          </cell>
        </row>
        <row r="870">
          <cell r="I870" t="str">
            <v>V46620</v>
          </cell>
          <cell r="J870" t="str">
            <v>CTC</v>
          </cell>
          <cell r="K870" t="str">
            <v>YES</v>
          </cell>
        </row>
        <row r="871">
          <cell r="I871" t="str">
            <v>V25960</v>
          </cell>
          <cell r="J871" t="str">
            <v>CTC</v>
          </cell>
          <cell r="K871" t="str">
            <v>YES</v>
          </cell>
        </row>
        <row r="872">
          <cell r="I872" t="str">
            <v>V14236</v>
          </cell>
          <cell r="J872" t="str">
            <v>CTC</v>
          </cell>
          <cell r="K872" t="str">
            <v>YES</v>
          </cell>
        </row>
        <row r="873">
          <cell r="I873" t="str">
            <v>V25257</v>
          </cell>
          <cell r="J873" t="str">
            <v>CTC</v>
          </cell>
          <cell r="K873" t="str">
            <v>YES</v>
          </cell>
        </row>
        <row r="874">
          <cell r="I874" t="str">
            <v>V20754</v>
          </cell>
          <cell r="J874" t="str">
            <v>CTC</v>
          </cell>
          <cell r="K874" t="str">
            <v>YES</v>
          </cell>
        </row>
        <row r="875">
          <cell r="I875" t="str">
            <v>V20931</v>
          </cell>
          <cell r="J875" t="str">
            <v>CTC</v>
          </cell>
          <cell r="K875" t="str">
            <v>YES</v>
          </cell>
        </row>
        <row r="876">
          <cell r="I876" t="str">
            <v>V21205</v>
          </cell>
          <cell r="J876" t="str">
            <v>CTC</v>
          </cell>
          <cell r="K876" t="str">
            <v>YES</v>
          </cell>
        </row>
        <row r="877">
          <cell r="I877" t="str">
            <v>V45918</v>
          </cell>
          <cell r="J877" t="str">
            <v>CTC</v>
          </cell>
          <cell r="K877" t="str">
            <v>YES</v>
          </cell>
        </row>
        <row r="878">
          <cell r="I878" t="str">
            <v>V41690</v>
          </cell>
          <cell r="J878" t="str">
            <v>CTC</v>
          </cell>
          <cell r="K878" t="str">
            <v>YES</v>
          </cell>
        </row>
        <row r="879">
          <cell r="I879" t="str">
            <v>V44620</v>
          </cell>
          <cell r="J879" t="str">
            <v>CTC</v>
          </cell>
          <cell r="K879" t="str">
            <v>YES</v>
          </cell>
        </row>
        <row r="880">
          <cell r="I880" t="str">
            <v>V15136</v>
          </cell>
          <cell r="J880" t="str">
            <v>CTC</v>
          </cell>
          <cell r="K880" t="str">
            <v>YES</v>
          </cell>
        </row>
        <row r="881">
          <cell r="I881" t="str">
            <v>V33781</v>
          </cell>
          <cell r="J881" t="str">
            <v>CTC</v>
          </cell>
          <cell r="K881" t="str">
            <v>YES</v>
          </cell>
        </row>
        <row r="882">
          <cell r="I882" t="str">
            <v>V21787</v>
          </cell>
          <cell r="J882" t="str">
            <v>CTC</v>
          </cell>
          <cell r="K882" t="str">
            <v>YES</v>
          </cell>
        </row>
        <row r="883">
          <cell r="I883" t="str">
            <v>V15526</v>
          </cell>
          <cell r="J883" t="str">
            <v>CTC</v>
          </cell>
          <cell r="K883" t="str">
            <v>YES</v>
          </cell>
        </row>
        <row r="884">
          <cell r="I884" t="str">
            <v>V40561</v>
          </cell>
          <cell r="J884" t="str">
            <v>CTC</v>
          </cell>
          <cell r="K884" t="str">
            <v>YES</v>
          </cell>
        </row>
        <row r="885">
          <cell r="I885" t="str">
            <v>V13068</v>
          </cell>
          <cell r="J885" t="str">
            <v>CTC</v>
          </cell>
          <cell r="K885" t="str">
            <v>YES</v>
          </cell>
        </row>
        <row r="886">
          <cell r="I886" t="str">
            <v>V13081</v>
          </cell>
          <cell r="J886" t="str">
            <v>CTC</v>
          </cell>
          <cell r="K886" t="str">
            <v>YES</v>
          </cell>
        </row>
        <row r="887">
          <cell r="I887" t="str">
            <v>V07507</v>
          </cell>
          <cell r="J887" t="str">
            <v>CTC</v>
          </cell>
          <cell r="K887" t="str">
            <v>YES</v>
          </cell>
        </row>
        <row r="888">
          <cell r="I888" t="str">
            <v>V39606</v>
          </cell>
          <cell r="J888" t="str">
            <v>CTC</v>
          </cell>
          <cell r="K888" t="str">
            <v>YES</v>
          </cell>
        </row>
        <row r="889">
          <cell r="I889" t="str">
            <v>V15759</v>
          </cell>
          <cell r="J889" t="str">
            <v>CTC</v>
          </cell>
          <cell r="K889" t="str">
            <v>YES</v>
          </cell>
        </row>
        <row r="890">
          <cell r="I890" t="str">
            <v>V16375</v>
          </cell>
          <cell r="J890" t="str">
            <v>CTC</v>
          </cell>
          <cell r="K890" t="str">
            <v>YES</v>
          </cell>
        </row>
        <row r="891">
          <cell r="I891" t="str">
            <v>V17708</v>
          </cell>
          <cell r="J891" t="str">
            <v>CTC</v>
          </cell>
          <cell r="K891" t="str">
            <v>YES</v>
          </cell>
        </row>
        <row r="892">
          <cell r="I892" t="str">
            <v>V44511</v>
          </cell>
          <cell r="J892" t="str">
            <v>CTC</v>
          </cell>
          <cell r="K892" t="str">
            <v>YES</v>
          </cell>
        </row>
        <row r="893">
          <cell r="I893" t="str">
            <v>V46118</v>
          </cell>
          <cell r="J893" t="str">
            <v>CTC</v>
          </cell>
          <cell r="K893" t="str">
            <v>YES</v>
          </cell>
        </row>
        <row r="894">
          <cell r="I894" t="str">
            <v>V38618</v>
          </cell>
          <cell r="J894" t="str">
            <v>CTC</v>
          </cell>
          <cell r="K894" t="str">
            <v>YES</v>
          </cell>
        </row>
        <row r="895">
          <cell r="I895" t="str">
            <v>V26136</v>
          </cell>
          <cell r="J895" t="str">
            <v>CTC</v>
          </cell>
          <cell r="K895" t="str">
            <v>YES</v>
          </cell>
        </row>
        <row r="896">
          <cell r="I896" t="str">
            <v>V39070</v>
          </cell>
          <cell r="J896" t="str">
            <v>CTC</v>
          </cell>
          <cell r="K896" t="str">
            <v>YES</v>
          </cell>
        </row>
        <row r="897">
          <cell r="I897" t="str">
            <v>V16443</v>
          </cell>
          <cell r="J897" t="str">
            <v>CTC</v>
          </cell>
          <cell r="K897" t="str">
            <v>YES</v>
          </cell>
        </row>
        <row r="898">
          <cell r="I898" t="str">
            <v>V10088</v>
          </cell>
          <cell r="J898" t="str">
            <v>CTC</v>
          </cell>
          <cell r="K898" t="str">
            <v>YES</v>
          </cell>
        </row>
        <row r="899">
          <cell r="I899" t="str">
            <v>V36969</v>
          </cell>
          <cell r="J899" t="str">
            <v>CTC</v>
          </cell>
          <cell r="K899" t="str">
            <v>YES</v>
          </cell>
        </row>
        <row r="900">
          <cell r="I900" t="str">
            <v>V29966</v>
          </cell>
          <cell r="J900" t="str">
            <v>CTC</v>
          </cell>
          <cell r="K900" t="str">
            <v>YES</v>
          </cell>
        </row>
        <row r="901">
          <cell r="I901" t="str">
            <v>V44765</v>
          </cell>
          <cell r="J901" t="str">
            <v>CTC</v>
          </cell>
          <cell r="K901" t="str">
            <v>YES</v>
          </cell>
        </row>
        <row r="902">
          <cell r="I902" t="str">
            <v>V24519</v>
          </cell>
          <cell r="J902" t="str">
            <v>CTC</v>
          </cell>
          <cell r="K902" t="str">
            <v>YES</v>
          </cell>
        </row>
        <row r="903">
          <cell r="I903" t="str">
            <v>V01464</v>
          </cell>
          <cell r="J903" t="str">
            <v>CTC</v>
          </cell>
          <cell r="K903" t="str">
            <v>YES</v>
          </cell>
        </row>
        <row r="904">
          <cell r="I904" t="str">
            <v>V21123</v>
          </cell>
          <cell r="J904" t="str">
            <v>CTC</v>
          </cell>
          <cell r="K904" t="str">
            <v>YES</v>
          </cell>
        </row>
        <row r="905">
          <cell r="I905" t="str">
            <v>V21985</v>
          </cell>
          <cell r="J905" t="str">
            <v>CTC</v>
          </cell>
          <cell r="K905" t="str">
            <v>YES</v>
          </cell>
        </row>
        <row r="906">
          <cell r="I906" t="str">
            <v>V12166</v>
          </cell>
          <cell r="J906" t="str">
            <v>CTC</v>
          </cell>
          <cell r="K906" t="str">
            <v>YES</v>
          </cell>
        </row>
        <row r="907">
          <cell r="I907" t="str">
            <v>V25472</v>
          </cell>
          <cell r="J907" t="str">
            <v>CTC</v>
          </cell>
          <cell r="K907" t="str">
            <v>YES</v>
          </cell>
        </row>
        <row r="908">
          <cell r="I908" t="str">
            <v>V23994</v>
          </cell>
          <cell r="J908" t="str">
            <v>CTC</v>
          </cell>
          <cell r="K908" t="str">
            <v>YES</v>
          </cell>
        </row>
        <row r="909">
          <cell r="I909" t="str">
            <v>V25149</v>
          </cell>
          <cell r="J909" t="str">
            <v>CTC</v>
          </cell>
          <cell r="K909" t="str">
            <v>YES</v>
          </cell>
        </row>
        <row r="910">
          <cell r="I910" t="str">
            <v>V29605</v>
          </cell>
          <cell r="J910" t="str">
            <v>CTC</v>
          </cell>
          <cell r="K910" t="str">
            <v>YES</v>
          </cell>
        </row>
        <row r="911">
          <cell r="I911" t="str">
            <v>V45623</v>
          </cell>
          <cell r="J911" t="str">
            <v>CTC</v>
          </cell>
          <cell r="K911" t="str">
            <v>YES</v>
          </cell>
        </row>
        <row r="912">
          <cell r="I912" t="str">
            <v>V11808</v>
          </cell>
          <cell r="J912" t="str">
            <v>CTC</v>
          </cell>
          <cell r="K912" t="str">
            <v>YES</v>
          </cell>
        </row>
        <row r="913">
          <cell r="I913" t="str">
            <v>V42061</v>
          </cell>
          <cell r="J913" t="str">
            <v>CTC</v>
          </cell>
          <cell r="K913" t="str">
            <v>YES</v>
          </cell>
        </row>
        <row r="914">
          <cell r="I914" t="str">
            <v>V36651</v>
          </cell>
          <cell r="J914" t="str">
            <v>CTC</v>
          </cell>
          <cell r="K914" t="str">
            <v>YES</v>
          </cell>
        </row>
        <row r="915">
          <cell r="I915" t="str">
            <v>V22009</v>
          </cell>
          <cell r="J915" t="str">
            <v>CTC</v>
          </cell>
          <cell r="K915" t="str">
            <v>YES</v>
          </cell>
        </row>
        <row r="916">
          <cell r="I916" t="str">
            <v>V26906</v>
          </cell>
          <cell r="J916" t="str">
            <v>CTC</v>
          </cell>
          <cell r="K916" t="str">
            <v>YES</v>
          </cell>
        </row>
        <row r="917">
          <cell r="I917" t="str">
            <v>V22105</v>
          </cell>
          <cell r="J917" t="str">
            <v>CTC</v>
          </cell>
          <cell r="K917" t="str">
            <v>YES</v>
          </cell>
        </row>
        <row r="918">
          <cell r="I918" t="str">
            <v>V21082</v>
          </cell>
          <cell r="J918" t="str">
            <v>CTC</v>
          </cell>
          <cell r="K918" t="str">
            <v>YES</v>
          </cell>
        </row>
        <row r="919">
          <cell r="I919" t="str">
            <v>V21282</v>
          </cell>
          <cell r="J919" t="str">
            <v>CTC</v>
          </cell>
          <cell r="K919" t="str">
            <v>YES</v>
          </cell>
        </row>
        <row r="920">
          <cell r="I920" t="str">
            <v>V22022</v>
          </cell>
          <cell r="J920" t="str">
            <v>CTC</v>
          </cell>
          <cell r="K920" t="str">
            <v>YES</v>
          </cell>
        </row>
        <row r="921">
          <cell r="I921" t="str">
            <v>V15126</v>
          </cell>
          <cell r="J921" t="str">
            <v>CTC</v>
          </cell>
          <cell r="K921" t="str">
            <v>YES</v>
          </cell>
        </row>
        <row r="922">
          <cell r="I922" t="str">
            <v>V08403</v>
          </cell>
          <cell r="J922" t="str">
            <v>CTC</v>
          </cell>
          <cell r="K922" t="str">
            <v>YES</v>
          </cell>
        </row>
        <row r="923">
          <cell r="I923" t="str">
            <v>V14936</v>
          </cell>
          <cell r="J923" t="str">
            <v>CTC</v>
          </cell>
          <cell r="K923" t="str">
            <v>YES</v>
          </cell>
        </row>
        <row r="924">
          <cell r="I924" t="str">
            <v>V29339</v>
          </cell>
          <cell r="J924" t="str">
            <v>CTC</v>
          </cell>
          <cell r="K924" t="str">
            <v>YES</v>
          </cell>
        </row>
        <row r="925">
          <cell r="I925" t="str">
            <v>V30686</v>
          </cell>
          <cell r="J925" t="str">
            <v>CTC</v>
          </cell>
          <cell r="K925" t="str">
            <v>YES</v>
          </cell>
        </row>
        <row r="926">
          <cell r="I926" t="str">
            <v>V39737</v>
          </cell>
          <cell r="J926" t="str">
            <v>CTC</v>
          </cell>
          <cell r="K926" t="str">
            <v>YES</v>
          </cell>
        </row>
        <row r="927">
          <cell r="I927" t="str">
            <v>V00980</v>
          </cell>
          <cell r="J927" t="str">
            <v>CTC</v>
          </cell>
          <cell r="K927" t="str">
            <v>YES</v>
          </cell>
        </row>
        <row r="928">
          <cell r="I928" t="str">
            <v>V25786</v>
          </cell>
          <cell r="J928" t="str">
            <v>CTC</v>
          </cell>
          <cell r="K928" t="str">
            <v>YES</v>
          </cell>
        </row>
        <row r="929">
          <cell r="I929" t="str">
            <v>V13913</v>
          </cell>
          <cell r="J929" t="str">
            <v>CTC</v>
          </cell>
          <cell r="K929" t="str">
            <v>YES</v>
          </cell>
        </row>
        <row r="930">
          <cell r="I930" t="str">
            <v>V23915</v>
          </cell>
          <cell r="J930" t="str">
            <v>CTC</v>
          </cell>
          <cell r="K930" t="str">
            <v>YES</v>
          </cell>
        </row>
        <row r="931">
          <cell r="I931" t="str">
            <v>V08180</v>
          </cell>
          <cell r="J931" t="str">
            <v>CTC</v>
          </cell>
          <cell r="K931" t="str">
            <v>YES</v>
          </cell>
        </row>
        <row r="932">
          <cell r="I932" t="str">
            <v>V16076</v>
          </cell>
          <cell r="J932" t="str">
            <v>CTC</v>
          </cell>
          <cell r="K932" t="str">
            <v>YES</v>
          </cell>
        </row>
        <row r="933">
          <cell r="I933" t="str">
            <v>V18141</v>
          </cell>
          <cell r="J933" t="str">
            <v>CTC</v>
          </cell>
          <cell r="K933" t="str">
            <v>YES</v>
          </cell>
        </row>
        <row r="934">
          <cell r="I934" t="str">
            <v>V36345</v>
          </cell>
          <cell r="J934" t="str">
            <v>CTC</v>
          </cell>
          <cell r="K934" t="str">
            <v>YES</v>
          </cell>
        </row>
        <row r="935">
          <cell r="I935" t="str">
            <v>V21602</v>
          </cell>
          <cell r="J935" t="str">
            <v>CTC</v>
          </cell>
          <cell r="K935" t="str">
            <v>YES</v>
          </cell>
        </row>
        <row r="936">
          <cell r="I936" t="str">
            <v>V21151</v>
          </cell>
          <cell r="J936" t="str">
            <v>CTC</v>
          </cell>
          <cell r="K936" t="str">
            <v>YES</v>
          </cell>
        </row>
        <row r="937">
          <cell r="I937" t="str">
            <v>V18255</v>
          </cell>
          <cell r="J937" t="str">
            <v>CTC</v>
          </cell>
          <cell r="K937" t="str">
            <v>YES</v>
          </cell>
        </row>
        <row r="938">
          <cell r="I938" t="str">
            <v>V12402</v>
          </cell>
          <cell r="J938" t="str">
            <v>CTC</v>
          </cell>
          <cell r="K938" t="str">
            <v>YES</v>
          </cell>
        </row>
        <row r="939">
          <cell r="I939" t="str">
            <v>V13083</v>
          </cell>
          <cell r="J939" t="str">
            <v>CTC</v>
          </cell>
          <cell r="K939" t="str">
            <v>YES</v>
          </cell>
        </row>
        <row r="940">
          <cell r="I940" t="str">
            <v>V13097</v>
          </cell>
          <cell r="J940" t="str">
            <v>CTC</v>
          </cell>
          <cell r="K940" t="str">
            <v>YES</v>
          </cell>
        </row>
        <row r="941">
          <cell r="I941" t="str">
            <v>V30586</v>
          </cell>
          <cell r="J941" t="str">
            <v>CTC</v>
          </cell>
          <cell r="K941" t="str">
            <v>YES</v>
          </cell>
        </row>
        <row r="942">
          <cell r="I942" t="str">
            <v>V46582</v>
          </cell>
          <cell r="J942" t="str">
            <v>CTC</v>
          </cell>
          <cell r="K942" t="str">
            <v>YES</v>
          </cell>
        </row>
        <row r="943">
          <cell r="I943" t="str">
            <v>V25998</v>
          </cell>
          <cell r="J943" t="str">
            <v>CTC</v>
          </cell>
          <cell r="K943" t="str">
            <v>YES</v>
          </cell>
        </row>
        <row r="944">
          <cell r="I944" t="str">
            <v>V26442</v>
          </cell>
          <cell r="J944" t="str">
            <v>CTC</v>
          </cell>
          <cell r="K944" t="str">
            <v>YES</v>
          </cell>
        </row>
        <row r="945">
          <cell r="I945" t="str">
            <v>V12413</v>
          </cell>
          <cell r="J945" t="str">
            <v>CTC</v>
          </cell>
          <cell r="K945" t="str">
            <v>YES</v>
          </cell>
        </row>
        <row r="946">
          <cell r="I946" t="str">
            <v>V15140</v>
          </cell>
          <cell r="J946" t="str">
            <v>CTC</v>
          </cell>
          <cell r="K946" t="str">
            <v>YES</v>
          </cell>
        </row>
        <row r="947">
          <cell r="I947" t="str">
            <v>V42754</v>
          </cell>
          <cell r="J947" t="str">
            <v>CTC</v>
          </cell>
          <cell r="K947" t="str">
            <v>YES</v>
          </cell>
        </row>
        <row r="948">
          <cell r="I948" t="str">
            <v>V09160</v>
          </cell>
          <cell r="J948" t="str">
            <v>CTC</v>
          </cell>
          <cell r="K948" t="str">
            <v>YES</v>
          </cell>
        </row>
        <row r="949">
          <cell r="I949" t="str">
            <v>V45103</v>
          </cell>
          <cell r="J949" t="str">
            <v>CTC</v>
          </cell>
          <cell r="K949" t="str">
            <v>YES</v>
          </cell>
        </row>
        <row r="950">
          <cell r="I950" t="str">
            <v>V42184</v>
          </cell>
          <cell r="J950" t="str">
            <v>CTC</v>
          </cell>
          <cell r="K950" t="str">
            <v>YES</v>
          </cell>
        </row>
        <row r="951">
          <cell r="I951" t="str">
            <v>V43730</v>
          </cell>
          <cell r="J951" t="str">
            <v>CTC</v>
          </cell>
          <cell r="K951" t="str">
            <v>YES</v>
          </cell>
        </row>
        <row r="952">
          <cell r="I952" t="str">
            <v>V27696</v>
          </cell>
          <cell r="J952" t="str">
            <v>CTC</v>
          </cell>
          <cell r="K952" t="str">
            <v>YES</v>
          </cell>
        </row>
        <row r="953">
          <cell r="I953" t="str">
            <v>V34455</v>
          </cell>
          <cell r="J953" t="str">
            <v>CTC</v>
          </cell>
          <cell r="K953" t="str">
            <v>YES</v>
          </cell>
        </row>
        <row r="954">
          <cell r="I954" t="str">
            <v>V25530</v>
          </cell>
          <cell r="J954" t="str">
            <v>CTC</v>
          </cell>
          <cell r="K954" t="str">
            <v>YES</v>
          </cell>
        </row>
        <row r="955">
          <cell r="I955" t="str">
            <v>V42789</v>
          </cell>
          <cell r="J955" t="str">
            <v>CTC</v>
          </cell>
          <cell r="K955" t="str">
            <v>YES</v>
          </cell>
        </row>
        <row r="956">
          <cell r="I956" t="str">
            <v>V34365</v>
          </cell>
          <cell r="J956" t="str">
            <v>CTC</v>
          </cell>
          <cell r="K956" t="str">
            <v>YES</v>
          </cell>
        </row>
        <row r="957">
          <cell r="I957" t="str">
            <v>V21160</v>
          </cell>
          <cell r="J957" t="str">
            <v>CTC</v>
          </cell>
          <cell r="K957" t="str">
            <v>YES</v>
          </cell>
        </row>
        <row r="958">
          <cell r="I958" t="str">
            <v>V43220</v>
          </cell>
          <cell r="J958" t="str">
            <v>CTC</v>
          </cell>
          <cell r="K958" t="str">
            <v>YES</v>
          </cell>
        </row>
        <row r="959">
          <cell r="I959" t="str">
            <v>V20823</v>
          </cell>
          <cell r="J959" t="str">
            <v>CTC</v>
          </cell>
          <cell r="K959" t="str">
            <v>YES</v>
          </cell>
        </row>
        <row r="960">
          <cell r="I960" t="str">
            <v>V19352</v>
          </cell>
          <cell r="J960" t="str">
            <v>CTC</v>
          </cell>
          <cell r="K960" t="str">
            <v>YES</v>
          </cell>
        </row>
        <row r="961">
          <cell r="I961" t="str">
            <v>V30296</v>
          </cell>
          <cell r="J961" t="str">
            <v>CTC</v>
          </cell>
          <cell r="K961" t="str">
            <v>YES</v>
          </cell>
        </row>
        <row r="962">
          <cell r="I962" t="str">
            <v>V35916</v>
          </cell>
          <cell r="J962" t="str">
            <v>CTC</v>
          </cell>
          <cell r="K962" t="str">
            <v>YES</v>
          </cell>
        </row>
        <row r="963">
          <cell r="I963" t="str">
            <v>V21505</v>
          </cell>
          <cell r="J963" t="str">
            <v>CTC</v>
          </cell>
          <cell r="K963" t="str">
            <v>YES</v>
          </cell>
        </row>
        <row r="964">
          <cell r="I964" t="str">
            <v>V30526</v>
          </cell>
          <cell r="J964" t="str">
            <v>CTC</v>
          </cell>
          <cell r="K964" t="str">
            <v>YES</v>
          </cell>
        </row>
        <row r="965">
          <cell r="I965" t="str">
            <v>V35826</v>
          </cell>
          <cell r="J965" t="str">
            <v>CTC</v>
          </cell>
          <cell r="K965" t="str">
            <v>YES</v>
          </cell>
        </row>
        <row r="966">
          <cell r="I966" t="str">
            <v>V09134</v>
          </cell>
          <cell r="J966" t="str">
            <v>CTC</v>
          </cell>
          <cell r="K966" t="str">
            <v>YES</v>
          </cell>
        </row>
        <row r="967">
          <cell r="I967" t="str">
            <v>V23973</v>
          </cell>
          <cell r="J967" t="str">
            <v>CTC</v>
          </cell>
          <cell r="K967" t="str">
            <v>YES</v>
          </cell>
        </row>
        <row r="968">
          <cell r="I968" t="str">
            <v>V34453</v>
          </cell>
          <cell r="J968" t="str">
            <v>CTC</v>
          </cell>
          <cell r="K968" t="str">
            <v>YES</v>
          </cell>
        </row>
        <row r="969">
          <cell r="I969" t="str">
            <v>V05470</v>
          </cell>
          <cell r="J969" t="str">
            <v>CTC</v>
          </cell>
          <cell r="K969" t="str">
            <v>YES</v>
          </cell>
        </row>
        <row r="970">
          <cell r="I970" t="str">
            <v>V19788</v>
          </cell>
          <cell r="J970" t="str">
            <v>CTC</v>
          </cell>
          <cell r="K970" t="str">
            <v>YES</v>
          </cell>
        </row>
        <row r="971">
          <cell r="I971" t="str">
            <v>V36504</v>
          </cell>
          <cell r="J971" t="str">
            <v>CTC</v>
          </cell>
          <cell r="K971" t="str">
            <v>YES</v>
          </cell>
        </row>
        <row r="972">
          <cell r="I972" t="str">
            <v>V24220</v>
          </cell>
          <cell r="J972" t="str">
            <v>CTC</v>
          </cell>
          <cell r="K972" t="str">
            <v>YES</v>
          </cell>
        </row>
        <row r="973">
          <cell r="I973" t="str">
            <v>V26367</v>
          </cell>
          <cell r="J973" t="str">
            <v>CTC</v>
          </cell>
          <cell r="K973" t="str">
            <v>YES</v>
          </cell>
        </row>
        <row r="974">
          <cell r="I974" t="str">
            <v>V34456</v>
          </cell>
          <cell r="J974" t="str">
            <v>CTC</v>
          </cell>
          <cell r="K974" t="str">
            <v>YES</v>
          </cell>
        </row>
        <row r="975">
          <cell r="I975" t="str">
            <v>V12709</v>
          </cell>
          <cell r="J975" t="str">
            <v>CTC</v>
          </cell>
          <cell r="K975" t="str">
            <v>YES</v>
          </cell>
        </row>
        <row r="976">
          <cell r="I976" t="str">
            <v>V34452</v>
          </cell>
          <cell r="J976" t="str">
            <v>CTC</v>
          </cell>
          <cell r="K976" t="str">
            <v>YES</v>
          </cell>
        </row>
        <row r="977">
          <cell r="I977" t="str">
            <v>V25859</v>
          </cell>
          <cell r="J977" t="str">
            <v>CTC</v>
          </cell>
          <cell r="K977" t="str">
            <v>YES</v>
          </cell>
        </row>
        <row r="978">
          <cell r="I978" t="str">
            <v>V44778</v>
          </cell>
          <cell r="J978" t="str">
            <v>CTC</v>
          </cell>
          <cell r="K978" t="str">
            <v>YES</v>
          </cell>
        </row>
        <row r="979">
          <cell r="I979" t="str">
            <v>V23650</v>
          </cell>
          <cell r="J979" t="str">
            <v>CTC</v>
          </cell>
          <cell r="K979" t="str">
            <v>YES</v>
          </cell>
        </row>
        <row r="980">
          <cell r="I980" t="str">
            <v>V21152</v>
          </cell>
          <cell r="J980" t="str">
            <v>CTC</v>
          </cell>
          <cell r="K980" t="str">
            <v>YES</v>
          </cell>
        </row>
        <row r="981">
          <cell r="I981" t="str">
            <v>V21984</v>
          </cell>
          <cell r="J981" t="str">
            <v>CTC</v>
          </cell>
          <cell r="K981" t="str">
            <v>YES</v>
          </cell>
        </row>
        <row r="982">
          <cell r="I982" t="str">
            <v>V27510</v>
          </cell>
          <cell r="J982" t="str">
            <v>CTC</v>
          </cell>
          <cell r="K982" t="str">
            <v>YES</v>
          </cell>
        </row>
        <row r="983">
          <cell r="I983" t="str">
            <v>V22975</v>
          </cell>
          <cell r="J983" t="str">
            <v>CTC</v>
          </cell>
          <cell r="K983" t="str">
            <v>YES</v>
          </cell>
        </row>
        <row r="984">
          <cell r="I984" t="str">
            <v>V46784</v>
          </cell>
          <cell r="J984" t="str">
            <v>CTC</v>
          </cell>
          <cell r="K984" t="str">
            <v>YES</v>
          </cell>
        </row>
        <row r="985">
          <cell r="I985" t="str">
            <v>V41810</v>
          </cell>
          <cell r="J985" t="str">
            <v>CTC</v>
          </cell>
          <cell r="K985" t="str">
            <v>YES</v>
          </cell>
        </row>
        <row r="986">
          <cell r="I986" t="str">
            <v>V22378</v>
          </cell>
          <cell r="J986" t="str">
            <v>CTC</v>
          </cell>
          <cell r="K986" t="str">
            <v>YES</v>
          </cell>
        </row>
        <row r="987">
          <cell r="I987" t="str">
            <v>V35185</v>
          </cell>
          <cell r="J987" t="str">
            <v>CTC</v>
          </cell>
          <cell r="K987" t="str">
            <v>YES</v>
          </cell>
        </row>
        <row r="988">
          <cell r="I988" t="str">
            <v>V23781</v>
          </cell>
          <cell r="J988" t="str">
            <v>CTC</v>
          </cell>
          <cell r="K988" t="str">
            <v>YES</v>
          </cell>
        </row>
        <row r="989">
          <cell r="I989" t="str">
            <v>V47567</v>
          </cell>
          <cell r="J989" t="str">
            <v>CTC</v>
          </cell>
          <cell r="K989" t="str">
            <v>YES</v>
          </cell>
        </row>
        <row r="990">
          <cell r="I990" t="str">
            <v>V03782</v>
          </cell>
          <cell r="J990" t="str">
            <v>CTC</v>
          </cell>
          <cell r="K990" t="str">
            <v>YES</v>
          </cell>
        </row>
        <row r="991">
          <cell r="I991" t="str">
            <v>V43295</v>
          </cell>
          <cell r="J991" t="str">
            <v>CTC</v>
          </cell>
          <cell r="K991" t="str">
            <v>YES</v>
          </cell>
        </row>
        <row r="992">
          <cell r="I992" t="str">
            <v>V30153</v>
          </cell>
          <cell r="J992" t="str">
            <v>CTC</v>
          </cell>
          <cell r="K992" t="str">
            <v>YES</v>
          </cell>
        </row>
        <row r="993">
          <cell r="I993" t="str">
            <v>V36334</v>
          </cell>
          <cell r="J993" t="str">
            <v>CTC</v>
          </cell>
          <cell r="K993" t="str">
            <v>YES</v>
          </cell>
        </row>
        <row r="994">
          <cell r="I994" t="str">
            <v>V27193</v>
          </cell>
          <cell r="J994" t="str">
            <v>CTC</v>
          </cell>
          <cell r="K994" t="str">
            <v>YES</v>
          </cell>
        </row>
        <row r="995">
          <cell r="I995" t="str">
            <v>V29189</v>
          </cell>
          <cell r="J995" t="str">
            <v>CTC</v>
          </cell>
          <cell r="K995" t="str">
            <v>YES</v>
          </cell>
        </row>
        <row r="996">
          <cell r="I996" t="str">
            <v>V37270</v>
          </cell>
          <cell r="J996" t="str">
            <v>CTC</v>
          </cell>
          <cell r="K996" t="str">
            <v>YES</v>
          </cell>
        </row>
        <row r="997">
          <cell r="I997" t="str">
            <v>V40541</v>
          </cell>
          <cell r="J997" t="str">
            <v>CTC</v>
          </cell>
          <cell r="K997" t="str">
            <v>YES</v>
          </cell>
        </row>
        <row r="998">
          <cell r="I998" t="str">
            <v>V17957</v>
          </cell>
          <cell r="J998" t="str">
            <v>CTC</v>
          </cell>
          <cell r="K998" t="str">
            <v>YES</v>
          </cell>
        </row>
        <row r="999">
          <cell r="I999" t="str">
            <v>V08814</v>
          </cell>
          <cell r="J999" t="str">
            <v>CTC</v>
          </cell>
          <cell r="K999" t="str">
            <v>YES</v>
          </cell>
        </row>
        <row r="1000">
          <cell r="I1000" t="str">
            <v>V36245</v>
          </cell>
          <cell r="J1000" t="str">
            <v>CTC</v>
          </cell>
          <cell r="K1000" t="str">
            <v>YES</v>
          </cell>
        </row>
        <row r="1001">
          <cell r="I1001" t="str">
            <v>V23958</v>
          </cell>
          <cell r="J1001" t="str">
            <v>CTC</v>
          </cell>
          <cell r="K1001" t="str">
            <v>YES</v>
          </cell>
        </row>
        <row r="1002">
          <cell r="I1002" t="str">
            <v>V23656</v>
          </cell>
          <cell r="J1002" t="str">
            <v>CTC</v>
          </cell>
          <cell r="K1002" t="str">
            <v>YES</v>
          </cell>
        </row>
        <row r="1003">
          <cell r="I1003" t="str">
            <v>V32802</v>
          </cell>
          <cell r="J1003" t="str">
            <v>CTC</v>
          </cell>
          <cell r="K1003" t="str">
            <v>YES</v>
          </cell>
        </row>
        <row r="1004">
          <cell r="I1004" t="str">
            <v>V02935</v>
          </cell>
          <cell r="J1004" t="str">
            <v>CTC</v>
          </cell>
          <cell r="K1004" t="str">
            <v>YES</v>
          </cell>
        </row>
        <row r="1005">
          <cell r="I1005" t="str">
            <v>V10974</v>
          </cell>
          <cell r="J1005" t="str">
            <v>CTC</v>
          </cell>
          <cell r="K1005" t="str">
            <v>YES</v>
          </cell>
        </row>
        <row r="1006">
          <cell r="I1006" t="str">
            <v>V12433</v>
          </cell>
          <cell r="J1006" t="str">
            <v>CTC</v>
          </cell>
          <cell r="K1006" t="str">
            <v>YES</v>
          </cell>
        </row>
        <row r="1007">
          <cell r="I1007" t="str">
            <v>V12779</v>
          </cell>
          <cell r="J1007" t="str">
            <v>CTC</v>
          </cell>
          <cell r="K1007" t="str">
            <v>YES</v>
          </cell>
        </row>
        <row r="1008">
          <cell r="I1008" t="str">
            <v>V13071</v>
          </cell>
          <cell r="J1008" t="str">
            <v>CTC</v>
          </cell>
          <cell r="K1008" t="str">
            <v>YES</v>
          </cell>
        </row>
        <row r="1009">
          <cell r="I1009" t="str">
            <v>V13080</v>
          </cell>
          <cell r="J1009" t="str">
            <v>CTC</v>
          </cell>
          <cell r="K1009" t="str">
            <v>YES</v>
          </cell>
        </row>
        <row r="1010">
          <cell r="I1010" t="str">
            <v>V13082</v>
          </cell>
          <cell r="J1010" t="str">
            <v>CTC</v>
          </cell>
          <cell r="K1010" t="str">
            <v>YES</v>
          </cell>
        </row>
        <row r="1011">
          <cell r="I1011" t="str">
            <v>V13084</v>
          </cell>
          <cell r="J1011" t="str">
            <v>CTC</v>
          </cell>
          <cell r="K1011" t="str">
            <v>YES</v>
          </cell>
        </row>
        <row r="1012">
          <cell r="I1012" t="str">
            <v>V13089</v>
          </cell>
          <cell r="J1012" t="str">
            <v>CTC</v>
          </cell>
          <cell r="K1012" t="str">
            <v>YES</v>
          </cell>
        </row>
        <row r="1013">
          <cell r="I1013" t="str">
            <v>V13094</v>
          </cell>
          <cell r="J1013" t="str">
            <v>CTC</v>
          </cell>
          <cell r="K1013" t="str">
            <v>YES</v>
          </cell>
        </row>
        <row r="1014">
          <cell r="I1014" t="str">
            <v>V13769</v>
          </cell>
          <cell r="J1014" t="str">
            <v>CTC</v>
          </cell>
          <cell r="K1014" t="str">
            <v>YES</v>
          </cell>
        </row>
        <row r="1015">
          <cell r="I1015" t="str">
            <v>V16625</v>
          </cell>
          <cell r="J1015" t="str">
            <v>CTC</v>
          </cell>
          <cell r="K1015" t="str">
            <v>YES</v>
          </cell>
        </row>
        <row r="1016">
          <cell r="I1016" t="str">
            <v>V25383</v>
          </cell>
          <cell r="J1016" t="str">
            <v>CTC</v>
          </cell>
          <cell r="K1016" t="str">
            <v>YES</v>
          </cell>
        </row>
        <row r="1017">
          <cell r="I1017" t="str">
            <v>V18544</v>
          </cell>
          <cell r="J1017" t="str">
            <v>CTC</v>
          </cell>
          <cell r="K1017" t="str">
            <v>YES</v>
          </cell>
        </row>
        <row r="1018">
          <cell r="I1018" t="str">
            <v>V47817</v>
          </cell>
          <cell r="J1018" t="str">
            <v>CTC</v>
          </cell>
          <cell r="K1018" t="str">
            <v>YES</v>
          </cell>
        </row>
        <row r="1019">
          <cell r="I1019" t="str">
            <v>V39866</v>
          </cell>
          <cell r="J1019" t="str">
            <v>CTC</v>
          </cell>
          <cell r="K1019" t="str">
            <v>YES</v>
          </cell>
        </row>
        <row r="1020">
          <cell r="I1020" t="str">
            <v>V44522</v>
          </cell>
          <cell r="J1020" t="str">
            <v>CTC</v>
          </cell>
          <cell r="K1020" t="str">
            <v>YES</v>
          </cell>
        </row>
        <row r="1021">
          <cell r="I1021" t="str">
            <v>V26775</v>
          </cell>
          <cell r="J1021" t="str">
            <v>CTC</v>
          </cell>
          <cell r="K1021" t="str">
            <v>YES</v>
          </cell>
        </row>
        <row r="1022">
          <cell r="I1022" t="str">
            <v>V04112</v>
          </cell>
          <cell r="J1022" t="str">
            <v>CTC</v>
          </cell>
          <cell r="K1022" t="str">
            <v>YES</v>
          </cell>
        </row>
        <row r="1023">
          <cell r="I1023" t="str">
            <v>V21316</v>
          </cell>
          <cell r="J1023" t="str">
            <v>CTC</v>
          </cell>
          <cell r="K1023" t="str">
            <v>YES</v>
          </cell>
        </row>
        <row r="1024">
          <cell r="I1024" t="str">
            <v>V01701</v>
          </cell>
          <cell r="J1024" t="str">
            <v>CTC</v>
          </cell>
          <cell r="K1024" t="str">
            <v>YES</v>
          </cell>
        </row>
        <row r="1025">
          <cell r="I1025" t="str">
            <v>V21387</v>
          </cell>
          <cell r="J1025" t="str">
            <v>CTC</v>
          </cell>
          <cell r="K1025" t="str">
            <v>YES</v>
          </cell>
        </row>
        <row r="1026">
          <cell r="I1026" t="str">
            <v>V44672</v>
          </cell>
          <cell r="J1026" t="str">
            <v>CTC</v>
          </cell>
          <cell r="K1026" t="str">
            <v>YES</v>
          </cell>
        </row>
        <row r="1027">
          <cell r="I1027" t="str">
            <v>V04994</v>
          </cell>
          <cell r="J1027" t="str">
            <v>CTC</v>
          </cell>
          <cell r="K1027" t="str">
            <v>YES</v>
          </cell>
        </row>
        <row r="1028">
          <cell r="I1028" t="str">
            <v>V22487</v>
          </cell>
          <cell r="J1028" t="str">
            <v>CTC</v>
          </cell>
          <cell r="K1028" t="str">
            <v>YES</v>
          </cell>
        </row>
        <row r="1029">
          <cell r="I1029" t="str">
            <v>V42808</v>
          </cell>
          <cell r="J1029" t="str">
            <v>CTC</v>
          </cell>
          <cell r="K1029" t="str">
            <v>YES</v>
          </cell>
        </row>
        <row r="1030">
          <cell r="I1030" t="str">
            <v>V21553</v>
          </cell>
          <cell r="J1030" t="str">
            <v>CTC</v>
          </cell>
          <cell r="K1030" t="str">
            <v>YES</v>
          </cell>
        </row>
        <row r="1031">
          <cell r="I1031" t="str">
            <v>V23939</v>
          </cell>
          <cell r="J1031" t="str">
            <v>CTC</v>
          </cell>
          <cell r="K1031" t="str">
            <v>YES</v>
          </cell>
        </row>
        <row r="1032">
          <cell r="I1032" t="str">
            <v>V11047</v>
          </cell>
          <cell r="J1032" t="str">
            <v>CTC</v>
          </cell>
          <cell r="K1032" t="str">
            <v>YES</v>
          </cell>
        </row>
        <row r="1033">
          <cell r="I1033" t="str">
            <v>V43844</v>
          </cell>
          <cell r="J1033" t="str">
            <v>CTC</v>
          </cell>
          <cell r="K1033" t="str">
            <v>YES</v>
          </cell>
        </row>
        <row r="1034">
          <cell r="I1034" t="str">
            <v>V44827</v>
          </cell>
          <cell r="J1034" t="str">
            <v>CTC</v>
          </cell>
          <cell r="K1034" t="str">
            <v>YES</v>
          </cell>
        </row>
        <row r="1035">
          <cell r="I1035" t="str">
            <v>V09967</v>
          </cell>
          <cell r="J1035" t="str">
            <v>CTC</v>
          </cell>
          <cell r="K1035" t="str">
            <v>YES</v>
          </cell>
        </row>
        <row r="1036">
          <cell r="I1036" t="str">
            <v>V04011</v>
          </cell>
          <cell r="J1036" t="str">
            <v>CTC</v>
          </cell>
          <cell r="K1036" t="str">
            <v>YES</v>
          </cell>
        </row>
        <row r="1037">
          <cell r="I1037" t="str">
            <v>V17206</v>
          </cell>
          <cell r="J1037" t="str">
            <v>CTC</v>
          </cell>
          <cell r="K1037" t="str">
            <v>YES</v>
          </cell>
        </row>
        <row r="1038">
          <cell r="I1038" t="str">
            <v>V18359</v>
          </cell>
          <cell r="J1038" t="str">
            <v>CTC</v>
          </cell>
          <cell r="K1038" t="str">
            <v>YES</v>
          </cell>
        </row>
        <row r="1039">
          <cell r="I1039" t="str">
            <v>V24093</v>
          </cell>
          <cell r="J1039" t="str">
            <v>CTC</v>
          </cell>
          <cell r="K1039" t="str">
            <v>YES</v>
          </cell>
        </row>
        <row r="1040">
          <cell r="I1040" t="str">
            <v>V22021</v>
          </cell>
          <cell r="J1040" t="str">
            <v>CTC</v>
          </cell>
          <cell r="K1040" t="str">
            <v>YES</v>
          </cell>
        </row>
        <row r="1041">
          <cell r="I1041" t="str">
            <v>V41418</v>
          </cell>
          <cell r="J1041" t="str">
            <v>CTC</v>
          </cell>
          <cell r="K1041" t="str">
            <v>YES</v>
          </cell>
        </row>
        <row r="1042">
          <cell r="I1042" t="str">
            <v>V20566</v>
          </cell>
          <cell r="J1042" t="str">
            <v>CTC</v>
          </cell>
          <cell r="K1042" t="str">
            <v>YES</v>
          </cell>
        </row>
        <row r="1043">
          <cell r="I1043" t="str">
            <v>V21081</v>
          </cell>
          <cell r="J1043" t="str">
            <v>CTC</v>
          </cell>
          <cell r="K1043" t="str">
            <v>YES</v>
          </cell>
        </row>
        <row r="1044">
          <cell r="I1044" t="str">
            <v>V21085</v>
          </cell>
          <cell r="J1044" t="str">
            <v>CTC</v>
          </cell>
          <cell r="K1044" t="str">
            <v>YES</v>
          </cell>
        </row>
        <row r="1045">
          <cell r="I1045" t="str">
            <v>V21086</v>
          </cell>
          <cell r="J1045" t="str">
            <v>CTC</v>
          </cell>
          <cell r="K1045" t="str">
            <v>YES</v>
          </cell>
        </row>
        <row r="1046">
          <cell r="I1046" t="str">
            <v>V21140</v>
          </cell>
          <cell r="J1046" t="str">
            <v>CTC</v>
          </cell>
          <cell r="K1046" t="str">
            <v>YES</v>
          </cell>
        </row>
        <row r="1047">
          <cell r="I1047" t="str">
            <v>V21141</v>
          </cell>
          <cell r="J1047" t="str">
            <v>CTC</v>
          </cell>
          <cell r="K1047" t="str">
            <v>YES</v>
          </cell>
        </row>
        <row r="1048">
          <cell r="I1048" t="str">
            <v>V21142</v>
          </cell>
          <cell r="J1048" t="str">
            <v>CTC</v>
          </cell>
          <cell r="K1048" t="str">
            <v>YES</v>
          </cell>
        </row>
        <row r="1049">
          <cell r="I1049" t="str">
            <v>V21144</v>
          </cell>
          <cell r="J1049" t="str">
            <v>CTC</v>
          </cell>
          <cell r="K1049" t="str">
            <v>YES</v>
          </cell>
        </row>
        <row r="1050">
          <cell r="I1050" t="str">
            <v>V21214</v>
          </cell>
          <cell r="J1050" t="str">
            <v>CTC</v>
          </cell>
          <cell r="K1050" t="str">
            <v>YES</v>
          </cell>
        </row>
        <row r="1051">
          <cell r="I1051" t="str">
            <v>V21215</v>
          </cell>
          <cell r="J1051" t="str">
            <v>CTC</v>
          </cell>
          <cell r="K1051" t="str">
            <v>YES</v>
          </cell>
        </row>
        <row r="1052">
          <cell r="I1052" t="str">
            <v>V21513</v>
          </cell>
          <cell r="J1052" t="str">
            <v>CTC</v>
          </cell>
          <cell r="K1052" t="str">
            <v>YES</v>
          </cell>
        </row>
        <row r="1053">
          <cell r="I1053" t="str">
            <v>V21600</v>
          </cell>
          <cell r="J1053" t="str">
            <v>CTC</v>
          </cell>
          <cell r="K1053" t="str">
            <v>YES</v>
          </cell>
        </row>
        <row r="1054">
          <cell r="I1054" t="str">
            <v>V21660</v>
          </cell>
          <cell r="J1054" t="str">
            <v>CTC</v>
          </cell>
          <cell r="K1054" t="str">
            <v>YES</v>
          </cell>
        </row>
        <row r="1055">
          <cell r="I1055" t="str">
            <v>V21797</v>
          </cell>
          <cell r="J1055" t="str">
            <v>CTC</v>
          </cell>
          <cell r="K1055" t="str">
            <v>YES</v>
          </cell>
        </row>
        <row r="1056">
          <cell r="I1056" t="str">
            <v>V21991</v>
          </cell>
          <cell r="J1056" t="str">
            <v>CTC</v>
          </cell>
          <cell r="K1056" t="str">
            <v>YES</v>
          </cell>
        </row>
        <row r="1057">
          <cell r="I1057" t="str">
            <v>V21994</v>
          </cell>
          <cell r="J1057" t="str">
            <v>CTC</v>
          </cell>
          <cell r="K1057" t="str">
            <v>YES</v>
          </cell>
        </row>
        <row r="1058">
          <cell r="I1058" t="str">
            <v>V21999</v>
          </cell>
          <cell r="J1058" t="str">
            <v>CTC</v>
          </cell>
          <cell r="K1058" t="str">
            <v>YES</v>
          </cell>
        </row>
        <row r="1059">
          <cell r="I1059" t="str">
            <v>V22032</v>
          </cell>
          <cell r="J1059" t="str">
            <v>CTC</v>
          </cell>
          <cell r="K1059" t="str">
            <v>YES</v>
          </cell>
        </row>
        <row r="1060">
          <cell r="I1060" t="str">
            <v>V22214</v>
          </cell>
          <cell r="J1060" t="str">
            <v>CTC</v>
          </cell>
          <cell r="K1060" t="str">
            <v>YES</v>
          </cell>
        </row>
        <row r="1061">
          <cell r="I1061" t="str">
            <v>V22569</v>
          </cell>
          <cell r="J1061" t="str">
            <v>CTC</v>
          </cell>
          <cell r="K1061" t="str">
            <v>YES</v>
          </cell>
        </row>
        <row r="1062">
          <cell r="I1062" t="str">
            <v>V22570</v>
          </cell>
          <cell r="J1062" t="str">
            <v>CTC</v>
          </cell>
          <cell r="K1062" t="str">
            <v>YES</v>
          </cell>
        </row>
        <row r="1063">
          <cell r="I1063" t="str">
            <v>V16564</v>
          </cell>
          <cell r="J1063" t="str">
            <v>CTC</v>
          </cell>
          <cell r="K1063" t="str">
            <v>YES</v>
          </cell>
        </row>
        <row r="1064">
          <cell r="I1064" t="str">
            <v>V27259</v>
          </cell>
          <cell r="J1064" t="str">
            <v>CTC</v>
          </cell>
          <cell r="K1064" t="str">
            <v>YES</v>
          </cell>
        </row>
        <row r="1065">
          <cell r="I1065" t="str">
            <v>V12846</v>
          </cell>
          <cell r="J1065" t="str">
            <v>CTC</v>
          </cell>
          <cell r="K1065" t="str">
            <v>YES</v>
          </cell>
        </row>
        <row r="1066">
          <cell r="I1066" t="str">
            <v>V13903</v>
          </cell>
          <cell r="J1066" t="str">
            <v>CTC</v>
          </cell>
          <cell r="K1066" t="str">
            <v>YES</v>
          </cell>
        </row>
        <row r="1067">
          <cell r="I1067" t="str">
            <v>V21145</v>
          </cell>
          <cell r="J1067" t="str">
            <v>CTC</v>
          </cell>
          <cell r="K1067" t="str">
            <v>YES</v>
          </cell>
        </row>
        <row r="1068">
          <cell r="I1068" t="str">
            <v>V17225</v>
          </cell>
          <cell r="J1068" t="str">
            <v>CTC</v>
          </cell>
          <cell r="K1068" t="str">
            <v>YES</v>
          </cell>
        </row>
        <row r="1069">
          <cell r="I1069" t="str">
            <v>V41809</v>
          </cell>
          <cell r="J1069" t="str">
            <v>CTC</v>
          </cell>
          <cell r="K1069" t="str">
            <v>YES</v>
          </cell>
        </row>
        <row r="1070">
          <cell r="I1070" t="str">
            <v>V27628</v>
          </cell>
          <cell r="J1070" t="str">
            <v>CTC</v>
          </cell>
          <cell r="K1070" t="str">
            <v>YES</v>
          </cell>
        </row>
        <row r="1071">
          <cell r="I1071" t="str">
            <v>V43725</v>
          </cell>
          <cell r="J1071" t="str">
            <v>CTC</v>
          </cell>
          <cell r="K1071" t="str">
            <v>YES</v>
          </cell>
        </row>
        <row r="1072">
          <cell r="I1072" t="str">
            <v>V39784</v>
          </cell>
          <cell r="J1072" t="str">
            <v>CTC</v>
          </cell>
          <cell r="K1072" t="str">
            <v>YES</v>
          </cell>
        </row>
        <row r="1073">
          <cell r="I1073" t="str">
            <v>V44335</v>
          </cell>
          <cell r="J1073" t="str">
            <v>CTC</v>
          </cell>
          <cell r="K1073" t="str">
            <v>YES</v>
          </cell>
        </row>
        <row r="1074">
          <cell r="I1074" t="str">
            <v>V35453</v>
          </cell>
          <cell r="J1074" t="str">
            <v>CTC</v>
          </cell>
          <cell r="K1074" t="str">
            <v>YES</v>
          </cell>
        </row>
        <row r="1075">
          <cell r="I1075" t="str">
            <v>V45727</v>
          </cell>
          <cell r="J1075" t="str">
            <v>CTC</v>
          </cell>
          <cell r="K1075" t="str">
            <v>YES</v>
          </cell>
        </row>
        <row r="1076">
          <cell r="I1076" t="str">
            <v>V21210</v>
          </cell>
          <cell r="J1076" t="str">
            <v>CTC</v>
          </cell>
          <cell r="K1076" t="str">
            <v>YES</v>
          </cell>
        </row>
        <row r="1077">
          <cell r="I1077" t="str">
            <v>V04763</v>
          </cell>
          <cell r="J1077" t="str">
            <v>CTC</v>
          </cell>
          <cell r="K1077" t="str">
            <v>YES</v>
          </cell>
        </row>
        <row r="1078">
          <cell r="I1078" t="str">
            <v>V46202</v>
          </cell>
          <cell r="J1078" t="str">
            <v>CTC</v>
          </cell>
          <cell r="K1078" t="str">
            <v>YES</v>
          </cell>
        </row>
        <row r="1079">
          <cell r="I1079" t="str">
            <v>V23706</v>
          </cell>
          <cell r="J1079" t="str">
            <v>CTC</v>
          </cell>
          <cell r="K1079" t="str">
            <v>YES</v>
          </cell>
        </row>
        <row r="1080">
          <cell r="I1080" t="str">
            <v>V12333</v>
          </cell>
          <cell r="J1080" t="str">
            <v>CTC</v>
          </cell>
          <cell r="K1080" t="str">
            <v>YES</v>
          </cell>
        </row>
        <row r="1081">
          <cell r="I1081" t="str">
            <v>V22307</v>
          </cell>
          <cell r="J1081" t="str">
            <v>CTC</v>
          </cell>
          <cell r="K1081" t="str">
            <v>YES</v>
          </cell>
        </row>
        <row r="1082">
          <cell r="I1082" t="str">
            <v>V29373</v>
          </cell>
          <cell r="J1082" t="str">
            <v>CTC</v>
          </cell>
          <cell r="K1082" t="str">
            <v>YES</v>
          </cell>
        </row>
        <row r="1083">
          <cell r="I1083" t="str">
            <v>V29769</v>
          </cell>
          <cell r="J1083" t="str">
            <v>CTC</v>
          </cell>
          <cell r="K1083" t="str">
            <v>YES</v>
          </cell>
        </row>
        <row r="1084">
          <cell r="I1084" t="str">
            <v>V29875</v>
          </cell>
          <cell r="J1084" t="str">
            <v>CTC</v>
          </cell>
          <cell r="K1084" t="str">
            <v>YES</v>
          </cell>
        </row>
        <row r="1085">
          <cell r="I1085" t="str">
            <v>V45814</v>
          </cell>
          <cell r="J1085" t="str">
            <v>CTC</v>
          </cell>
          <cell r="K1085" t="str">
            <v>YES</v>
          </cell>
        </row>
        <row r="1086">
          <cell r="I1086" t="str">
            <v>V29155</v>
          </cell>
          <cell r="J1086" t="str">
            <v>CTC</v>
          </cell>
          <cell r="K1086" t="str">
            <v>YES</v>
          </cell>
        </row>
        <row r="1087">
          <cell r="I1087" t="str">
            <v>V18987</v>
          </cell>
          <cell r="J1087" t="str">
            <v>CTC</v>
          </cell>
          <cell r="K1087" t="str">
            <v>YES</v>
          </cell>
        </row>
        <row r="1088">
          <cell r="I1088" t="str">
            <v>V29771</v>
          </cell>
          <cell r="J1088" t="str">
            <v>CTC</v>
          </cell>
          <cell r="K1088" t="str">
            <v>YES</v>
          </cell>
        </row>
        <row r="1089">
          <cell r="I1089" t="str">
            <v>V34361</v>
          </cell>
          <cell r="J1089" t="str">
            <v>CTC</v>
          </cell>
          <cell r="K1089" t="str">
            <v>YES</v>
          </cell>
        </row>
        <row r="1090">
          <cell r="I1090" t="str">
            <v>V20791</v>
          </cell>
          <cell r="J1090" t="str">
            <v>CTC</v>
          </cell>
          <cell r="K1090" t="str">
            <v>YES</v>
          </cell>
        </row>
        <row r="1091">
          <cell r="I1091" t="str">
            <v>V08787</v>
          </cell>
          <cell r="J1091" t="str">
            <v>CTC</v>
          </cell>
          <cell r="K1091" t="str">
            <v>YES</v>
          </cell>
        </row>
        <row r="1092">
          <cell r="I1092" t="str">
            <v>V25809</v>
          </cell>
          <cell r="J1092" t="str">
            <v>CTC</v>
          </cell>
          <cell r="K1092" t="str">
            <v>YES</v>
          </cell>
        </row>
        <row r="1093">
          <cell r="I1093" t="str">
            <v>V26671</v>
          </cell>
          <cell r="J1093" t="str">
            <v>CTC</v>
          </cell>
          <cell r="K1093" t="str">
            <v>YES</v>
          </cell>
        </row>
        <row r="1094">
          <cell r="I1094" t="str">
            <v>V33258</v>
          </cell>
          <cell r="J1094" t="str">
            <v>CTC</v>
          </cell>
          <cell r="K1094" t="str">
            <v>YES</v>
          </cell>
        </row>
        <row r="1095">
          <cell r="I1095" t="str">
            <v>V37126</v>
          </cell>
          <cell r="J1095" t="str">
            <v>CTC</v>
          </cell>
          <cell r="K1095" t="str">
            <v>YES</v>
          </cell>
        </row>
        <row r="1096">
          <cell r="I1096" t="str">
            <v>V26443</v>
          </cell>
          <cell r="J1096" t="str">
            <v>CTC</v>
          </cell>
          <cell r="K1096" t="str">
            <v>YES</v>
          </cell>
        </row>
        <row r="1097">
          <cell r="I1097" t="str">
            <v>V33043</v>
          </cell>
          <cell r="J1097" t="str">
            <v>CTC</v>
          </cell>
          <cell r="K1097" t="str">
            <v>YES</v>
          </cell>
        </row>
        <row r="1098">
          <cell r="I1098" t="str">
            <v>V07368</v>
          </cell>
          <cell r="J1098" t="str">
            <v>CTC</v>
          </cell>
          <cell r="K1098" t="str">
            <v>YES</v>
          </cell>
        </row>
        <row r="1099">
          <cell r="I1099" t="str">
            <v>V21659</v>
          </cell>
          <cell r="J1099" t="str">
            <v>CTC</v>
          </cell>
          <cell r="K1099" t="str">
            <v>YES</v>
          </cell>
        </row>
        <row r="1100">
          <cell r="I1100" t="str">
            <v>V16419</v>
          </cell>
          <cell r="J1100" t="str">
            <v>CTC</v>
          </cell>
          <cell r="K1100" t="str">
            <v>YES</v>
          </cell>
        </row>
        <row r="1101">
          <cell r="I1101" t="str">
            <v>V14191</v>
          </cell>
          <cell r="J1101" t="str">
            <v>CTC</v>
          </cell>
          <cell r="K1101" t="str">
            <v>YES</v>
          </cell>
        </row>
        <row r="1102">
          <cell r="I1102" t="str">
            <v>V47828</v>
          </cell>
          <cell r="J1102" t="str">
            <v>CTC</v>
          </cell>
          <cell r="K1102" t="str">
            <v>YES</v>
          </cell>
        </row>
        <row r="1103">
          <cell r="I1103" t="str">
            <v>V40715</v>
          </cell>
          <cell r="J1103" t="str">
            <v>CTC</v>
          </cell>
          <cell r="K1103" t="str">
            <v>YES</v>
          </cell>
        </row>
        <row r="1104">
          <cell r="I1104" t="str">
            <v>V45465</v>
          </cell>
          <cell r="J1104" t="str">
            <v>CTC</v>
          </cell>
          <cell r="K1104" t="str">
            <v>YES</v>
          </cell>
        </row>
        <row r="1105">
          <cell r="I1105" t="str">
            <v>V21239</v>
          </cell>
          <cell r="J1105" t="str">
            <v>CTC</v>
          </cell>
          <cell r="K1105" t="str">
            <v>YES</v>
          </cell>
        </row>
        <row r="1106">
          <cell r="I1106" t="str">
            <v>V47822</v>
          </cell>
          <cell r="J1106" t="str">
            <v>CTC</v>
          </cell>
          <cell r="K1106" t="str">
            <v>YES</v>
          </cell>
        </row>
        <row r="1107">
          <cell r="I1107" t="str">
            <v>V22287</v>
          </cell>
          <cell r="J1107" t="str">
            <v>CTC</v>
          </cell>
          <cell r="K1107" t="str">
            <v>YES</v>
          </cell>
        </row>
        <row r="1108">
          <cell r="I1108" t="str">
            <v>V14107</v>
          </cell>
          <cell r="J1108" t="str">
            <v>CTC</v>
          </cell>
          <cell r="K1108" t="str">
            <v>YES</v>
          </cell>
        </row>
        <row r="1109">
          <cell r="I1109" t="str">
            <v>V26540</v>
          </cell>
          <cell r="J1109" t="str">
            <v>CTC</v>
          </cell>
          <cell r="K1109" t="str">
            <v>YES</v>
          </cell>
        </row>
        <row r="1110">
          <cell r="I1110" t="str">
            <v>V45608</v>
          </cell>
          <cell r="J1110" t="str">
            <v>CTC</v>
          </cell>
          <cell r="K1110" t="str">
            <v>YES</v>
          </cell>
        </row>
        <row r="1111">
          <cell r="I1111" t="str">
            <v>V39011</v>
          </cell>
          <cell r="J1111" t="str">
            <v>CTC</v>
          </cell>
          <cell r="K1111" t="str">
            <v>YES</v>
          </cell>
        </row>
        <row r="1112">
          <cell r="I1112" t="str">
            <v>V46125</v>
          </cell>
          <cell r="J1112" t="str">
            <v>CTC</v>
          </cell>
          <cell r="K1112" t="str">
            <v>YES</v>
          </cell>
        </row>
        <row r="1113">
          <cell r="I1113" t="str">
            <v>V23713</v>
          </cell>
          <cell r="J1113" t="str">
            <v>CTC</v>
          </cell>
          <cell r="K1113" t="str">
            <v>YES</v>
          </cell>
        </row>
        <row r="1114">
          <cell r="I1114" t="str">
            <v>V20441</v>
          </cell>
          <cell r="J1114" t="str">
            <v>CTC</v>
          </cell>
          <cell r="K1114" t="str">
            <v>YES</v>
          </cell>
        </row>
        <row r="1115">
          <cell r="I1115" t="str">
            <v>V35874</v>
          </cell>
          <cell r="J1115" t="str">
            <v>CTC</v>
          </cell>
          <cell r="K1115" t="str">
            <v>YES</v>
          </cell>
        </row>
        <row r="1116">
          <cell r="I1116" t="str">
            <v>V18891</v>
          </cell>
          <cell r="J1116" t="str">
            <v>CTC</v>
          </cell>
          <cell r="K1116" t="str">
            <v>YES</v>
          </cell>
        </row>
        <row r="1117">
          <cell r="I1117" t="str">
            <v>V19168</v>
          </cell>
          <cell r="J1117" t="str">
            <v>CTC</v>
          </cell>
          <cell r="K1117" t="str">
            <v>YES</v>
          </cell>
        </row>
        <row r="1118">
          <cell r="I1118" t="str">
            <v>V03204</v>
          </cell>
          <cell r="J1118" t="str">
            <v>CTC</v>
          </cell>
          <cell r="K1118" t="str">
            <v>YES</v>
          </cell>
        </row>
        <row r="1119">
          <cell r="I1119" t="str">
            <v>V09399</v>
          </cell>
          <cell r="J1119" t="str">
            <v>CTC</v>
          </cell>
          <cell r="K1119" t="str">
            <v>YES</v>
          </cell>
        </row>
        <row r="1120">
          <cell r="I1120" t="str">
            <v>V19992</v>
          </cell>
          <cell r="J1120" t="str">
            <v>CTC</v>
          </cell>
          <cell r="K1120" t="str">
            <v>YES</v>
          </cell>
        </row>
        <row r="1121">
          <cell r="I1121" t="str">
            <v>V39179</v>
          </cell>
          <cell r="J1121" t="str">
            <v>CTC</v>
          </cell>
          <cell r="K1121" t="str">
            <v>YES</v>
          </cell>
        </row>
        <row r="1122">
          <cell r="I1122" t="str">
            <v>V18350</v>
          </cell>
          <cell r="J1122" t="str">
            <v>CTC</v>
          </cell>
          <cell r="K1122" t="str">
            <v>YES</v>
          </cell>
        </row>
        <row r="1123">
          <cell r="I1123" t="str">
            <v>V47547</v>
          </cell>
          <cell r="J1123" t="str">
            <v>CTC</v>
          </cell>
          <cell r="K1123" t="str">
            <v>YES</v>
          </cell>
        </row>
        <row r="1124">
          <cell r="I1124" t="str">
            <v>V02891</v>
          </cell>
          <cell r="J1124" t="str">
            <v>CTC</v>
          </cell>
          <cell r="K1124" t="str">
            <v>YES</v>
          </cell>
        </row>
        <row r="1125">
          <cell r="I1125" t="str">
            <v>V14420</v>
          </cell>
          <cell r="J1125" t="str">
            <v>CTC</v>
          </cell>
          <cell r="K1125" t="str">
            <v>YES</v>
          </cell>
        </row>
        <row r="1126">
          <cell r="I1126" t="str">
            <v>V45313</v>
          </cell>
          <cell r="J1126" t="str">
            <v>CTC</v>
          </cell>
          <cell r="K1126" t="str">
            <v>YES</v>
          </cell>
        </row>
        <row r="1127">
          <cell r="I1127" t="str">
            <v>V20824</v>
          </cell>
          <cell r="J1127" t="str">
            <v>CTC</v>
          </cell>
          <cell r="K1127" t="str">
            <v>YES</v>
          </cell>
        </row>
        <row r="1128">
          <cell r="I1128" t="str">
            <v>V00741</v>
          </cell>
          <cell r="J1128" t="str">
            <v>CTC</v>
          </cell>
          <cell r="K1128" t="str">
            <v>YES</v>
          </cell>
        </row>
        <row r="1129">
          <cell r="I1129" t="str">
            <v>V25121</v>
          </cell>
          <cell r="J1129" t="str">
            <v>CTC</v>
          </cell>
          <cell r="K1129" t="str">
            <v>YES</v>
          </cell>
        </row>
        <row r="1130">
          <cell r="I1130" t="str">
            <v>V21614</v>
          </cell>
          <cell r="J1130" t="str">
            <v>CTC</v>
          </cell>
          <cell r="K1130" t="str">
            <v>YES</v>
          </cell>
        </row>
        <row r="1131">
          <cell r="I1131" t="str">
            <v>V16251</v>
          </cell>
          <cell r="J1131" t="str">
            <v>CTC</v>
          </cell>
          <cell r="K1131" t="str">
            <v>YES</v>
          </cell>
        </row>
        <row r="1132">
          <cell r="I1132" t="str">
            <v>V28966</v>
          </cell>
          <cell r="J1132" t="str">
            <v>CTC</v>
          </cell>
          <cell r="K1132" t="str">
            <v>YES</v>
          </cell>
        </row>
        <row r="1133">
          <cell r="I1133" t="str">
            <v>V07578</v>
          </cell>
          <cell r="J1133" t="str">
            <v>CTC</v>
          </cell>
          <cell r="K1133" t="str">
            <v>YES</v>
          </cell>
        </row>
        <row r="1134">
          <cell r="I1134" t="str">
            <v>V29699</v>
          </cell>
          <cell r="J1134" t="str">
            <v>CTC</v>
          </cell>
          <cell r="K1134" t="str">
            <v>YES</v>
          </cell>
        </row>
        <row r="1135">
          <cell r="I1135" t="str">
            <v>V27074</v>
          </cell>
          <cell r="J1135" t="str">
            <v>CTC</v>
          </cell>
          <cell r="K1135" t="str">
            <v>YES</v>
          </cell>
        </row>
        <row r="1136">
          <cell r="I1136" t="str">
            <v>V24279</v>
          </cell>
          <cell r="J1136" t="str">
            <v>CTC</v>
          </cell>
          <cell r="K1136" t="str">
            <v>YES</v>
          </cell>
        </row>
        <row r="1137">
          <cell r="I1137" t="str">
            <v>V36048</v>
          </cell>
          <cell r="J1137" t="str">
            <v>CTC</v>
          </cell>
          <cell r="K1137" t="str">
            <v>YES</v>
          </cell>
        </row>
        <row r="1138">
          <cell r="I1138" t="str">
            <v>V36154</v>
          </cell>
          <cell r="J1138" t="str">
            <v>CTC</v>
          </cell>
          <cell r="K1138" t="str">
            <v>YES</v>
          </cell>
        </row>
        <row r="1139">
          <cell r="I1139" t="str">
            <v>V37112</v>
          </cell>
          <cell r="J1139" t="str">
            <v>CTC</v>
          </cell>
          <cell r="K1139" t="str">
            <v>YES</v>
          </cell>
        </row>
        <row r="1140">
          <cell r="I1140" t="str">
            <v>V29533</v>
          </cell>
          <cell r="J1140" t="str">
            <v>CTC</v>
          </cell>
          <cell r="K1140" t="str">
            <v>YES</v>
          </cell>
        </row>
        <row r="1141">
          <cell r="I1141" t="str">
            <v>V29376</v>
          </cell>
          <cell r="J1141" t="str">
            <v>CTC</v>
          </cell>
          <cell r="K1141" t="str">
            <v>YES</v>
          </cell>
        </row>
        <row r="1142">
          <cell r="I1142" t="str">
            <v>V12731</v>
          </cell>
          <cell r="J1142" t="str">
            <v>CTC</v>
          </cell>
          <cell r="K1142" t="str">
            <v>YES</v>
          </cell>
        </row>
        <row r="1143">
          <cell r="I1143" t="str">
            <v>V12732</v>
          </cell>
          <cell r="J1143" t="str">
            <v>CTC</v>
          </cell>
          <cell r="K1143" t="str">
            <v>YES</v>
          </cell>
        </row>
        <row r="1144">
          <cell r="I1144" t="str">
            <v>V21308</v>
          </cell>
          <cell r="J1144" t="str">
            <v>CTC</v>
          </cell>
          <cell r="K1144" t="str">
            <v>YES</v>
          </cell>
        </row>
        <row r="1145">
          <cell r="I1145" t="str">
            <v>V01286</v>
          </cell>
          <cell r="J1145" t="str">
            <v>CTC</v>
          </cell>
          <cell r="K1145" t="str">
            <v>YES</v>
          </cell>
        </row>
        <row r="1146">
          <cell r="I1146" t="str">
            <v>V22069</v>
          </cell>
          <cell r="J1146" t="str">
            <v>CTC</v>
          </cell>
          <cell r="K1146" t="str">
            <v>YES</v>
          </cell>
        </row>
        <row r="1147">
          <cell r="I1147" t="str">
            <v>V25384</v>
          </cell>
          <cell r="J1147" t="str">
            <v>CTC</v>
          </cell>
          <cell r="K1147" t="str">
            <v>YES</v>
          </cell>
        </row>
        <row r="1148">
          <cell r="I1148" t="str">
            <v>V25909</v>
          </cell>
          <cell r="J1148" t="str">
            <v>CTC</v>
          </cell>
          <cell r="K1148" t="str">
            <v>YES</v>
          </cell>
        </row>
        <row r="1149">
          <cell r="I1149" t="str">
            <v>V20298</v>
          </cell>
          <cell r="J1149" t="str">
            <v>CTC</v>
          </cell>
          <cell r="K1149" t="str">
            <v>YES</v>
          </cell>
        </row>
        <row r="1150">
          <cell r="I1150" t="str">
            <v>V44358</v>
          </cell>
          <cell r="J1150" t="str">
            <v>CTC</v>
          </cell>
          <cell r="K1150" t="str">
            <v>YES</v>
          </cell>
        </row>
        <row r="1151">
          <cell r="I1151" t="str">
            <v>V29043</v>
          </cell>
          <cell r="J1151" t="str">
            <v>CTC</v>
          </cell>
          <cell r="K1151" t="str">
            <v>YES</v>
          </cell>
        </row>
        <row r="1152">
          <cell r="I1152" t="str">
            <v>V34580</v>
          </cell>
          <cell r="J1152" t="str">
            <v>CTC</v>
          </cell>
          <cell r="K1152" t="str">
            <v>YES</v>
          </cell>
        </row>
        <row r="1153">
          <cell r="I1153" t="str">
            <v>V36450</v>
          </cell>
          <cell r="J1153" t="str">
            <v>CTC</v>
          </cell>
          <cell r="K1153" t="str">
            <v>YES</v>
          </cell>
        </row>
        <row r="1154">
          <cell r="I1154" t="str">
            <v>V41781</v>
          </cell>
          <cell r="J1154" t="str">
            <v>CTC</v>
          </cell>
          <cell r="K1154" t="str">
            <v>YES</v>
          </cell>
        </row>
        <row r="1155">
          <cell r="I1155" t="str">
            <v>V19136</v>
          </cell>
          <cell r="J1155" t="str">
            <v>CTC</v>
          </cell>
          <cell r="K1155" t="str">
            <v>YES</v>
          </cell>
        </row>
        <row r="1156">
          <cell r="I1156" t="str">
            <v>V19337</v>
          </cell>
          <cell r="J1156" t="str">
            <v>CTC</v>
          </cell>
          <cell r="K1156" t="str">
            <v>YES</v>
          </cell>
        </row>
        <row r="1157">
          <cell r="I1157" t="str">
            <v>V35857</v>
          </cell>
          <cell r="J1157" t="str">
            <v>CTC</v>
          </cell>
          <cell r="K1157" t="str">
            <v>YES</v>
          </cell>
        </row>
        <row r="1158">
          <cell r="I1158" t="str">
            <v>V35010</v>
          </cell>
          <cell r="J1158" t="str">
            <v>CTC</v>
          </cell>
          <cell r="K1158" t="str">
            <v>YES</v>
          </cell>
        </row>
        <row r="1159">
          <cell r="I1159" t="str">
            <v>V31121</v>
          </cell>
          <cell r="J1159" t="str">
            <v>CTC</v>
          </cell>
          <cell r="K1159" t="str">
            <v>YES</v>
          </cell>
        </row>
        <row r="1160">
          <cell r="I1160" t="str">
            <v>V35870</v>
          </cell>
          <cell r="J1160" t="str">
            <v>CTC</v>
          </cell>
          <cell r="K1160" t="str">
            <v>YES</v>
          </cell>
        </row>
        <row r="1161">
          <cell r="I1161" t="str">
            <v>V35920</v>
          </cell>
          <cell r="J1161" t="str">
            <v>CTC</v>
          </cell>
          <cell r="K1161" t="str">
            <v>YES</v>
          </cell>
        </row>
        <row r="1162">
          <cell r="I1162" t="str">
            <v>V36039</v>
          </cell>
          <cell r="J1162" t="str">
            <v>CTC</v>
          </cell>
          <cell r="K1162" t="str">
            <v>YES</v>
          </cell>
        </row>
        <row r="1163">
          <cell r="I1163" t="str">
            <v>V36043</v>
          </cell>
          <cell r="J1163" t="str">
            <v>CTC</v>
          </cell>
          <cell r="K1163" t="str">
            <v>YES</v>
          </cell>
        </row>
        <row r="1164">
          <cell r="I1164" t="str">
            <v>V36047</v>
          </cell>
          <cell r="J1164" t="str">
            <v>CTC</v>
          </cell>
          <cell r="K1164" t="str">
            <v>YES</v>
          </cell>
        </row>
        <row r="1165">
          <cell r="I1165" t="str">
            <v>V16320</v>
          </cell>
          <cell r="J1165" t="str">
            <v>CTC</v>
          </cell>
          <cell r="K1165" t="str">
            <v>YES</v>
          </cell>
        </row>
        <row r="1166">
          <cell r="I1166" t="str">
            <v>V2S363</v>
          </cell>
          <cell r="J1166" t="str">
            <v>CTC</v>
          </cell>
          <cell r="K1166" t="str">
            <v>YES</v>
          </cell>
        </row>
        <row r="1167">
          <cell r="I1167" t="str">
            <v>V18646</v>
          </cell>
          <cell r="J1167" t="str">
            <v>CTC</v>
          </cell>
          <cell r="K1167" t="str">
            <v>YES</v>
          </cell>
        </row>
        <row r="1168">
          <cell r="I1168" t="str">
            <v>V47573</v>
          </cell>
          <cell r="J1168" t="str">
            <v>CTC</v>
          </cell>
          <cell r="K1168" t="str">
            <v>YES</v>
          </cell>
        </row>
        <row r="1169">
          <cell r="I1169" t="str">
            <v>V02111</v>
          </cell>
          <cell r="J1169" t="str">
            <v>CTC</v>
          </cell>
          <cell r="K1169" t="str">
            <v>YES</v>
          </cell>
        </row>
        <row r="1170">
          <cell r="I1170" t="str">
            <v>V22326</v>
          </cell>
          <cell r="J1170" t="str">
            <v>CTC</v>
          </cell>
          <cell r="K1170" t="str">
            <v>YES</v>
          </cell>
        </row>
        <row r="1171">
          <cell r="I1171" t="str">
            <v>V28331</v>
          </cell>
          <cell r="J1171" t="str">
            <v>CTC</v>
          </cell>
          <cell r="K1171" t="str">
            <v>YES</v>
          </cell>
        </row>
        <row r="1172">
          <cell r="I1172" t="str">
            <v>V14670</v>
          </cell>
          <cell r="J1172" t="str">
            <v>CTC</v>
          </cell>
          <cell r="K1172" t="str">
            <v>YES</v>
          </cell>
        </row>
        <row r="1173">
          <cell r="I1173" t="str">
            <v>V45594</v>
          </cell>
          <cell r="J1173" t="str">
            <v>CTC</v>
          </cell>
          <cell r="K1173" t="str">
            <v>YES</v>
          </cell>
        </row>
        <row r="1174">
          <cell r="I1174" t="str">
            <v>V16828</v>
          </cell>
          <cell r="J1174" t="str">
            <v>CTC</v>
          </cell>
          <cell r="K1174" t="str">
            <v>YES</v>
          </cell>
        </row>
        <row r="1175">
          <cell r="I1175" t="str">
            <v>V44426</v>
          </cell>
          <cell r="J1175" t="str">
            <v>CTC</v>
          </cell>
          <cell r="K1175" t="str">
            <v>YES</v>
          </cell>
        </row>
        <row r="1176">
          <cell r="I1176" t="str">
            <v>V41001</v>
          </cell>
          <cell r="J1176" t="str">
            <v>CTC</v>
          </cell>
          <cell r="K1176" t="str">
            <v>YES</v>
          </cell>
        </row>
        <row r="1177">
          <cell r="I1177" t="str">
            <v>V24262</v>
          </cell>
          <cell r="J1177" t="str">
            <v>CTC</v>
          </cell>
          <cell r="K1177" t="str">
            <v>YES</v>
          </cell>
        </row>
        <row r="1178">
          <cell r="I1178" t="str">
            <v>V24343</v>
          </cell>
          <cell r="J1178" t="str">
            <v>CTC</v>
          </cell>
          <cell r="K1178" t="str">
            <v>YES</v>
          </cell>
        </row>
        <row r="1179">
          <cell r="I1179" t="str">
            <v>V24714</v>
          </cell>
          <cell r="J1179" t="str">
            <v>CTC</v>
          </cell>
          <cell r="K1179" t="str">
            <v>YES</v>
          </cell>
        </row>
        <row r="1180">
          <cell r="I1180" t="str">
            <v>V24957</v>
          </cell>
          <cell r="J1180" t="str">
            <v>CTC</v>
          </cell>
          <cell r="K1180" t="str">
            <v>YES</v>
          </cell>
        </row>
        <row r="1181">
          <cell r="I1181" t="str">
            <v>V24985</v>
          </cell>
          <cell r="J1181" t="str">
            <v>CTC</v>
          </cell>
          <cell r="K1181" t="str">
            <v>YES</v>
          </cell>
        </row>
        <row r="1182">
          <cell r="I1182" t="str">
            <v>V25086</v>
          </cell>
          <cell r="J1182" t="str">
            <v>CTC</v>
          </cell>
          <cell r="K1182" t="str">
            <v>YES</v>
          </cell>
        </row>
        <row r="1183">
          <cell r="I1183" t="str">
            <v>V25134</v>
          </cell>
          <cell r="J1183" t="str">
            <v>CTC</v>
          </cell>
          <cell r="K1183" t="str">
            <v>YES</v>
          </cell>
        </row>
        <row r="1184">
          <cell r="I1184" t="str">
            <v>V28506</v>
          </cell>
          <cell r="J1184" t="str">
            <v>CTC</v>
          </cell>
          <cell r="K1184" t="str">
            <v>YES</v>
          </cell>
        </row>
        <row r="1185">
          <cell r="I1185" t="str">
            <v>V2S2038</v>
          </cell>
          <cell r="J1185" t="str">
            <v>CTC</v>
          </cell>
          <cell r="K1185" t="str">
            <v>YES</v>
          </cell>
        </row>
        <row r="1186">
          <cell r="I1186" t="str">
            <v>V23266</v>
          </cell>
          <cell r="J1186" t="str">
            <v>CTC</v>
          </cell>
          <cell r="K1186" t="str">
            <v>YES</v>
          </cell>
        </row>
        <row r="1187">
          <cell r="I1187" t="str">
            <v>V34324</v>
          </cell>
          <cell r="J1187" t="str">
            <v>CTC</v>
          </cell>
          <cell r="K1187" t="str">
            <v>YES</v>
          </cell>
        </row>
        <row r="1188">
          <cell r="I1188" t="str">
            <v>V46142</v>
          </cell>
          <cell r="J1188" t="str">
            <v>CTC</v>
          </cell>
          <cell r="K1188" t="str">
            <v>YES</v>
          </cell>
        </row>
        <row r="1189">
          <cell r="I1189" t="str">
            <v>V40633</v>
          </cell>
          <cell r="J1189" t="str">
            <v>CTC</v>
          </cell>
          <cell r="K1189" t="str">
            <v>YES</v>
          </cell>
        </row>
        <row r="1190">
          <cell r="I1190" t="str">
            <v>V24286</v>
          </cell>
          <cell r="J1190" t="str">
            <v>CTC</v>
          </cell>
          <cell r="K1190" t="str">
            <v>YES</v>
          </cell>
        </row>
        <row r="1191">
          <cell r="I1191" t="str">
            <v>V44807</v>
          </cell>
          <cell r="J1191" t="str">
            <v>CTC</v>
          </cell>
          <cell r="K1191" t="str">
            <v>YES</v>
          </cell>
        </row>
        <row r="1192">
          <cell r="I1192" t="str">
            <v>V41376</v>
          </cell>
          <cell r="J1192" t="str">
            <v>CTC</v>
          </cell>
          <cell r="K1192" t="str">
            <v>YES</v>
          </cell>
        </row>
        <row r="1193">
          <cell r="I1193" t="str">
            <v>V41593</v>
          </cell>
          <cell r="J1193" t="str">
            <v>CTC</v>
          </cell>
          <cell r="K1193" t="str">
            <v>YES</v>
          </cell>
        </row>
        <row r="1194">
          <cell r="I1194" t="str">
            <v>V36070</v>
          </cell>
          <cell r="J1194" t="str">
            <v>CTC</v>
          </cell>
          <cell r="K1194" t="str">
            <v>YES</v>
          </cell>
        </row>
        <row r="1195">
          <cell r="I1195" t="str">
            <v>V46126</v>
          </cell>
          <cell r="J1195" t="str">
            <v>CTC</v>
          </cell>
          <cell r="K1195" t="str">
            <v>YES</v>
          </cell>
        </row>
        <row r="1196">
          <cell r="I1196" t="str">
            <v>V47574</v>
          </cell>
          <cell r="J1196" t="str">
            <v>CTC</v>
          </cell>
          <cell r="K1196" t="str">
            <v>YES</v>
          </cell>
        </row>
        <row r="1197">
          <cell r="I1197" t="str">
            <v>V18656</v>
          </cell>
          <cell r="J1197" t="str">
            <v>CTC</v>
          </cell>
          <cell r="K1197" t="str">
            <v>YES</v>
          </cell>
        </row>
        <row r="1198">
          <cell r="I1198" t="str">
            <v>V03829</v>
          </cell>
          <cell r="J1198" t="str">
            <v>CTC</v>
          </cell>
          <cell r="K1198" t="str">
            <v>YES</v>
          </cell>
        </row>
        <row r="1199">
          <cell r="I1199" t="str">
            <v>V29663</v>
          </cell>
          <cell r="J1199" t="str">
            <v>CTC</v>
          </cell>
          <cell r="K1199" t="str">
            <v>YES</v>
          </cell>
        </row>
        <row r="1200">
          <cell r="I1200" t="str">
            <v>V35569</v>
          </cell>
          <cell r="J1200" t="str">
            <v>CTC</v>
          </cell>
          <cell r="K1200" t="str">
            <v>YES</v>
          </cell>
        </row>
        <row r="1201">
          <cell r="I1201" t="str">
            <v>V43152</v>
          </cell>
          <cell r="J1201" t="str">
            <v>CTC</v>
          </cell>
          <cell r="K1201" t="str">
            <v>YES</v>
          </cell>
        </row>
        <row r="1202">
          <cell r="I1202" t="str">
            <v>V16339</v>
          </cell>
          <cell r="J1202" t="str">
            <v>CTC</v>
          </cell>
          <cell r="K1202" t="str">
            <v>YES</v>
          </cell>
        </row>
        <row r="1203">
          <cell r="I1203" t="str">
            <v>V15910</v>
          </cell>
          <cell r="J1203" t="str">
            <v>CTC</v>
          </cell>
          <cell r="K1203" t="str">
            <v>YES</v>
          </cell>
        </row>
        <row r="1204">
          <cell r="I1204" t="str">
            <v>V38614</v>
          </cell>
          <cell r="J1204" t="str">
            <v>CTC</v>
          </cell>
          <cell r="K1204" t="str">
            <v>YES</v>
          </cell>
        </row>
        <row r="1205">
          <cell r="I1205" t="str">
            <v>V36360</v>
          </cell>
          <cell r="J1205" t="str">
            <v>CTC</v>
          </cell>
          <cell r="K1205" t="str">
            <v>YES</v>
          </cell>
        </row>
        <row r="1206">
          <cell r="I1206" t="str">
            <v>V36151</v>
          </cell>
          <cell r="J1206" t="str">
            <v>CTC</v>
          </cell>
          <cell r="K1206" t="str">
            <v>YES</v>
          </cell>
        </row>
        <row r="1207">
          <cell r="I1207" t="str">
            <v>V27091</v>
          </cell>
          <cell r="J1207" t="str">
            <v>CTC</v>
          </cell>
          <cell r="K1207" t="str">
            <v>YES</v>
          </cell>
        </row>
        <row r="1208">
          <cell r="I1208" t="str">
            <v>V2S2126</v>
          </cell>
          <cell r="J1208" t="str">
            <v>CTC</v>
          </cell>
          <cell r="K1208" t="str">
            <v>YES</v>
          </cell>
        </row>
        <row r="1209">
          <cell r="I1209" t="str">
            <v>V16985</v>
          </cell>
          <cell r="J1209" t="str">
            <v>CTC</v>
          </cell>
          <cell r="K1209" t="str">
            <v>YES</v>
          </cell>
        </row>
        <row r="1210">
          <cell r="I1210" t="str">
            <v>V25158</v>
          </cell>
          <cell r="J1210" t="str">
            <v>CTC</v>
          </cell>
          <cell r="K1210" t="str">
            <v>YES</v>
          </cell>
        </row>
        <row r="1211">
          <cell r="I1211" t="str">
            <v>V37138</v>
          </cell>
          <cell r="J1211" t="str">
            <v>CTC</v>
          </cell>
          <cell r="K1211" t="str">
            <v>YES</v>
          </cell>
        </row>
        <row r="1212">
          <cell r="I1212" t="str">
            <v>V24395</v>
          </cell>
          <cell r="J1212" t="str">
            <v>CTC</v>
          </cell>
          <cell r="K1212" t="str">
            <v>YES</v>
          </cell>
        </row>
        <row r="1213">
          <cell r="I1213" t="str">
            <v>V33604</v>
          </cell>
          <cell r="J1213" t="str">
            <v>CTC</v>
          </cell>
          <cell r="K1213" t="str">
            <v>YES</v>
          </cell>
        </row>
        <row r="1214">
          <cell r="I1214" t="str">
            <v>V35914</v>
          </cell>
          <cell r="J1214" t="str">
            <v>CTC</v>
          </cell>
          <cell r="K1214" t="str">
            <v>YES</v>
          </cell>
        </row>
        <row r="1215">
          <cell r="I1215" t="str">
            <v>V33951</v>
          </cell>
          <cell r="J1215" t="str">
            <v>CTC</v>
          </cell>
          <cell r="K1215" t="str">
            <v>YES</v>
          </cell>
        </row>
        <row r="1216">
          <cell r="I1216" t="str">
            <v>V07259</v>
          </cell>
          <cell r="J1216" t="str">
            <v>CTC</v>
          </cell>
          <cell r="K1216" t="str">
            <v>YES</v>
          </cell>
        </row>
        <row r="1217">
          <cell r="I1217" t="str">
            <v>V35253</v>
          </cell>
          <cell r="J1217" t="str">
            <v>CTC</v>
          </cell>
          <cell r="K1217" t="str">
            <v>YES</v>
          </cell>
        </row>
        <row r="1218">
          <cell r="I1218" t="str">
            <v>V18506</v>
          </cell>
          <cell r="J1218" t="str">
            <v>CTC</v>
          </cell>
          <cell r="K1218" t="str">
            <v>YES</v>
          </cell>
        </row>
        <row r="1219">
          <cell r="I1219" t="str">
            <v>V33605</v>
          </cell>
          <cell r="J1219" t="str">
            <v>CTC</v>
          </cell>
          <cell r="K1219" t="str">
            <v>YES</v>
          </cell>
        </row>
        <row r="1220">
          <cell r="I1220" t="str">
            <v>V03477</v>
          </cell>
          <cell r="J1220" t="str">
            <v>CTC</v>
          </cell>
          <cell r="K1220" t="str">
            <v>YES</v>
          </cell>
        </row>
        <row r="1221">
          <cell r="I1221" t="str">
            <v>V23870</v>
          </cell>
          <cell r="J1221" t="str">
            <v>CTC</v>
          </cell>
          <cell r="K1221" t="str">
            <v>YES</v>
          </cell>
        </row>
        <row r="1222">
          <cell r="I1222" t="str">
            <v>V19895</v>
          </cell>
          <cell r="J1222" t="str">
            <v>CTC</v>
          </cell>
          <cell r="K1222" t="str">
            <v>YES</v>
          </cell>
        </row>
        <row r="1223">
          <cell r="I1223" t="str">
            <v>V44824</v>
          </cell>
          <cell r="J1223" t="str">
            <v>CTC</v>
          </cell>
          <cell r="K1223" t="str">
            <v>YES</v>
          </cell>
        </row>
        <row r="1224">
          <cell r="I1224" t="str">
            <v>V46633</v>
          </cell>
          <cell r="J1224" t="str">
            <v>CTC</v>
          </cell>
          <cell r="K1224" t="str">
            <v>YES</v>
          </cell>
        </row>
        <row r="1225">
          <cell r="I1225" t="str">
            <v>V28145</v>
          </cell>
          <cell r="J1225" t="str">
            <v>CTC</v>
          </cell>
          <cell r="K1225" t="str">
            <v>YES</v>
          </cell>
        </row>
        <row r="1226">
          <cell r="I1226" t="str">
            <v>V48129</v>
          </cell>
          <cell r="J1226" t="str">
            <v>CTC</v>
          </cell>
          <cell r="K1226" t="str">
            <v>YES</v>
          </cell>
        </row>
        <row r="1227">
          <cell r="I1227" t="str">
            <v>V21995</v>
          </cell>
          <cell r="J1227" t="str">
            <v>CTC</v>
          </cell>
          <cell r="K1227" t="str">
            <v>YES</v>
          </cell>
        </row>
        <row r="1228">
          <cell r="I1228" t="str">
            <v>V35863</v>
          </cell>
          <cell r="J1228" t="str">
            <v>CTC</v>
          </cell>
          <cell r="K1228" t="str">
            <v>YES</v>
          </cell>
        </row>
        <row r="1229">
          <cell r="I1229" t="str">
            <v>V44792</v>
          </cell>
          <cell r="J1229" t="str">
            <v>CTC</v>
          </cell>
          <cell r="K1229" t="str">
            <v>YES</v>
          </cell>
        </row>
        <row r="1230">
          <cell r="I1230" t="str">
            <v>V24055</v>
          </cell>
          <cell r="J1230" t="str">
            <v>CTC</v>
          </cell>
          <cell r="K1230" t="str">
            <v>YES</v>
          </cell>
        </row>
        <row r="1231">
          <cell r="I1231" t="str">
            <v>V45736</v>
          </cell>
          <cell r="J1231" t="str">
            <v>CTC</v>
          </cell>
          <cell r="K1231" t="str">
            <v>YES</v>
          </cell>
        </row>
        <row r="1232">
          <cell r="I1232" t="str">
            <v>V14126</v>
          </cell>
          <cell r="J1232" t="str">
            <v>CTC</v>
          </cell>
          <cell r="K1232" t="str">
            <v>YES</v>
          </cell>
        </row>
        <row r="1233">
          <cell r="I1233" t="str">
            <v>V26326</v>
          </cell>
          <cell r="J1233" t="str">
            <v>CTC</v>
          </cell>
          <cell r="K1233" t="str">
            <v>YES</v>
          </cell>
        </row>
        <row r="1234">
          <cell r="I1234" t="str">
            <v>V11032</v>
          </cell>
          <cell r="J1234" t="str">
            <v>CTC</v>
          </cell>
          <cell r="K1234" t="str">
            <v>YES</v>
          </cell>
        </row>
        <row r="1235">
          <cell r="I1235" t="str">
            <v>V16706</v>
          </cell>
          <cell r="J1235" t="str">
            <v>CTC</v>
          </cell>
          <cell r="K1235" t="str">
            <v>YES</v>
          </cell>
        </row>
        <row r="1236">
          <cell r="I1236" t="str">
            <v>V41799</v>
          </cell>
          <cell r="J1236" t="str">
            <v>CTC</v>
          </cell>
          <cell r="K1236" t="str">
            <v>YES</v>
          </cell>
        </row>
        <row r="1237">
          <cell r="I1237" t="str">
            <v>V2S006</v>
          </cell>
          <cell r="J1237" t="str">
            <v>CTC</v>
          </cell>
          <cell r="K1237" t="str">
            <v>YES</v>
          </cell>
        </row>
        <row r="1238">
          <cell r="I1238" t="str">
            <v>V22973</v>
          </cell>
          <cell r="J1238" t="str">
            <v>CTC</v>
          </cell>
          <cell r="K1238" t="str">
            <v>YES</v>
          </cell>
        </row>
        <row r="1239">
          <cell r="I1239" t="str">
            <v>V01066</v>
          </cell>
          <cell r="J1239" t="str">
            <v>CTC</v>
          </cell>
          <cell r="K1239" t="str">
            <v>YES</v>
          </cell>
        </row>
        <row r="1240">
          <cell r="I1240" t="str">
            <v>V03447</v>
          </cell>
          <cell r="J1240" t="str">
            <v>CTC</v>
          </cell>
          <cell r="K1240" t="str">
            <v>YES</v>
          </cell>
        </row>
        <row r="1241">
          <cell r="I1241" t="str">
            <v>V19680</v>
          </cell>
          <cell r="J1241" t="str">
            <v>CTC</v>
          </cell>
          <cell r="K1241" t="str">
            <v>YES</v>
          </cell>
        </row>
        <row r="1242">
          <cell r="I1242" t="str">
            <v>V13028</v>
          </cell>
          <cell r="J1242" t="str">
            <v>CTC</v>
          </cell>
          <cell r="K1242" t="str">
            <v>YES</v>
          </cell>
        </row>
        <row r="1243">
          <cell r="I1243" t="str">
            <v>V08150</v>
          </cell>
          <cell r="J1243" t="str">
            <v>CTC</v>
          </cell>
          <cell r="K1243" t="str">
            <v>YES</v>
          </cell>
        </row>
        <row r="1244">
          <cell r="I1244" t="str">
            <v>V25405</v>
          </cell>
          <cell r="J1244" t="str">
            <v>CTC</v>
          </cell>
          <cell r="K1244" t="str">
            <v>YES</v>
          </cell>
        </row>
        <row r="1245">
          <cell r="I1245" t="str">
            <v>V39637</v>
          </cell>
          <cell r="J1245" t="str">
            <v>CTC</v>
          </cell>
          <cell r="K1245" t="str">
            <v>YES</v>
          </cell>
        </row>
        <row r="1246">
          <cell r="I1246" t="str">
            <v>V35803</v>
          </cell>
          <cell r="J1246" t="str">
            <v>CTC</v>
          </cell>
          <cell r="K1246" t="str">
            <v>YES</v>
          </cell>
        </row>
        <row r="1247">
          <cell r="I1247" t="str">
            <v>V20867</v>
          </cell>
          <cell r="J1247" t="str">
            <v>CTC</v>
          </cell>
          <cell r="K1247" t="str">
            <v>YES</v>
          </cell>
        </row>
        <row r="1248">
          <cell r="I1248" t="str">
            <v>V26895</v>
          </cell>
          <cell r="J1248" t="str">
            <v>CTC</v>
          </cell>
          <cell r="K1248" t="str">
            <v>YES</v>
          </cell>
        </row>
        <row r="1249">
          <cell r="I1249" t="str">
            <v>V30290</v>
          </cell>
          <cell r="J1249" t="str">
            <v>CTC</v>
          </cell>
          <cell r="K1249" t="str">
            <v>YES</v>
          </cell>
        </row>
        <row r="1250">
          <cell r="I1250" t="str">
            <v>V08317</v>
          </cell>
          <cell r="J1250" t="str">
            <v>CTC</v>
          </cell>
          <cell r="K1250" t="str">
            <v>YES</v>
          </cell>
        </row>
        <row r="1251">
          <cell r="I1251" t="str">
            <v>V06088</v>
          </cell>
          <cell r="J1251" t="str">
            <v>CTC</v>
          </cell>
          <cell r="K1251" t="str">
            <v>YES</v>
          </cell>
        </row>
        <row r="1252">
          <cell r="I1252" t="str">
            <v>V38414</v>
          </cell>
          <cell r="J1252" t="str">
            <v>CTC</v>
          </cell>
          <cell r="K1252" t="str">
            <v>YES</v>
          </cell>
        </row>
        <row r="1253">
          <cell r="I1253" t="str">
            <v>V20241</v>
          </cell>
          <cell r="J1253" t="str">
            <v>CTC</v>
          </cell>
          <cell r="K1253" t="str">
            <v>YES</v>
          </cell>
        </row>
        <row r="1254">
          <cell r="I1254" t="str">
            <v>V27551</v>
          </cell>
          <cell r="J1254" t="str">
            <v>CTC</v>
          </cell>
          <cell r="K1254" t="str">
            <v>YES</v>
          </cell>
        </row>
        <row r="1255">
          <cell r="I1255" t="str">
            <v>V24296</v>
          </cell>
          <cell r="J1255" t="str">
            <v>CTC</v>
          </cell>
          <cell r="K1255" t="str">
            <v>YES</v>
          </cell>
        </row>
        <row r="1256">
          <cell r="I1256" t="str">
            <v>V44795</v>
          </cell>
          <cell r="J1256" t="str">
            <v>CTC</v>
          </cell>
          <cell r="K1256" t="str">
            <v>YES</v>
          </cell>
        </row>
        <row r="1257">
          <cell r="I1257" t="str">
            <v>V30064</v>
          </cell>
          <cell r="J1257" t="str">
            <v>CTC</v>
          </cell>
          <cell r="K1257" t="str">
            <v>YES</v>
          </cell>
        </row>
        <row r="1258">
          <cell r="I1258" t="str">
            <v>V12000</v>
          </cell>
          <cell r="J1258" t="str">
            <v>CTC</v>
          </cell>
          <cell r="K1258" t="str">
            <v>YES</v>
          </cell>
        </row>
        <row r="1259">
          <cell r="I1259" t="str">
            <v>V19988</v>
          </cell>
          <cell r="J1259" t="str">
            <v>CTC</v>
          </cell>
          <cell r="K1259" t="str">
            <v>YES</v>
          </cell>
        </row>
        <row r="1260">
          <cell r="I1260" t="str">
            <v>V22727</v>
          </cell>
          <cell r="J1260" t="str">
            <v>CTC</v>
          </cell>
          <cell r="K1260" t="str">
            <v>YES</v>
          </cell>
        </row>
        <row r="1261">
          <cell r="I1261" t="str">
            <v>V04246</v>
          </cell>
          <cell r="J1261" t="str">
            <v>CTC</v>
          </cell>
          <cell r="K1261" t="str">
            <v>YES</v>
          </cell>
        </row>
        <row r="1262">
          <cell r="I1262" t="str">
            <v>V44781</v>
          </cell>
          <cell r="J1262" t="str">
            <v>CTC</v>
          </cell>
          <cell r="K1262" t="str">
            <v>YES</v>
          </cell>
        </row>
        <row r="1263">
          <cell r="I1263" t="str">
            <v>V44788</v>
          </cell>
          <cell r="J1263" t="str">
            <v>CTC</v>
          </cell>
          <cell r="K1263" t="str">
            <v>YES</v>
          </cell>
        </row>
        <row r="1264">
          <cell r="I1264" t="str">
            <v>V25260</v>
          </cell>
          <cell r="J1264" t="str">
            <v>CTC</v>
          </cell>
          <cell r="K1264" t="str">
            <v>YES</v>
          </cell>
        </row>
        <row r="1265">
          <cell r="I1265" t="str">
            <v>V38493</v>
          </cell>
          <cell r="J1265" t="str">
            <v>CTC</v>
          </cell>
          <cell r="K1265" t="str">
            <v>YES</v>
          </cell>
        </row>
        <row r="1266">
          <cell r="I1266" t="str">
            <v>V27284</v>
          </cell>
          <cell r="J1266" t="str">
            <v>CTC</v>
          </cell>
          <cell r="K1266" t="str">
            <v>YES</v>
          </cell>
        </row>
        <row r="1267">
          <cell r="I1267" t="str">
            <v>V19497</v>
          </cell>
          <cell r="J1267" t="str">
            <v>CTC</v>
          </cell>
          <cell r="K1267" t="str">
            <v>YES</v>
          </cell>
        </row>
        <row r="1268">
          <cell r="I1268" t="str">
            <v>V35996</v>
          </cell>
          <cell r="J1268" t="str">
            <v>CTC</v>
          </cell>
          <cell r="K1268" t="str">
            <v>YES</v>
          </cell>
        </row>
        <row r="1269">
          <cell r="I1269" t="str">
            <v>V18739</v>
          </cell>
          <cell r="J1269" t="str">
            <v>CTC</v>
          </cell>
          <cell r="K1269" t="str">
            <v>YES</v>
          </cell>
        </row>
        <row r="1270">
          <cell r="I1270" t="str">
            <v>V06930</v>
          </cell>
          <cell r="J1270" t="str">
            <v>CTC</v>
          </cell>
          <cell r="K1270" t="str">
            <v>YES</v>
          </cell>
        </row>
        <row r="1271">
          <cell r="I1271" t="str">
            <v>V41862</v>
          </cell>
          <cell r="J1271" t="str">
            <v>CTC</v>
          </cell>
          <cell r="K1271" t="str">
            <v>YES</v>
          </cell>
        </row>
        <row r="1272">
          <cell r="I1272" t="str">
            <v>V20794</v>
          </cell>
          <cell r="J1272" t="str">
            <v>CTC</v>
          </cell>
          <cell r="K1272" t="str">
            <v>YES</v>
          </cell>
        </row>
        <row r="1273">
          <cell r="I1273" t="str">
            <v>V17157</v>
          </cell>
          <cell r="J1273" t="str">
            <v>CTC</v>
          </cell>
          <cell r="K1273" t="str">
            <v>YES</v>
          </cell>
        </row>
        <row r="1274">
          <cell r="I1274" t="str">
            <v>V46626</v>
          </cell>
          <cell r="J1274" t="str">
            <v>CTC</v>
          </cell>
          <cell r="K1274" t="str">
            <v>YES</v>
          </cell>
        </row>
        <row r="1275">
          <cell r="I1275" t="str">
            <v>V44784</v>
          </cell>
          <cell r="J1275" t="str">
            <v>CTC</v>
          </cell>
          <cell r="K1275" t="str">
            <v>YES</v>
          </cell>
        </row>
        <row r="1276">
          <cell r="I1276" t="str">
            <v>V18860</v>
          </cell>
          <cell r="J1276" t="str">
            <v>CTC</v>
          </cell>
          <cell r="K1276" t="str">
            <v>YES</v>
          </cell>
        </row>
        <row r="1277">
          <cell r="I1277" t="str">
            <v>V07286</v>
          </cell>
          <cell r="J1277" t="str">
            <v>CTC</v>
          </cell>
          <cell r="K1277" t="str">
            <v>YES</v>
          </cell>
        </row>
        <row r="1278">
          <cell r="I1278" t="str">
            <v>V2S2127</v>
          </cell>
          <cell r="J1278" t="str">
            <v>CTC</v>
          </cell>
          <cell r="K1278" t="str">
            <v>YES</v>
          </cell>
        </row>
        <row r="1279">
          <cell r="I1279" t="str">
            <v>V29204</v>
          </cell>
          <cell r="J1279" t="str">
            <v>CTC</v>
          </cell>
          <cell r="K1279" t="str">
            <v>YES</v>
          </cell>
        </row>
        <row r="1280">
          <cell r="I1280" t="str">
            <v>V34194</v>
          </cell>
          <cell r="J1280" t="str">
            <v>CTC</v>
          </cell>
          <cell r="K1280" t="str">
            <v>YES</v>
          </cell>
        </row>
        <row r="1281">
          <cell r="I1281" t="str">
            <v>V46614</v>
          </cell>
          <cell r="J1281" t="str">
            <v>CTC</v>
          </cell>
          <cell r="K1281" t="str">
            <v>YES</v>
          </cell>
        </row>
        <row r="1282">
          <cell r="I1282" t="str">
            <v>V20923</v>
          </cell>
          <cell r="J1282" t="str">
            <v>CTC</v>
          </cell>
          <cell r="K1282" t="str">
            <v>YES</v>
          </cell>
        </row>
        <row r="1283">
          <cell r="I1283" t="str">
            <v>V30037</v>
          </cell>
          <cell r="J1283" t="str">
            <v>CTC</v>
          </cell>
          <cell r="K1283" t="str">
            <v>YES</v>
          </cell>
        </row>
        <row r="1284">
          <cell r="I1284" t="str">
            <v>V25989</v>
          </cell>
          <cell r="J1284" t="str">
            <v>CTC</v>
          </cell>
          <cell r="K1284" t="str">
            <v>YES</v>
          </cell>
        </row>
        <row r="1285">
          <cell r="I1285" t="str">
            <v>V26625</v>
          </cell>
          <cell r="J1285" t="str">
            <v>CTC</v>
          </cell>
          <cell r="K1285" t="str">
            <v>YES</v>
          </cell>
        </row>
        <row r="1286">
          <cell r="I1286" t="str">
            <v>V26818</v>
          </cell>
          <cell r="J1286" t="str">
            <v>CTC</v>
          </cell>
          <cell r="K1286" t="str">
            <v>YES</v>
          </cell>
        </row>
        <row r="1287">
          <cell r="I1287" t="str">
            <v>V28836</v>
          </cell>
          <cell r="J1287" t="str">
            <v>CTC</v>
          </cell>
          <cell r="K1287" t="str">
            <v>YES</v>
          </cell>
        </row>
        <row r="1288">
          <cell r="I1288" t="str">
            <v>V38751</v>
          </cell>
          <cell r="J1288" t="str">
            <v>CTC</v>
          </cell>
          <cell r="K1288" t="str">
            <v>YES</v>
          </cell>
        </row>
        <row r="1289">
          <cell r="I1289" t="str">
            <v>V48131</v>
          </cell>
          <cell r="J1289" t="str">
            <v>CTC</v>
          </cell>
          <cell r="K1289" t="str">
            <v>YES</v>
          </cell>
        </row>
        <row r="1290">
          <cell r="I1290" t="str">
            <v>V05892</v>
          </cell>
          <cell r="J1290" t="str">
            <v>CTC</v>
          </cell>
          <cell r="K1290" t="str">
            <v>YES</v>
          </cell>
        </row>
        <row r="1291">
          <cell r="I1291" t="str">
            <v>V11864</v>
          </cell>
          <cell r="J1291" t="str">
            <v>CTC</v>
          </cell>
          <cell r="K1291" t="str">
            <v>YES</v>
          </cell>
        </row>
        <row r="1292">
          <cell r="I1292" t="str">
            <v>V01161</v>
          </cell>
          <cell r="J1292" t="str">
            <v>CTC</v>
          </cell>
          <cell r="K1292" t="str">
            <v>YES</v>
          </cell>
        </row>
        <row r="1293">
          <cell r="I1293" t="str">
            <v>V26593</v>
          </cell>
          <cell r="J1293" t="str">
            <v>CTC</v>
          </cell>
          <cell r="K1293" t="str">
            <v>YES</v>
          </cell>
        </row>
        <row r="1294">
          <cell r="I1294" t="str">
            <v>V36036</v>
          </cell>
          <cell r="J1294" t="str">
            <v>CTC</v>
          </cell>
          <cell r="K1294" t="str">
            <v>YES</v>
          </cell>
        </row>
        <row r="1295">
          <cell r="I1295" t="str">
            <v>V27676</v>
          </cell>
          <cell r="J1295" t="str">
            <v>CTC</v>
          </cell>
          <cell r="K1295" t="str">
            <v>YES</v>
          </cell>
        </row>
        <row r="1296">
          <cell r="I1296" t="str">
            <v>V41594</v>
          </cell>
          <cell r="J1296" t="str">
            <v>CTC</v>
          </cell>
          <cell r="K1296" t="str">
            <v>YES</v>
          </cell>
        </row>
        <row r="1297">
          <cell r="I1297" t="str">
            <v>V18614</v>
          </cell>
          <cell r="J1297" t="str">
            <v>CTC</v>
          </cell>
          <cell r="K1297" t="str">
            <v>YES</v>
          </cell>
        </row>
        <row r="1298">
          <cell r="I1298" t="str">
            <v>V44785</v>
          </cell>
          <cell r="J1298" t="str">
            <v>CTC</v>
          </cell>
          <cell r="K1298" t="str">
            <v>YES</v>
          </cell>
        </row>
        <row r="1299">
          <cell r="I1299" t="str">
            <v>V06615</v>
          </cell>
          <cell r="J1299" t="str">
            <v>CTC</v>
          </cell>
          <cell r="K1299" t="str">
            <v>YES</v>
          </cell>
        </row>
        <row r="1300">
          <cell r="I1300" t="str">
            <v>V35005</v>
          </cell>
          <cell r="J1300" t="str">
            <v>CTC</v>
          </cell>
          <cell r="K1300" t="str">
            <v>YES</v>
          </cell>
        </row>
        <row r="1301">
          <cell r="I1301" t="str">
            <v>V06243</v>
          </cell>
          <cell r="J1301" t="str">
            <v>CTC</v>
          </cell>
          <cell r="K1301" t="str">
            <v>YES</v>
          </cell>
        </row>
        <row r="1302">
          <cell r="I1302" t="str">
            <v>V20982</v>
          </cell>
          <cell r="J1302" t="str">
            <v>CTC</v>
          </cell>
          <cell r="K1302" t="str">
            <v>YES</v>
          </cell>
        </row>
        <row r="1303">
          <cell r="I1303" t="str">
            <v>V26253</v>
          </cell>
          <cell r="J1303" t="str">
            <v>CTC</v>
          </cell>
          <cell r="K1303" t="str">
            <v>YES</v>
          </cell>
        </row>
        <row r="1304">
          <cell r="I1304" t="str">
            <v>V14392</v>
          </cell>
          <cell r="J1304" t="str">
            <v>CTC</v>
          </cell>
          <cell r="K1304" t="str">
            <v>YES</v>
          </cell>
        </row>
        <row r="1305">
          <cell r="I1305" t="str">
            <v>V45172</v>
          </cell>
          <cell r="J1305" t="str">
            <v>CTC</v>
          </cell>
          <cell r="K1305" t="str">
            <v>YES</v>
          </cell>
        </row>
        <row r="1306">
          <cell r="I1306" t="str">
            <v>V28039</v>
          </cell>
          <cell r="J1306" t="str">
            <v>CTC</v>
          </cell>
          <cell r="K1306" t="str">
            <v>YES</v>
          </cell>
        </row>
        <row r="1307">
          <cell r="I1307" t="str">
            <v>V12578</v>
          </cell>
          <cell r="J1307" t="str">
            <v>CTC</v>
          </cell>
          <cell r="K1307" t="str">
            <v>YES</v>
          </cell>
        </row>
        <row r="1308">
          <cell r="I1308" t="str">
            <v>V25785</v>
          </cell>
          <cell r="J1308" t="str">
            <v>CTC</v>
          </cell>
          <cell r="K1308" t="str">
            <v>YES</v>
          </cell>
        </row>
        <row r="1309">
          <cell r="I1309" t="str">
            <v>V13799</v>
          </cell>
          <cell r="J1309" t="str">
            <v>CTC</v>
          </cell>
          <cell r="K1309" t="str">
            <v>YES</v>
          </cell>
        </row>
        <row r="1310">
          <cell r="I1310" t="str">
            <v>V20594</v>
          </cell>
          <cell r="J1310" t="str">
            <v>CTC</v>
          </cell>
          <cell r="K1310" t="str">
            <v>YES</v>
          </cell>
        </row>
        <row r="1311">
          <cell r="I1311" t="str">
            <v>V24288</v>
          </cell>
          <cell r="J1311" t="str">
            <v>CTC</v>
          </cell>
          <cell r="K1311" t="str">
            <v>YES</v>
          </cell>
        </row>
        <row r="1312">
          <cell r="I1312" t="str">
            <v>V46170</v>
          </cell>
          <cell r="J1312" t="str">
            <v>CTC</v>
          </cell>
          <cell r="K1312" t="str">
            <v>YES</v>
          </cell>
        </row>
        <row r="1313">
          <cell r="I1313" t="str">
            <v>V36045</v>
          </cell>
          <cell r="J1313" t="str">
            <v>CTC</v>
          </cell>
          <cell r="K1313" t="str">
            <v>YES</v>
          </cell>
        </row>
        <row r="1314">
          <cell r="I1314" t="str">
            <v>V41806</v>
          </cell>
          <cell r="J1314" t="str">
            <v>CTC</v>
          </cell>
          <cell r="K1314" t="str">
            <v>YES</v>
          </cell>
        </row>
        <row r="1315">
          <cell r="I1315" t="str">
            <v>V28835</v>
          </cell>
          <cell r="J1315" t="str">
            <v>CTC</v>
          </cell>
          <cell r="K1315" t="str">
            <v>YES</v>
          </cell>
        </row>
        <row r="1316">
          <cell r="I1316" t="str">
            <v>V07274</v>
          </cell>
          <cell r="J1316" t="str">
            <v>CTC</v>
          </cell>
          <cell r="K1316" t="str">
            <v>YES</v>
          </cell>
        </row>
        <row r="1317">
          <cell r="I1317" t="str">
            <v>V23968</v>
          </cell>
          <cell r="J1317" t="str">
            <v>CTC</v>
          </cell>
          <cell r="K1317" t="str">
            <v>YES</v>
          </cell>
        </row>
        <row r="1318">
          <cell r="I1318" t="str">
            <v>V09155</v>
          </cell>
          <cell r="J1318" t="str">
            <v>CTC</v>
          </cell>
          <cell r="K1318" t="str">
            <v>YES</v>
          </cell>
        </row>
        <row r="1319">
          <cell r="I1319" t="str">
            <v>V25359</v>
          </cell>
          <cell r="J1319" t="str">
            <v>CTC</v>
          </cell>
          <cell r="K1319" t="str">
            <v>YES</v>
          </cell>
        </row>
        <row r="1320">
          <cell r="I1320" t="str">
            <v>V31657</v>
          </cell>
          <cell r="J1320" t="str">
            <v>CTC</v>
          </cell>
          <cell r="K1320" t="str">
            <v>YES</v>
          </cell>
        </row>
        <row r="1321">
          <cell r="I1321" t="str">
            <v>V18655</v>
          </cell>
          <cell r="J1321" t="str">
            <v>CTC</v>
          </cell>
          <cell r="K1321" t="str">
            <v>YES</v>
          </cell>
        </row>
        <row r="1322">
          <cell r="I1322" t="str">
            <v>V29045</v>
          </cell>
          <cell r="J1322" t="str">
            <v>CTC</v>
          </cell>
          <cell r="K1322" t="str">
            <v>YES</v>
          </cell>
        </row>
        <row r="1323">
          <cell r="I1323" t="str">
            <v>V24165</v>
          </cell>
          <cell r="J1323" t="str">
            <v>CTC</v>
          </cell>
          <cell r="K1323" t="str">
            <v>YES</v>
          </cell>
        </row>
        <row r="1324">
          <cell r="I1324" t="str">
            <v>V41857</v>
          </cell>
          <cell r="J1324" t="str">
            <v>CTC</v>
          </cell>
          <cell r="K1324" t="str">
            <v>YES</v>
          </cell>
        </row>
        <row r="1325">
          <cell r="I1325" t="str">
            <v>V38616</v>
          </cell>
          <cell r="J1325" t="str">
            <v>CTC</v>
          </cell>
          <cell r="K1325" t="str">
            <v>YES</v>
          </cell>
        </row>
        <row r="1326">
          <cell r="I1326" t="str">
            <v>V09076</v>
          </cell>
          <cell r="J1326" t="str">
            <v>CTC</v>
          </cell>
          <cell r="K1326" t="str">
            <v>YES</v>
          </cell>
        </row>
        <row r="1327">
          <cell r="I1327" t="str">
            <v>V22408</v>
          </cell>
          <cell r="J1327" t="str">
            <v>CTC</v>
          </cell>
          <cell r="K1327" t="str">
            <v>YES</v>
          </cell>
        </row>
        <row r="1328">
          <cell r="I1328" t="str">
            <v>V23043</v>
          </cell>
          <cell r="J1328" t="str">
            <v>CTC</v>
          </cell>
          <cell r="K1328" t="str">
            <v>YES</v>
          </cell>
        </row>
        <row r="1329">
          <cell r="I1329" t="str">
            <v>V10205</v>
          </cell>
          <cell r="J1329" t="str">
            <v>CTC</v>
          </cell>
          <cell r="K1329" t="str">
            <v>YES</v>
          </cell>
        </row>
        <row r="1330">
          <cell r="I1330" t="str">
            <v>V27128</v>
          </cell>
          <cell r="J1330" t="str">
            <v>CTC</v>
          </cell>
          <cell r="K1330" t="str">
            <v>YES</v>
          </cell>
        </row>
        <row r="1331">
          <cell r="I1331" t="str">
            <v>V33503</v>
          </cell>
          <cell r="J1331" t="str">
            <v>CTC</v>
          </cell>
          <cell r="K1331" t="str">
            <v>YES</v>
          </cell>
        </row>
        <row r="1332">
          <cell r="I1332" t="str">
            <v>V17489</v>
          </cell>
          <cell r="J1332" t="str">
            <v>CTC</v>
          </cell>
          <cell r="K1332" t="str">
            <v>YES</v>
          </cell>
        </row>
        <row r="1333">
          <cell r="I1333" t="str">
            <v>V02178</v>
          </cell>
          <cell r="J1333" t="str">
            <v>CTC</v>
          </cell>
          <cell r="K1333" t="str">
            <v>YES</v>
          </cell>
        </row>
        <row r="1334">
          <cell r="I1334" t="str">
            <v>V12129</v>
          </cell>
          <cell r="J1334" t="str">
            <v>CTC</v>
          </cell>
          <cell r="K1334" t="str">
            <v>YES</v>
          </cell>
        </row>
        <row r="1335">
          <cell r="I1335" t="str">
            <v>V05762</v>
          </cell>
          <cell r="J1335" t="str">
            <v>CTC</v>
          </cell>
          <cell r="K1335" t="str">
            <v>YES</v>
          </cell>
        </row>
        <row r="1336">
          <cell r="I1336" t="str">
            <v>V17597</v>
          </cell>
          <cell r="J1336" t="str">
            <v>CTC</v>
          </cell>
          <cell r="K1336" t="str">
            <v>YES</v>
          </cell>
        </row>
        <row r="1337">
          <cell r="I1337" t="str">
            <v>V45208</v>
          </cell>
          <cell r="J1337" t="str">
            <v>CTC</v>
          </cell>
          <cell r="K1337" t="str">
            <v>YES</v>
          </cell>
        </row>
        <row r="1338">
          <cell r="I1338" t="str">
            <v>V35763</v>
          </cell>
          <cell r="J1338" t="str">
            <v>CTC</v>
          </cell>
          <cell r="K1338" t="str">
            <v>YES</v>
          </cell>
        </row>
        <row r="1339">
          <cell r="I1339" t="str">
            <v>V31187</v>
          </cell>
          <cell r="J1339" t="str">
            <v>CTC</v>
          </cell>
          <cell r="K1339" t="str">
            <v>YES</v>
          </cell>
        </row>
        <row r="1340">
          <cell r="I1340" t="str">
            <v>V29279</v>
          </cell>
          <cell r="J1340" t="str">
            <v>CTC</v>
          </cell>
          <cell r="K1340" t="str">
            <v>YES</v>
          </cell>
        </row>
        <row r="1341">
          <cell r="I1341" t="str">
            <v>V34023</v>
          </cell>
          <cell r="J1341" t="str">
            <v>CTC</v>
          </cell>
          <cell r="K1341" t="str">
            <v>YES</v>
          </cell>
        </row>
        <row r="1342">
          <cell r="I1342" t="str">
            <v>V35760</v>
          </cell>
          <cell r="J1342" t="str">
            <v>CTC</v>
          </cell>
          <cell r="K1342" t="str">
            <v>YES</v>
          </cell>
        </row>
        <row r="1343">
          <cell r="I1343" t="str">
            <v>V44809</v>
          </cell>
          <cell r="J1343" t="str">
            <v>CTC</v>
          </cell>
          <cell r="K1343" t="str">
            <v>YES</v>
          </cell>
        </row>
        <row r="1344">
          <cell r="I1344" t="str">
            <v>V31514</v>
          </cell>
          <cell r="J1344" t="str">
            <v>CTC</v>
          </cell>
          <cell r="K1344" t="str">
            <v>YES</v>
          </cell>
        </row>
        <row r="1345">
          <cell r="I1345" t="str">
            <v>V29658</v>
          </cell>
          <cell r="J1345" t="str">
            <v>CTC</v>
          </cell>
          <cell r="K1345" t="str">
            <v>YES</v>
          </cell>
        </row>
        <row r="1346">
          <cell r="I1346" t="str">
            <v>V25981</v>
          </cell>
          <cell r="J1346" t="str">
            <v>CTC</v>
          </cell>
          <cell r="K1346" t="str">
            <v>YES</v>
          </cell>
        </row>
        <row r="1347">
          <cell r="I1347" t="str">
            <v>V13046</v>
          </cell>
          <cell r="J1347" t="str">
            <v>CTC</v>
          </cell>
          <cell r="K1347" t="str">
            <v>YES</v>
          </cell>
        </row>
        <row r="1348">
          <cell r="I1348" t="str">
            <v>V29085</v>
          </cell>
          <cell r="J1348" t="str">
            <v>CTC</v>
          </cell>
          <cell r="K1348" t="str">
            <v>YES</v>
          </cell>
        </row>
        <row r="1349">
          <cell r="I1349" t="str">
            <v>V29088</v>
          </cell>
          <cell r="J1349" t="str">
            <v>CTC</v>
          </cell>
          <cell r="K1349" t="str">
            <v>YES</v>
          </cell>
        </row>
        <row r="1350">
          <cell r="I1350" t="str">
            <v>V29146</v>
          </cell>
          <cell r="J1350" t="str">
            <v>CTC</v>
          </cell>
          <cell r="K1350" t="str">
            <v>YES</v>
          </cell>
        </row>
        <row r="1351">
          <cell r="I1351" t="str">
            <v>V29169</v>
          </cell>
          <cell r="J1351" t="str">
            <v>CTC</v>
          </cell>
          <cell r="K1351" t="str">
            <v>YES</v>
          </cell>
        </row>
        <row r="1352">
          <cell r="I1352" t="str">
            <v>V29175</v>
          </cell>
          <cell r="J1352" t="str">
            <v>CTC</v>
          </cell>
          <cell r="K1352" t="str">
            <v>YES</v>
          </cell>
        </row>
        <row r="1353">
          <cell r="I1353" t="str">
            <v>V29245</v>
          </cell>
          <cell r="J1353" t="str">
            <v>CTC</v>
          </cell>
          <cell r="K1353" t="str">
            <v>YES</v>
          </cell>
        </row>
        <row r="1354">
          <cell r="I1354" t="str">
            <v>V29368</v>
          </cell>
          <cell r="J1354" t="str">
            <v>CTC</v>
          </cell>
          <cell r="K1354" t="str">
            <v>YES</v>
          </cell>
        </row>
        <row r="1355">
          <cell r="I1355" t="str">
            <v>V29660</v>
          </cell>
          <cell r="J1355" t="str">
            <v>CTC</v>
          </cell>
          <cell r="K1355" t="str">
            <v>YES</v>
          </cell>
        </row>
        <row r="1356">
          <cell r="I1356" t="str">
            <v>V29673</v>
          </cell>
          <cell r="J1356" t="str">
            <v>CTC</v>
          </cell>
          <cell r="K1356" t="str">
            <v>YES</v>
          </cell>
        </row>
        <row r="1357">
          <cell r="I1357" t="str">
            <v>V29674</v>
          </cell>
          <cell r="J1357" t="str">
            <v>CTC</v>
          </cell>
          <cell r="K1357" t="str">
            <v>YES</v>
          </cell>
        </row>
        <row r="1358">
          <cell r="I1358" t="str">
            <v>V29681</v>
          </cell>
          <cell r="J1358" t="str">
            <v>CTC</v>
          </cell>
          <cell r="K1358" t="str">
            <v>YES</v>
          </cell>
        </row>
        <row r="1359">
          <cell r="I1359" t="str">
            <v>V29684</v>
          </cell>
          <cell r="J1359" t="str">
            <v>CTC</v>
          </cell>
          <cell r="K1359" t="str">
            <v>YES</v>
          </cell>
        </row>
        <row r="1360">
          <cell r="I1360" t="str">
            <v>V29687</v>
          </cell>
          <cell r="J1360" t="str">
            <v>CTC</v>
          </cell>
          <cell r="K1360" t="str">
            <v>YES</v>
          </cell>
        </row>
        <row r="1361">
          <cell r="I1361" t="str">
            <v>V29696</v>
          </cell>
          <cell r="J1361" t="str">
            <v>CTC</v>
          </cell>
          <cell r="K1361" t="str">
            <v>YES</v>
          </cell>
        </row>
        <row r="1362">
          <cell r="I1362" t="str">
            <v>V29702</v>
          </cell>
          <cell r="J1362" t="str">
            <v>CTC</v>
          </cell>
          <cell r="K1362" t="str">
            <v>YES</v>
          </cell>
        </row>
        <row r="1363">
          <cell r="I1363" t="str">
            <v>V29708</v>
          </cell>
          <cell r="J1363" t="str">
            <v>CTC</v>
          </cell>
          <cell r="K1363" t="str">
            <v>YES</v>
          </cell>
        </row>
        <row r="1364">
          <cell r="I1364" t="str">
            <v>V29961</v>
          </cell>
          <cell r="J1364" t="str">
            <v>CTC</v>
          </cell>
          <cell r="K1364" t="str">
            <v>YES</v>
          </cell>
        </row>
        <row r="1365">
          <cell r="I1365" t="str">
            <v>V29962</v>
          </cell>
          <cell r="J1365" t="str">
            <v>CTC</v>
          </cell>
          <cell r="K1365" t="str">
            <v>YES</v>
          </cell>
        </row>
        <row r="1366">
          <cell r="I1366" t="str">
            <v>V31397</v>
          </cell>
          <cell r="J1366" t="str">
            <v>CTC</v>
          </cell>
          <cell r="K1366" t="str">
            <v>YES</v>
          </cell>
        </row>
        <row r="1367">
          <cell r="I1367" t="str">
            <v>V31826</v>
          </cell>
          <cell r="J1367" t="str">
            <v>CTC</v>
          </cell>
          <cell r="K1367" t="str">
            <v>YES</v>
          </cell>
        </row>
        <row r="1368">
          <cell r="I1368" t="str">
            <v>V32027</v>
          </cell>
          <cell r="J1368" t="str">
            <v>CTC</v>
          </cell>
          <cell r="K1368" t="str">
            <v>YES</v>
          </cell>
        </row>
        <row r="1369">
          <cell r="I1369" t="str">
            <v>V32435</v>
          </cell>
          <cell r="J1369" t="str">
            <v>CTC</v>
          </cell>
          <cell r="K1369" t="str">
            <v>YES</v>
          </cell>
        </row>
        <row r="1370">
          <cell r="I1370" t="str">
            <v>V32518</v>
          </cell>
          <cell r="J1370" t="str">
            <v>CTC</v>
          </cell>
          <cell r="K1370" t="str">
            <v>YES</v>
          </cell>
        </row>
        <row r="1371">
          <cell r="I1371" t="str">
            <v>V32622</v>
          </cell>
          <cell r="J1371" t="str">
            <v>CTC</v>
          </cell>
          <cell r="K1371" t="str">
            <v>YES</v>
          </cell>
        </row>
        <row r="1372">
          <cell r="I1372" t="str">
            <v>V32862</v>
          </cell>
          <cell r="J1372" t="str">
            <v>CTC</v>
          </cell>
          <cell r="K1372" t="str">
            <v>YES</v>
          </cell>
        </row>
        <row r="1373">
          <cell r="I1373" t="str">
            <v>V32876</v>
          </cell>
          <cell r="J1373" t="str">
            <v>CTC</v>
          </cell>
          <cell r="K1373" t="str">
            <v>YES</v>
          </cell>
        </row>
        <row r="1374">
          <cell r="I1374" t="str">
            <v>V32903</v>
          </cell>
          <cell r="J1374" t="str">
            <v>CTC</v>
          </cell>
          <cell r="K1374" t="str">
            <v>YES</v>
          </cell>
        </row>
        <row r="1375">
          <cell r="I1375" t="str">
            <v>V32988</v>
          </cell>
          <cell r="J1375" t="str">
            <v>CTC</v>
          </cell>
          <cell r="K1375" t="str">
            <v>YES</v>
          </cell>
        </row>
        <row r="1376">
          <cell r="I1376" t="str">
            <v>V32999</v>
          </cell>
          <cell r="J1376" t="str">
            <v>CTC</v>
          </cell>
          <cell r="K1376" t="str">
            <v>YES</v>
          </cell>
        </row>
        <row r="1377">
          <cell r="I1377" t="str">
            <v>V33067</v>
          </cell>
          <cell r="J1377" t="str">
            <v>CTC</v>
          </cell>
          <cell r="K1377" t="str">
            <v>YES</v>
          </cell>
        </row>
        <row r="1378">
          <cell r="I1378" t="str">
            <v>V33095</v>
          </cell>
          <cell r="J1378" t="str">
            <v>CTC</v>
          </cell>
          <cell r="K1378" t="str">
            <v>YES</v>
          </cell>
        </row>
        <row r="1379">
          <cell r="I1379" t="str">
            <v>V33190</v>
          </cell>
          <cell r="J1379" t="str">
            <v>CTC</v>
          </cell>
          <cell r="K1379" t="str">
            <v>YES</v>
          </cell>
        </row>
        <row r="1380">
          <cell r="I1380" t="str">
            <v>V33410</v>
          </cell>
          <cell r="J1380" t="str">
            <v>CTC</v>
          </cell>
          <cell r="K1380" t="str">
            <v>YES</v>
          </cell>
        </row>
        <row r="1381">
          <cell r="I1381" t="str">
            <v>V33411</v>
          </cell>
          <cell r="J1381" t="str">
            <v>CTC</v>
          </cell>
          <cell r="K1381" t="str">
            <v>YES</v>
          </cell>
        </row>
        <row r="1382">
          <cell r="I1382" t="str">
            <v>V33483</v>
          </cell>
          <cell r="J1382" t="str">
            <v>CTC</v>
          </cell>
          <cell r="K1382" t="str">
            <v>YES</v>
          </cell>
        </row>
        <row r="1383">
          <cell r="I1383" t="str">
            <v>V33489</v>
          </cell>
          <cell r="J1383" t="str">
            <v>CTC</v>
          </cell>
          <cell r="K1383" t="str">
            <v>YES</v>
          </cell>
        </row>
        <row r="1384">
          <cell r="I1384" t="str">
            <v>V33598</v>
          </cell>
          <cell r="J1384" t="str">
            <v>CTC</v>
          </cell>
          <cell r="K1384" t="str">
            <v>YES</v>
          </cell>
        </row>
        <row r="1385">
          <cell r="I1385" t="str">
            <v>V33679</v>
          </cell>
          <cell r="J1385" t="str">
            <v>CTC</v>
          </cell>
          <cell r="K1385" t="str">
            <v>YES</v>
          </cell>
        </row>
        <row r="1386">
          <cell r="I1386" t="str">
            <v>V33950</v>
          </cell>
          <cell r="J1386" t="str">
            <v>CTC</v>
          </cell>
          <cell r="K1386" t="str">
            <v>YES</v>
          </cell>
        </row>
        <row r="1387">
          <cell r="I1387" t="str">
            <v>V34161</v>
          </cell>
          <cell r="J1387" t="str">
            <v>CTC</v>
          </cell>
          <cell r="K1387" t="str">
            <v>YES</v>
          </cell>
        </row>
        <row r="1388">
          <cell r="I1388" t="str">
            <v>V34219</v>
          </cell>
          <cell r="J1388" t="str">
            <v>CTC</v>
          </cell>
          <cell r="K1388" t="str">
            <v>YES</v>
          </cell>
        </row>
        <row r="1389">
          <cell r="I1389" t="str">
            <v>V20407</v>
          </cell>
          <cell r="J1389" t="str">
            <v>CTC</v>
          </cell>
          <cell r="K1389" t="str">
            <v>YES</v>
          </cell>
        </row>
        <row r="1390">
          <cell r="I1390" t="str">
            <v>V37563</v>
          </cell>
          <cell r="J1390" t="str">
            <v>CTC</v>
          </cell>
          <cell r="K1390" t="str">
            <v>YES</v>
          </cell>
        </row>
        <row r="1391">
          <cell r="I1391" t="str">
            <v>V44348</v>
          </cell>
          <cell r="J1391" t="str">
            <v>CTC</v>
          </cell>
          <cell r="K1391" t="str">
            <v>YES</v>
          </cell>
        </row>
        <row r="1392">
          <cell r="I1392" t="str">
            <v>V45173</v>
          </cell>
          <cell r="J1392" t="str">
            <v>CTC</v>
          </cell>
          <cell r="K1392" t="str">
            <v>YES</v>
          </cell>
        </row>
        <row r="1393">
          <cell r="I1393" t="str">
            <v>V41831</v>
          </cell>
          <cell r="J1393" t="str">
            <v>CTC</v>
          </cell>
          <cell r="K1393" t="str">
            <v>YES</v>
          </cell>
        </row>
        <row r="1394">
          <cell r="I1394" t="str">
            <v>V33495</v>
          </cell>
          <cell r="J1394" t="str">
            <v>CTC</v>
          </cell>
          <cell r="K1394" t="str">
            <v>YES</v>
          </cell>
        </row>
        <row r="1395">
          <cell r="I1395" t="str">
            <v>V02721</v>
          </cell>
          <cell r="J1395" t="str">
            <v>CTC</v>
          </cell>
          <cell r="K1395" t="str">
            <v>YES</v>
          </cell>
        </row>
        <row r="1396">
          <cell r="I1396" t="str">
            <v>V36784</v>
          </cell>
          <cell r="J1396" t="str">
            <v>CTC</v>
          </cell>
          <cell r="K1396" t="str">
            <v>YES</v>
          </cell>
        </row>
        <row r="1397">
          <cell r="I1397" t="str">
            <v>V45214</v>
          </cell>
          <cell r="J1397" t="str">
            <v>CTC</v>
          </cell>
          <cell r="K1397" t="str">
            <v>YES</v>
          </cell>
        </row>
        <row r="1398">
          <cell r="I1398" t="str">
            <v>V32577</v>
          </cell>
          <cell r="J1398" t="str">
            <v>CTC</v>
          </cell>
          <cell r="K1398" t="str">
            <v>YES</v>
          </cell>
        </row>
        <row r="1399">
          <cell r="I1399" t="str">
            <v>V42433</v>
          </cell>
          <cell r="J1399" t="str">
            <v>CTC</v>
          </cell>
          <cell r="K1399" t="str">
            <v>YES</v>
          </cell>
        </row>
        <row r="1400">
          <cell r="I1400" t="str">
            <v>V40764</v>
          </cell>
          <cell r="J1400" t="str">
            <v>CTC</v>
          </cell>
          <cell r="K1400" t="str">
            <v>YES</v>
          </cell>
        </row>
        <row r="1401">
          <cell r="I1401" t="str">
            <v>V41858</v>
          </cell>
          <cell r="J1401" t="str">
            <v>CTC</v>
          </cell>
          <cell r="K1401" t="str">
            <v>YES</v>
          </cell>
        </row>
        <row r="1402">
          <cell r="I1402" t="str">
            <v>V39618</v>
          </cell>
          <cell r="J1402" t="str">
            <v>CTC</v>
          </cell>
          <cell r="K1402" t="str">
            <v>YES</v>
          </cell>
        </row>
        <row r="1403">
          <cell r="I1403" t="str">
            <v>V15068</v>
          </cell>
          <cell r="J1403" t="str">
            <v>CTC</v>
          </cell>
          <cell r="K1403" t="str">
            <v>YES</v>
          </cell>
        </row>
        <row r="1404">
          <cell r="I1404" t="str">
            <v>V41288</v>
          </cell>
          <cell r="J1404" t="str">
            <v>CTC</v>
          </cell>
          <cell r="K1404" t="str">
            <v>YES</v>
          </cell>
        </row>
        <row r="1405">
          <cell r="I1405" t="str">
            <v>V34464</v>
          </cell>
          <cell r="J1405" t="str">
            <v>CTC</v>
          </cell>
          <cell r="K1405" t="str">
            <v>YES</v>
          </cell>
        </row>
        <row r="1406">
          <cell r="I1406" t="str">
            <v>V09111</v>
          </cell>
          <cell r="J1406" t="str">
            <v>CTC</v>
          </cell>
          <cell r="K1406" t="str">
            <v>YES</v>
          </cell>
        </row>
        <row r="1407">
          <cell r="I1407" t="str">
            <v>V31827</v>
          </cell>
          <cell r="J1407" t="str">
            <v>CTC</v>
          </cell>
          <cell r="K1407" t="str">
            <v>YES</v>
          </cell>
        </row>
        <row r="1408">
          <cell r="I1408" t="str">
            <v>V20033</v>
          </cell>
          <cell r="J1408" t="str">
            <v>CTC</v>
          </cell>
          <cell r="K1408" t="str">
            <v>YES</v>
          </cell>
        </row>
        <row r="1409">
          <cell r="I1409" t="str">
            <v>V20104</v>
          </cell>
          <cell r="J1409" t="str">
            <v>CTC</v>
          </cell>
          <cell r="K1409" t="str">
            <v>YES</v>
          </cell>
        </row>
        <row r="1410">
          <cell r="I1410" t="str">
            <v>V13644</v>
          </cell>
          <cell r="J1410" t="str">
            <v>CTC</v>
          </cell>
          <cell r="K1410" t="str">
            <v>YES</v>
          </cell>
        </row>
        <row r="1411">
          <cell r="I1411" t="str">
            <v>V45184</v>
          </cell>
          <cell r="J1411" t="str">
            <v>CTC</v>
          </cell>
          <cell r="K1411" t="str">
            <v>YES</v>
          </cell>
        </row>
        <row r="1412">
          <cell r="I1412" t="str">
            <v>V45217</v>
          </cell>
          <cell r="J1412" t="str">
            <v>CTC</v>
          </cell>
          <cell r="K1412" t="str">
            <v>YES</v>
          </cell>
        </row>
        <row r="1413">
          <cell r="I1413" t="str">
            <v>V33496</v>
          </cell>
          <cell r="J1413" t="str">
            <v>CTC</v>
          </cell>
          <cell r="K1413" t="str">
            <v>YES</v>
          </cell>
        </row>
        <row r="1414">
          <cell r="I1414" t="str">
            <v>V41400</v>
          </cell>
          <cell r="J1414" t="str">
            <v>CTC</v>
          </cell>
          <cell r="K1414" t="str">
            <v>YES</v>
          </cell>
        </row>
        <row r="1415">
          <cell r="I1415" t="str">
            <v>V36449</v>
          </cell>
          <cell r="J1415" t="str">
            <v>CTC</v>
          </cell>
          <cell r="K1415" t="str">
            <v>YES</v>
          </cell>
        </row>
        <row r="1416">
          <cell r="I1416" t="str">
            <v>V36486</v>
          </cell>
          <cell r="J1416" t="str">
            <v>CTC</v>
          </cell>
          <cell r="K1416" t="str">
            <v>YES</v>
          </cell>
        </row>
        <row r="1417">
          <cell r="I1417" t="str">
            <v>V36803</v>
          </cell>
          <cell r="J1417" t="str">
            <v>CTC</v>
          </cell>
          <cell r="K1417" t="str">
            <v>YES</v>
          </cell>
        </row>
        <row r="1418">
          <cell r="I1418" t="str">
            <v>V31591</v>
          </cell>
          <cell r="J1418" t="str">
            <v>CTC</v>
          </cell>
          <cell r="K1418" t="str">
            <v>YES</v>
          </cell>
        </row>
        <row r="1419">
          <cell r="I1419" t="str">
            <v>V17630</v>
          </cell>
          <cell r="J1419" t="str">
            <v>CTC</v>
          </cell>
          <cell r="K1419" t="str">
            <v>YES</v>
          </cell>
        </row>
        <row r="1420">
          <cell r="I1420" t="str">
            <v>V29448</v>
          </cell>
          <cell r="J1420" t="str">
            <v>CTC</v>
          </cell>
          <cell r="K1420" t="str">
            <v>YES</v>
          </cell>
        </row>
        <row r="1421">
          <cell r="I1421" t="str">
            <v>V31189</v>
          </cell>
          <cell r="J1421" t="str">
            <v>CTC</v>
          </cell>
          <cell r="K1421" t="str">
            <v>YES</v>
          </cell>
        </row>
        <row r="1422">
          <cell r="I1422" t="str">
            <v>V31899</v>
          </cell>
          <cell r="J1422" t="str">
            <v>CTC</v>
          </cell>
          <cell r="K1422" t="str">
            <v>YES</v>
          </cell>
        </row>
        <row r="1423">
          <cell r="I1423" t="str">
            <v>V37552</v>
          </cell>
          <cell r="J1423" t="str">
            <v>CTC</v>
          </cell>
          <cell r="K1423" t="str">
            <v>YES</v>
          </cell>
        </row>
        <row r="1424">
          <cell r="I1424" t="str">
            <v>V37400</v>
          </cell>
          <cell r="J1424" t="str">
            <v>CTC</v>
          </cell>
          <cell r="K1424" t="str">
            <v>YES</v>
          </cell>
        </row>
        <row r="1425">
          <cell r="I1425" t="str">
            <v>V37401</v>
          </cell>
          <cell r="J1425" t="str">
            <v>CTC</v>
          </cell>
          <cell r="K1425" t="str">
            <v>YES</v>
          </cell>
        </row>
        <row r="1426">
          <cell r="I1426" t="str">
            <v>V37539</v>
          </cell>
          <cell r="J1426" t="str">
            <v>CTC</v>
          </cell>
          <cell r="K1426" t="str">
            <v>YES</v>
          </cell>
        </row>
        <row r="1427">
          <cell r="I1427" t="str">
            <v>V37540</v>
          </cell>
          <cell r="J1427" t="str">
            <v>CTC</v>
          </cell>
          <cell r="K1427" t="str">
            <v>YES</v>
          </cell>
        </row>
        <row r="1428">
          <cell r="I1428" t="str">
            <v>V37544</v>
          </cell>
          <cell r="J1428" t="str">
            <v>CTC</v>
          </cell>
          <cell r="K1428" t="str">
            <v>YES</v>
          </cell>
        </row>
        <row r="1429">
          <cell r="I1429" t="str">
            <v>V37546</v>
          </cell>
          <cell r="J1429" t="str">
            <v>CTC</v>
          </cell>
          <cell r="K1429" t="str">
            <v>YES</v>
          </cell>
        </row>
        <row r="1430">
          <cell r="I1430" t="str">
            <v>V39219</v>
          </cell>
          <cell r="J1430" t="str">
            <v>CTC</v>
          </cell>
          <cell r="K1430" t="str">
            <v>YES</v>
          </cell>
        </row>
        <row r="1431">
          <cell r="I1431" t="str">
            <v>V39385</v>
          </cell>
          <cell r="J1431" t="str">
            <v>CTC</v>
          </cell>
          <cell r="K1431" t="str">
            <v>YES</v>
          </cell>
        </row>
        <row r="1432">
          <cell r="I1432" t="str">
            <v>V41273</v>
          </cell>
          <cell r="J1432" t="str">
            <v>CTC</v>
          </cell>
          <cell r="K1432" t="str">
            <v>YES</v>
          </cell>
        </row>
        <row r="1433">
          <cell r="I1433" t="str">
            <v>V41281</v>
          </cell>
          <cell r="J1433" t="str">
            <v>CTC</v>
          </cell>
          <cell r="K1433" t="str">
            <v>YES</v>
          </cell>
        </row>
        <row r="1434">
          <cell r="I1434" t="str">
            <v>V41283</v>
          </cell>
          <cell r="J1434" t="str">
            <v>CTC</v>
          </cell>
          <cell r="K1434" t="str">
            <v>YES</v>
          </cell>
        </row>
        <row r="1435">
          <cell r="I1435" t="str">
            <v>V41380</v>
          </cell>
          <cell r="J1435" t="str">
            <v>CTC</v>
          </cell>
          <cell r="K1435" t="str">
            <v>YES</v>
          </cell>
        </row>
        <row r="1436">
          <cell r="I1436" t="str">
            <v>V41628</v>
          </cell>
          <cell r="J1436" t="str">
            <v>CTC</v>
          </cell>
          <cell r="K1436" t="str">
            <v>YES</v>
          </cell>
        </row>
        <row r="1437">
          <cell r="I1437" t="str">
            <v>V42461</v>
          </cell>
          <cell r="J1437" t="str">
            <v>CTC</v>
          </cell>
          <cell r="K1437" t="str">
            <v>YES</v>
          </cell>
        </row>
        <row r="1438">
          <cell r="I1438" t="str">
            <v>V42475</v>
          </cell>
          <cell r="J1438" t="str">
            <v>CTC</v>
          </cell>
          <cell r="K1438" t="str">
            <v>YES</v>
          </cell>
        </row>
        <row r="1439">
          <cell r="I1439" t="str">
            <v>V30606</v>
          </cell>
          <cell r="J1439" t="str">
            <v>CTC</v>
          </cell>
          <cell r="K1439" t="str">
            <v>YES</v>
          </cell>
        </row>
        <row r="1440">
          <cell r="I1440" t="str">
            <v>V33249</v>
          </cell>
          <cell r="J1440" t="str">
            <v>CTC</v>
          </cell>
          <cell r="K1440" t="str">
            <v>YES</v>
          </cell>
        </row>
        <row r="1441">
          <cell r="I1441" t="str">
            <v>V45213</v>
          </cell>
          <cell r="J1441" t="str">
            <v>CTC</v>
          </cell>
          <cell r="K1441" t="str">
            <v>YES</v>
          </cell>
        </row>
        <row r="1442">
          <cell r="I1442" t="str">
            <v>V32040</v>
          </cell>
          <cell r="J1442" t="str">
            <v>CTC</v>
          </cell>
          <cell r="K1442" t="str">
            <v>YES</v>
          </cell>
        </row>
        <row r="1443">
          <cell r="I1443" t="str">
            <v>V20971</v>
          </cell>
          <cell r="J1443" t="str">
            <v>CTC</v>
          </cell>
          <cell r="K1443" t="str">
            <v>YES</v>
          </cell>
        </row>
        <row r="1444">
          <cell r="I1444" t="str">
            <v>V21300</v>
          </cell>
          <cell r="J1444" t="str">
            <v>CTC</v>
          </cell>
          <cell r="K1444" t="str">
            <v>YES</v>
          </cell>
        </row>
        <row r="1445">
          <cell r="I1445" t="str">
            <v>V38645</v>
          </cell>
          <cell r="J1445" t="str">
            <v>CTC</v>
          </cell>
          <cell r="K1445" t="str">
            <v>YES</v>
          </cell>
        </row>
        <row r="1446">
          <cell r="I1446" t="str">
            <v>V44342</v>
          </cell>
          <cell r="J1446" t="str">
            <v>CTC</v>
          </cell>
          <cell r="K1446" t="str">
            <v>YES</v>
          </cell>
        </row>
        <row r="1447">
          <cell r="I1447" t="str">
            <v>V30020</v>
          </cell>
          <cell r="J1447" t="str">
            <v>CTC</v>
          </cell>
          <cell r="K1447" t="str">
            <v>YES</v>
          </cell>
        </row>
        <row r="1448">
          <cell r="I1448" t="str">
            <v>V41569</v>
          </cell>
          <cell r="J1448" t="str">
            <v>CTC</v>
          </cell>
          <cell r="K1448" t="str">
            <v>YES</v>
          </cell>
        </row>
        <row r="1449">
          <cell r="I1449" t="str">
            <v>V29774</v>
          </cell>
          <cell r="J1449" t="str">
            <v>CTC</v>
          </cell>
          <cell r="K1449" t="str">
            <v>YES</v>
          </cell>
        </row>
        <row r="1450">
          <cell r="I1450" t="str">
            <v>V36281</v>
          </cell>
          <cell r="J1450" t="str">
            <v>CTC</v>
          </cell>
          <cell r="K1450" t="str">
            <v>YES</v>
          </cell>
        </row>
        <row r="1451">
          <cell r="I1451" t="str">
            <v>V37277</v>
          </cell>
          <cell r="J1451" t="str">
            <v>CTC</v>
          </cell>
          <cell r="K1451" t="str">
            <v>YES</v>
          </cell>
        </row>
        <row r="1452">
          <cell r="I1452" t="str">
            <v>V37548</v>
          </cell>
          <cell r="J1452" t="str">
            <v>CTC</v>
          </cell>
          <cell r="K1452" t="str">
            <v>YES</v>
          </cell>
        </row>
        <row r="1453">
          <cell r="I1453" t="str">
            <v>V37550</v>
          </cell>
          <cell r="J1453" t="str">
            <v>CTC</v>
          </cell>
          <cell r="K1453" t="str">
            <v>YES</v>
          </cell>
        </row>
        <row r="1454">
          <cell r="I1454" t="str">
            <v>V37551</v>
          </cell>
          <cell r="J1454" t="str">
            <v>CTC</v>
          </cell>
          <cell r="K1454" t="str">
            <v>YES</v>
          </cell>
        </row>
        <row r="1455">
          <cell r="I1455" t="str">
            <v>V37561</v>
          </cell>
          <cell r="J1455" t="str">
            <v>CTC</v>
          </cell>
          <cell r="K1455" t="str">
            <v>YES</v>
          </cell>
        </row>
        <row r="1456">
          <cell r="I1456" t="str">
            <v>V37565</v>
          </cell>
          <cell r="J1456" t="str">
            <v>CTC</v>
          </cell>
          <cell r="K1456" t="str">
            <v>YES</v>
          </cell>
        </row>
        <row r="1457">
          <cell r="I1457" t="str">
            <v>V37870</v>
          </cell>
          <cell r="J1457" t="str">
            <v>CTC</v>
          </cell>
          <cell r="K1457" t="str">
            <v>YES</v>
          </cell>
        </row>
        <row r="1458">
          <cell r="I1458" t="str">
            <v>V45211</v>
          </cell>
          <cell r="J1458" t="str">
            <v>CTC</v>
          </cell>
          <cell r="K1458" t="str">
            <v>YES</v>
          </cell>
        </row>
        <row r="1459">
          <cell r="I1459" t="str">
            <v>V32575</v>
          </cell>
          <cell r="J1459" t="str">
            <v>CTC</v>
          </cell>
          <cell r="K1459" t="str">
            <v>YES</v>
          </cell>
        </row>
        <row r="1460">
          <cell r="I1460" t="str">
            <v>V03101</v>
          </cell>
          <cell r="J1460" t="str">
            <v>CTC</v>
          </cell>
          <cell r="K1460" t="str">
            <v>YES</v>
          </cell>
        </row>
        <row r="1461">
          <cell r="I1461" t="str">
            <v>V25640</v>
          </cell>
          <cell r="J1461" t="str">
            <v>CTC</v>
          </cell>
          <cell r="K1461" t="str">
            <v>YES</v>
          </cell>
        </row>
        <row r="1462">
          <cell r="I1462" t="str">
            <v>V32885</v>
          </cell>
          <cell r="J1462" t="str">
            <v>CTC</v>
          </cell>
          <cell r="K1462" t="str">
            <v>YES</v>
          </cell>
        </row>
        <row r="1463">
          <cell r="I1463" t="str">
            <v>V22303</v>
          </cell>
          <cell r="J1463" t="str">
            <v>CTC</v>
          </cell>
          <cell r="K1463" t="str">
            <v>YES</v>
          </cell>
        </row>
        <row r="1464">
          <cell r="I1464" t="str">
            <v>V25029</v>
          </cell>
          <cell r="J1464" t="str">
            <v>CTC</v>
          </cell>
          <cell r="K1464" t="str">
            <v>YES</v>
          </cell>
        </row>
        <row r="1465">
          <cell r="I1465" t="str">
            <v>V47129</v>
          </cell>
          <cell r="J1465" t="str">
            <v>CTC</v>
          </cell>
          <cell r="K1465" t="str">
            <v>YES</v>
          </cell>
        </row>
        <row r="1466">
          <cell r="I1466" t="str">
            <v>V42536</v>
          </cell>
          <cell r="J1466" t="str">
            <v>CTC</v>
          </cell>
          <cell r="K1466" t="str">
            <v>YES</v>
          </cell>
        </row>
        <row r="1467">
          <cell r="I1467" t="str">
            <v>V35106</v>
          </cell>
          <cell r="J1467" t="str">
            <v>CTC</v>
          </cell>
          <cell r="K1467" t="str">
            <v>YES</v>
          </cell>
        </row>
        <row r="1468">
          <cell r="I1468" t="str">
            <v>V32784</v>
          </cell>
          <cell r="J1468" t="str">
            <v>CTC</v>
          </cell>
          <cell r="K1468" t="str">
            <v>YES</v>
          </cell>
        </row>
        <row r="1469">
          <cell r="I1469" t="str">
            <v>V37173</v>
          </cell>
          <cell r="J1469" t="str">
            <v>CTC</v>
          </cell>
          <cell r="K1469" t="str">
            <v>YES</v>
          </cell>
        </row>
        <row r="1470">
          <cell r="I1470" t="str">
            <v>V41379</v>
          </cell>
          <cell r="J1470" t="str">
            <v>CTC</v>
          </cell>
          <cell r="K1470" t="str">
            <v>YES</v>
          </cell>
        </row>
        <row r="1471">
          <cell r="I1471" t="str">
            <v>V39218</v>
          </cell>
          <cell r="J1471" t="str">
            <v>CTC</v>
          </cell>
          <cell r="K1471" t="str">
            <v>YES</v>
          </cell>
        </row>
        <row r="1472">
          <cell r="I1472" t="str">
            <v>V48126</v>
          </cell>
          <cell r="J1472" t="str">
            <v>CTC</v>
          </cell>
          <cell r="K1472" t="str">
            <v>YES</v>
          </cell>
        </row>
        <row r="1473">
          <cell r="I1473" t="str">
            <v>V35860</v>
          </cell>
          <cell r="J1473" t="str">
            <v>CTC</v>
          </cell>
          <cell r="K1473" t="str">
            <v>YES</v>
          </cell>
        </row>
        <row r="1474">
          <cell r="I1474" t="str">
            <v>V23901</v>
          </cell>
          <cell r="J1474" t="str">
            <v>CTC</v>
          </cell>
          <cell r="K1474" t="str">
            <v>YES</v>
          </cell>
        </row>
        <row r="1475">
          <cell r="I1475" t="str">
            <v>V35036</v>
          </cell>
          <cell r="J1475" t="str">
            <v>CTC</v>
          </cell>
          <cell r="K1475" t="str">
            <v>YES</v>
          </cell>
        </row>
        <row r="1476">
          <cell r="I1476" t="str">
            <v>V33215</v>
          </cell>
          <cell r="J1476" t="str">
            <v>CTC</v>
          </cell>
          <cell r="K1476" t="str">
            <v>YES</v>
          </cell>
        </row>
        <row r="1477">
          <cell r="I1477" t="str">
            <v>V34968</v>
          </cell>
          <cell r="J1477" t="str">
            <v>CTC</v>
          </cell>
          <cell r="K1477" t="str">
            <v>YES</v>
          </cell>
        </row>
        <row r="1478">
          <cell r="I1478" t="str">
            <v>V35618</v>
          </cell>
          <cell r="J1478" t="str">
            <v>CTC</v>
          </cell>
          <cell r="K1478" t="str">
            <v>YES</v>
          </cell>
        </row>
        <row r="1479">
          <cell r="I1479" t="str">
            <v>V35619</v>
          </cell>
          <cell r="J1479" t="str">
            <v>CTC</v>
          </cell>
          <cell r="K1479" t="str">
            <v>YES</v>
          </cell>
        </row>
        <row r="1480">
          <cell r="I1480" t="str">
            <v>V35621</v>
          </cell>
          <cell r="J1480" t="str">
            <v>CTC</v>
          </cell>
          <cell r="K1480" t="str">
            <v>YES</v>
          </cell>
        </row>
        <row r="1481">
          <cell r="I1481" t="str">
            <v>V35643</v>
          </cell>
          <cell r="J1481" t="str">
            <v>CTC</v>
          </cell>
          <cell r="K1481" t="str">
            <v>YES</v>
          </cell>
        </row>
        <row r="1482">
          <cell r="I1482" t="str">
            <v>V35656</v>
          </cell>
          <cell r="J1482" t="str">
            <v>CTC</v>
          </cell>
          <cell r="K1482" t="str">
            <v>YES</v>
          </cell>
        </row>
        <row r="1483">
          <cell r="I1483" t="str">
            <v>V35659</v>
          </cell>
          <cell r="J1483" t="str">
            <v>CTC</v>
          </cell>
          <cell r="K1483" t="str">
            <v>YES</v>
          </cell>
        </row>
        <row r="1484">
          <cell r="I1484" t="str">
            <v>V35683</v>
          </cell>
          <cell r="J1484" t="str">
            <v>CTC</v>
          </cell>
          <cell r="K1484" t="str">
            <v>YES</v>
          </cell>
        </row>
        <row r="1485">
          <cell r="I1485" t="str">
            <v>V16322</v>
          </cell>
          <cell r="J1485" t="str">
            <v>CTC</v>
          </cell>
          <cell r="K1485" t="str">
            <v>YES</v>
          </cell>
        </row>
        <row r="1486">
          <cell r="I1486" t="str">
            <v>V16393</v>
          </cell>
          <cell r="J1486" t="str">
            <v>CTC</v>
          </cell>
          <cell r="K1486" t="str">
            <v>YES</v>
          </cell>
        </row>
        <row r="1487">
          <cell r="I1487" t="str">
            <v>V08637</v>
          </cell>
          <cell r="J1487" t="str">
            <v>CTC</v>
          </cell>
          <cell r="K1487" t="str">
            <v>YES</v>
          </cell>
        </row>
        <row r="1488">
          <cell r="I1488" t="str">
            <v>V44817</v>
          </cell>
          <cell r="J1488" t="str">
            <v>CTC</v>
          </cell>
          <cell r="K1488" t="str">
            <v>YES</v>
          </cell>
        </row>
        <row r="1489">
          <cell r="I1489" t="str">
            <v>V35970</v>
          </cell>
          <cell r="J1489" t="str">
            <v>CTC</v>
          </cell>
          <cell r="K1489" t="str">
            <v>YES</v>
          </cell>
        </row>
        <row r="1490">
          <cell r="I1490" t="str">
            <v>V37547</v>
          </cell>
          <cell r="J1490" t="str">
            <v>CTC</v>
          </cell>
          <cell r="K1490" t="str">
            <v>YES</v>
          </cell>
        </row>
        <row r="1491">
          <cell r="I1491" t="str">
            <v>V43311</v>
          </cell>
          <cell r="J1491" t="str">
            <v>CTC</v>
          </cell>
          <cell r="K1491" t="str">
            <v>YES</v>
          </cell>
        </row>
        <row r="1492">
          <cell r="I1492" t="str">
            <v>V29248</v>
          </cell>
          <cell r="J1492" t="str">
            <v>CTC</v>
          </cell>
          <cell r="K1492" t="str">
            <v>YES</v>
          </cell>
        </row>
        <row r="1493">
          <cell r="I1493" t="str">
            <v>V33287</v>
          </cell>
          <cell r="J1493" t="str">
            <v>CTC</v>
          </cell>
          <cell r="K1493" t="str">
            <v>YES</v>
          </cell>
        </row>
        <row r="1494">
          <cell r="I1494" t="str">
            <v>V33384</v>
          </cell>
          <cell r="J1494" t="str">
            <v>CTC</v>
          </cell>
          <cell r="K1494" t="str">
            <v>YES</v>
          </cell>
        </row>
        <row r="1495">
          <cell r="I1495" t="str">
            <v>V33630</v>
          </cell>
          <cell r="J1495" t="str">
            <v>CTC</v>
          </cell>
          <cell r="K1495" t="str">
            <v>YES</v>
          </cell>
        </row>
        <row r="1496">
          <cell r="I1496" t="str">
            <v>V34230</v>
          </cell>
          <cell r="J1496" t="str">
            <v>CTC</v>
          </cell>
          <cell r="K1496" t="str">
            <v>YES</v>
          </cell>
        </row>
        <row r="1497">
          <cell r="I1497" t="str">
            <v>V35105</v>
          </cell>
          <cell r="J1497" t="str">
            <v>CTC</v>
          </cell>
          <cell r="K1497" t="str">
            <v>YES</v>
          </cell>
        </row>
        <row r="1498">
          <cell r="I1498" t="str">
            <v>V36057</v>
          </cell>
          <cell r="J1498" t="str">
            <v>CTC</v>
          </cell>
          <cell r="K1498" t="str">
            <v>YES</v>
          </cell>
        </row>
        <row r="1499">
          <cell r="I1499" t="str">
            <v>V33091</v>
          </cell>
          <cell r="J1499" t="str">
            <v>CTC</v>
          </cell>
          <cell r="K1499" t="str">
            <v>YES</v>
          </cell>
        </row>
        <row r="1500">
          <cell r="I1500" t="str">
            <v>V42636</v>
          </cell>
          <cell r="J1500" t="str">
            <v>CTC</v>
          </cell>
          <cell r="K1500" t="str">
            <v>YES</v>
          </cell>
        </row>
        <row r="1501">
          <cell r="I1501" t="str">
            <v>V42638</v>
          </cell>
          <cell r="J1501" t="str">
            <v>CTC</v>
          </cell>
          <cell r="K1501" t="str">
            <v>YES</v>
          </cell>
        </row>
        <row r="1502">
          <cell r="I1502" t="str">
            <v>V42650</v>
          </cell>
          <cell r="J1502" t="str">
            <v>CTC</v>
          </cell>
          <cell r="K1502" t="str">
            <v>YES</v>
          </cell>
        </row>
        <row r="1503">
          <cell r="I1503" t="str">
            <v>V33409</v>
          </cell>
          <cell r="J1503" t="str">
            <v>CTC</v>
          </cell>
          <cell r="K1503" t="str">
            <v>YES</v>
          </cell>
        </row>
        <row r="1504">
          <cell r="I1504" t="str">
            <v>V19611</v>
          </cell>
          <cell r="J1504" t="str">
            <v>CTC</v>
          </cell>
          <cell r="K1504" t="str">
            <v>YES</v>
          </cell>
        </row>
        <row r="1505">
          <cell r="I1505" t="str">
            <v>V42646</v>
          </cell>
          <cell r="J1505" t="str">
            <v>CTC</v>
          </cell>
          <cell r="K1505" t="str">
            <v>YES</v>
          </cell>
        </row>
        <row r="1506">
          <cell r="I1506" t="str">
            <v>V35529</v>
          </cell>
          <cell r="J1506" t="str">
            <v>CTC</v>
          </cell>
          <cell r="K1506" t="str">
            <v>YES</v>
          </cell>
        </row>
        <row r="1507">
          <cell r="I1507" t="str">
            <v>V2S1685</v>
          </cell>
          <cell r="J1507" t="str">
            <v>CTC</v>
          </cell>
          <cell r="K1507" t="str">
            <v>YES</v>
          </cell>
        </row>
        <row r="1508">
          <cell r="I1508" t="str">
            <v>V32572</v>
          </cell>
          <cell r="J1508" t="str">
            <v>CTC</v>
          </cell>
          <cell r="K1508" t="str">
            <v>YES</v>
          </cell>
        </row>
        <row r="1509">
          <cell r="I1509" t="str">
            <v>V40176</v>
          </cell>
          <cell r="J1509" t="str">
            <v>CTC</v>
          </cell>
          <cell r="K1509" t="str">
            <v>YES</v>
          </cell>
        </row>
        <row r="1510">
          <cell r="I1510" t="str">
            <v>V45480</v>
          </cell>
          <cell r="J1510" t="str">
            <v>CTC</v>
          </cell>
          <cell r="K1510" t="str">
            <v>YES</v>
          </cell>
        </row>
        <row r="1511">
          <cell r="I1511" t="str">
            <v>V44791</v>
          </cell>
          <cell r="J1511" t="str">
            <v>CTC</v>
          </cell>
          <cell r="K1511" t="str">
            <v>YES</v>
          </cell>
        </row>
        <row r="1512">
          <cell r="I1512" t="str">
            <v>V44966</v>
          </cell>
          <cell r="J1512" t="str">
            <v>CTC</v>
          </cell>
          <cell r="K1512" t="str">
            <v>YES</v>
          </cell>
        </row>
        <row r="1513">
          <cell r="I1513" t="str">
            <v>V45175</v>
          </cell>
          <cell r="J1513" t="str">
            <v>CTC</v>
          </cell>
          <cell r="K1513" t="str">
            <v>YES</v>
          </cell>
        </row>
        <row r="1514">
          <cell r="I1514" t="str">
            <v>V30724</v>
          </cell>
          <cell r="J1514" t="str">
            <v>CTC</v>
          </cell>
          <cell r="K1514" t="str">
            <v>YES</v>
          </cell>
        </row>
        <row r="1515">
          <cell r="I1515" t="str">
            <v>V46157</v>
          </cell>
          <cell r="J1515" t="str">
            <v>CTC</v>
          </cell>
          <cell r="K1515" t="str">
            <v>YES</v>
          </cell>
        </row>
        <row r="1516">
          <cell r="I1516" t="str">
            <v>V42647</v>
          </cell>
          <cell r="J1516" t="str">
            <v>CTC</v>
          </cell>
          <cell r="K1516" t="str">
            <v>YES</v>
          </cell>
        </row>
        <row r="1517">
          <cell r="I1517" t="str">
            <v>V27406</v>
          </cell>
          <cell r="J1517" t="str">
            <v>CTC</v>
          </cell>
          <cell r="K1517" t="str">
            <v>YES</v>
          </cell>
        </row>
        <row r="1518">
          <cell r="I1518" t="str">
            <v>V35762</v>
          </cell>
          <cell r="J1518" t="str">
            <v>CTC</v>
          </cell>
          <cell r="K1518" t="str">
            <v>YES</v>
          </cell>
        </row>
        <row r="1519">
          <cell r="I1519" t="str">
            <v>V33199</v>
          </cell>
          <cell r="J1519" t="str">
            <v>CTC</v>
          </cell>
          <cell r="K1519" t="str">
            <v>YES</v>
          </cell>
        </row>
        <row r="1520">
          <cell r="I1520" t="str">
            <v>V11337</v>
          </cell>
          <cell r="J1520" t="str">
            <v>CTC</v>
          </cell>
          <cell r="K1520" t="str">
            <v>YES</v>
          </cell>
        </row>
        <row r="1521">
          <cell r="I1521" t="str">
            <v>V29697</v>
          </cell>
          <cell r="J1521" t="str">
            <v>CTC</v>
          </cell>
          <cell r="K1521" t="str">
            <v>YES</v>
          </cell>
        </row>
        <row r="1522">
          <cell r="I1522" t="str">
            <v>V42045</v>
          </cell>
          <cell r="J1522" t="str">
            <v>CTC</v>
          </cell>
          <cell r="K1522" t="str">
            <v>YES</v>
          </cell>
        </row>
        <row r="1523">
          <cell r="I1523" t="str">
            <v>V35352</v>
          </cell>
          <cell r="J1523" t="str">
            <v>CTC</v>
          </cell>
          <cell r="K1523" t="str">
            <v>YES</v>
          </cell>
        </row>
        <row r="1524">
          <cell r="I1524" t="str">
            <v>V30584</v>
          </cell>
          <cell r="J1524" t="str">
            <v>CTC</v>
          </cell>
          <cell r="K1524" t="str">
            <v>YES</v>
          </cell>
        </row>
        <row r="1525">
          <cell r="I1525" t="str">
            <v>V38946</v>
          </cell>
          <cell r="J1525" t="str">
            <v>CTC</v>
          </cell>
          <cell r="K1525" t="str">
            <v>YES</v>
          </cell>
        </row>
        <row r="1526">
          <cell r="I1526" t="str">
            <v>V27166</v>
          </cell>
          <cell r="J1526" t="str">
            <v>CTC</v>
          </cell>
          <cell r="K1526" t="str">
            <v>YES</v>
          </cell>
        </row>
        <row r="1527">
          <cell r="I1527" t="str">
            <v>V44814</v>
          </cell>
          <cell r="J1527" t="str">
            <v>CTC</v>
          </cell>
          <cell r="K1527" t="str">
            <v>YES</v>
          </cell>
        </row>
        <row r="1528">
          <cell r="I1528" t="str">
            <v>V35875</v>
          </cell>
          <cell r="J1528" t="str">
            <v>CTC</v>
          </cell>
          <cell r="K1528" t="str">
            <v>YES</v>
          </cell>
        </row>
        <row r="1529">
          <cell r="I1529" t="str">
            <v>V09183</v>
          </cell>
          <cell r="J1529" t="str">
            <v>CTC</v>
          </cell>
          <cell r="K1529" t="str">
            <v>YES</v>
          </cell>
        </row>
        <row r="1530">
          <cell r="I1530" t="str">
            <v>V36044</v>
          </cell>
          <cell r="J1530" t="str">
            <v>CTC</v>
          </cell>
          <cell r="K1530" t="str">
            <v>YES</v>
          </cell>
        </row>
        <row r="1531">
          <cell r="I1531" t="str">
            <v>V35033</v>
          </cell>
          <cell r="J1531" t="str">
            <v>CTC</v>
          </cell>
          <cell r="K1531" t="str">
            <v>YES</v>
          </cell>
        </row>
        <row r="1532">
          <cell r="I1532" t="str">
            <v>V06072</v>
          </cell>
          <cell r="J1532" t="str">
            <v>CTC</v>
          </cell>
          <cell r="K1532" t="str">
            <v>YES</v>
          </cell>
        </row>
        <row r="1533">
          <cell r="I1533" t="str">
            <v>V25350</v>
          </cell>
          <cell r="J1533" t="str">
            <v>CTC</v>
          </cell>
          <cell r="K1533" t="str">
            <v>YES</v>
          </cell>
        </row>
        <row r="1534">
          <cell r="I1534" t="str">
            <v>V33224</v>
          </cell>
          <cell r="J1534" t="str">
            <v>CTC</v>
          </cell>
          <cell r="K1534" t="str">
            <v>YES</v>
          </cell>
        </row>
        <row r="1535">
          <cell r="I1535" t="str">
            <v>V43294</v>
          </cell>
          <cell r="J1535" t="str">
            <v>CTC</v>
          </cell>
          <cell r="K1535" t="str">
            <v>YES</v>
          </cell>
        </row>
        <row r="1536">
          <cell r="I1536" t="str">
            <v>V33905</v>
          </cell>
          <cell r="J1536" t="str">
            <v>CTC</v>
          </cell>
          <cell r="K1536" t="str">
            <v>YES</v>
          </cell>
        </row>
        <row r="1537">
          <cell r="I1537" t="str">
            <v>V41828</v>
          </cell>
          <cell r="J1537" t="str">
            <v>CTC</v>
          </cell>
          <cell r="K1537" t="str">
            <v>YES</v>
          </cell>
        </row>
        <row r="1538">
          <cell r="I1538" t="str">
            <v>V41153</v>
          </cell>
          <cell r="J1538" t="str">
            <v>CTC</v>
          </cell>
          <cell r="K1538" t="str">
            <v>YES</v>
          </cell>
        </row>
        <row r="1539">
          <cell r="I1539" t="str">
            <v>V42040</v>
          </cell>
          <cell r="J1539" t="str">
            <v>CTC</v>
          </cell>
          <cell r="K1539" t="str">
            <v>YES</v>
          </cell>
        </row>
        <row r="1540">
          <cell r="I1540" t="str">
            <v>V38538</v>
          </cell>
          <cell r="J1540" t="str">
            <v>CTC</v>
          </cell>
          <cell r="K1540" t="str">
            <v>YES</v>
          </cell>
        </row>
        <row r="1541">
          <cell r="I1541" t="str">
            <v>V11584</v>
          </cell>
          <cell r="J1541" t="str">
            <v>CTC</v>
          </cell>
          <cell r="K1541" t="str">
            <v>YES</v>
          </cell>
        </row>
        <row r="1542">
          <cell r="I1542" t="str">
            <v>V33620</v>
          </cell>
          <cell r="J1542" t="str">
            <v>CTC</v>
          </cell>
          <cell r="K1542" t="str">
            <v>YES</v>
          </cell>
        </row>
        <row r="1543">
          <cell r="I1543" t="str">
            <v>V29710</v>
          </cell>
          <cell r="J1543" t="str">
            <v>CTC</v>
          </cell>
          <cell r="K1543" t="str">
            <v>YES</v>
          </cell>
        </row>
        <row r="1544">
          <cell r="I1544" t="str">
            <v>V01054</v>
          </cell>
          <cell r="J1544" t="str">
            <v>CTC</v>
          </cell>
          <cell r="K1544" t="str">
            <v>YES</v>
          </cell>
        </row>
        <row r="1545">
          <cell r="I1545" t="str">
            <v>V37569</v>
          </cell>
          <cell r="J1545" t="str">
            <v>CTC</v>
          </cell>
          <cell r="K1545" t="str">
            <v>YES</v>
          </cell>
        </row>
        <row r="1546">
          <cell r="I1546" t="str">
            <v>V45207</v>
          </cell>
          <cell r="J1546" t="str">
            <v>CTC</v>
          </cell>
          <cell r="K1546" t="str">
            <v>YES</v>
          </cell>
        </row>
        <row r="1547">
          <cell r="I1547" t="str">
            <v>V42665</v>
          </cell>
          <cell r="J1547" t="str">
            <v>CTC</v>
          </cell>
          <cell r="K1547" t="str">
            <v>YES</v>
          </cell>
        </row>
        <row r="1548">
          <cell r="I1548" t="str">
            <v>V41733</v>
          </cell>
          <cell r="J1548" t="str">
            <v>CTC</v>
          </cell>
          <cell r="K1548" t="str">
            <v>YES</v>
          </cell>
        </row>
        <row r="1549">
          <cell r="I1549" t="str">
            <v>V35650</v>
          </cell>
          <cell r="J1549" t="str">
            <v>CTC</v>
          </cell>
          <cell r="K1549" t="str">
            <v>YES</v>
          </cell>
        </row>
        <row r="1550">
          <cell r="I1550" t="str">
            <v>V19780</v>
          </cell>
          <cell r="J1550" t="str">
            <v>CTC</v>
          </cell>
          <cell r="K1550" t="str">
            <v>YES</v>
          </cell>
        </row>
        <row r="1551">
          <cell r="I1551" t="str">
            <v>V33897</v>
          </cell>
          <cell r="J1551" t="str">
            <v>CTC</v>
          </cell>
          <cell r="K1551" t="str">
            <v>YES</v>
          </cell>
        </row>
        <row r="1552">
          <cell r="I1552" t="str">
            <v>V16385</v>
          </cell>
          <cell r="J1552" t="str">
            <v>CTC</v>
          </cell>
          <cell r="K1552" t="str">
            <v>YES</v>
          </cell>
        </row>
        <row r="1553">
          <cell r="I1553" t="str">
            <v>V47830</v>
          </cell>
          <cell r="J1553" t="str">
            <v>CTC</v>
          </cell>
          <cell r="K1553" t="str">
            <v>YES</v>
          </cell>
        </row>
        <row r="1554">
          <cell r="I1554" t="str">
            <v>V43141</v>
          </cell>
          <cell r="J1554" t="str">
            <v>CTC</v>
          </cell>
          <cell r="K1554" t="str">
            <v>YES</v>
          </cell>
        </row>
        <row r="1555">
          <cell r="I1555" t="str">
            <v>V41000</v>
          </cell>
          <cell r="J1555" t="str">
            <v>CTC</v>
          </cell>
          <cell r="K1555" t="str">
            <v>YES</v>
          </cell>
        </row>
        <row r="1556">
          <cell r="I1556" t="str">
            <v>V45171</v>
          </cell>
          <cell r="J1556" t="str">
            <v>CTC</v>
          </cell>
          <cell r="K1556" t="str">
            <v>YES</v>
          </cell>
        </row>
        <row r="1557">
          <cell r="I1557" t="str">
            <v>V41382</v>
          </cell>
          <cell r="J1557" t="str">
            <v>CTC</v>
          </cell>
          <cell r="K1557" t="str">
            <v>YES</v>
          </cell>
        </row>
        <row r="1558">
          <cell r="I1558" t="str">
            <v>V32851</v>
          </cell>
          <cell r="J1558" t="str">
            <v>CTC</v>
          </cell>
          <cell r="K1558" t="str">
            <v>YES</v>
          </cell>
        </row>
        <row r="1559">
          <cell r="I1559" t="str">
            <v>V45183</v>
          </cell>
          <cell r="J1559" t="str">
            <v>CTC</v>
          </cell>
          <cell r="K1559" t="str">
            <v>YES</v>
          </cell>
        </row>
        <row r="1560">
          <cell r="I1560" t="str">
            <v>V31735</v>
          </cell>
          <cell r="J1560" t="str">
            <v>CTC</v>
          </cell>
          <cell r="K1560" t="str">
            <v>YES</v>
          </cell>
        </row>
        <row r="1561">
          <cell r="I1561" t="str">
            <v>V37590</v>
          </cell>
          <cell r="J1561" t="str">
            <v>CTC</v>
          </cell>
          <cell r="K1561" t="str">
            <v>YES</v>
          </cell>
        </row>
        <row r="1562">
          <cell r="I1562" t="str">
            <v>V42818</v>
          </cell>
          <cell r="J1562" t="str">
            <v>CTC</v>
          </cell>
          <cell r="K1562" t="str">
            <v>YES</v>
          </cell>
        </row>
        <row r="1563">
          <cell r="I1563" t="str">
            <v>V44783</v>
          </cell>
          <cell r="J1563" t="str">
            <v>CTC</v>
          </cell>
          <cell r="K1563" t="str">
            <v>YES</v>
          </cell>
        </row>
        <row r="1564">
          <cell r="I1564" t="str">
            <v>V29171</v>
          </cell>
          <cell r="J1564" t="str">
            <v>CTC</v>
          </cell>
          <cell r="K1564" t="str">
            <v>YES</v>
          </cell>
        </row>
        <row r="1565">
          <cell r="I1565" t="str">
            <v>V29691</v>
          </cell>
          <cell r="J1565" t="str">
            <v>CTC</v>
          </cell>
          <cell r="K1565" t="str">
            <v>YES</v>
          </cell>
        </row>
        <row r="1566">
          <cell r="I1566" t="str">
            <v>V22974</v>
          </cell>
          <cell r="J1566" t="str">
            <v>CTC</v>
          </cell>
          <cell r="K1566" t="str">
            <v>YES</v>
          </cell>
        </row>
        <row r="1567">
          <cell r="I1567" t="str">
            <v>V24685</v>
          </cell>
          <cell r="J1567" t="str">
            <v>CTC</v>
          </cell>
          <cell r="K1567" t="str">
            <v>YES</v>
          </cell>
        </row>
        <row r="1568">
          <cell r="I1568" t="str">
            <v>V23770</v>
          </cell>
          <cell r="J1568" t="str">
            <v>CTC</v>
          </cell>
          <cell r="K1568" t="str">
            <v>YES</v>
          </cell>
        </row>
        <row r="1569">
          <cell r="I1569" t="str">
            <v>V24780</v>
          </cell>
          <cell r="J1569" t="str">
            <v>CTC</v>
          </cell>
          <cell r="K1569" t="str">
            <v>YES</v>
          </cell>
        </row>
        <row r="1570">
          <cell r="I1570" t="str">
            <v>V42817</v>
          </cell>
          <cell r="J1570" t="str">
            <v>CTC</v>
          </cell>
          <cell r="K1570" t="str">
            <v>YES</v>
          </cell>
        </row>
        <row r="1571">
          <cell r="I1571" t="str">
            <v>V07280</v>
          </cell>
          <cell r="J1571" t="str">
            <v>CTC</v>
          </cell>
          <cell r="K1571" t="str">
            <v>YES</v>
          </cell>
        </row>
        <row r="1572">
          <cell r="I1572" t="str">
            <v>V44821</v>
          </cell>
          <cell r="J1572" t="str">
            <v>CTC</v>
          </cell>
          <cell r="K1572" t="str">
            <v>YES</v>
          </cell>
        </row>
        <row r="1573">
          <cell r="I1573" t="str">
            <v>V16883</v>
          </cell>
          <cell r="J1573" t="str">
            <v>CTC</v>
          </cell>
          <cell r="K1573" t="str">
            <v>YES</v>
          </cell>
        </row>
        <row r="1574">
          <cell r="I1574" t="str">
            <v>V33924</v>
          </cell>
          <cell r="J1574" t="str">
            <v>CTC</v>
          </cell>
          <cell r="K1574" t="str">
            <v>YES</v>
          </cell>
        </row>
        <row r="1575">
          <cell r="I1575" t="str">
            <v>V33729</v>
          </cell>
          <cell r="J1575" t="str">
            <v>CTC</v>
          </cell>
          <cell r="K1575" t="str">
            <v>YES</v>
          </cell>
        </row>
        <row r="1576">
          <cell r="I1576" t="str">
            <v>V43334</v>
          </cell>
          <cell r="J1576" t="str">
            <v>CTC</v>
          </cell>
          <cell r="K1576" t="str">
            <v>YES</v>
          </cell>
        </row>
        <row r="1577">
          <cell r="I1577" t="str">
            <v>V10226</v>
          </cell>
          <cell r="J1577" t="str">
            <v>CTC</v>
          </cell>
          <cell r="K1577" t="str">
            <v>YES</v>
          </cell>
        </row>
        <row r="1578">
          <cell r="I1578" t="str">
            <v>V21607</v>
          </cell>
          <cell r="J1578" t="str">
            <v>CTC</v>
          </cell>
          <cell r="K1578" t="str">
            <v>YES</v>
          </cell>
        </row>
        <row r="1579">
          <cell r="I1579" t="str">
            <v>V22304</v>
          </cell>
          <cell r="J1579" t="str">
            <v>CTC</v>
          </cell>
          <cell r="K1579" t="str">
            <v>YES</v>
          </cell>
        </row>
        <row r="1580">
          <cell r="I1580" t="str">
            <v>V22582</v>
          </cell>
          <cell r="J1580" t="str">
            <v>CTC</v>
          </cell>
          <cell r="K1580" t="str">
            <v>YES</v>
          </cell>
        </row>
        <row r="1581">
          <cell r="I1581" t="str">
            <v>V08213</v>
          </cell>
          <cell r="J1581" t="str">
            <v>CTC</v>
          </cell>
          <cell r="K1581" t="str">
            <v>YES</v>
          </cell>
        </row>
        <row r="1582">
          <cell r="I1582" t="str">
            <v>V41818</v>
          </cell>
          <cell r="J1582" t="str">
            <v>CTC</v>
          </cell>
          <cell r="K1582" t="str">
            <v>YES</v>
          </cell>
        </row>
        <row r="1583">
          <cell r="I1583" t="str">
            <v>V36420</v>
          </cell>
          <cell r="J1583" t="str">
            <v>CTC</v>
          </cell>
          <cell r="K1583" t="str">
            <v>YES</v>
          </cell>
        </row>
        <row r="1584">
          <cell r="I1584" t="str">
            <v>V31998</v>
          </cell>
          <cell r="J1584" t="str">
            <v>CTC</v>
          </cell>
          <cell r="K1584" t="str">
            <v>YES</v>
          </cell>
        </row>
        <row r="1585">
          <cell r="I1585" t="str">
            <v>V15828</v>
          </cell>
          <cell r="J1585" t="str">
            <v>CTC</v>
          </cell>
          <cell r="K1585" t="str">
            <v>YES</v>
          </cell>
        </row>
        <row r="1586">
          <cell r="I1586" t="str">
            <v>V41834</v>
          </cell>
          <cell r="J1586" t="str">
            <v>CTC</v>
          </cell>
          <cell r="K1586" t="str">
            <v>YES</v>
          </cell>
        </row>
        <row r="1587">
          <cell r="I1587" t="str">
            <v>V26329</v>
          </cell>
          <cell r="J1587" t="str">
            <v>CTC</v>
          </cell>
          <cell r="K1587" t="str">
            <v>YES</v>
          </cell>
        </row>
        <row r="1588">
          <cell r="I1588" t="str">
            <v>V31353</v>
          </cell>
          <cell r="J1588" t="str">
            <v>CTC</v>
          </cell>
          <cell r="K1588" t="str">
            <v>YES</v>
          </cell>
        </row>
        <row r="1589">
          <cell r="I1589" t="str">
            <v>V48558</v>
          </cell>
          <cell r="J1589" t="str">
            <v>CTC</v>
          </cell>
          <cell r="K1589" t="str">
            <v>YES</v>
          </cell>
        </row>
        <row r="1590">
          <cell r="I1590" t="str">
            <v>V24219</v>
          </cell>
          <cell r="J1590" t="str">
            <v>CTC</v>
          </cell>
          <cell r="K1590" t="str">
            <v>YES</v>
          </cell>
        </row>
        <row r="1591">
          <cell r="I1591" t="str">
            <v>V45205</v>
          </cell>
          <cell r="J1591" t="str">
            <v>CTC</v>
          </cell>
          <cell r="K1591" t="str">
            <v>YES</v>
          </cell>
        </row>
        <row r="1592">
          <cell r="I1592" t="str">
            <v>V36538</v>
          </cell>
          <cell r="J1592" t="str">
            <v>CTC</v>
          </cell>
          <cell r="K1592" t="str">
            <v>YES</v>
          </cell>
        </row>
        <row r="1593">
          <cell r="I1593" t="str">
            <v>V25841</v>
          </cell>
          <cell r="J1593" t="str">
            <v>CTC</v>
          </cell>
          <cell r="K1593" t="str">
            <v>YES</v>
          </cell>
        </row>
        <row r="1594">
          <cell r="I1594" t="str">
            <v>V42595</v>
          </cell>
          <cell r="J1594" t="str">
            <v>CTC</v>
          </cell>
          <cell r="K1594" t="str">
            <v>YES</v>
          </cell>
        </row>
        <row r="1595">
          <cell r="I1595" t="str">
            <v>V25229</v>
          </cell>
          <cell r="J1595" t="str">
            <v>CTC</v>
          </cell>
          <cell r="K1595" t="str">
            <v>YES</v>
          </cell>
        </row>
        <row r="1596">
          <cell r="I1596" t="str">
            <v>V29729</v>
          </cell>
          <cell r="J1596" t="str">
            <v>CTC</v>
          </cell>
          <cell r="K1596" t="str">
            <v>YES</v>
          </cell>
        </row>
        <row r="1597">
          <cell r="I1597" t="str">
            <v>V42098</v>
          </cell>
          <cell r="J1597" t="str">
            <v>CTC</v>
          </cell>
          <cell r="K1597" t="str">
            <v>YES</v>
          </cell>
        </row>
        <row r="1598">
          <cell r="I1598" t="str">
            <v>V09991</v>
          </cell>
          <cell r="J1598" t="str">
            <v>CTC</v>
          </cell>
          <cell r="K1598" t="str">
            <v>YES</v>
          </cell>
        </row>
        <row r="1599">
          <cell r="I1599" t="str">
            <v>V15066</v>
          </cell>
          <cell r="J1599" t="str">
            <v>CTC</v>
          </cell>
          <cell r="K1599" t="str">
            <v>YES</v>
          </cell>
        </row>
        <row r="1600">
          <cell r="I1600" t="str">
            <v>V30536</v>
          </cell>
          <cell r="J1600" t="str">
            <v>CTC</v>
          </cell>
          <cell r="K1600" t="str">
            <v>YES</v>
          </cell>
        </row>
        <row r="1601">
          <cell r="I1601" t="str">
            <v>V22023</v>
          </cell>
          <cell r="J1601" t="str">
            <v>CTC</v>
          </cell>
          <cell r="K1601" t="str">
            <v>YES</v>
          </cell>
        </row>
        <row r="1602">
          <cell r="I1602" t="str">
            <v>V36537</v>
          </cell>
          <cell r="J1602" t="str">
            <v>CTC</v>
          </cell>
          <cell r="K1602" t="str">
            <v>YES</v>
          </cell>
        </row>
        <row r="1603">
          <cell r="I1603" t="str">
            <v>V2S1394</v>
          </cell>
          <cell r="J1603" t="str">
            <v>CTC</v>
          </cell>
          <cell r="K1603" t="str">
            <v>YES</v>
          </cell>
        </row>
        <row r="1604">
          <cell r="I1604" t="str">
            <v>V21827</v>
          </cell>
          <cell r="J1604" t="str">
            <v>CTC</v>
          </cell>
          <cell r="K1604" t="str">
            <v>YES</v>
          </cell>
        </row>
        <row r="1605">
          <cell r="I1605" t="str">
            <v>V26470</v>
          </cell>
          <cell r="J1605" t="str">
            <v>CTC</v>
          </cell>
          <cell r="K1605" t="str">
            <v>YES</v>
          </cell>
        </row>
        <row r="1606">
          <cell r="I1606" t="str">
            <v>V26662</v>
          </cell>
          <cell r="J1606" t="str">
            <v>CTC</v>
          </cell>
          <cell r="K1606" t="str">
            <v>YES</v>
          </cell>
        </row>
        <row r="1607">
          <cell r="I1607" t="str">
            <v>V45203</v>
          </cell>
          <cell r="J1607" t="str">
            <v>CTC</v>
          </cell>
          <cell r="K1607" t="str">
            <v>YES</v>
          </cell>
        </row>
        <row r="1608">
          <cell r="I1608" t="str">
            <v>V45194</v>
          </cell>
          <cell r="J1608" t="str">
            <v>CTC</v>
          </cell>
          <cell r="K1608" t="str">
            <v>YES</v>
          </cell>
        </row>
        <row r="1609">
          <cell r="I1609" t="str">
            <v>V03487</v>
          </cell>
          <cell r="J1609" t="str">
            <v>CTC</v>
          </cell>
          <cell r="K1609" t="str">
            <v>YES</v>
          </cell>
        </row>
        <row r="1610">
          <cell r="I1610" t="str">
            <v>V24719</v>
          </cell>
          <cell r="J1610" t="str">
            <v>CTC</v>
          </cell>
          <cell r="K1610" t="str">
            <v>YES</v>
          </cell>
        </row>
        <row r="1611">
          <cell r="I1611" t="str">
            <v>V32579</v>
          </cell>
          <cell r="J1611" t="str">
            <v>CTC</v>
          </cell>
          <cell r="K1611" t="str">
            <v>YES</v>
          </cell>
        </row>
        <row r="1612">
          <cell r="I1612" t="str">
            <v>V38082</v>
          </cell>
          <cell r="J1612" t="str">
            <v>CTC</v>
          </cell>
          <cell r="K1612" t="str">
            <v>YES</v>
          </cell>
        </row>
        <row r="1613">
          <cell r="I1613" t="str">
            <v>V39829</v>
          </cell>
          <cell r="J1613" t="str">
            <v>CTC</v>
          </cell>
          <cell r="K1613" t="str">
            <v>YES</v>
          </cell>
        </row>
        <row r="1614">
          <cell r="I1614" t="str">
            <v>V41292</v>
          </cell>
          <cell r="J1614" t="str">
            <v>CTC</v>
          </cell>
          <cell r="K1614" t="str">
            <v>YES</v>
          </cell>
        </row>
        <row r="1615">
          <cell r="I1615" t="str">
            <v>V05868</v>
          </cell>
          <cell r="J1615" t="str">
            <v>CTC</v>
          </cell>
          <cell r="K1615" t="str">
            <v>YES</v>
          </cell>
        </row>
        <row r="1616">
          <cell r="I1616" t="str">
            <v>V36052</v>
          </cell>
          <cell r="J1616" t="str">
            <v>CTC</v>
          </cell>
          <cell r="K1616" t="str">
            <v>YES</v>
          </cell>
        </row>
        <row r="1617">
          <cell r="I1617" t="str">
            <v>V25165</v>
          </cell>
          <cell r="J1617" t="str">
            <v>CTC</v>
          </cell>
          <cell r="K1617" t="str">
            <v>YES</v>
          </cell>
        </row>
        <row r="1618">
          <cell r="I1618" t="str">
            <v>V24715</v>
          </cell>
          <cell r="J1618" t="str">
            <v>CTC</v>
          </cell>
          <cell r="K1618" t="str">
            <v>YES</v>
          </cell>
        </row>
        <row r="1619">
          <cell r="I1619" t="str">
            <v>V26658</v>
          </cell>
          <cell r="J1619" t="str">
            <v>CTC</v>
          </cell>
          <cell r="K1619" t="str">
            <v>YES</v>
          </cell>
        </row>
        <row r="1620">
          <cell r="I1620" t="str">
            <v>V38870</v>
          </cell>
          <cell r="J1620" t="str">
            <v>CTC</v>
          </cell>
          <cell r="K1620" t="str">
            <v>YES</v>
          </cell>
        </row>
        <row r="1621">
          <cell r="I1621" t="str">
            <v>V41962</v>
          </cell>
          <cell r="J1621" t="str">
            <v>CTC</v>
          </cell>
          <cell r="K1621" t="str">
            <v>YES</v>
          </cell>
        </row>
        <row r="1622">
          <cell r="I1622" t="str">
            <v>V33874</v>
          </cell>
          <cell r="J1622" t="str">
            <v>CTC</v>
          </cell>
          <cell r="K1622" t="str">
            <v>YES</v>
          </cell>
        </row>
        <row r="1623">
          <cell r="I1623" t="str">
            <v>V11794</v>
          </cell>
          <cell r="J1623" t="str">
            <v>CTC</v>
          </cell>
          <cell r="K1623" t="str">
            <v>YES</v>
          </cell>
        </row>
        <row r="1624">
          <cell r="I1624" t="str">
            <v>V08605</v>
          </cell>
          <cell r="J1624" t="str">
            <v>CTC</v>
          </cell>
          <cell r="K1624" t="str">
            <v>YES</v>
          </cell>
        </row>
        <row r="1625">
          <cell r="I1625" t="str">
            <v>V40406</v>
          </cell>
          <cell r="J1625" t="str">
            <v>CTC</v>
          </cell>
          <cell r="K1625" t="str">
            <v>YES</v>
          </cell>
        </row>
        <row r="1626">
          <cell r="I1626" t="str">
            <v>V17324</v>
          </cell>
          <cell r="J1626" t="str">
            <v>CTC</v>
          </cell>
          <cell r="K1626" t="str">
            <v>YES</v>
          </cell>
        </row>
        <row r="1627">
          <cell r="I1627" t="str">
            <v>V21396</v>
          </cell>
          <cell r="J1627" t="str">
            <v>CTC</v>
          </cell>
          <cell r="K1627" t="str">
            <v>YES</v>
          </cell>
        </row>
        <row r="1628">
          <cell r="I1628" t="str">
            <v>V44854</v>
          </cell>
          <cell r="J1628" t="str">
            <v>CTC</v>
          </cell>
          <cell r="K1628" t="str">
            <v>YES</v>
          </cell>
        </row>
        <row r="1629">
          <cell r="I1629" t="str">
            <v>V11805</v>
          </cell>
          <cell r="J1629" t="str">
            <v>CTC</v>
          </cell>
          <cell r="K1629" t="str">
            <v>YES</v>
          </cell>
        </row>
        <row r="1630">
          <cell r="I1630" t="str">
            <v>V38781</v>
          </cell>
          <cell r="J1630" t="str">
            <v>CTC</v>
          </cell>
          <cell r="K1630" t="str">
            <v>YES</v>
          </cell>
        </row>
        <row r="1631">
          <cell r="I1631" t="str">
            <v>V29393</v>
          </cell>
          <cell r="J1631" t="str">
            <v>CTC</v>
          </cell>
          <cell r="K1631" t="str">
            <v>YES</v>
          </cell>
        </row>
        <row r="1632">
          <cell r="I1632" t="str">
            <v>V15214</v>
          </cell>
          <cell r="J1632" t="str">
            <v>CTC</v>
          </cell>
          <cell r="K1632" t="str">
            <v>YES</v>
          </cell>
        </row>
        <row r="1633">
          <cell r="I1633" t="str">
            <v>V36606</v>
          </cell>
          <cell r="J1633" t="str">
            <v>CTC</v>
          </cell>
          <cell r="K1633" t="str">
            <v>YES</v>
          </cell>
        </row>
        <row r="1634">
          <cell r="I1634" t="str">
            <v>V41827</v>
          </cell>
          <cell r="J1634" t="str">
            <v>CTC</v>
          </cell>
          <cell r="K1634" t="str">
            <v>YES</v>
          </cell>
        </row>
        <row r="1635">
          <cell r="I1635" t="str">
            <v>V21756</v>
          </cell>
          <cell r="J1635" t="str">
            <v>CTC</v>
          </cell>
          <cell r="K1635" t="str">
            <v>YES</v>
          </cell>
        </row>
        <row r="1636">
          <cell r="I1636" t="str">
            <v>V01400</v>
          </cell>
          <cell r="J1636" t="str">
            <v>CTC</v>
          </cell>
          <cell r="K1636" t="str">
            <v>YES</v>
          </cell>
        </row>
        <row r="1637">
          <cell r="I1637" t="str">
            <v>V29392</v>
          </cell>
          <cell r="J1637" t="str">
            <v>CTC</v>
          </cell>
          <cell r="K1637" t="str">
            <v>YES</v>
          </cell>
        </row>
        <row r="1638">
          <cell r="I1638" t="str">
            <v>V20698</v>
          </cell>
          <cell r="J1638" t="str">
            <v>CTC</v>
          </cell>
          <cell r="K1638" t="str">
            <v>YES</v>
          </cell>
        </row>
        <row r="1639">
          <cell r="I1639" t="str">
            <v>V42314</v>
          </cell>
          <cell r="J1639" t="str">
            <v>CTC</v>
          </cell>
          <cell r="K1639" t="str">
            <v>YES</v>
          </cell>
        </row>
        <row r="1640">
          <cell r="I1640" t="str">
            <v>V16492</v>
          </cell>
          <cell r="J1640" t="str">
            <v>CTC</v>
          </cell>
          <cell r="K1640" t="str">
            <v>YES</v>
          </cell>
        </row>
        <row r="1641">
          <cell r="I1641" t="str">
            <v>V35083</v>
          </cell>
          <cell r="J1641" t="str">
            <v>CTC</v>
          </cell>
          <cell r="K1641" t="str">
            <v>YES</v>
          </cell>
        </row>
        <row r="1642">
          <cell r="I1642" t="str">
            <v>V36295</v>
          </cell>
          <cell r="J1642" t="str">
            <v>CTC</v>
          </cell>
          <cell r="K1642" t="str">
            <v>YES</v>
          </cell>
        </row>
        <row r="1643">
          <cell r="I1643" t="str">
            <v>V29709</v>
          </cell>
          <cell r="J1643" t="str">
            <v>CTC</v>
          </cell>
          <cell r="K1643" t="str">
            <v>YES</v>
          </cell>
        </row>
        <row r="1644">
          <cell r="I1644" t="str">
            <v>V40356</v>
          </cell>
          <cell r="J1644" t="str">
            <v>CTC</v>
          </cell>
          <cell r="K1644" t="str">
            <v>YES</v>
          </cell>
        </row>
        <row r="1645">
          <cell r="I1645" t="str">
            <v>V40090</v>
          </cell>
          <cell r="J1645" t="str">
            <v>CTC</v>
          </cell>
          <cell r="K1645" t="str">
            <v>YES</v>
          </cell>
        </row>
        <row r="1646">
          <cell r="I1646" t="str">
            <v>V22376</v>
          </cell>
          <cell r="J1646" t="str">
            <v>CTC</v>
          </cell>
          <cell r="K1646" t="str">
            <v>YES</v>
          </cell>
        </row>
        <row r="1647">
          <cell r="I1647" t="str">
            <v>V2S1399</v>
          </cell>
          <cell r="J1647" t="str">
            <v>CTC</v>
          </cell>
          <cell r="K1647" t="str">
            <v>YES</v>
          </cell>
        </row>
        <row r="1648">
          <cell r="I1648" t="str">
            <v>V06447</v>
          </cell>
          <cell r="J1648" t="str">
            <v>CTC</v>
          </cell>
          <cell r="K1648" t="str">
            <v>YES</v>
          </cell>
        </row>
        <row r="1649">
          <cell r="I1649" t="str">
            <v>V07765</v>
          </cell>
          <cell r="J1649" t="str">
            <v>CTC</v>
          </cell>
          <cell r="K1649" t="str">
            <v>YES</v>
          </cell>
        </row>
        <row r="1650">
          <cell r="I1650" t="str">
            <v>V06719</v>
          </cell>
          <cell r="J1650" t="str">
            <v>CTC</v>
          </cell>
          <cell r="K1650" t="str">
            <v>YES</v>
          </cell>
        </row>
        <row r="1651">
          <cell r="I1651" t="str">
            <v>V22310</v>
          </cell>
          <cell r="J1651" t="str">
            <v>CTC</v>
          </cell>
          <cell r="K1651" t="str">
            <v>YES</v>
          </cell>
        </row>
        <row r="1652">
          <cell r="I1652" t="str">
            <v>V41835</v>
          </cell>
          <cell r="J1652" t="str">
            <v>CTC</v>
          </cell>
          <cell r="K1652" t="str">
            <v>YES</v>
          </cell>
        </row>
        <row r="1653">
          <cell r="I1653" t="str">
            <v>V47552</v>
          </cell>
          <cell r="J1653" t="str">
            <v>CTC</v>
          </cell>
          <cell r="K1653" t="str">
            <v>YES</v>
          </cell>
        </row>
        <row r="1654">
          <cell r="I1654" t="str">
            <v>V13011</v>
          </cell>
          <cell r="J1654" t="str">
            <v>CTC</v>
          </cell>
          <cell r="K1654" t="str">
            <v>YES</v>
          </cell>
        </row>
        <row r="1655">
          <cell r="I1655" t="str">
            <v>V23986</v>
          </cell>
          <cell r="J1655" t="str">
            <v>CTC</v>
          </cell>
          <cell r="K1655" t="str">
            <v>YES</v>
          </cell>
        </row>
        <row r="1656">
          <cell r="I1656" t="str">
            <v>V14803</v>
          </cell>
          <cell r="J1656" t="str">
            <v>CTC</v>
          </cell>
          <cell r="K1656" t="str">
            <v>YES</v>
          </cell>
        </row>
        <row r="1657">
          <cell r="I1657" t="str">
            <v>V28320</v>
          </cell>
          <cell r="J1657" t="str">
            <v>CTC</v>
          </cell>
          <cell r="K1657" t="str">
            <v>YES</v>
          </cell>
        </row>
        <row r="1658">
          <cell r="I1658" t="str">
            <v>V29501</v>
          </cell>
          <cell r="J1658" t="str">
            <v>CTC</v>
          </cell>
          <cell r="K1658" t="str">
            <v>YES</v>
          </cell>
        </row>
        <row r="1659">
          <cell r="I1659" t="str">
            <v>V2S365</v>
          </cell>
          <cell r="J1659" t="str">
            <v>CTC</v>
          </cell>
          <cell r="K1659" t="str">
            <v>YES</v>
          </cell>
        </row>
        <row r="1660">
          <cell r="I1660" t="str">
            <v>V30568</v>
          </cell>
          <cell r="J1660" t="str">
            <v>CTC</v>
          </cell>
          <cell r="K1660" t="str">
            <v>YES</v>
          </cell>
        </row>
        <row r="1661">
          <cell r="I1661" t="str">
            <v>V40072</v>
          </cell>
          <cell r="J1661" t="str">
            <v>CTC</v>
          </cell>
          <cell r="K1661" t="str">
            <v>YES</v>
          </cell>
        </row>
        <row r="1662">
          <cell r="I1662" t="str">
            <v>V41008</v>
          </cell>
          <cell r="J1662" t="str">
            <v>CTC</v>
          </cell>
          <cell r="K1662" t="str">
            <v>YES</v>
          </cell>
        </row>
        <row r="1663">
          <cell r="I1663" t="str">
            <v>V43455</v>
          </cell>
          <cell r="J1663" t="str">
            <v>CTC</v>
          </cell>
          <cell r="K1663" t="str">
            <v>YES</v>
          </cell>
        </row>
        <row r="1664">
          <cell r="I1664" t="str">
            <v>V29413</v>
          </cell>
          <cell r="J1664" t="str">
            <v>CTC</v>
          </cell>
          <cell r="K1664" t="str">
            <v>YES</v>
          </cell>
        </row>
        <row r="1665">
          <cell r="I1665" t="str">
            <v>V29414</v>
          </cell>
          <cell r="J1665" t="str">
            <v>CTC</v>
          </cell>
          <cell r="K1665" t="str">
            <v>YES</v>
          </cell>
        </row>
        <row r="1666">
          <cell r="I1666" t="str">
            <v>V29651</v>
          </cell>
          <cell r="J1666" t="str">
            <v>CTC</v>
          </cell>
          <cell r="K1666" t="str">
            <v>YES</v>
          </cell>
        </row>
        <row r="1667">
          <cell r="I1667" t="str">
            <v>V31002</v>
          </cell>
          <cell r="J1667" t="str">
            <v>CTC</v>
          </cell>
          <cell r="K1667" t="str">
            <v>YES</v>
          </cell>
        </row>
        <row r="1668">
          <cell r="I1668" t="str">
            <v>V33773</v>
          </cell>
          <cell r="J1668" t="str">
            <v>CTC</v>
          </cell>
          <cell r="K1668" t="str">
            <v>YES</v>
          </cell>
        </row>
        <row r="1669">
          <cell r="I1669" t="str">
            <v>V36573</v>
          </cell>
          <cell r="J1669" t="str">
            <v>CTC</v>
          </cell>
          <cell r="K1669" t="str">
            <v>YES</v>
          </cell>
        </row>
        <row r="1670">
          <cell r="I1670" t="str">
            <v>V37634</v>
          </cell>
          <cell r="J1670" t="str">
            <v>CTC</v>
          </cell>
          <cell r="K1670" t="str">
            <v>YES</v>
          </cell>
        </row>
        <row r="1671">
          <cell r="I1671" t="str">
            <v>V20963</v>
          </cell>
          <cell r="J1671" t="str">
            <v>CTC</v>
          </cell>
          <cell r="K1671" t="str">
            <v>YES</v>
          </cell>
        </row>
        <row r="1672">
          <cell r="I1672" t="str">
            <v>V21001</v>
          </cell>
          <cell r="J1672" t="str">
            <v>CTC</v>
          </cell>
          <cell r="K1672" t="str">
            <v>YES</v>
          </cell>
        </row>
        <row r="1673">
          <cell r="I1673" t="str">
            <v>V48175</v>
          </cell>
          <cell r="J1673" t="str">
            <v>CTC</v>
          </cell>
          <cell r="K1673" t="str">
            <v>YES</v>
          </cell>
        </row>
        <row r="1674">
          <cell r="I1674" t="str">
            <v>V29161</v>
          </cell>
          <cell r="J1674" t="str">
            <v>CTC</v>
          </cell>
          <cell r="K1674" t="str">
            <v>YES</v>
          </cell>
        </row>
        <row r="1675">
          <cell r="I1675" t="str">
            <v>V22234</v>
          </cell>
          <cell r="J1675" t="str">
            <v>CTC</v>
          </cell>
          <cell r="K1675" t="str">
            <v>YES</v>
          </cell>
        </row>
        <row r="1676">
          <cell r="I1676" t="str">
            <v>V30797</v>
          </cell>
          <cell r="J1676" t="str">
            <v>CTC</v>
          </cell>
          <cell r="K1676" t="str">
            <v>YES</v>
          </cell>
        </row>
        <row r="1677">
          <cell r="I1677" t="str">
            <v>V41698</v>
          </cell>
          <cell r="J1677" t="str">
            <v>CTC</v>
          </cell>
          <cell r="K1677" t="str">
            <v>YES</v>
          </cell>
        </row>
        <row r="1678">
          <cell r="I1678" t="str">
            <v>V43015</v>
          </cell>
          <cell r="J1678" t="str">
            <v>CTC</v>
          </cell>
          <cell r="K1678" t="str">
            <v>YES</v>
          </cell>
        </row>
        <row r="1679">
          <cell r="I1679" t="str">
            <v>V13539</v>
          </cell>
          <cell r="J1679" t="str">
            <v>CTC</v>
          </cell>
          <cell r="K1679" t="str">
            <v>YES</v>
          </cell>
        </row>
        <row r="1680">
          <cell r="I1680" t="str">
            <v>V42832</v>
          </cell>
          <cell r="J1680" t="str">
            <v>CTC</v>
          </cell>
          <cell r="K1680" t="str">
            <v>YES</v>
          </cell>
        </row>
        <row r="1681">
          <cell r="I1681" t="str">
            <v>V26577</v>
          </cell>
          <cell r="J1681" t="str">
            <v>CTC</v>
          </cell>
          <cell r="K1681" t="str">
            <v>YES</v>
          </cell>
        </row>
        <row r="1682">
          <cell r="I1682" t="str">
            <v>V45176</v>
          </cell>
          <cell r="J1682" t="str">
            <v>CTC</v>
          </cell>
          <cell r="K1682" t="str">
            <v>YES</v>
          </cell>
        </row>
        <row r="1683">
          <cell r="I1683" t="str">
            <v>V42936</v>
          </cell>
          <cell r="J1683" t="str">
            <v>CTC</v>
          </cell>
          <cell r="K1683" t="str">
            <v>YES</v>
          </cell>
        </row>
        <row r="1684">
          <cell r="I1684" t="str">
            <v>V04084</v>
          </cell>
          <cell r="J1684" t="str">
            <v>CTC</v>
          </cell>
          <cell r="K1684" t="str">
            <v>YES</v>
          </cell>
        </row>
        <row r="1685">
          <cell r="I1685" t="str">
            <v>V24659</v>
          </cell>
          <cell r="J1685" t="str">
            <v>CTC</v>
          </cell>
          <cell r="K1685" t="str">
            <v>YES</v>
          </cell>
        </row>
        <row r="1686">
          <cell r="I1686" t="str">
            <v>V00707</v>
          </cell>
          <cell r="J1686" t="str">
            <v>CTC</v>
          </cell>
          <cell r="K1686" t="str">
            <v>YES</v>
          </cell>
        </row>
        <row r="1687">
          <cell r="I1687" t="str">
            <v>V34322</v>
          </cell>
          <cell r="J1687" t="str">
            <v>CTC</v>
          </cell>
          <cell r="K1687" t="str">
            <v>YES</v>
          </cell>
        </row>
        <row r="1688">
          <cell r="I1688" t="str">
            <v>V24053</v>
          </cell>
          <cell r="J1688" t="str">
            <v>CTC</v>
          </cell>
          <cell r="K1688" t="str">
            <v>YES</v>
          </cell>
        </row>
        <row r="1689">
          <cell r="I1689" t="str">
            <v>V04689</v>
          </cell>
          <cell r="J1689" t="str">
            <v>CTC</v>
          </cell>
          <cell r="K1689" t="str">
            <v>YES</v>
          </cell>
        </row>
        <row r="1690">
          <cell r="I1690" t="str">
            <v>V11064</v>
          </cell>
          <cell r="J1690" t="str">
            <v>CTC</v>
          </cell>
          <cell r="K1690" t="str">
            <v>YES</v>
          </cell>
        </row>
        <row r="1691">
          <cell r="I1691" t="str">
            <v>V40091</v>
          </cell>
          <cell r="J1691" t="str">
            <v>CTC</v>
          </cell>
          <cell r="K1691" t="str">
            <v>YES</v>
          </cell>
        </row>
        <row r="1692">
          <cell r="I1692" t="str">
            <v>V09990</v>
          </cell>
          <cell r="J1692" t="str">
            <v>CTC</v>
          </cell>
          <cell r="K1692" t="str">
            <v>YES</v>
          </cell>
        </row>
        <row r="1693">
          <cell r="I1693" t="str">
            <v>V45204</v>
          </cell>
          <cell r="J1693" t="str">
            <v>CTC</v>
          </cell>
          <cell r="K1693" t="str">
            <v>YES</v>
          </cell>
        </row>
        <row r="1694">
          <cell r="I1694" t="str">
            <v>V2S1400</v>
          </cell>
          <cell r="J1694" t="str">
            <v>CTC</v>
          </cell>
          <cell r="K1694" t="str">
            <v>YES</v>
          </cell>
        </row>
        <row r="1695">
          <cell r="I1695" t="str">
            <v>V45587</v>
          </cell>
          <cell r="J1695" t="str">
            <v>CTC</v>
          </cell>
          <cell r="K1695" t="str">
            <v>YES</v>
          </cell>
        </row>
        <row r="1696">
          <cell r="I1696" t="str">
            <v>V41279</v>
          </cell>
          <cell r="J1696" t="str">
            <v>CTC</v>
          </cell>
          <cell r="K1696" t="str">
            <v>YES</v>
          </cell>
        </row>
        <row r="1697">
          <cell r="I1697" t="str">
            <v>V26596</v>
          </cell>
          <cell r="J1697" t="str">
            <v>CTC</v>
          </cell>
          <cell r="K1697" t="str">
            <v>YES</v>
          </cell>
        </row>
        <row r="1698">
          <cell r="I1698" t="str">
            <v>V27913</v>
          </cell>
          <cell r="J1698" t="str">
            <v>CTC</v>
          </cell>
          <cell r="K1698" t="str">
            <v>YES</v>
          </cell>
        </row>
        <row r="1699">
          <cell r="I1699" t="str">
            <v>V28257</v>
          </cell>
          <cell r="J1699" t="str">
            <v>CTC</v>
          </cell>
          <cell r="K1699" t="str">
            <v>YES</v>
          </cell>
        </row>
        <row r="1700">
          <cell r="I1700" t="str">
            <v>V36842</v>
          </cell>
          <cell r="J1700" t="str">
            <v>CTC</v>
          </cell>
          <cell r="K1700" t="str">
            <v>YES</v>
          </cell>
        </row>
        <row r="1701">
          <cell r="I1701" t="str">
            <v>V37398</v>
          </cell>
          <cell r="J1701" t="str">
            <v>CTC</v>
          </cell>
          <cell r="K1701" t="str">
            <v>YES</v>
          </cell>
        </row>
        <row r="1702">
          <cell r="I1702" t="str">
            <v>V39310</v>
          </cell>
          <cell r="J1702" t="str">
            <v>CTC</v>
          </cell>
          <cell r="K1702" t="str">
            <v>YES</v>
          </cell>
        </row>
        <row r="1703">
          <cell r="I1703" t="str">
            <v>V39762</v>
          </cell>
          <cell r="J1703" t="str">
            <v>CTC</v>
          </cell>
          <cell r="K1703" t="str">
            <v>YES</v>
          </cell>
        </row>
        <row r="1704">
          <cell r="I1704" t="str">
            <v>V41251</v>
          </cell>
          <cell r="J1704" t="str">
            <v>CTC</v>
          </cell>
          <cell r="K1704" t="str">
            <v>YES</v>
          </cell>
        </row>
        <row r="1705">
          <cell r="I1705" t="str">
            <v>V41424</v>
          </cell>
          <cell r="J1705" t="str">
            <v>CTC</v>
          </cell>
          <cell r="K1705" t="str">
            <v>YES</v>
          </cell>
        </row>
        <row r="1706">
          <cell r="I1706" t="str">
            <v>V42451</v>
          </cell>
          <cell r="J1706" t="str">
            <v>CTC</v>
          </cell>
          <cell r="K1706" t="str">
            <v>YES</v>
          </cell>
        </row>
        <row r="1707">
          <cell r="I1707" t="str">
            <v>V42499</v>
          </cell>
          <cell r="J1707" t="str">
            <v>CTC</v>
          </cell>
          <cell r="K1707" t="str">
            <v>YES</v>
          </cell>
        </row>
        <row r="1708">
          <cell r="I1708" t="str">
            <v>V37160</v>
          </cell>
          <cell r="J1708" t="str">
            <v>CTC</v>
          </cell>
          <cell r="K1708" t="str">
            <v>YES</v>
          </cell>
        </row>
        <row r="1709">
          <cell r="I1709" t="str">
            <v>V38838</v>
          </cell>
          <cell r="J1709" t="str">
            <v>CTC</v>
          </cell>
          <cell r="K1709" t="str">
            <v>YES</v>
          </cell>
        </row>
        <row r="1710">
          <cell r="I1710" t="str">
            <v>V15516</v>
          </cell>
          <cell r="J1710" t="str">
            <v>CTC</v>
          </cell>
          <cell r="K1710" t="str">
            <v>YES</v>
          </cell>
        </row>
        <row r="1711">
          <cell r="I1711" t="str">
            <v>V16223</v>
          </cell>
          <cell r="J1711" t="str">
            <v>CTC</v>
          </cell>
          <cell r="K1711" t="str">
            <v>YES</v>
          </cell>
        </row>
        <row r="1712">
          <cell r="I1712" t="str">
            <v>V30207</v>
          </cell>
          <cell r="J1712" t="str">
            <v>CTC</v>
          </cell>
          <cell r="K1712" t="str">
            <v>YES</v>
          </cell>
        </row>
        <row r="1713">
          <cell r="I1713" t="str">
            <v>V11868</v>
          </cell>
          <cell r="J1713" t="str">
            <v>CTC</v>
          </cell>
          <cell r="K1713" t="str">
            <v>YES</v>
          </cell>
        </row>
        <row r="1714">
          <cell r="I1714" t="str">
            <v>V43435</v>
          </cell>
          <cell r="J1714" t="str">
            <v>CTC</v>
          </cell>
          <cell r="K1714" t="str">
            <v>YES</v>
          </cell>
        </row>
        <row r="1715">
          <cell r="I1715" t="str">
            <v>V22278</v>
          </cell>
          <cell r="J1715" t="str">
            <v>CTC</v>
          </cell>
          <cell r="K1715" t="str">
            <v>YES</v>
          </cell>
        </row>
        <row r="1716">
          <cell r="I1716" t="str">
            <v>V20179</v>
          </cell>
          <cell r="J1716" t="str">
            <v>CTC</v>
          </cell>
          <cell r="K1716" t="str">
            <v>YES</v>
          </cell>
        </row>
        <row r="1717">
          <cell r="I1717" t="str">
            <v>V30709</v>
          </cell>
          <cell r="J1717" t="str">
            <v>CTC</v>
          </cell>
          <cell r="K1717" t="str">
            <v>YES</v>
          </cell>
        </row>
        <row r="1718">
          <cell r="I1718" t="str">
            <v>V36453</v>
          </cell>
          <cell r="J1718" t="str">
            <v>CTC</v>
          </cell>
          <cell r="K1718" t="str">
            <v>YES</v>
          </cell>
        </row>
        <row r="1719">
          <cell r="I1719" t="str">
            <v>V46449</v>
          </cell>
          <cell r="J1719" t="str">
            <v>CTC</v>
          </cell>
          <cell r="K1719" t="str">
            <v>YES</v>
          </cell>
        </row>
        <row r="1720">
          <cell r="I1720" t="str">
            <v>V42930</v>
          </cell>
          <cell r="J1720" t="str">
            <v>CTC</v>
          </cell>
          <cell r="K1720" t="str">
            <v>YES</v>
          </cell>
        </row>
        <row r="1721">
          <cell r="I1721" t="str">
            <v>V26351</v>
          </cell>
          <cell r="J1721" t="str">
            <v>CTC</v>
          </cell>
          <cell r="K1721" t="str">
            <v>YES</v>
          </cell>
        </row>
        <row r="1722">
          <cell r="I1722" t="str">
            <v>V19964</v>
          </cell>
          <cell r="J1722" t="str">
            <v>CTC</v>
          </cell>
          <cell r="K1722" t="str">
            <v>YES</v>
          </cell>
        </row>
        <row r="1723">
          <cell r="I1723" t="str">
            <v>V20519</v>
          </cell>
          <cell r="J1723" t="str">
            <v>CTC</v>
          </cell>
          <cell r="K1723" t="str">
            <v>YES</v>
          </cell>
        </row>
        <row r="1724">
          <cell r="I1724" t="str">
            <v>V20369</v>
          </cell>
          <cell r="J1724" t="str">
            <v>CTC</v>
          </cell>
          <cell r="K1724" t="str">
            <v>YES</v>
          </cell>
        </row>
        <row r="1725">
          <cell r="I1725" t="str">
            <v>V01789</v>
          </cell>
          <cell r="J1725" t="str">
            <v>CTC</v>
          </cell>
          <cell r="K1725" t="str">
            <v>YES</v>
          </cell>
        </row>
        <row r="1726">
          <cell r="I1726" t="str">
            <v>V19537</v>
          </cell>
          <cell r="J1726" t="str">
            <v>CTC</v>
          </cell>
          <cell r="K1726" t="str">
            <v>YES</v>
          </cell>
        </row>
        <row r="1727">
          <cell r="I1727" t="str">
            <v>V41256</v>
          </cell>
          <cell r="J1727" t="str">
            <v>CTC</v>
          </cell>
          <cell r="K1727" t="str">
            <v>YES</v>
          </cell>
        </row>
        <row r="1728">
          <cell r="I1728" t="str">
            <v>V25582</v>
          </cell>
          <cell r="J1728" t="str">
            <v>CTC</v>
          </cell>
          <cell r="K1728" t="str">
            <v>YES</v>
          </cell>
        </row>
        <row r="1729">
          <cell r="I1729" t="str">
            <v>V41916</v>
          </cell>
          <cell r="J1729" t="str">
            <v>CTC</v>
          </cell>
          <cell r="K1729" t="str">
            <v>YES</v>
          </cell>
        </row>
        <row r="1730">
          <cell r="I1730" t="str">
            <v>V30991</v>
          </cell>
          <cell r="J1730" t="str">
            <v>CTC</v>
          </cell>
          <cell r="K1730" t="str">
            <v>YES</v>
          </cell>
        </row>
        <row r="1731">
          <cell r="I1731" t="str">
            <v>V09796</v>
          </cell>
          <cell r="J1731" t="str">
            <v>CTC</v>
          </cell>
          <cell r="K1731" t="str">
            <v>YES</v>
          </cell>
        </row>
        <row r="1732">
          <cell r="I1732" t="str">
            <v>V43521</v>
          </cell>
          <cell r="J1732" t="str">
            <v>CTC</v>
          </cell>
          <cell r="K1732" t="str">
            <v>YES</v>
          </cell>
        </row>
        <row r="1733">
          <cell r="I1733" t="str">
            <v>V2S214</v>
          </cell>
          <cell r="J1733" t="str">
            <v>CTC</v>
          </cell>
          <cell r="K1733" t="str">
            <v>YES</v>
          </cell>
        </row>
        <row r="1734">
          <cell r="I1734" t="str">
            <v>V45190</v>
          </cell>
          <cell r="J1734" t="str">
            <v>CTC</v>
          </cell>
          <cell r="K1734" t="str">
            <v>YES</v>
          </cell>
        </row>
        <row r="1735">
          <cell r="I1735" t="str">
            <v>V21484</v>
          </cell>
          <cell r="J1735" t="str">
            <v>CTC</v>
          </cell>
          <cell r="K1735" t="str">
            <v>YES</v>
          </cell>
        </row>
        <row r="1736">
          <cell r="I1736" t="str">
            <v>V23193</v>
          </cell>
          <cell r="J1736" t="str">
            <v>CTC</v>
          </cell>
          <cell r="K1736" t="str">
            <v>YES</v>
          </cell>
        </row>
        <row r="1737">
          <cell r="I1737" t="str">
            <v>V23681</v>
          </cell>
          <cell r="J1737" t="str">
            <v>CTC</v>
          </cell>
          <cell r="K1737" t="str">
            <v>YES</v>
          </cell>
        </row>
        <row r="1738">
          <cell r="I1738" t="str">
            <v>V24004</v>
          </cell>
          <cell r="J1738" t="str">
            <v>CTC</v>
          </cell>
          <cell r="K1738" t="str">
            <v>YES</v>
          </cell>
        </row>
        <row r="1739">
          <cell r="I1739" t="str">
            <v>V24020</v>
          </cell>
          <cell r="J1739" t="str">
            <v>CTC</v>
          </cell>
          <cell r="K1739" t="str">
            <v>YES</v>
          </cell>
        </row>
        <row r="1740">
          <cell r="I1740" t="str">
            <v>V24403</v>
          </cell>
          <cell r="J1740" t="str">
            <v>CTC</v>
          </cell>
          <cell r="K1740" t="str">
            <v>YES</v>
          </cell>
        </row>
        <row r="1741">
          <cell r="I1741" t="str">
            <v>V24404</v>
          </cell>
          <cell r="J1741" t="str">
            <v>CTC</v>
          </cell>
          <cell r="K1741" t="str">
            <v>YES</v>
          </cell>
        </row>
        <row r="1742">
          <cell r="I1742" t="str">
            <v>V24405</v>
          </cell>
          <cell r="J1742" t="str">
            <v>CTC</v>
          </cell>
          <cell r="K1742" t="str">
            <v>YES</v>
          </cell>
        </row>
        <row r="1743">
          <cell r="I1743" t="str">
            <v>V24406</v>
          </cell>
          <cell r="J1743" t="str">
            <v>CTC</v>
          </cell>
          <cell r="K1743" t="str">
            <v>YES</v>
          </cell>
        </row>
        <row r="1744">
          <cell r="I1744" t="str">
            <v>V24490</v>
          </cell>
          <cell r="J1744" t="str">
            <v>CTC</v>
          </cell>
          <cell r="K1744" t="str">
            <v>YES</v>
          </cell>
        </row>
        <row r="1745">
          <cell r="I1745" t="str">
            <v>V24965</v>
          </cell>
          <cell r="J1745" t="str">
            <v>CTC</v>
          </cell>
          <cell r="K1745" t="str">
            <v>YES</v>
          </cell>
        </row>
        <row r="1746">
          <cell r="I1746" t="str">
            <v>V25003</v>
          </cell>
          <cell r="J1746" t="str">
            <v>CTC</v>
          </cell>
          <cell r="K1746" t="str">
            <v>YES</v>
          </cell>
        </row>
        <row r="1747">
          <cell r="I1747" t="str">
            <v>V25005</v>
          </cell>
          <cell r="J1747" t="str">
            <v>CTC</v>
          </cell>
          <cell r="K1747" t="str">
            <v>YES</v>
          </cell>
        </row>
        <row r="1748">
          <cell r="I1748" t="str">
            <v>V25063</v>
          </cell>
          <cell r="J1748" t="str">
            <v>CTC</v>
          </cell>
          <cell r="K1748" t="str">
            <v>YES</v>
          </cell>
        </row>
        <row r="1749">
          <cell r="I1749" t="str">
            <v>V25106</v>
          </cell>
          <cell r="J1749" t="str">
            <v>CTC</v>
          </cell>
          <cell r="K1749" t="str">
            <v>YES</v>
          </cell>
        </row>
        <row r="1750">
          <cell r="I1750" t="str">
            <v>V25109</v>
          </cell>
          <cell r="J1750" t="str">
            <v>CTC</v>
          </cell>
          <cell r="K1750" t="str">
            <v>YES</v>
          </cell>
        </row>
        <row r="1751">
          <cell r="I1751" t="str">
            <v>V09331</v>
          </cell>
          <cell r="J1751" t="str">
            <v>CTC</v>
          </cell>
          <cell r="K1751" t="str">
            <v>YES</v>
          </cell>
        </row>
        <row r="1752">
          <cell r="I1752" t="str">
            <v>V12693</v>
          </cell>
          <cell r="J1752" t="str">
            <v>CTC</v>
          </cell>
          <cell r="K1752" t="str">
            <v>YES</v>
          </cell>
        </row>
        <row r="1753">
          <cell r="I1753" t="str">
            <v>V21047</v>
          </cell>
          <cell r="J1753" t="str">
            <v>CTC</v>
          </cell>
          <cell r="K1753" t="str">
            <v>YES</v>
          </cell>
        </row>
        <row r="1754">
          <cell r="I1754" t="str">
            <v>V27577</v>
          </cell>
          <cell r="J1754" t="str">
            <v>CTC</v>
          </cell>
          <cell r="K1754" t="str">
            <v>YES</v>
          </cell>
        </row>
        <row r="1755">
          <cell r="I1755" t="str">
            <v>V26334</v>
          </cell>
          <cell r="J1755" t="str">
            <v>CTC</v>
          </cell>
          <cell r="K1755" t="str">
            <v>YES</v>
          </cell>
        </row>
        <row r="1756">
          <cell r="I1756" t="str">
            <v>V47106</v>
          </cell>
          <cell r="J1756" t="str">
            <v>CTC</v>
          </cell>
          <cell r="K1756" t="str">
            <v>YES</v>
          </cell>
        </row>
        <row r="1757">
          <cell r="I1757" t="str">
            <v>V09862</v>
          </cell>
          <cell r="J1757" t="str">
            <v>CTC</v>
          </cell>
          <cell r="K1757" t="str">
            <v>YES</v>
          </cell>
        </row>
        <row r="1758">
          <cell r="I1758" t="str">
            <v>V35942</v>
          </cell>
          <cell r="J1758" t="str">
            <v>CTC</v>
          </cell>
          <cell r="K1758" t="str">
            <v>YES</v>
          </cell>
        </row>
        <row r="1759">
          <cell r="I1759" t="str">
            <v>V17282</v>
          </cell>
          <cell r="J1759" t="str">
            <v>CTC</v>
          </cell>
          <cell r="K1759" t="str">
            <v>YES</v>
          </cell>
        </row>
        <row r="1760">
          <cell r="I1760" t="str">
            <v>V48406</v>
          </cell>
          <cell r="J1760" t="str">
            <v>CTC</v>
          </cell>
          <cell r="K1760" t="str">
            <v>YES</v>
          </cell>
        </row>
        <row r="1761">
          <cell r="I1761" t="str">
            <v>V32047</v>
          </cell>
          <cell r="J1761" t="str">
            <v>CTC</v>
          </cell>
          <cell r="K1761" t="str">
            <v>YES</v>
          </cell>
        </row>
        <row r="1762">
          <cell r="I1762" t="str">
            <v>V45185</v>
          </cell>
          <cell r="J1762" t="str">
            <v>CTC</v>
          </cell>
          <cell r="K1762" t="str">
            <v>YES</v>
          </cell>
        </row>
        <row r="1763">
          <cell r="I1763" t="str">
            <v>V27011</v>
          </cell>
          <cell r="J1763" t="str">
            <v>CTC</v>
          </cell>
          <cell r="K1763" t="str">
            <v>YES</v>
          </cell>
        </row>
        <row r="1764">
          <cell r="I1764" t="str">
            <v>V29659</v>
          </cell>
          <cell r="J1764" t="str">
            <v>CTC</v>
          </cell>
          <cell r="K1764" t="str">
            <v>YES</v>
          </cell>
        </row>
        <row r="1765">
          <cell r="I1765" t="str">
            <v>V31075</v>
          </cell>
          <cell r="J1765" t="str">
            <v>CTC</v>
          </cell>
          <cell r="K1765" t="str">
            <v>YES</v>
          </cell>
        </row>
        <row r="1766">
          <cell r="I1766" t="str">
            <v>V31569</v>
          </cell>
          <cell r="J1766" t="str">
            <v>CTC</v>
          </cell>
          <cell r="K1766" t="str">
            <v>YES</v>
          </cell>
        </row>
        <row r="1767">
          <cell r="I1767" t="str">
            <v>V32065</v>
          </cell>
          <cell r="J1767" t="str">
            <v>CTC</v>
          </cell>
          <cell r="K1767" t="str">
            <v>YES</v>
          </cell>
        </row>
        <row r="1768">
          <cell r="I1768" t="str">
            <v>V32874</v>
          </cell>
          <cell r="J1768" t="str">
            <v>CTC</v>
          </cell>
          <cell r="K1768" t="str">
            <v>YES</v>
          </cell>
        </row>
        <row r="1769">
          <cell r="I1769" t="str">
            <v>V33022</v>
          </cell>
          <cell r="J1769" t="str">
            <v>CTC</v>
          </cell>
          <cell r="K1769" t="str">
            <v>YES</v>
          </cell>
        </row>
        <row r="1770">
          <cell r="I1770" t="str">
            <v>V34024</v>
          </cell>
          <cell r="J1770" t="str">
            <v>CTC</v>
          </cell>
          <cell r="K1770" t="str">
            <v>YES</v>
          </cell>
        </row>
        <row r="1771">
          <cell r="I1771" t="str">
            <v>V34526</v>
          </cell>
          <cell r="J1771" t="str">
            <v>CTC</v>
          </cell>
          <cell r="K1771" t="str">
            <v>YES</v>
          </cell>
        </row>
        <row r="1772">
          <cell r="I1772" t="str">
            <v>V34716</v>
          </cell>
          <cell r="J1772" t="str">
            <v>CTC</v>
          </cell>
          <cell r="K1772" t="str">
            <v>YES</v>
          </cell>
        </row>
        <row r="1773">
          <cell r="I1773" t="str">
            <v>V35772</v>
          </cell>
          <cell r="J1773" t="str">
            <v>CTC</v>
          </cell>
          <cell r="K1773" t="str">
            <v>YES</v>
          </cell>
        </row>
        <row r="1774">
          <cell r="I1774" t="str">
            <v>V36699</v>
          </cell>
          <cell r="J1774" t="str">
            <v>CTC</v>
          </cell>
          <cell r="K1774" t="str">
            <v>YES</v>
          </cell>
        </row>
        <row r="1775">
          <cell r="I1775" t="str">
            <v>V42828</v>
          </cell>
          <cell r="J1775" t="str">
            <v>CTC</v>
          </cell>
          <cell r="K1775" t="str">
            <v>YES</v>
          </cell>
        </row>
        <row r="1776">
          <cell r="I1776" t="str">
            <v>V23624</v>
          </cell>
          <cell r="J1776" t="str">
            <v>CTC</v>
          </cell>
          <cell r="K1776" t="str">
            <v>YES</v>
          </cell>
        </row>
        <row r="1777">
          <cell r="I1777" t="str">
            <v>V42235</v>
          </cell>
          <cell r="J1777" t="str">
            <v>CTC</v>
          </cell>
          <cell r="K1777" t="str">
            <v>YES</v>
          </cell>
        </row>
        <row r="1778">
          <cell r="I1778" t="str">
            <v>V42208</v>
          </cell>
          <cell r="J1778" t="str">
            <v>CTC</v>
          </cell>
          <cell r="K1778" t="str">
            <v>YES</v>
          </cell>
        </row>
        <row r="1779">
          <cell r="I1779" t="str">
            <v>V21889</v>
          </cell>
          <cell r="J1779" t="str">
            <v>CTC</v>
          </cell>
          <cell r="K1779" t="str">
            <v>YES</v>
          </cell>
        </row>
        <row r="1780">
          <cell r="I1780" t="str">
            <v>V36313</v>
          </cell>
          <cell r="J1780" t="str">
            <v>CTC</v>
          </cell>
          <cell r="K1780" t="str">
            <v>YES</v>
          </cell>
        </row>
        <row r="1781">
          <cell r="I1781" t="str">
            <v>V44339</v>
          </cell>
          <cell r="J1781" t="str">
            <v>CTC</v>
          </cell>
          <cell r="K1781" t="str">
            <v>YES</v>
          </cell>
        </row>
        <row r="1782">
          <cell r="I1782" t="str">
            <v>V46837</v>
          </cell>
          <cell r="J1782" t="str">
            <v>CTC</v>
          </cell>
          <cell r="K1782" t="str">
            <v>YES</v>
          </cell>
        </row>
        <row r="1783">
          <cell r="I1783" t="str">
            <v>V20715</v>
          </cell>
          <cell r="J1783" t="str">
            <v>CTC</v>
          </cell>
          <cell r="K1783" t="str">
            <v>YES</v>
          </cell>
        </row>
        <row r="1784">
          <cell r="I1784" t="str">
            <v>V21405</v>
          </cell>
          <cell r="J1784" t="str">
            <v>CTC</v>
          </cell>
          <cell r="K1784" t="str">
            <v>YES</v>
          </cell>
        </row>
        <row r="1785">
          <cell r="I1785" t="str">
            <v>V25245</v>
          </cell>
          <cell r="J1785" t="str">
            <v>CTC</v>
          </cell>
          <cell r="K1785" t="str">
            <v>YES</v>
          </cell>
        </row>
        <row r="1786">
          <cell r="I1786" t="str">
            <v>V38646</v>
          </cell>
          <cell r="J1786" t="str">
            <v>CTC</v>
          </cell>
          <cell r="K1786" t="str">
            <v>YES</v>
          </cell>
        </row>
        <row r="1787">
          <cell r="I1787" t="str">
            <v>V47566</v>
          </cell>
          <cell r="J1787" t="str">
            <v>CTC</v>
          </cell>
          <cell r="K1787" t="str">
            <v>YES</v>
          </cell>
        </row>
        <row r="1788">
          <cell r="I1788" t="str">
            <v>V48229</v>
          </cell>
          <cell r="J1788" t="str">
            <v>CTC</v>
          </cell>
          <cell r="K1788" t="str">
            <v>YES</v>
          </cell>
        </row>
        <row r="1789">
          <cell r="I1789" t="str">
            <v>V13993</v>
          </cell>
          <cell r="J1789" t="str">
            <v>CTC</v>
          </cell>
          <cell r="K1789" t="str">
            <v>YES</v>
          </cell>
        </row>
        <row r="1790">
          <cell r="I1790" t="str">
            <v>V36603</v>
          </cell>
          <cell r="J1790" t="str">
            <v>CTC</v>
          </cell>
          <cell r="K1790" t="str">
            <v>YES</v>
          </cell>
        </row>
        <row r="1791">
          <cell r="I1791" t="str">
            <v>V34525</v>
          </cell>
          <cell r="J1791" t="str">
            <v>CTC</v>
          </cell>
          <cell r="K1791" t="str">
            <v>YES</v>
          </cell>
        </row>
        <row r="1792">
          <cell r="I1792" t="str">
            <v>V30115</v>
          </cell>
          <cell r="J1792" t="str">
            <v>CTC</v>
          </cell>
          <cell r="K1792" t="str">
            <v>YES</v>
          </cell>
        </row>
        <row r="1793">
          <cell r="I1793" t="str">
            <v>V37988</v>
          </cell>
          <cell r="J1793" t="str">
            <v>CTC</v>
          </cell>
          <cell r="K1793" t="str">
            <v>YES</v>
          </cell>
        </row>
        <row r="1794">
          <cell r="I1794" t="str">
            <v>V48556</v>
          </cell>
          <cell r="J1794" t="str">
            <v>CTC</v>
          </cell>
          <cell r="K1794" t="str">
            <v>YES</v>
          </cell>
        </row>
        <row r="1795">
          <cell r="I1795" t="str">
            <v>V43042</v>
          </cell>
          <cell r="J1795" t="str">
            <v>CTC</v>
          </cell>
          <cell r="K1795" t="str">
            <v>YES</v>
          </cell>
        </row>
        <row r="1796">
          <cell r="I1796" t="str">
            <v>V05795</v>
          </cell>
          <cell r="J1796" t="str">
            <v>CTC</v>
          </cell>
          <cell r="K1796" t="str">
            <v>YES</v>
          </cell>
        </row>
        <row r="1797">
          <cell r="I1797" t="str">
            <v>V45867</v>
          </cell>
          <cell r="J1797" t="str">
            <v>CTC</v>
          </cell>
          <cell r="K1797" t="str">
            <v>YES</v>
          </cell>
        </row>
        <row r="1798">
          <cell r="I1798" t="str">
            <v>V37942</v>
          </cell>
          <cell r="J1798" t="str">
            <v>CTC</v>
          </cell>
          <cell r="K1798" t="str">
            <v>YES</v>
          </cell>
        </row>
        <row r="1799">
          <cell r="I1799" t="str">
            <v>V22533</v>
          </cell>
          <cell r="J1799" t="str">
            <v>CTC</v>
          </cell>
          <cell r="K1799" t="str">
            <v>YES</v>
          </cell>
        </row>
        <row r="1800">
          <cell r="I1800" t="str">
            <v>V08458</v>
          </cell>
          <cell r="J1800" t="str">
            <v>CTC</v>
          </cell>
          <cell r="K1800" t="str">
            <v>YES</v>
          </cell>
        </row>
        <row r="1801">
          <cell r="I1801" t="str">
            <v>V22781</v>
          </cell>
          <cell r="J1801" t="str">
            <v>CTC</v>
          </cell>
          <cell r="K1801" t="str">
            <v>YES</v>
          </cell>
        </row>
        <row r="1802">
          <cell r="I1802" t="str">
            <v>V45583</v>
          </cell>
          <cell r="J1802" t="str">
            <v>CTC</v>
          </cell>
          <cell r="K1802" t="str">
            <v>YES</v>
          </cell>
        </row>
        <row r="1803">
          <cell r="I1803" t="str">
            <v>V39743</v>
          </cell>
          <cell r="J1803" t="str">
            <v>CTC</v>
          </cell>
          <cell r="K1803" t="str">
            <v>YES</v>
          </cell>
        </row>
        <row r="1804">
          <cell r="I1804" t="str">
            <v>V28480</v>
          </cell>
          <cell r="J1804" t="str">
            <v>CTC</v>
          </cell>
          <cell r="K1804" t="str">
            <v>YES</v>
          </cell>
        </row>
        <row r="1805">
          <cell r="I1805" t="str">
            <v>V36365</v>
          </cell>
          <cell r="J1805" t="str">
            <v>CTC</v>
          </cell>
          <cell r="K1805" t="str">
            <v>YES</v>
          </cell>
        </row>
        <row r="1806">
          <cell r="I1806" t="str">
            <v>V47829</v>
          </cell>
          <cell r="J1806" t="str">
            <v>CTC</v>
          </cell>
          <cell r="K1806" t="str">
            <v>YES</v>
          </cell>
        </row>
        <row r="1807">
          <cell r="I1807" t="str">
            <v>V17863</v>
          </cell>
          <cell r="J1807" t="str">
            <v>CTC</v>
          </cell>
          <cell r="K1807" t="str">
            <v>YES</v>
          </cell>
        </row>
        <row r="1808">
          <cell r="I1808" t="str">
            <v>V25026</v>
          </cell>
          <cell r="J1808" t="str">
            <v>CTC</v>
          </cell>
          <cell r="K1808" t="str">
            <v>YES</v>
          </cell>
        </row>
        <row r="1809">
          <cell r="I1809" t="str">
            <v>V34438</v>
          </cell>
          <cell r="J1809" t="str">
            <v>CTC</v>
          </cell>
          <cell r="K1809" t="str">
            <v>YES</v>
          </cell>
        </row>
        <row r="1810">
          <cell r="I1810" t="str">
            <v>V37209</v>
          </cell>
          <cell r="J1810" t="str">
            <v>CTC</v>
          </cell>
          <cell r="K1810" t="str">
            <v>YES</v>
          </cell>
        </row>
        <row r="1811">
          <cell r="I1811" t="str">
            <v>V37747</v>
          </cell>
          <cell r="J1811" t="str">
            <v>CTC</v>
          </cell>
          <cell r="K1811" t="str">
            <v>YES</v>
          </cell>
        </row>
        <row r="1812">
          <cell r="I1812" t="str">
            <v>V42255</v>
          </cell>
          <cell r="J1812" t="str">
            <v>CTC</v>
          </cell>
          <cell r="K1812" t="str">
            <v>YES</v>
          </cell>
        </row>
        <row r="1813">
          <cell r="I1813" t="str">
            <v>V29683</v>
          </cell>
          <cell r="J1813" t="str">
            <v>CTC</v>
          </cell>
          <cell r="K1813" t="str">
            <v>YES</v>
          </cell>
        </row>
        <row r="1814">
          <cell r="I1814" t="str">
            <v>V15774</v>
          </cell>
          <cell r="J1814" t="str">
            <v>CTC</v>
          </cell>
          <cell r="K1814" t="str">
            <v>YES</v>
          </cell>
        </row>
        <row r="1815">
          <cell r="I1815" t="str">
            <v>V22379</v>
          </cell>
          <cell r="J1815" t="str">
            <v>CTC</v>
          </cell>
          <cell r="K1815" t="str">
            <v>YES</v>
          </cell>
        </row>
        <row r="1816">
          <cell r="I1816" t="str">
            <v>V04986</v>
          </cell>
          <cell r="J1816" t="str">
            <v>CTC</v>
          </cell>
          <cell r="K1816" t="str">
            <v>YES</v>
          </cell>
        </row>
        <row r="1817">
          <cell r="I1817" t="str">
            <v>V25889</v>
          </cell>
          <cell r="J1817" t="str">
            <v>CTC</v>
          </cell>
          <cell r="K1817" t="str">
            <v>YES</v>
          </cell>
        </row>
        <row r="1818">
          <cell r="I1818" t="str">
            <v>V26405</v>
          </cell>
          <cell r="J1818" t="str">
            <v>CTC</v>
          </cell>
          <cell r="K1818" t="str">
            <v>YES</v>
          </cell>
        </row>
        <row r="1819">
          <cell r="I1819" t="str">
            <v>V27292</v>
          </cell>
          <cell r="J1819" t="str">
            <v>CTC</v>
          </cell>
          <cell r="K1819" t="str">
            <v>YES</v>
          </cell>
        </row>
        <row r="1820">
          <cell r="I1820" t="str">
            <v>V27420</v>
          </cell>
          <cell r="J1820" t="str">
            <v>CTC</v>
          </cell>
          <cell r="K1820" t="str">
            <v>YES</v>
          </cell>
        </row>
        <row r="1821">
          <cell r="I1821" t="str">
            <v>V27442</v>
          </cell>
          <cell r="J1821" t="str">
            <v>CTC</v>
          </cell>
          <cell r="K1821" t="str">
            <v>YES</v>
          </cell>
        </row>
        <row r="1822">
          <cell r="I1822" t="str">
            <v>V27604</v>
          </cell>
          <cell r="J1822" t="str">
            <v>CTC</v>
          </cell>
          <cell r="K1822" t="str">
            <v>YES</v>
          </cell>
        </row>
        <row r="1823">
          <cell r="I1823" t="str">
            <v>V28056</v>
          </cell>
          <cell r="J1823" t="str">
            <v>CTC</v>
          </cell>
          <cell r="K1823" t="str">
            <v>YES</v>
          </cell>
        </row>
        <row r="1824">
          <cell r="I1824" t="str">
            <v>V2S2129</v>
          </cell>
          <cell r="J1824" t="str">
            <v>CTC</v>
          </cell>
          <cell r="K1824" t="str">
            <v>YES</v>
          </cell>
        </row>
        <row r="1825">
          <cell r="I1825" t="str">
            <v>V35678</v>
          </cell>
          <cell r="J1825" t="str">
            <v>CTC</v>
          </cell>
          <cell r="K1825" t="str">
            <v>YES</v>
          </cell>
        </row>
        <row r="1826">
          <cell r="I1826" t="str">
            <v>V46115</v>
          </cell>
          <cell r="J1826" t="str">
            <v>CTC</v>
          </cell>
          <cell r="K1826" t="str">
            <v>YES</v>
          </cell>
        </row>
        <row r="1827">
          <cell r="I1827" t="str">
            <v>V21772</v>
          </cell>
          <cell r="J1827" t="str">
            <v>CTC</v>
          </cell>
          <cell r="K1827" t="str">
            <v>YES</v>
          </cell>
        </row>
        <row r="1828">
          <cell r="I1828" t="str">
            <v>V21899</v>
          </cell>
          <cell r="J1828" t="str">
            <v>CTC</v>
          </cell>
          <cell r="K1828" t="str">
            <v>YES</v>
          </cell>
        </row>
        <row r="1829">
          <cell r="I1829" t="str">
            <v>V22207</v>
          </cell>
          <cell r="J1829" t="str">
            <v>CTC</v>
          </cell>
          <cell r="K1829" t="str">
            <v>YES</v>
          </cell>
        </row>
        <row r="1830">
          <cell r="I1830" t="str">
            <v>V07932</v>
          </cell>
          <cell r="J1830" t="str">
            <v>CTC</v>
          </cell>
          <cell r="K1830" t="str">
            <v>YES</v>
          </cell>
        </row>
        <row r="1831">
          <cell r="I1831" t="str">
            <v>V07398</v>
          </cell>
          <cell r="J1831" t="str">
            <v>CTC</v>
          </cell>
          <cell r="K1831" t="str">
            <v>YES</v>
          </cell>
        </row>
        <row r="1832">
          <cell r="I1832" t="str">
            <v>V20856</v>
          </cell>
          <cell r="J1832" t="str">
            <v>CTC</v>
          </cell>
          <cell r="K1832" t="str">
            <v>YES</v>
          </cell>
        </row>
        <row r="1833">
          <cell r="I1833" t="str">
            <v>V25241</v>
          </cell>
          <cell r="J1833" t="str">
            <v>CTC</v>
          </cell>
          <cell r="K1833" t="str">
            <v>YES</v>
          </cell>
        </row>
        <row r="1834">
          <cell r="I1834" t="str">
            <v>V22163</v>
          </cell>
          <cell r="J1834" t="str">
            <v>CTC</v>
          </cell>
          <cell r="K1834" t="str">
            <v>YES</v>
          </cell>
        </row>
        <row r="1835">
          <cell r="I1835" t="str">
            <v>V48127</v>
          </cell>
          <cell r="J1835" t="str">
            <v>CTC</v>
          </cell>
          <cell r="K1835" t="str">
            <v>YES</v>
          </cell>
        </row>
        <row r="1836">
          <cell r="I1836" t="str">
            <v>V46656</v>
          </cell>
          <cell r="J1836" t="str">
            <v>CTC</v>
          </cell>
          <cell r="K1836" t="str">
            <v>YES</v>
          </cell>
        </row>
        <row r="1837">
          <cell r="I1837" t="str">
            <v>V39152</v>
          </cell>
          <cell r="J1837" t="str">
            <v>CTC</v>
          </cell>
          <cell r="K1837" t="str">
            <v>YES</v>
          </cell>
        </row>
        <row r="1838">
          <cell r="I1838" t="str">
            <v>V11457</v>
          </cell>
          <cell r="J1838" t="str">
            <v>CTC</v>
          </cell>
          <cell r="K1838" t="str">
            <v>YES</v>
          </cell>
        </row>
        <row r="1839">
          <cell r="I1839" t="str">
            <v>V23694</v>
          </cell>
          <cell r="J1839" t="str">
            <v>CTC</v>
          </cell>
          <cell r="K1839" t="str">
            <v>YES</v>
          </cell>
        </row>
        <row r="1840">
          <cell r="I1840" t="str">
            <v>V39881</v>
          </cell>
          <cell r="J1840" t="str">
            <v>CTC</v>
          </cell>
          <cell r="K1840" t="str">
            <v>YES</v>
          </cell>
        </row>
        <row r="1841">
          <cell r="I1841" t="str">
            <v>V47081</v>
          </cell>
          <cell r="J1841" t="str">
            <v>CTC</v>
          </cell>
          <cell r="K1841" t="str">
            <v>YES</v>
          </cell>
        </row>
        <row r="1842">
          <cell r="I1842" t="str">
            <v>V14716</v>
          </cell>
          <cell r="J1842" t="str">
            <v>CTC</v>
          </cell>
          <cell r="K1842" t="str">
            <v>YES</v>
          </cell>
        </row>
        <row r="1843">
          <cell r="I1843" t="str">
            <v>V15473</v>
          </cell>
          <cell r="J1843" t="str">
            <v>CTC</v>
          </cell>
          <cell r="K1843" t="str">
            <v>YES</v>
          </cell>
        </row>
        <row r="1844">
          <cell r="I1844" t="str">
            <v>V40859</v>
          </cell>
          <cell r="J1844" t="str">
            <v>CTC</v>
          </cell>
          <cell r="K1844" t="str">
            <v>YES</v>
          </cell>
        </row>
        <row r="1845">
          <cell r="I1845" t="str">
            <v>V03807</v>
          </cell>
          <cell r="J1845" t="str">
            <v>CTC</v>
          </cell>
          <cell r="K1845" t="str">
            <v>YES</v>
          </cell>
        </row>
        <row r="1846">
          <cell r="I1846" t="str">
            <v>V09469</v>
          </cell>
          <cell r="J1846" t="str">
            <v>CTC</v>
          </cell>
          <cell r="K1846" t="str">
            <v>YES</v>
          </cell>
        </row>
        <row r="1847">
          <cell r="I1847" t="str">
            <v>V14170</v>
          </cell>
          <cell r="J1847" t="str">
            <v>CTC</v>
          </cell>
          <cell r="K1847" t="str">
            <v>YES</v>
          </cell>
        </row>
        <row r="1848">
          <cell r="I1848" t="str">
            <v>V29726</v>
          </cell>
          <cell r="J1848" t="str">
            <v>CTC</v>
          </cell>
          <cell r="K1848" t="str">
            <v>YES</v>
          </cell>
        </row>
        <row r="1849">
          <cell r="I1849" t="str">
            <v>V13793</v>
          </cell>
          <cell r="J1849" t="str">
            <v>CTC</v>
          </cell>
          <cell r="K1849" t="str">
            <v>YES</v>
          </cell>
        </row>
        <row r="1850">
          <cell r="I1850" t="str">
            <v>V17942</v>
          </cell>
          <cell r="J1850" t="str">
            <v>CTC</v>
          </cell>
          <cell r="K1850" t="str">
            <v>YES</v>
          </cell>
        </row>
        <row r="1851">
          <cell r="I1851" t="str">
            <v>V2S1402</v>
          </cell>
          <cell r="J1851" t="str">
            <v>CTC</v>
          </cell>
          <cell r="K1851" t="str">
            <v>YES</v>
          </cell>
        </row>
        <row r="1852">
          <cell r="I1852" t="str">
            <v>V13573</v>
          </cell>
          <cell r="J1852" t="str">
            <v>CTC</v>
          </cell>
          <cell r="K1852" t="str">
            <v>YES</v>
          </cell>
        </row>
        <row r="1853">
          <cell r="I1853" t="str">
            <v>V27602</v>
          </cell>
          <cell r="J1853" t="str">
            <v>CTC</v>
          </cell>
          <cell r="K1853" t="str">
            <v>YES</v>
          </cell>
        </row>
        <row r="1854">
          <cell r="I1854" t="str">
            <v>V46176</v>
          </cell>
          <cell r="J1854" t="str">
            <v>CTC</v>
          </cell>
          <cell r="K1854" t="str">
            <v>YES</v>
          </cell>
        </row>
        <row r="1855">
          <cell r="I1855" t="str">
            <v>V20300</v>
          </cell>
          <cell r="J1855" t="str">
            <v>CTC</v>
          </cell>
          <cell r="K1855" t="str">
            <v>YES</v>
          </cell>
        </row>
        <row r="1856">
          <cell r="I1856" t="str">
            <v>V22067</v>
          </cell>
          <cell r="J1856" t="str">
            <v>CTC</v>
          </cell>
          <cell r="K1856" t="str">
            <v>YES</v>
          </cell>
        </row>
        <row r="1857">
          <cell r="I1857" t="str">
            <v>V2S2159</v>
          </cell>
          <cell r="J1857" t="str">
            <v>CTC</v>
          </cell>
          <cell r="K1857" t="str">
            <v>YES</v>
          </cell>
        </row>
        <row r="1858">
          <cell r="I1858" t="str">
            <v>V43433</v>
          </cell>
          <cell r="J1858" t="str">
            <v>CTC</v>
          </cell>
          <cell r="K1858" t="str">
            <v>YES</v>
          </cell>
        </row>
        <row r="1859">
          <cell r="I1859" t="str">
            <v>V2S534</v>
          </cell>
          <cell r="J1859" t="str">
            <v>CTC</v>
          </cell>
          <cell r="K1859" t="str">
            <v>YES</v>
          </cell>
        </row>
        <row r="1860">
          <cell r="I1860" t="str">
            <v>V35675</v>
          </cell>
          <cell r="J1860" t="str">
            <v>CTC</v>
          </cell>
          <cell r="K1860" t="str">
            <v>YES</v>
          </cell>
        </row>
        <row r="1861">
          <cell r="I1861" t="str">
            <v>V30474</v>
          </cell>
          <cell r="J1861" t="str">
            <v>CTC</v>
          </cell>
          <cell r="K1861" t="str">
            <v>YES</v>
          </cell>
        </row>
        <row r="1862">
          <cell r="I1862" t="str">
            <v>V30531</v>
          </cell>
          <cell r="J1862" t="str">
            <v>CTC</v>
          </cell>
          <cell r="K1862" t="str">
            <v>YES</v>
          </cell>
        </row>
        <row r="1863">
          <cell r="I1863" t="str">
            <v>V31805</v>
          </cell>
          <cell r="J1863" t="str">
            <v>CTC</v>
          </cell>
          <cell r="K1863" t="str">
            <v>YES</v>
          </cell>
        </row>
        <row r="1864">
          <cell r="I1864" t="str">
            <v>V32060</v>
          </cell>
          <cell r="J1864" t="str">
            <v>CTC</v>
          </cell>
          <cell r="K1864" t="str">
            <v>YES</v>
          </cell>
        </row>
        <row r="1865">
          <cell r="I1865" t="str">
            <v>V32735</v>
          </cell>
          <cell r="J1865" t="str">
            <v>CTC</v>
          </cell>
          <cell r="K1865" t="str">
            <v>YES</v>
          </cell>
        </row>
        <row r="1866">
          <cell r="I1866" t="str">
            <v>V34135</v>
          </cell>
          <cell r="J1866" t="str">
            <v>CTC</v>
          </cell>
          <cell r="K1866" t="str">
            <v>YES</v>
          </cell>
        </row>
        <row r="1867">
          <cell r="I1867" t="str">
            <v>V35248</v>
          </cell>
          <cell r="J1867" t="str">
            <v>CTC</v>
          </cell>
          <cell r="K1867" t="str">
            <v>YES</v>
          </cell>
        </row>
        <row r="1868">
          <cell r="I1868" t="str">
            <v>V35732</v>
          </cell>
          <cell r="J1868" t="str">
            <v>CTC</v>
          </cell>
          <cell r="K1868" t="str">
            <v>YES</v>
          </cell>
        </row>
        <row r="1869">
          <cell r="I1869" t="str">
            <v>V35771</v>
          </cell>
          <cell r="J1869" t="str">
            <v>CTC</v>
          </cell>
          <cell r="K1869" t="str">
            <v>YES</v>
          </cell>
        </row>
        <row r="1870">
          <cell r="I1870" t="str">
            <v>V35815</v>
          </cell>
          <cell r="J1870" t="str">
            <v>CTC</v>
          </cell>
          <cell r="K1870" t="str">
            <v>YES</v>
          </cell>
        </row>
        <row r="1871">
          <cell r="I1871" t="str">
            <v>V35944</v>
          </cell>
          <cell r="J1871" t="str">
            <v>CTC</v>
          </cell>
          <cell r="K1871" t="str">
            <v>YES</v>
          </cell>
        </row>
        <row r="1872">
          <cell r="I1872" t="str">
            <v>V30116</v>
          </cell>
          <cell r="J1872" t="str">
            <v>CTC</v>
          </cell>
          <cell r="K1872" t="str">
            <v>YES</v>
          </cell>
        </row>
        <row r="1873">
          <cell r="I1873" t="str">
            <v>V34181</v>
          </cell>
          <cell r="J1873" t="str">
            <v>CTC</v>
          </cell>
          <cell r="K1873" t="str">
            <v>YES</v>
          </cell>
        </row>
        <row r="1874">
          <cell r="I1874" t="str">
            <v>V35259</v>
          </cell>
          <cell r="J1874" t="str">
            <v>CTC</v>
          </cell>
          <cell r="K1874" t="str">
            <v>YES</v>
          </cell>
        </row>
        <row r="1875">
          <cell r="I1875" t="str">
            <v>V35449</v>
          </cell>
          <cell r="J1875" t="str">
            <v>CTC</v>
          </cell>
          <cell r="K1875" t="str">
            <v>YES</v>
          </cell>
        </row>
        <row r="1876">
          <cell r="I1876" t="str">
            <v>V35829</v>
          </cell>
          <cell r="J1876" t="str">
            <v>CTC</v>
          </cell>
          <cell r="K1876" t="str">
            <v>YES</v>
          </cell>
        </row>
        <row r="1877">
          <cell r="I1877" t="str">
            <v>V45181</v>
          </cell>
          <cell r="J1877" t="str">
            <v>CTC</v>
          </cell>
          <cell r="K1877" t="str">
            <v>YES</v>
          </cell>
        </row>
        <row r="1878">
          <cell r="I1878" t="str">
            <v>V45772</v>
          </cell>
          <cell r="J1878" t="str">
            <v>CTC</v>
          </cell>
          <cell r="K1878" t="str">
            <v>YES</v>
          </cell>
        </row>
        <row r="1879">
          <cell r="I1879" t="str">
            <v>V21121</v>
          </cell>
          <cell r="J1879" t="str">
            <v>CTC</v>
          </cell>
          <cell r="K1879" t="str">
            <v>YES</v>
          </cell>
        </row>
        <row r="1880">
          <cell r="I1880" t="str">
            <v>V11509</v>
          </cell>
          <cell r="J1880" t="str">
            <v>CTC</v>
          </cell>
          <cell r="K1880" t="str">
            <v>YES</v>
          </cell>
        </row>
        <row r="1881">
          <cell r="I1881" t="str">
            <v>V18602</v>
          </cell>
          <cell r="J1881" t="str">
            <v>CTC</v>
          </cell>
          <cell r="K1881" t="str">
            <v>YES</v>
          </cell>
        </row>
        <row r="1882">
          <cell r="I1882" t="str">
            <v>V33801</v>
          </cell>
          <cell r="J1882" t="str">
            <v>CTC</v>
          </cell>
          <cell r="K1882" t="str">
            <v>YES</v>
          </cell>
        </row>
        <row r="1883">
          <cell r="I1883" t="str">
            <v>V43561</v>
          </cell>
          <cell r="J1883" t="str">
            <v>CTC</v>
          </cell>
          <cell r="K1883" t="str">
            <v>YES</v>
          </cell>
        </row>
        <row r="1884">
          <cell r="I1884" t="str">
            <v>V47093</v>
          </cell>
          <cell r="J1884" t="str">
            <v>CTC</v>
          </cell>
          <cell r="K1884" t="str">
            <v>YES</v>
          </cell>
        </row>
        <row r="1885">
          <cell r="I1885" t="str">
            <v>V07258</v>
          </cell>
          <cell r="J1885" t="str">
            <v>CTC</v>
          </cell>
          <cell r="K1885" t="str">
            <v>YES</v>
          </cell>
        </row>
        <row r="1886">
          <cell r="I1886" t="str">
            <v>V24983</v>
          </cell>
          <cell r="J1886" t="str">
            <v>CTC</v>
          </cell>
          <cell r="K1886" t="str">
            <v>YES</v>
          </cell>
        </row>
        <row r="1887">
          <cell r="I1887" t="str">
            <v>V10789</v>
          </cell>
          <cell r="J1887" t="str">
            <v>CTC</v>
          </cell>
          <cell r="K1887" t="str">
            <v>YES</v>
          </cell>
        </row>
        <row r="1888">
          <cell r="I1888" t="str">
            <v>V35591</v>
          </cell>
          <cell r="J1888" t="str">
            <v>CTC</v>
          </cell>
          <cell r="K1888" t="str">
            <v>YES</v>
          </cell>
        </row>
        <row r="1889">
          <cell r="I1889" t="str">
            <v>V37151</v>
          </cell>
          <cell r="J1889" t="str">
            <v>CTC</v>
          </cell>
          <cell r="K1889" t="str">
            <v>YES</v>
          </cell>
        </row>
        <row r="1890">
          <cell r="I1890" t="str">
            <v>V33484</v>
          </cell>
          <cell r="J1890" t="str">
            <v>CTC</v>
          </cell>
          <cell r="K1890" t="str">
            <v>YES</v>
          </cell>
        </row>
        <row r="1891">
          <cell r="I1891" t="str">
            <v>V24117</v>
          </cell>
          <cell r="J1891" t="str">
            <v>CTC</v>
          </cell>
          <cell r="K1891" t="str">
            <v>YES</v>
          </cell>
        </row>
        <row r="1892">
          <cell r="I1892" t="str">
            <v>V34445</v>
          </cell>
          <cell r="J1892" t="str">
            <v>CTC</v>
          </cell>
          <cell r="K1892" t="str">
            <v>YES</v>
          </cell>
        </row>
        <row r="1893">
          <cell r="I1893" t="str">
            <v>V12016</v>
          </cell>
          <cell r="J1893" t="str">
            <v>CTC</v>
          </cell>
          <cell r="K1893" t="str">
            <v>YES</v>
          </cell>
        </row>
        <row r="1894">
          <cell r="I1894" t="str">
            <v>V45586</v>
          </cell>
          <cell r="J1894" t="str">
            <v>CTC</v>
          </cell>
          <cell r="K1894" t="str">
            <v>YES</v>
          </cell>
        </row>
        <row r="1895">
          <cell r="I1895" t="str">
            <v>V47549</v>
          </cell>
          <cell r="J1895" t="str">
            <v>CTC</v>
          </cell>
          <cell r="K1895" t="str">
            <v>YES</v>
          </cell>
        </row>
        <row r="1896">
          <cell r="I1896" t="str">
            <v>V35350</v>
          </cell>
          <cell r="J1896" t="str">
            <v>CTC</v>
          </cell>
          <cell r="K1896" t="str">
            <v>YES</v>
          </cell>
        </row>
        <row r="1897">
          <cell r="I1897" t="str">
            <v>V33423</v>
          </cell>
          <cell r="J1897" t="str">
            <v>CTC</v>
          </cell>
          <cell r="K1897" t="str">
            <v>YES</v>
          </cell>
        </row>
        <row r="1898">
          <cell r="I1898" t="str">
            <v>V40156</v>
          </cell>
          <cell r="J1898" t="str">
            <v>CTC</v>
          </cell>
          <cell r="K1898" t="str">
            <v>YES</v>
          </cell>
        </row>
        <row r="1899">
          <cell r="I1899" t="str">
            <v>V25579</v>
          </cell>
          <cell r="J1899" t="str">
            <v>CTC</v>
          </cell>
          <cell r="K1899" t="str">
            <v>YES</v>
          </cell>
        </row>
        <row r="1900">
          <cell r="I1900" t="str">
            <v>V25719</v>
          </cell>
          <cell r="J1900" t="str">
            <v>CTC</v>
          </cell>
          <cell r="K1900" t="str">
            <v>YES</v>
          </cell>
        </row>
        <row r="1901">
          <cell r="I1901" t="str">
            <v>V26021</v>
          </cell>
          <cell r="J1901" t="str">
            <v>CTC</v>
          </cell>
          <cell r="K1901" t="str">
            <v>YES</v>
          </cell>
        </row>
        <row r="1902">
          <cell r="I1902" t="str">
            <v>V26034</v>
          </cell>
          <cell r="J1902" t="str">
            <v>CTC</v>
          </cell>
          <cell r="K1902" t="str">
            <v>YES</v>
          </cell>
        </row>
        <row r="1903">
          <cell r="I1903" t="str">
            <v>V26223</v>
          </cell>
          <cell r="J1903" t="str">
            <v>CTC</v>
          </cell>
          <cell r="K1903" t="str">
            <v>YES</v>
          </cell>
        </row>
        <row r="1904">
          <cell r="I1904" t="str">
            <v>V26275</v>
          </cell>
          <cell r="J1904" t="str">
            <v>CTC</v>
          </cell>
          <cell r="K1904" t="str">
            <v>YES</v>
          </cell>
        </row>
        <row r="1905">
          <cell r="I1905" t="str">
            <v>V27368</v>
          </cell>
          <cell r="J1905" t="str">
            <v>CTC</v>
          </cell>
          <cell r="K1905" t="str">
            <v>YES</v>
          </cell>
        </row>
        <row r="1906">
          <cell r="I1906" t="str">
            <v>V28068</v>
          </cell>
          <cell r="J1906" t="str">
            <v>CTC</v>
          </cell>
          <cell r="K1906" t="str">
            <v>YES</v>
          </cell>
        </row>
        <row r="1907">
          <cell r="I1907" t="str">
            <v>V29119</v>
          </cell>
          <cell r="J1907" t="str">
            <v>CTC</v>
          </cell>
          <cell r="K1907" t="str">
            <v>YES</v>
          </cell>
        </row>
        <row r="1908">
          <cell r="I1908" t="str">
            <v>V10381</v>
          </cell>
          <cell r="J1908" t="str">
            <v>CTC</v>
          </cell>
          <cell r="K1908" t="str">
            <v>YES</v>
          </cell>
        </row>
        <row r="1909">
          <cell r="I1909" t="str">
            <v>V14166</v>
          </cell>
          <cell r="J1909" t="str">
            <v>CTC</v>
          </cell>
          <cell r="K1909" t="str">
            <v>YES</v>
          </cell>
        </row>
        <row r="1910">
          <cell r="I1910" t="str">
            <v>V42639</v>
          </cell>
          <cell r="J1910" t="str">
            <v>CTC</v>
          </cell>
          <cell r="K1910" t="str">
            <v>YES</v>
          </cell>
        </row>
        <row r="1911">
          <cell r="I1911" t="str">
            <v>V21631</v>
          </cell>
          <cell r="J1911" t="str">
            <v>CTC</v>
          </cell>
          <cell r="K1911" t="str">
            <v>YES</v>
          </cell>
        </row>
        <row r="1912">
          <cell r="I1912" t="str">
            <v>V23172</v>
          </cell>
          <cell r="J1912" t="str">
            <v>CTC</v>
          </cell>
          <cell r="K1912" t="str">
            <v>YES</v>
          </cell>
        </row>
        <row r="1913">
          <cell r="I1913" t="str">
            <v>V44328</v>
          </cell>
          <cell r="J1913" t="str">
            <v>CTC</v>
          </cell>
          <cell r="K1913" t="str">
            <v>YES</v>
          </cell>
        </row>
        <row r="1914">
          <cell r="I1914" t="str">
            <v>V22216</v>
          </cell>
          <cell r="J1914" t="str">
            <v>CTC</v>
          </cell>
          <cell r="K1914" t="str">
            <v>YES</v>
          </cell>
        </row>
        <row r="1915">
          <cell r="I1915" t="str">
            <v>V27044</v>
          </cell>
          <cell r="J1915" t="str">
            <v>CTC</v>
          </cell>
          <cell r="K1915" t="str">
            <v>YES</v>
          </cell>
        </row>
        <row r="1916">
          <cell r="I1916" t="str">
            <v>V36930</v>
          </cell>
          <cell r="J1916" t="str">
            <v>CTC</v>
          </cell>
          <cell r="K1916" t="str">
            <v>YES</v>
          </cell>
        </row>
        <row r="1917">
          <cell r="I1917" t="str">
            <v>V36949</v>
          </cell>
          <cell r="J1917" t="str">
            <v>CTC</v>
          </cell>
          <cell r="K1917" t="str">
            <v>YES</v>
          </cell>
        </row>
        <row r="1918">
          <cell r="I1918" t="str">
            <v>V37225</v>
          </cell>
          <cell r="J1918" t="str">
            <v>CTC</v>
          </cell>
          <cell r="K1918" t="str">
            <v>YES</v>
          </cell>
        </row>
        <row r="1919">
          <cell r="I1919" t="str">
            <v>V38062</v>
          </cell>
          <cell r="J1919" t="str">
            <v>CTC</v>
          </cell>
          <cell r="K1919" t="str">
            <v>YES</v>
          </cell>
        </row>
        <row r="1920">
          <cell r="I1920" t="str">
            <v>V38360</v>
          </cell>
          <cell r="J1920" t="str">
            <v>CTC</v>
          </cell>
          <cell r="K1920" t="str">
            <v>YES</v>
          </cell>
        </row>
        <row r="1921">
          <cell r="I1921" t="str">
            <v>V38949</v>
          </cell>
          <cell r="J1921" t="str">
            <v>CTC</v>
          </cell>
          <cell r="K1921" t="str">
            <v>YES</v>
          </cell>
        </row>
        <row r="1922">
          <cell r="I1922" t="str">
            <v>V41199</v>
          </cell>
          <cell r="J1922" t="str">
            <v>CTC</v>
          </cell>
          <cell r="K1922" t="str">
            <v>YES</v>
          </cell>
        </row>
        <row r="1923">
          <cell r="I1923" t="str">
            <v>V41202</v>
          </cell>
          <cell r="J1923" t="str">
            <v>CTC</v>
          </cell>
          <cell r="K1923" t="str">
            <v>YES</v>
          </cell>
        </row>
        <row r="1924">
          <cell r="I1924" t="str">
            <v>V41359</v>
          </cell>
          <cell r="J1924" t="str">
            <v>CTC</v>
          </cell>
          <cell r="K1924" t="str">
            <v>YES</v>
          </cell>
        </row>
        <row r="1925">
          <cell r="I1925" t="str">
            <v>V42304</v>
          </cell>
          <cell r="J1925" t="str">
            <v>CTC</v>
          </cell>
          <cell r="K1925" t="str">
            <v>YES</v>
          </cell>
        </row>
        <row r="1926">
          <cell r="I1926" t="str">
            <v>V36747</v>
          </cell>
          <cell r="J1926" t="str">
            <v>CTC</v>
          </cell>
          <cell r="K1926" t="str">
            <v>YES</v>
          </cell>
        </row>
        <row r="1927">
          <cell r="I1927" t="str">
            <v>V37891</v>
          </cell>
          <cell r="J1927" t="str">
            <v>CTC</v>
          </cell>
          <cell r="K1927" t="str">
            <v>YES</v>
          </cell>
        </row>
        <row r="1928">
          <cell r="I1928" t="str">
            <v>V38836</v>
          </cell>
          <cell r="J1928" t="str">
            <v>CTC</v>
          </cell>
          <cell r="K1928" t="str">
            <v>YES</v>
          </cell>
        </row>
        <row r="1929">
          <cell r="I1929" t="str">
            <v>V30940</v>
          </cell>
          <cell r="J1929" t="str">
            <v>CTC</v>
          </cell>
          <cell r="K1929" t="str">
            <v>YES</v>
          </cell>
        </row>
        <row r="1930">
          <cell r="I1930" t="str">
            <v>V45059</v>
          </cell>
          <cell r="J1930" t="str">
            <v>CTC</v>
          </cell>
          <cell r="K1930" t="str">
            <v>YES</v>
          </cell>
        </row>
        <row r="1931">
          <cell r="I1931" t="str">
            <v>V12856</v>
          </cell>
          <cell r="J1931" t="str">
            <v>CTC</v>
          </cell>
          <cell r="K1931" t="str">
            <v>YES</v>
          </cell>
        </row>
        <row r="1932">
          <cell r="I1932" t="str">
            <v>V36574</v>
          </cell>
          <cell r="J1932" t="str">
            <v>CTC</v>
          </cell>
          <cell r="K1932" t="str">
            <v>YES</v>
          </cell>
        </row>
        <row r="1933">
          <cell r="I1933" t="str">
            <v>V05861</v>
          </cell>
          <cell r="J1933" t="str">
            <v>CTC</v>
          </cell>
          <cell r="K1933" t="str">
            <v>YES</v>
          </cell>
        </row>
        <row r="1934">
          <cell r="I1934" t="str">
            <v>V25496</v>
          </cell>
          <cell r="J1934" t="str">
            <v>CTC</v>
          </cell>
          <cell r="K1934" t="str">
            <v>YES</v>
          </cell>
        </row>
        <row r="1935">
          <cell r="I1935" t="str">
            <v>V27511</v>
          </cell>
          <cell r="J1935" t="str">
            <v>CTC</v>
          </cell>
          <cell r="K1935" t="str">
            <v>YES</v>
          </cell>
        </row>
        <row r="1936">
          <cell r="I1936" t="str">
            <v>V25680</v>
          </cell>
          <cell r="J1936" t="str">
            <v>CTC</v>
          </cell>
          <cell r="K1936" t="str">
            <v>YES</v>
          </cell>
        </row>
        <row r="1937">
          <cell r="I1937" t="str">
            <v>V25885</v>
          </cell>
          <cell r="J1937" t="str">
            <v>CTC</v>
          </cell>
          <cell r="K1937" t="str">
            <v>YES</v>
          </cell>
        </row>
        <row r="1938">
          <cell r="I1938" t="str">
            <v>V25905</v>
          </cell>
          <cell r="J1938" t="str">
            <v>CTC</v>
          </cell>
          <cell r="K1938" t="str">
            <v>YES</v>
          </cell>
        </row>
        <row r="1939">
          <cell r="I1939" t="str">
            <v>V26210</v>
          </cell>
          <cell r="J1939" t="str">
            <v>CTC</v>
          </cell>
          <cell r="K1939" t="str">
            <v>YES</v>
          </cell>
        </row>
        <row r="1940">
          <cell r="I1940" t="str">
            <v>V26217</v>
          </cell>
          <cell r="J1940" t="str">
            <v>CTC</v>
          </cell>
          <cell r="K1940" t="str">
            <v>YES</v>
          </cell>
        </row>
        <row r="1941">
          <cell r="I1941" t="str">
            <v>V27466</v>
          </cell>
          <cell r="J1941" t="str">
            <v>CTC</v>
          </cell>
          <cell r="K1941" t="str">
            <v>YES</v>
          </cell>
        </row>
        <row r="1942">
          <cell r="I1942" t="str">
            <v>V28612</v>
          </cell>
          <cell r="J1942" t="str">
            <v>CTC</v>
          </cell>
          <cell r="K1942" t="str">
            <v>YES</v>
          </cell>
        </row>
        <row r="1943">
          <cell r="I1943" t="str">
            <v>V28753</v>
          </cell>
          <cell r="J1943" t="str">
            <v>CTC</v>
          </cell>
          <cell r="K1943" t="str">
            <v>YES</v>
          </cell>
        </row>
        <row r="1944">
          <cell r="I1944" t="str">
            <v>V41833</v>
          </cell>
          <cell r="J1944" t="str">
            <v>CTC</v>
          </cell>
          <cell r="K1944" t="str">
            <v>YES</v>
          </cell>
        </row>
        <row r="1945">
          <cell r="I1945" t="str">
            <v>V29972</v>
          </cell>
          <cell r="J1945" t="str">
            <v>CTC</v>
          </cell>
          <cell r="K1945" t="str">
            <v>YES</v>
          </cell>
        </row>
        <row r="1946">
          <cell r="I1946" t="str">
            <v>V20666</v>
          </cell>
          <cell r="J1946" t="str">
            <v>CTC</v>
          </cell>
          <cell r="K1946" t="str">
            <v>YES</v>
          </cell>
        </row>
        <row r="1947">
          <cell r="I1947" t="str">
            <v>V21773</v>
          </cell>
          <cell r="J1947" t="str">
            <v>CTC</v>
          </cell>
          <cell r="K1947" t="str">
            <v>YES</v>
          </cell>
        </row>
        <row r="1948">
          <cell r="I1948" t="str">
            <v>V27384</v>
          </cell>
          <cell r="J1948" t="str">
            <v>CTC</v>
          </cell>
          <cell r="K1948" t="str">
            <v>YES</v>
          </cell>
        </row>
        <row r="1949">
          <cell r="I1949" t="str">
            <v>V27353</v>
          </cell>
          <cell r="J1949" t="str">
            <v>CTC</v>
          </cell>
          <cell r="K1949" t="str">
            <v>YES</v>
          </cell>
        </row>
        <row r="1950">
          <cell r="I1950" t="str">
            <v>V33389</v>
          </cell>
          <cell r="J1950" t="str">
            <v>CTC</v>
          </cell>
          <cell r="K1950" t="str">
            <v>YES</v>
          </cell>
        </row>
        <row r="1951">
          <cell r="I1951" t="str">
            <v>V27731</v>
          </cell>
          <cell r="J1951" t="str">
            <v>CTC</v>
          </cell>
          <cell r="K1951" t="str">
            <v>YES</v>
          </cell>
        </row>
        <row r="1952">
          <cell r="I1952" t="str">
            <v>V14999</v>
          </cell>
          <cell r="J1952" t="str">
            <v>CTC</v>
          </cell>
          <cell r="K1952" t="str">
            <v>YES</v>
          </cell>
        </row>
        <row r="1953">
          <cell r="I1953" t="str">
            <v>V02264</v>
          </cell>
          <cell r="J1953" t="str">
            <v>CTC</v>
          </cell>
          <cell r="K1953" t="str">
            <v>YES</v>
          </cell>
        </row>
        <row r="1954">
          <cell r="I1954" t="str">
            <v>V02267</v>
          </cell>
          <cell r="J1954" t="str">
            <v>CTC</v>
          </cell>
          <cell r="K1954" t="str">
            <v>YES</v>
          </cell>
        </row>
        <row r="1955">
          <cell r="I1955" t="str">
            <v>V01443</v>
          </cell>
          <cell r="J1955" t="str">
            <v>CTC</v>
          </cell>
          <cell r="K1955" t="str">
            <v>YES</v>
          </cell>
        </row>
        <row r="1956">
          <cell r="I1956" t="str">
            <v>V01806</v>
          </cell>
          <cell r="J1956" t="str">
            <v>CTC</v>
          </cell>
          <cell r="K1956" t="str">
            <v>YES</v>
          </cell>
        </row>
        <row r="1957">
          <cell r="I1957" t="str">
            <v>V01817</v>
          </cell>
          <cell r="J1957" t="str">
            <v>CTC</v>
          </cell>
          <cell r="K1957" t="str">
            <v>YES</v>
          </cell>
        </row>
        <row r="1958">
          <cell r="I1958" t="str">
            <v>V20070</v>
          </cell>
          <cell r="J1958" t="str">
            <v>CTC</v>
          </cell>
          <cell r="K1958" t="str">
            <v>YES</v>
          </cell>
        </row>
        <row r="1959">
          <cell r="I1959" t="str">
            <v>V44315</v>
          </cell>
          <cell r="J1959" t="str">
            <v>CTC</v>
          </cell>
          <cell r="K1959" t="str">
            <v>YES</v>
          </cell>
        </row>
        <row r="1960">
          <cell r="I1960" t="str">
            <v>V42162</v>
          </cell>
          <cell r="J1960" t="str">
            <v>CTC</v>
          </cell>
          <cell r="K1960" t="str">
            <v>YES</v>
          </cell>
        </row>
        <row r="1961">
          <cell r="I1961" t="str">
            <v>V28281</v>
          </cell>
          <cell r="J1961" t="str">
            <v>CTC</v>
          </cell>
          <cell r="K1961" t="str">
            <v>YES</v>
          </cell>
        </row>
        <row r="1962">
          <cell r="I1962" t="str">
            <v>V16426</v>
          </cell>
          <cell r="J1962" t="str">
            <v>CTC</v>
          </cell>
          <cell r="K1962" t="str">
            <v>YES</v>
          </cell>
        </row>
        <row r="1963">
          <cell r="I1963" t="str">
            <v>V32137</v>
          </cell>
          <cell r="J1963" t="str">
            <v>CTC</v>
          </cell>
          <cell r="K1963" t="str">
            <v>YES</v>
          </cell>
        </row>
        <row r="1964">
          <cell r="I1964" t="str">
            <v>V13241</v>
          </cell>
          <cell r="J1964" t="str">
            <v>CTC</v>
          </cell>
          <cell r="K1964" t="str">
            <v>YES</v>
          </cell>
        </row>
        <row r="1965">
          <cell r="I1965" t="str">
            <v>V39698</v>
          </cell>
          <cell r="J1965" t="str">
            <v>CTC</v>
          </cell>
          <cell r="K1965" t="str">
            <v>YES</v>
          </cell>
        </row>
        <row r="1966">
          <cell r="I1966" t="str">
            <v>V41488</v>
          </cell>
          <cell r="J1966" t="str">
            <v>CTC</v>
          </cell>
          <cell r="K1966" t="str">
            <v>YES</v>
          </cell>
        </row>
        <row r="1967">
          <cell r="I1967" t="str">
            <v>V13007</v>
          </cell>
          <cell r="J1967" t="str">
            <v>CTC</v>
          </cell>
          <cell r="K1967" t="str">
            <v>YES</v>
          </cell>
        </row>
        <row r="1968">
          <cell r="I1968" t="str">
            <v>V43518</v>
          </cell>
          <cell r="J1968" t="str">
            <v>CTC</v>
          </cell>
          <cell r="K1968" t="str">
            <v>YES</v>
          </cell>
        </row>
        <row r="1969">
          <cell r="I1969" t="str">
            <v>V43517</v>
          </cell>
          <cell r="J1969" t="str">
            <v>CTC</v>
          </cell>
          <cell r="K1969" t="str">
            <v>YES</v>
          </cell>
        </row>
        <row r="1970">
          <cell r="I1970" t="str">
            <v>V16150</v>
          </cell>
          <cell r="J1970" t="str">
            <v>CTC</v>
          </cell>
          <cell r="K1970" t="str">
            <v>YES</v>
          </cell>
        </row>
        <row r="1971">
          <cell r="I1971" t="str">
            <v>V33918</v>
          </cell>
          <cell r="J1971" t="str">
            <v>CTC</v>
          </cell>
          <cell r="K1971" t="str">
            <v>YES</v>
          </cell>
        </row>
        <row r="1972">
          <cell r="I1972" t="str">
            <v>V29205</v>
          </cell>
          <cell r="J1972" t="str">
            <v>CTC</v>
          </cell>
          <cell r="K1972" t="str">
            <v>YES</v>
          </cell>
        </row>
        <row r="1973">
          <cell r="I1973" t="str">
            <v>V45585</v>
          </cell>
          <cell r="J1973" t="str">
            <v>CTC</v>
          </cell>
          <cell r="K1973" t="str">
            <v>YES</v>
          </cell>
        </row>
        <row r="1974">
          <cell r="I1974" t="str">
            <v>V23925</v>
          </cell>
          <cell r="J1974" t="str">
            <v>CTC</v>
          </cell>
          <cell r="K1974" t="str">
            <v>YES</v>
          </cell>
        </row>
        <row r="1975">
          <cell r="I1975" t="str">
            <v>V43009</v>
          </cell>
          <cell r="J1975" t="str">
            <v>CTC</v>
          </cell>
          <cell r="K1975" t="str">
            <v>YES</v>
          </cell>
        </row>
        <row r="1976">
          <cell r="I1976" t="str">
            <v>V25887</v>
          </cell>
          <cell r="J1976" t="str">
            <v>CTC</v>
          </cell>
          <cell r="K1976" t="str">
            <v>YES</v>
          </cell>
        </row>
        <row r="1977">
          <cell r="I1977" t="str">
            <v>V26661</v>
          </cell>
          <cell r="J1977" t="str">
            <v>CTC</v>
          </cell>
          <cell r="K1977" t="str">
            <v>YES</v>
          </cell>
        </row>
        <row r="1978">
          <cell r="I1978" t="str">
            <v>V43240</v>
          </cell>
          <cell r="J1978" t="str">
            <v>CTC</v>
          </cell>
          <cell r="K1978" t="str">
            <v>YES</v>
          </cell>
        </row>
        <row r="1979">
          <cell r="I1979" t="str">
            <v>V36061</v>
          </cell>
          <cell r="J1979" t="str">
            <v>CTC</v>
          </cell>
          <cell r="K1979" t="str">
            <v>YES</v>
          </cell>
        </row>
        <row r="1980">
          <cell r="I1980" t="str">
            <v>V18176</v>
          </cell>
          <cell r="J1980" t="str">
            <v>CTC</v>
          </cell>
          <cell r="K1980" t="str">
            <v>YES</v>
          </cell>
        </row>
        <row r="1981">
          <cell r="I1981" t="str">
            <v>V06050</v>
          </cell>
          <cell r="J1981" t="str">
            <v>CTC</v>
          </cell>
          <cell r="K1981" t="str">
            <v>YES</v>
          </cell>
        </row>
        <row r="1982">
          <cell r="I1982" t="str">
            <v>V09499</v>
          </cell>
          <cell r="J1982" t="str">
            <v>CTC</v>
          </cell>
          <cell r="K1982" t="str">
            <v>YES</v>
          </cell>
        </row>
        <row r="1983">
          <cell r="I1983" t="str">
            <v>V30349</v>
          </cell>
          <cell r="J1983" t="str">
            <v>CTC</v>
          </cell>
          <cell r="K1983" t="str">
            <v>YES</v>
          </cell>
        </row>
        <row r="1984">
          <cell r="I1984" t="str">
            <v>V47561</v>
          </cell>
          <cell r="J1984" t="str">
            <v>CTC</v>
          </cell>
          <cell r="K1984" t="str">
            <v>YES</v>
          </cell>
        </row>
        <row r="1985">
          <cell r="I1985" t="str">
            <v>V29924</v>
          </cell>
          <cell r="J1985" t="str">
            <v>CTC</v>
          </cell>
          <cell r="K1985" t="str">
            <v>YES</v>
          </cell>
        </row>
        <row r="1986">
          <cell r="I1986" t="str">
            <v>V30501</v>
          </cell>
          <cell r="J1986" t="str">
            <v>CTC</v>
          </cell>
          <cell r="K1986" t="str">
            <v>YES</v>
          </cell>
        </row>
        <row r="1987">
          <cell r="I1987" t="str">
            <v>V34233</v>
          </cell>
          <cell r="J1987" t="str">
            <v>CTC</v>
          </cell>
          <cell r="K1987" t="str">
            <v>YES</v>
          </cell>
        </row>
        <row r="1988">
          <cell r="I1988" t="str">
            <v>V35417</v>
          </cell>
          <cell r="J1988" t="str">
            <v>CTC</v>
          </cell>
          <cell r="K1988" t="str">
            <v>YES</v>
          </cell>
        </row>
        <row r="1989">
          <cell r="I1989" t="str">
            <v>V37325</v>
          </cell>
          <cell r="J1989" t="str">
            <v>CTC</v>
          </cell>
          <cell r="K1989" t="str">
            <v>YES</v>
          </cell>
        </row>
        <row r="1990">
          <cell r="I1990" t="str">
            <v>V34845</v>
          </cell>
          <cell r="J1990" t="str">
            <v>CTC</v>
          </cell>
          <cell r="K1990" t="str">
            <v>YES</v>
          </cell>
        </row>
        <row r="1991">
          <cell r="I1991" t="str">
            <v>V12857</v>
          </cell>
          <cell r="J1991" t="str">
            <v>CTC</v>
          </cell>
          <cell r="K1991" t="str">
            <v>YES</v>
          </cell>
        </row>
        <row r="1992">
          <cell r="I1992" t="str">
            <v>V18354</v>
          </cell>
          <cell r="J1992" t="str">
            <v>CTC</v>
          </cell>
          <cell r="K1992" t="str">
            <v>YES</v>
          </cell>
        </row>
        <row r="1993">
          <cell r="I1993" t="str">
            <v>V26227</v>
          </cell>
          <cell r="J1993" t="str">
            <v>CTC</v>
          </cell>
          <cell r="K1993" t="str">
            <v>YES</v>
          </cell>
        </row>
        <row r="1994">
          <cell r="I1994" t="str">
            <v>V43043</v>
          </cell>
          <cell r="J1994" t="str">
            <v>CTC</v>
          </cell>
          <cell r="K1994" t="str">
            <v>YES</v>
          </cell>
        </row>
        <row r="1995">
          <cell r="I1995" t="str">
            <v>V10467</v>
          </cell>
          <cell r="J1995" t="str">
            <v>CTC</v>
          </cell>
          <cell r="K1995" t="str">
            <v>YES</v>
          </cell>
        </row>
        <row r="1996">
          <cell r="I1996" t="str">
            <v>V45346</v>
          </cell>
          <cell r="J1996" t="str">
            <v>CTC</v>
          </cell>
          <cell r="K1996" t="str">
            <v>YES</v>
          </cell>
        </row>
        <row r="1997">
          <cell r="I1997" t="str">
            <v>V22405</v>
          </cell>
          <cell r="J1997" t="str">
            <v>CTC</v>
          </cell>
          <cell r="K1997" t="str">
            <v>YES</v>
          </cell>
        </row>
        <row r="1998">
          <cell r="I1998" t="str">
            <v>V45646</v>
          </cell>
          <cell r="J1998" t="str">
            <v>CTC</v>
          </cell>
          <cell r="K1998" t="str">
            <v>YES</v>
          </cell>
        </row>
        <row r="1999">
          <cell r="I1999" t="str">
            <v>V02997</v>
          </cell>
          <cell r="J1999" t="str">
            <v>CTC</v>
          </cell>
          <cell r="K1999" t="str">
            <v>YES</v>
          </cell>
        </row>
        <row r="2000">
          <cell r="I2000" t="str">
            <v>V03007</v>
          </cell>
          <cell r="J2000" t="str">
            <v>CTC</v>
          </cell>
          <cell r="K2000" t="str">
            <v>YES</v>
          </cell>
        </row>
        <row r="2001">
          <cell r="I2001" t="str">
            <v>V03494</v>
          </cell>
          <cell r="J2001" t="str">
            <v>CTC</v>
          </cell>
          <cell r="K2001" t="str">
            <v>YES</v>
          </cell>
        </row>
        <row r="2002">
          <cell r="I2002" t="str">
            <v>V38658</v>
          </cell>
          <cell r="J2002" t="str">
            <v>CTC</v>
          </cell>
          <cell r="K2002" t="str">
            <v>YES</v>
          </cell>
        </row>
        <row r="2003">
          <cell r="I2003" t="str">
            <v>V14091</v>
          </cell>
          <cell r="J2003" t="str">
            <v>CTC</v>
          </cell>
          <cell r="K2003" t="str">
            <v>YES</v>
          </cell>
        </row>
        <row r="2004">
          <cell r="I2004" t="str">
            <v>V46155</v>
          </cell>
          <cell r="J2004" t="str">
            <v>CTC</v>
          </cell>
          <cell r="K2004" t="str">
            <v>YES</v>
          </cell>
        </row>
        <row r="2005">
          <cell r="I2005" t="str">
            <v>V31866</v>
          </cell>
          <cell r="J2005" t="str">
            <v>CTC</v>
          </cell>
          <cell r="K2005" t="str">
            <v>YES</v>
          </cell>
        </row>
        <row r="2006">
          <cell r="I2006" t="str">
            <v>V20395</v>
          </cell>
          <cell r="J2006" t="str">
            <v>CTC</v>
          </cell>
          <cell r="K2006" t="str">
            <v>YES</v>
          </cell>
        </row>
        <row r="2007">
          <cell r="I2007" t="str">
            <v>V00925</v>
          </cell>
          <cell r="J2007" t="str">
            <v>CTC</v>
          </cell>
          <cell r="K2007" t="str">
            <v>YES</v>
          </cell>
        </row>
        <row r="2008">
          <cell r="I2008" t="str">
            <v>V23785</v>
          </cell>
          <cell r="J2008" t="str">
            <v>CTC</v>
          </cell>
          <cell r="K2008" t="str">
            <v>YES</v>
          </cell>
        </row>
        <row r="2009">
          <cell r="I2009" t="str">
            <v>V24030</v>
          </cell>
          <cell r="J2009" t="str">
            <v>CTC</v>
          </cell>
          <cell r="K2009" t="str">
            <v>YES</v>
          </cell>
        </row>
        <row r="2010">
          <cell r="I2010" t="str">
            <v>V24992</v>
          </cell>
          <cell r="J2010" t="str">
            <v>CTC</v>
          </cell>
          <cell r="K2010" t="str">
            <v>YES</v>
          </cell>
        </row>
        <row r="2011">
          <cell r="I2011" t="str">
            <v>V20551</v>
          </cell>
          <cell r="J2011" t="str">
            <v>CTC</v>
          </cell>
          <cell r="K2011" t="str">
            <v>YES</v>
          </cell>
        </row>
        <row r="2012">
          <cell r="I2012" t="str">
            <v>V37678</v>
          </cell>
          <cell r="J2012" t="str">
            <v>CTC</v>
          </cell>
          <cell r="K2012" t="str">
            <v>YES</v>
          </cell>
        </row>
        <row r="2013">
          <cell r="I2013" t="str">
            <v>V17830</v>
          </cell>
          <cell r="J2013" t="str">
            <v>CTC</v>
          </cell>
          <cell r="K2013" t="str">
            <v>YES</v>
          </cell>
        </row>
        <row r="2014">
          <cell r="I2014" t="str">
            <v>V18122</v>
          </cell>
          <cell r="J2014" t="str">
            <v>CTC</v>
          </cell>
          <cell r="K2014" t="str">
            <v>YES</v>
          </cell>
        </row>
        <row r="2015">
          <cell r="I2015" t="str">
            <v>V18069</v>
          </cell>
          <cell r="J2015" t="str">
            <v>CTC</v>
          </cell>
          <cell r="K2015" t="str">
            <v>YES</v>
          </cell>
        </row>
        <row r="2016">
          <cell r="I2016" t="str">
            <v>V43456</v>
          </cell>
          <cell r="J2016" t="str">
            <v>CTC</v>
          </cell>
          <cell r="K2016" t="str">
            <v>YES</v>
          </cell>
        </row>
        <row r="2017">
          <cell r="I2017" t="str">
            <v>V24466</v>
          </cell>
          <cell r="J2017" t="str">
            <v>CTC</v>
          </cell>
          <cell r="K2017" t="str">
            <v>YES</v>
          </cell>
        </row>
        <row r="2018">
          <cell r="I2018" t="str">
            <v>V23722</v>
          </cell>
          <cell r="J2018" t="str">
            <v>CTC</v>
          </cell>
          <cell r="K2018" t="str">
            <v>YES</v>
          </cell>
        </row>
        <row r="2019">
          <cell r="I2019" t="str">
            <v>V13930</v>
          </cell>
          <cell r="J2019" t="str">
            <v>CTC</v>
          </cell>
          <cell r="K2019" t="str">
            <v>YES</v>
          </cell>
        </row>
        <row r="2020">
          <cell r="I2020" t="str">
            <v>V16537</v>
          </cell>
          <cell r="J2020" t="str">
            <v>CTC</v>
          </cell>
          <cell r="K2020" t="str">
            <v>YES</v>
          </cell>
        </row>
        <row r="2021">
          <cell r="I2021" t="str">
            <v>V34402</v>
          </cell>
          <cell r="J2021" t="str">
            <v>CTC</v>
          </cell>
          <cell r="K2021" t="str">
            <v>YES</v>
          </cell>
        </row>
        <row r="2022">
          <cell r="I2022" t="str">
            <v>V43088</v>
          </cell>
          <cell r="J2022" t="str">
            <v>CTC</v>
          </cell>
          <cell r="K2022" t="str">
            <v>YES</v>
          </cell>
        </row>
        <row r="2023">
          <cell r="I2023" t="str">
            <v>V18534</v>
          </cell>
          <cell r="J2023" t="str">
            <v>CTC</v>
          </cell>
          <cell r="K2023" t="str">
            <v>YES</v>
          </cell>
        </row>
        <row r="2024">
          <cell r="I2024" t="str">
            <v>V36567</v>
          </cell>
          <cell r="J2024" t="str">
            <v>CTC</v>
          </cell>
          <cell r="K2024" t="str">
            <v>YES</v>
          </cell>
        </row>
        <row r="2025">
          <cell r="I2025" t="str">
            <v>V36987</v>
          </cell>
          <cell r="J2025" t="str">
            <v>CTC</v>
          </cell>
          <cell r="K2025" t="str">
            <v>YES</v>
          </cell>
        </row>
        <row r="2026">
          <cell r="I2026" t="str">
            <v>V37681</v>
          </cell>
          <cell r="J2026" t="str">
            <v>CTC</v>
          </cell>
          <cell r="K2026" t="str">
            <v>YES</v>
          </cell>
        </row>
        <row r="2027">
          <cell r="I2027" t="str">
            <v>V37703</v>
          </cell>
          <cell r="J2027" t="str">
            <v>CTC</v>
          </cell>
          <cell r="K2027" t="str">
            <v>YES</v>
          </cell>
        </row>
        <row r="2028">
          <cell r="I2028" t="str">
            <v>V37706</v>
          </cell>
          <cell r="J2028" t="str">
            <v>CTC</v>
          </cell>
          <cell r="K2028" t="str">
            <v>YES</v>
          </cell>
        </row>
        <row r="2029">
          <cell r="I2029" t="str">
            <v>V41484</v>
          </cell>
          <cell r="J2029" t="str">
            <v>CTC</v>
          </cell>
          <cell r="K2029" t="str">
            <v>YES</v>
          </cell>
        </row>
        <row r="2030">
          <cell r="I2030" t="str">
            <v>V42171</v>
          </cell>
          <cell r="J2030" t="str">
            <v>CTC</v>
          </cell>
          <cell r="K2030" t="str">
            <v>YES</v>
          </cell>
        </row>
        <row r="2031">
          <cell r="I2031" t="str">
            <v>V42324</v>
          </cell>
          <cell r="J2031" t="str">
            <v>CTC</v>
          </cell>
          <cell r="K2031" t="str">
            <v>YES</v>
          </cell>
        </row>
        <row r="2032">
          <cell r="I2032" t="str">
            <v>V42430</v>
          </cell>
          <cell r="J2032" t="str">
            <v>CTC</v>
          </cell>
          <cell r="K2032" t="str">
            <v>YES</v>
          </cell>
        </row>
        <row r="2033">
          <cell r="I2033" t="str">
            <v>V42432</v>
          </cell>
          <cell r="J2033" t="str">
            <v>CTC</v>
          </cell>
          <cell r="K2033" t="str">
            <v>YES</v>
          </cell>
        </row>
        <row r="2034">
          <cell r="I2034" t="str">
            <v>V42490</v>
          </cell>
          <cell r="J2034" t="str">
            <v>CTC</v>
          </cell>
          <cell r="K2034" t="str">
            <v>YES</v>
          </cell>
        </row>
        <row r="2035">
          <cell r="I2035" t="str">
            <v>V21963</v>
          </cell>
          <cell r="J2035" t="str">
            <v>CTC</v>
          </cell>
          <cell r="K2035" t="str">
            <v>YES</v>
          </cell>
        </row>
        <row r="2036">
          <cell r="I2036" t="str">
            <v>V47176</v>
          </cell>
          <cell r="J2036" t="str">
            <v>CTC</v>
          </cell>
          <cell r="K2036" t="str">
            <v>YES</v>
          </cell>
        </row>
        <row r="2037">
          <cell r="I2037" t="str">
            <v>V11807</v>
          </cell>
          <cell r="J2037" t="str">
            <v>CTC</v>
          </cell>
          <cell r="K2037" t="str">
            <v>YES</v>
          </cell>
        </row>
        <row r="2038">
          <cell r="I2038" t="str">
            <v>V17637</v>
          </cell>
          <cell r="J2038" t="str">
            <v>CTC</v>
          </cell>
          <cell r="K2038" t="str">
            <v>YES</v>
          </cell>
        </row>
        <row r="2039">
          <cell r="I2039" t="str">
            <v>V47551</v>
          </cell>
          <cell r="J2039" t="str">
            <v>CTC</v>
          </cell>
          <cell r="K2039" t="str">
            <v>YES</v>
          </cell>
        </row>
        <row r="2040">
          <cell r="I2040" t="str">
            <v>V09428</v>
          </cell>
          <cell r="J2040" t="str">
            <v>CTC</v>
          </cell>
          <cell r="K2040" t="str">
            <v>YES</v>
          </cell>
        </row>
        <row r="2041">
          <cell r="I2041" t="str">
            <v>V48864</v>
          </cell>
          <cell r="J2041" t="str">
            <v>CTC</v>
          </cell>
          <cell r="K2041" t="str">
            <v>YES</v>
          </cell>
        </row>
        <row r="2042">
          <cell r="I2042" t="str">
            <v>V01418</v>
          </cell>
          <cell r="J2042" t="str">
            <v>CTC</v>
          </cell>
          <cell r="K2042" t="str">
            <v>YES</v>
          </cell>
        </row>
        <row r="2043">
          <cell r="I2043" t="str">
            <v>V46455</v>
          </cell>
          <cell r="J2043" t="str">
            <v>CTC</v>
          </cell>
          <cell r="K2043" t="str">
            <v>YES</v>
          </cell>
        </row>
        <row r="2044">
          <cell r="I2044" t="str">
            <v>V34415</v>
          </cell>
          <cell r="J2044" t="str">
            <v>CTC</v>
          </cell>
          <cell r="K2044" t="str">
            <v>YES</v>
          </cell>
        </row>
        <row r="2045">
          <cell r="I2045" t="str">
            <v>V15507</v>
          </cell>
          <cell r="J2045" t="str">
            <v>CTC</v>
          </cell>
          <cell r="K2045" t="str">
            <v>YES</v>
          </cell>
        </row>
        <row r="2046">
          <cell r="I2046" t="str">
            <v>V26289</v>
          </cell>
          <cell r="J2046" t="str">
            <v>CTC</v>
          </cell>
          <cell r="K2046" t="str">
            <v>YES</v>
          </cell>
        </row>
        <row r="2047">
          <cell r="I2047" t="str">
            <v>V26660</v>
          </cell>
          <cell r="J2047" t="str">
            <v>CTC</v>
          </cell>
          <cell r="K2047" t="str">
            <v>YES</v>
          </cell>
        </row>
        <row r="2048">
          <cell r="I2048" t="str">
            <v>V27753</v>
          </cell>
          <cell r="J2048" t="str">
            <v>CTC</v>
          </cell>
          <cell r="K2048" t="str">
            <v>YES</v>
          </cell>
        </row>
        <row r="2049">
          <cell r="I2049" t="str">
            <v>V27976</v>
          </cell>
          <cell r="J2049" t="str">
            <v>CTC</v>
          </cell>
          <cell r="K2049" t="str">
            <v>YES</v>
          </cell>
        </row>
        <row r="2050">
          <cell r="I2050" t="str">
            <v>V26631</v>
          </cell>
          <cell r="J2050" t="str">
            <v>CTC</v>
          </cell>
          <cell r="K2050" t="str">
            <v>YES</v>
          </cell>
        </row>
        <row r="2051">
          <cell r="I2051" t="str">
            <v>V27741</v>
          </cell>
          <cell r="J2051" t="str">
            <v>CTC</v>
          </cell>
          <cell r="K2051" t="str">
            <v>YES</v>
          </cell>
        </row>
        <row r="2052">
          <cell r="I2052" t="str">
            <v>V12838</v>
          </cell>
          <cell r="J2052" t="str">
            <v>CTC</v>
          </cell>
          <cell r="K2052" t="str">
            <v>YES</v>
          </cell>
        </row>
        <row r="2053">
          <cell r="I2053" t="str">
            <v>V47839</v>
          </cell>
          <cell r="J2053" t="str">
            <v>CTC</v>
          </cell>
          <cell r="K2053" t="str">
            <v>YES</v>
          </cell>
        </row>
        <row r="2054">
          <cell r="I2054" t="str">
            <v>V16338</v>
          </cell>
          <cell r="J2054" t="str">
            <v>CTC</v>
          </cell>
          <cell r="K2054" t="str">
            <v>YES</v>
          </cell>
        </row>
        <row r="2055">
          <cell r="I2055" t="str">
            <v>V17663</v>
          </cell>
          <cell r="J2055" t="str">
            <v>CTC</v>
          </cell>
          <cell r="K2055" t="str">
            <v>YES</v>
          </cell>
        </row>
        <row r="2056">
          <cell r="I2056" t="str">
            <v>V46612</v>
          </cell>
          <cell r="J2056" t="str">
            <v>CTC</v>
          </cell>
          <cell r="K2056" t="str">
            <v>YES</v>
          </cell>
        </row>
        <row r="2057">
          <cell r="I2057" t="str">
            <v>V18331</v>
          </cell>
          <cell r="J2057" t="str">
            <v>CTC</v>
          </cell>
          <cell r="K2057" t="str">
            <v>YES</v>
          </cell>
        </row>
        <row r="2058">
          <cell r="I2058" t="str">
            <v>V20969</v>
          </cell>
          <cell r="J2058" t="str">
            <v>CTC</v>
          </cell>
          <cell r="K2058" t="str">
            <v>YES</v>
          </cell>
        </row>
        <row r="2059">
          <cell r="I2059" t="str">
            <v>V47077</v>
          </cell>
          <cell r="J2059" t="str">
            <v>CTC</v>
          </cell>
          <cell r="K2059" t="str">
            <v>YES</v>
          </cell>
        </row>
        <row r="2060">
          <cell r="I2060" t="str">
            <v>V07276</v>
          </cell>
          <cell r="J2060" t="str">
            <v>CTC</v>
          </cell>
          <cell r="K2060" t="str">
            <v>YES</v>
          </cell>
        </row>
        <row r="2061">
          <cell r="I2061" t="str">
            <v>V35233</v>
          </cell>
          <cell r="J2061" t="str">
            <v>CTC</v>
          </cell>
          <cell r="K2061" t="str">
            <v>YES</v>
          </cell>
        </row>
        <row r="2062">
          <cell r="I2062" t="str">
            <v>V22223</v>
          </cell>
          <cell r="J2062" t="str">
            <v>CTC</v>
          </cell>
          <cell r="K2062" t="str">
            <v>YES</v>
          </cell>
        </row>
        <row r="2063">
          <cell r="I2063" t="str">
            <v>V22462</v>
          </cell>
          <cell r="J2063" t="str">
            <v>CTC</v>
          </cell>
          <cell r="K2063" t="str">
            <v>YES</v>
          </cell>
        </row>
        <row r="2064">
          <cell r="I2064" t="str">
            <v>V40481</v>
          </cell>
          <cell r="J2064" t="str">
            <v>CTC</v>
          </cell>
          <cell r="K2064" t="str">
            <v>YES</v>
          </cell>
        </row>
        <row r="2065">
          <cell r="I2065" t="str">
            <v>V33584</v>
          </cell>
          <cell r="J2065" t="str">
            <v>CTC</v>
          </cell>
          <cell r="K2065" t="str">
            <v>YES</v>
          </cell>
        </row>
        <row r="2066">
          <cell r="I2066" t="str">
            <v>V42858</v>
          </cell>
          <cell r="J2066" t="str">
            <v>CTC</v>
          </cell>
          <cell r="K2066" t="str">
            <v>YES</v>
          </cell>
        </row>
        <row r="2067">
          <cell r="I2067" t="str">
            <v>V47005</v>
          </cell>
          <cell r="J2067" t="str">
            <v>CTC</v>
          </cell>
          <cell r="K2067" t="str">
            <v>YES</v>
          </cell>
        </row>
        <row r="2068">
          <cell r="I2068" t="str">
            <v>V18005</v>
          </cell>
          <cell r="J2068" t="str">
            <v>CTC</v>
          </cell>
          <cell r="K2068" t="str">
            <v>YES</v>
          </cell>
        </row>
        <row r="2069">
          <cell r="I2069" t="str">
            <v>V14893</v>
          </cell>
          <cell r="J2069" t="str">
            <v>CTC</v>
          </cell>
          <cell r="K2069" t="str">
            <v>YES</v>
          </cell>
        </row>
        <row r="2070">
          <cell r="I2070" t="str">
            <v>V30569</v>
          </cell>
          <cell r="J2070" t="str">
            <v>CTC</v>
          </cell>
          <cell r="K2070" t="str">
            <v>YES</v>
          </cell>
        </row>
        <row r="2071">
          <cell r="I2071" t="str">
            <v>V43778</v>
          </cell>
          <cell r="J2071" t="str">
            <v>CTC</v>
          </cell>
          <cell r="K2071" t="str">
            <v>YES</v>
          </cell>
        </row>
        <row r="2072">
          <cell r="I2072" t="str">
            <v>V39463</v>
          </cell>
          <cell r="J2072" t="str">
            <v>CTC</v>
          </cell>
          <cell r="K2072" t="str">
            <v>YES</v>
          </cell>
        </row>
        <row r="2073">
          <cell r="I2073" t="str">
            <v>V29420</v>
          </cell>
          <cell r="J2073" t="str">
            <v>CTC</v>
          </cell>
          <cell r="K2073" t="str">
            <v>YES</v>
          </cell>
        </row>
        <row r="2074">
          <cell r="I2074" t="str">
            <v>V14249</v>
          </cell>
          <cell r="J2074" t="str">
            <v>CTC</v>
          </cell>
          <cell r="K2074" t="str">
            <v>YES</v>
          </cell>
        </row>
        <row r="2075">
          <cell r="I2075" t="str">
            <v>V19149</v>
          </cell>
          <cell r="J2075" t="str">
            <v>CTC</v>
          </cell>
          <cell r="K2075" t="str">
            <v>YES</v>
          </cell>
        </row>
        <row r="2076">
          <cell r="I2076" t="str">
            <v>V14122</v>
          </cell>
          <cell r="J2076" t="str">
            <v>CTC</v>
          </cell>
          <cell r="K2076" t="str">
            <v>YES</v>
          </cell>
        </row>
        <row r="2077">
          <cell r="I2077" t="str">
            <v>V19413</v>
          </cell>
          <cell r="J2077" t="str">
            <v>CTC</v>
          </cell>
          <cell r="K2077" t="str">
            <v>YES</v>
          </cell>
        </row>
        <row r="2078">
          <cell r="I2078" t="str">
            <v>V28969</v>
          </cell>
          <cell r="J2078" t="str">
            <v>CTC</v>
          </cell>
          <cell r="K2078" t="str">
            <v>YES</v>
          </cell>
        </row>
        <row r="2079">
          <cell r="I2079" t="str">
            <v>V29091</v>
          </cell>
          <cell r="J2079" t="str">
            <v>CTC</v>
          </cell>
          <cell r="K2079" t="str">
            <v>YES</v>
          </cell>
        </row>
        <row r="2080">
          <cell r="I2080" t="str">
            <v>V29192</v>
          </cell>
          <cell r="J2080" t="str">
            <v>CTC</v>
          </cell>
          <cell r="K2080" t="str">
            <v>YES</v>
          </cell>
        </row>
        <row r="2081">
          <cell r="I2081" t="str">
            <v>V29428</v>
          </cell>
          <cell r="J2081" t="str">
            <v>CTC</v>
          </cell>
          <cell r="K2081" t="str">
            <v>YES</v>
          </cell>
        </row>
        <row r="2082">
          <cell r="I2082" t="str">
            <v>V30188</v>
          </cell>
          <cell r="J2082" t="str">
            <v>CTC</v>
          </cell>
          <cell r="K2082" t="str">
            <v>YES</v>
          </cell>
        </row>
        <row r="2083">
          <cell r="I2083" t="str">
            <v>V30304</v>
          </cell>
          <cell r="J2083" t="str">
            <v>CTC</v>
          </cell>
          <cell r="K2083" t="str">
            <v>YES</v>
          </cell>
        </row>
        <row r="2084">
          <cell r="I2084" t="str">
            <v>V30330</v>
          </cell>
          <cell r="J2084" t="str">
            <v>CTC</v>
          </cell>
          <cell r="K2084" t="str">
            <v>YES</v>
          </cell>
        </row>
        <row r="2085">
          <cell r="I2085" t="str">
            <v>V30358</v>
          </cell>
          <cell r="J2085" t="str">
            <v>CTC</v>
          </cell>
          <cell r="K2085" t="str">
            <v>YES</v>
          </cell>
        </row>
        <row r="2086">
          <cell r="I2086" t="str">
            <v>V31640</v>
          </cell>
          <cell r="J2086" t="str">
            <v>CTC</v>
          </cell>
          <cell r="K2086" t="str">
            <v>YES</v>
          </cell>
        </row>
        <row r="2087">
          <cell r="I2087" t="str">
            <v>V31644</v>
          </cell>
          <cell r="J2087" t="str">
            <v>CTC</v>
          </cell>
          <cell r="K2087" t="str">
            <v>YES</v>
          </cell>
        </row>
        <row r="2088">
          <cell r="I2088" t="str">
            <v>V31698</v>
          </cell>
          <cell r="J2088" t="str">
            <v>CTC</v>
          </cell>
          <cell r="K2088" t="str">
            <v>YES</v>
          </cell>
        </row>
        <row r="2089">
          <cell r="I2089" t="str">
            <v>V31699</v>
          </cell>
          <cell r="J2089" t="str">
            <v>CTC</v>
          </cell>
          <cell r="K2089" t="str">
            <v>YES</v>
          </cell>
        </row>
        <row r="2090">
          <cell r="I2090" t="str">
            <v>V31718</v>
          </cell>
          <cell r="J2090" t="str">
            <v>CTC</v>
          </cell>
          <cell r="K2090" t="str">
            <v>YES</v>
          </cell>
        </row>
        <row r="2091">
          <cell r="I2091" t="str">
            <v>V31930</v>
          </cell>
          <cell r="J2091" t="str">
            <v>CTC</v>
          </cell>
          <cell r="K2091" t="str">
            <v>YES</v>
          </cell>
        </row>
        <row r="2092">
          <cell r="I2092" t="str">
            <v>V32729</v>
          </cell>
          <cell r="J2092" t="str">
            <v>CTC</v>
          </cell>
          <cell r="K2092" t="str">
            <v>YES</v>
          </cell>
        </row>
        <row r="2093">
          <cell r="I2093" t="str">
            <v>V33291</v>
          </cell>
          <cell r="J2093" t="str">
            <v>CTC</v>
          </cell>
          <cell r="K2093" t="str">
            <v>YES</v>
          </cell>
        </row>
        <row r="2094">
          <cell r="I2094" t="str">
            <v>V33561</v>
          </cell>
          <cell r="J2094" t="str">
            <v>CTC</v>
          </cell>
          <cell r="K2094" t="str">
            <v>YES</v>
          </cell>
        </row>
        <row r="2095">
          <cell r="I2095" t="str">
            <v>V33576</v>
          </cell>
          <cell r="J2095" t="str">
            <v>CTC</v>
          </cell>
          <cell r="K2095" t="str">
            <v>YES</v>
          </cell>
        </row>
        <row r="2096">
          <cell r="I2096" t="str">
            <v>V33592</v>
          </cell>
          <cell r="J2096" t="str">
            <v>CTC</v>
          </cell>
          <cell r="K2096" t="str">
            <v>YES</v>
          </cell>
        </row>
        <row r="2097">
          <cell r="I2097" t="str">
            <v>V33594</v>
          </cell>
          <cell r="J2097" t="str">
            <v>CTC</v>
          </cell>
          <cell r="K2097" t="str">
            <v>YES</v>
          </cell>
        </row>
        <row r="2098">
          <cell r="I2098" t="str">
            <v>V33616</v>
          </cell>
          <cell r="J2098" t="str">
            <v>CTC</v>
          </cell>
          <cell r="K2098" t="str">
            <v>YES</v>
          </cell>
        </row>
        <row r="2099">
          <cell r="I2099" t="str">
            <v>V33617</v>
          </cell>
          <cell r="J2099" t="str">
            <v>CTC</v>
          </cell>
          <cell r="K2099" t="str">
            <v>YES</v>
          </cell>
        </row>
        <row r="2100">
          <cell r="I2100" t="str">
            <v>V33637</v>
          </cell>
          <cell r="J2100" t="str">
            <v>CTC</v>
          </cell>
          <cell r="K2100" t="str">
            <v>YES</v>
          </cell>
        </row>
        <row r="2101">
          <cell r="I2101" t="str">
            <v>V33639</v>
          </cell>
          <cell r="J2101" t="str">
            <v>CTC</v>
          </cell>
          <cell r="K2101" t="str">
            <v>YES</v>
          </cell>
        </row>
        <row r="2102">
          <cell r="I2102" t="str">
            <v>V33761</v>
          </cell>
          <cell r="J2102" t="str">
            <v>CTC</v>
          </cell>
          <cell r="K2102" t="str">
            <v>YES</v>
          </cell>
        </row>
        <row r="2103">
          <cell r="I2103" t="str">
            <v>V33794</v>
          </cell>
          <cell r="J2103" t="str">
            <v>CTC</v>
          </cell>
          <cell r="K2103" t="str">
            <v>YES</v>
          </cell>
        </row>
        <row r="2104">
          <cell r="I2104" t="str">
            <v>V33797</v>
          </cell>
          <cell r="J2104" t="str">
            <v>CTC</v>
          </cell>
          <cell r="K2104" t="str">
            <v>YES</v>
          </cell>
        </row>
        <row r="2105">
          <cell r="I2105" t="str">
            <v>V33885</v>
          </cell>
          <cell r="J2105" t="str">
            <v>CTC</v>
          </cell>
          <cell r="K2105" t="str">
            <v>YES</v>
          </cell>
        </row>
        <row r="2106">
          <cell r="I2106" t="str">
            <v>V33923</v>
          </cell>
          <cell r="J2106" t="str">
            <v>CTC</v>
          </cell>
          <cell r="K2106" t="str">
            <v>YES</v>
          </cell>
        </row>
        <row r="2107">
          <cell r="I2107" t="str">
            <v>V34094</v>
          </cell>
          <cell r="J2107" t="str">
            <v>CTC</v>
          </cell>
          <cell r="K2107" t="str">
            <v>YES</v>
          </cell>
        </row>
        <row r="2108">
          <cell r="I2108" t="str">
            <v>V34335</v>
          </cell>
          <cell r="J2108" t="str">
            <v>CTC</v>
          </cell>
          <cell r="K2108" t="str">
            <v>YES</v>
          </cell>
        </row>
        <row r="2109">
          <cell r="I2109" t="str">
            <v>V34479</v>
          </cell>
          <cell r="J2109" t="str">
            <v>CTC</v>
          </cell>
          <cell r="K2109" t="str">
            <v>YES</v>
          </cell>
        </row>
        <row r="2110">
          <cell r="I2110" t="str">
            <v>V34879</v>
          </cell>
          <cell r="J2110" t="str">
            <v>CTC</v>
          </cell>
          <cell r="K2110" t="str">
            <v>YES</v>
          </cell>
        </row>
        <row r="2111">
          <cell r="I2111" t="str">
            <v>V34881</v>
          </cell>
          <cell r="J2111" t="str">
            <v>CTC</v>
          </cell>
          <cell r="K2111" t="str">
            <v>YES</v>
          </cell>
        </row>
        <row r="2112">
          <cell r="I2112" t="str">
            <v>V34910</v>
          </cell>
          <cell r="J2112" t="str">
            <v>CTC</v>
          </cell>
          <cell r="K2112" t="str">
            <v>YES</v>
          </cell>
        </row>
        <row r="2113">
          <cell r="I2113" t="str">
            <v>V34949</v>
          </cell>
          <cell r="J2113" t="str">
            <v>CTC</v>
          </cell>
          <cell r="K2113" t="str">
            <v>YES</v>
          </cell>
        </row>
        <row r="2114">
          <cell r="I2114" t="str">
            <v>V34953</v>
          </cell>
          <cell r="J2114" t="str">
            <v>CTC</v>
          </cell>
          <cell r="K2114" t="str">
            <v>YES</v>
          </cell>
        </row>
        <row r="2115">
          <cell r="I2115" t="str">
            <v>V35487</v>
          </cell>
          <cell r="J2115" t="str">
            <v>CTC</v>
          </cell>
          <cell r="K2115" t="str">
            <v>YES</v>
          </cell>
        </row>
        <row r="2116">
          <cell r="I2116" t="str">
            <v>V23537</v>
          </cell>
          <cell r="J2116" t="str">
            <v>CTC</v>
          </cell>
          <cell r="K2116" t="str">
            <v>YES</v>
          </cell>
        </row>
        <row r="2117">
          <cell r="I2117" t="str">
            <v>V25016</v>
          </cell>
          <cell r="J2117" t="str">
            <v>CTC</v>
          </cell>
          <cell r="K2117" t="str">
            <v>YES</v>
          </cell>
        </row>
        <row r="2118">
          <cell r="I2118" t="str">
            <v>V15662</v>
          </cell>
          <cell r="J2118" t="str">
            <v>CTC</v>
          </cell>
          <cell r="K2118" t="str">
            <v>YES</v>
          </cell>
        </row>
        <row r="2119">
          <cell r="I2119" t="str">
            <v>V37636</v>
          </cell>
          <cell r="J2119" t="str">
            <v>CTC</v>
          </cell>
          <cell r="K2119" t="str">
            <v>YES</v>
          </cell>
        </row>
        <row r="2120">
          <cell r="I2120" t="str">
            <v>V35399</v>
          </cell>
          <cell r="J2120" t="str">
            <v>CTC</v>
          </cell>
          <cell r="K2120" t="str">
            <v>YES</v>
          </cell>
        </row>
        <row r="2121">
          <cell r="I2121" t="str">
            <v>V35404</v>
          </cell>
          <cell r="J2121" t="str">
            <v>CTC</v>
          </cell>
          <cell r="K2121" t="str">
            <v>YES</v>
          </cell>
        </row>
        <row r="2122">
          <cell r="I2122" t="str">
            <v>V35473</v>
          </cell>
          <cell r="J2122" t="str">
            <v>CTC</v>
          </cell>
          <cell r="K2122" t="str">
            <v>YES</v>
          </cell>
        </row>
        <row r="2123">
          <cell r="I2123" t="str">
            <v>V35477</v>
          </cell>
          <cell r="J2123" t="str">
            <v>CTC</v>
          </cell>
          <cell r="K2123" t="str">
            <v>YES</v>
          </cell>
        </row>
        <row r="2124">
          <cell r="I2124" t="str">
            <v>V35480</v>
          </cell>
          <cell r="J2124" t="str">
            <v>CTC</v>
          </cell>
          <cell r="K2124" t="str">
            <v>YES</v>
          </cell>
        </row>
        <row r="2125">
          <cell r="I2125" t="str">
            <v>V35482</v>
          </cell>
          <cell r="J2125" t="str">
            <v>CTC</v>
          </cell>
          <cell r="K2125" t="str">
            <v>YES</v>
          </cell>
        </row>
        <row r="2126">
          <cell r="I2126" t="str">
            <v>V35488</v>
          </cell>
          <cell r="J2126" t="str">
            <v>CTC</v>
          </cell>
          <cell r="K2126" t="str">
            <v>YES</v>
          </cell>
        </row>
        <row r="2127">
          <cell r="I2127" t="str">
            <v>V35490</v>
          </cell>
          <cell r="J2127" t="str">
            <v>CTC</v>
          </cell>
          <cell r="K2127" t="str">
            <v>YES</v>
          </cell>
        </row>
        <row r="2128">
          <cell r="I2128" t="str">
            <v>V35794</v>
          </cell>
          <cell r="J2128" t="str">
            <v>CTC</v>
          </cell>
          <cell r="K2128" t="str">
            <v>YES</v>
          </cell>
        </row>
        <row r="2129">
          <cell r="I2129" t="str">
            <v>V39009</v>
          </cell>
          <cell r="J2129" t="str">
            <v>CTC</v>
          </cell>
          <cell r="K2129" t="str">
            <v>YES</v>
          </cell>
        </row>
        <row r="2130">
          <cell r="I2130" t="str">
            <v>V29190</v>
          </cell>
          <cell r="J2130" t="str">
            <v>CTC</v>
          </cell>
          <cell r="K2130" t="str">
            <v>YES</v>
          </cell>
        </row>
        <row r="2131">
          <cell r="I2131" t="str">
            <v>V31393</v>
          </cell>
          <cell r="J2131" t="str">
            <v>CTC</v>
          </cell>
          <cell r="K2131" t="str">
            <v>YES</v>
          </cell>
        </row>
        <row r="2132">
          <cell r="I2132" t="str">
            <v>V48268</v>
          </cell>
          <cell r="J2132" t="str">
            <v>CTC</v>
          </cell>
          <cell r="K2132" t="str">
            <v>YES</v>
          </cell>
        </row>
        <row r="2133">
          <cell r="I2133" t="str">
            <v>V21608</v>
          </cell>
          <cell r="J2133" t="str">
            <v>CTC</v>
          </cell>
          <cell r="K2133" t="str">
            <v>YES</v>
          </cell>
        </row>
        <row r="2134">
          <cell r="I2134" t="str">
            <v>V11335</v>
          </cell>
          <cell r="J2134" t="str">
            <v>CTC</v>
          </cell>
          <cell r="K2134" t="str">
            <v>YES</v>
          </cell>
        </row>
        <row r="2135">
          <cell r="I2135" t="str">
            <v>V44936</v>
          </cell>
          <cell r="J2135" t="str">
            <v>CTC</v>
          </cell>
          <cell r="K2135" t="str">
            <v>YES</v>
          </cell>
        </row>
        <row r="2136">
          <cell r="I2136" t="str">
            <v>V30675</v>
          </cell>
          <cell r="J2136" t="str">
            <v>CTC</v>
          </cell>
          <cell r="K2136" t="str">
            <v>YES</v>
          </cell>
        </row>
        <row r="2137">
          <cell r="I2137" t="str">
            <v>V21919</v>
          </cell>
          <cell r="J2137" t="str">
            <v>CTC</v>
          </cell>
          <cell r="K2137" t="str">
            <v>YES</v>
          </cell>
        </row>
        <row r="2138">
          <cell r="I2138" t="str">
            <v>V28817</v>
          </cell>
          <cell r="J2138" t="str">
            <v>CTC</v>
          </cell>
          <cell r="K2138" t="str">
            <v>YES</v>
          </cell>
        </row>
        <row r="2139">
          <cell r="I2139" t="str">
            <v>V26981</v>
          </cell>
          <cell r="J2139" t="str">
            <v>CTC</v>
          </cell>
          <cell r="K2139" t="str">
            <v>YES</v>
          </cell>
        </row>
        <row r="2140">
          <cell r="I2140" t="str">
            <v>V28484</v>
          </cell>
          <cell r="J2140" t="str">
            <v>CTC</v>
          </cell>
          <cell r="K2140" t="str">
            <v>YES</v>
          </cell>
        </row>
        <row r="2141">
          <cell r="I2141" t="str">
            <v>V42478</v>
          </cell>
          <cell r="J2141" t="str">
            <v>CTC</v>
          </cell>
          <cell r="K2141" t="str">
            <v>YES</v>
          </cell>
        </row>
        <row r="2142">
          <cell r="I2142" t="str">
            <v>V45275</v>
          </cell>
          <cell r="J2142" t="str">
            <v>CTC</v>
          </cell>
          <cell r="K2142" t="str">
            <v>YES</v>
          </cell>
        </row>
        <row r="2143">
          <cell r="I2143" t="str">
            <v>V39120</v>
          </cell>
          <cell r="J2143" t="str">
            <v>CTC</v>
          </cell>
          <cell r="K2143" t="str">
            <v>YES</v>
          </cell>
        </row>
        <row r="2144">
          <cell r="I2144" t="str">
            <v>V31726</v>
          </cell>
          <cell r="J2144" t="str">
            <v>CTC</v>
          </cell>
          <cell r="K2144" t="str">
            <v>YES</v>
          </cell>
        </row>
        <row r="2145">
          <cell r="I2145" t="str">
            <v>V02071</v>
          </cell>
          <cell r="J2145" t="str">
            <v>CTC</v>
          </cell>
          <cell r="K2145" t="str">
            <v>YES</v>
          </cell>
        </row>
        <row r="2146">
          <cell r="I2146" t="str">
            <v>V20389</v>
          </cell>
          <cell r="J2146" t="str">
            <v>CTC</v>
          </cell>
          <cell r="K2146" t="str">
            <v>YES</v>
          </cell>
        </row>
        <row r="2147">
          <cell r="I2147" t="str">
            <v>V21824</v>
          </cell>
          <cell r="J2147" t="str">
            <v>CTC</v>
          </cell>
          <cell r="K2147" t="str">
            <v>YES</v>
          </cell>
        </row>
        <row r="2148">
          <cell r="I2148" t="str">
            <v>V29902</v>
          </cell>
          <cell r="J2148" t="str">
            <v>CTC</v>
          </cell>
          <cell r="K2148" t="str">
            <v>YES</v>
          </cell>
        </row>
        <row r="2149">
          <cell r="I2149" t="str">
            <v>V31595</v>
          </cell>
          <cell r="J2149" t="str">
            <v>CTC</v>
          </cell>
          <cell r="K2149" t="str">
            <v>YES</v>
          </cell>
        </row>
        <row r="2150">
          <cell r="I2150" t="str">
            <v>V31822</v>
          </cell>
          <cell r="J2150" t="str">
            <v>CTC</v>
          </cell>
          <cell r="K2150" t="str">
            <v>YES</v>
          </cell>
        </row>
        <row r="2151">
          <cell r="I2151" t="str">
            <v>V35030</v>
          </cell>
          <cell r="J2151" t="str">
            <v>CTC</v>
          </cell>
          <cell r="K2151" t="str">
            <v>YES</v>
          </cell>
        </row>
        <row r="2152">
          <cell r="I2152" t="str">
            <v>V35497</v>
          </cell>
          <cell r="J2152" t="str">
            <v>CTC</v>
          </cell>
          <cell r="K2152" t="str">
            <v>YES</v>
          </cell>
        </row>
        <row r="2153">
          <cell r="I2153" t="str">
            <v>V35703</v>
          </cell>
          <cell r="J2153" t="str">
            <v>CTC</v>
          </cell>
          <cell r="K2153" t="str">
            <v>YES</v>
          </cell>
        </row>
        <row r="2154">
          <cell r="I2154" t="str">
            <v>V35757</v>
          </cell>
          <cell r="J2154" t="str">
            <v>CTC</v>
          </cell>
          <cell r="K2154" t="str">
            <v>YES</v>
          </cell>
        </row>
        <row r="2155">
          <cell r="I2155" t="str">
            <v>V28082</v>
          </cell>
          <cell r="J2155" t="str">
            <v>CTC</v>
          </cell>
          <cell r="K2155" t="str">
            <v>YES</v>
          </cell>
        </row>
        <row r="2156">
          <cell r="I2156" t="str">
            <v>V28083</v>
          </cell>
          <cell r="J2156" t="str">
            <v>CTC</v>
          </cell>
          <cell r="K2156" t="str">
            <v>YES</v>
          </cell>
        </row>
        <row r="2157">
          <cell r="I2157" t="str">
            <v>V29647</v>
          </cell>
          <cell r="J2157" t="str">
            <v>CTC</v>
          </cell>
          <cell r="K2157" t="str">
            <v>YES</v>
          </cell>
        </row>
        <row r="2158">
          <cell r="I2158" t="str">
            <v>V29736</v>
          </cell>
          <cell r="J2158" t="str">
            <v>CTC</v>
          </cell>
          <cell r="K2158" t="str">
            <v>YES</v>
          </cell>
        </row>
        <row r="2159">
          <cell r="I2159" t="str">
            <v>V29895</v>
          </cell>
          <cell r="J2159" t="str">
            <v>CTC</v>
          </cell>
          <cell r="K2159" t="str">
            <v>YES</v>
          </cell>
        </row>
        <row r="2160">
          <cell r="I2160" t="str">
            <v>V30872</v>
          </cell>
          <cell r="J2160" t="str">
            <v>CTC</v>
          </cell>
          <cell r="K2160" t="str">
            <v>YES</v>
          </cell>
        </row>
        <row r="2161">
          <cell r="I2161" t="str">
            <v>V31298</v>
          </cell>
          <cell r="J2161" t="str">
            <v>CTC</v>
          </cell>
          <cell r="K2161" t="str">
            <v>YES</v>
          </cell>
        </row>
        <row r="2162">
          <cell r="I2162" t="str">
            <v>V31608</v>
          </cell>
          <cell r="J2162" t="str">
            <v>CTC</v>
          </cell>
          <cell r="K2162" t="str">
            <v>YES</v>
          </cell>
        </row>
        <row r="2163">
          <cell r="I2163" t="str">
            <v>V32056</v>
          </cell>
          <cell r="J2163" t="str">
            <v>CTC</v>
          </cell>
          <cell r="K2163" t="str">
            <v>YES</v>
          </cell>
        </row>
        <row r="2164">
          <cell r="I2164" t="str">
            <v>V32674</v>
          </cell>
          <cell r="J2164" t="str">
            <v>CTC</v>
          </cell>
          <cell r="K2164" t="str">
            <v>YES</v>
          </cell>
        </row>
        <row r="2165">
          <cell r="I2165" t="str">
            <v>V33105</v>
          </cell>
          <cell r="J2165" t="str">
            <v>CTC</v>
          </cell>
          <cell r="K2165" t="str">
            <v>YES</v>
          </cell>
        </row>
        <row r="2166">
          <cell r="I2166" t="str">
            <v>V33363</v>
          </cell>
          <cell r="J2166" t="str">
            <v>CTC</v>
          </cell>
          <cell r="K2166" t="str">
            <v>YES</v>
          </cell>
        </row>
        <row r="2167">
          <cell r="I2167" t="str">
            <v>V33365</v>
          </cell>
          <cell r="J2167" t="str">
            <v>CTC</v>
          </cell>
          <cell r="K2167" t="str">
            <v>YES</v>
          </cell>
        </row>
        <row r="2168">
          <cell r="I2168" t="str">
            <v>V34546</v>
          </cell>
          <cell r="J2168" t="str">
            <v>CTC</v>
          </cell>
          <cell r="K2168" t="str">
            <v>YES</v>
          </cell>
        </row>
        <row r="2169">
          <cell r="I2169" t="str">
            <v>V34628</v>
          </cell>
          <cell r="J2169" t="str">
            <v>CTC</v>
          </cell>
          <cell r="K2169" t="str">
            <v>YES</v>
          </cell>
        </row>
        <row r="2170">
          <cell r="I2170" t="str">
            <v>V34998</v>
          </cell>
          <cell r="J2170" t="str">
            <v>CTC</v>
          </cell>
          <cell r="K2170" t="str">
            <v>YES</v>
          </cell>
        </row>
        <row r="2171">
          <cell r="I2171" t="str">
            <v>V34999</v>
          </cell>
          <cell r="J2171" t="str">
            <v>CTC</v>
          </cell>
          <cell r="K2171" t="str">
            <v>YES</v>
          </cell>
        </row>
        <row r="2172">
          <cell r="I2172" t="str">
            <v>V35136</v>
          </cell>
          <cell r="J2172" t="str">
            <v>CTC</v>
          </cell>
          <cell r="K2172" t="str">
            <v>YES</v>
          </cell>
        </row>
        <row r="2173">
          <cell r="I2173" t="str">
            <v>V35313</v>
          </cell>
          <cell r="J2173" t="str">
            <v>CTC</v>
          </cell>
          <cell r="K2173" t="str">
            <v>YES</v>
          </cell>
        </row>
        <row r="2174">
          <cell r="I2174" t="str">
            <v>V35761</v>
          </cell>
          <cell r="J2174" t="str">
            <v>CTC</v>
          </cell>
          <cell r="K2174" t="str">
            <v>YES</v>
          </cell>
        </row>
        <row r="2175">
          <cell r="I2175" t="str">
            <v>V35948</v>
          </cell>
          <cell r="J2175" t="str">
            <v>CTC</v>
          </cell>
          <cell r="K2175" t="str">
            <v>YES</v>
          </cell>
        </row>
        <row r="2176">
          <cell r="I2176" t="str">
            <v>V33569</v>
          </cell>
          <cell r="J2176" t="str">
            <v>CTC</v>
          </cell>
          <cell r="K2176" t="str">
            <v>YES</v>
          </cell>
        </row>
        <row r="2177">
          <cell r="I2177" t="str">
            <v>V34199</v>
          </cell>
          <cell r="J2177" t="str">
            <v>CTC</v>
          </cell>
          <cell r="K2177" t="str">
            <v>YES</v>
          </cell>
        </row>
        <row r="2178">
          <cell r="I2178" t="str">
            <v>V35194</v>
          </cell>
          <cell r="J2178" t="str">
            <v>CTC</v>
          </cell>
          <cell r="K2178" t="str">
            <v>YES</v>
          </cell>
        </row>
        <row r="2179">
          <cell r="I2179" t="str">
            <v>V44122</v>
          </cell>
          <cell r="J2179" t="str">
            <v>CTC</v>
          </cell>
          <cell r="K2179" t="str">
            <v>YES</v>
          </cell>
        </row>
        <row r="2180">
          <cell r="I2180" t="str">
            <v>V43252</v>
          </cell>
          <cell r="J2180" t="str">
            <v>CTC</v>
          </cell>
          <cell r="K2180" t="str">
            <v>YES</v>
          </cell>
        </row>
        <row r="2181">
          <cell r="I2181" t="str">
            <v>V47813</v>
          </cell>
          <cell r="J2181" t="str">
            <v>CTC</v>
          </cell>
          <cell r="K2181" t="str">
            <v>YES</v>
          </cell>
        </row>
        <row r="2182">
          <cell r="I2182" t="str">
            <v>V02869</v>
          </cell>
          <cell r="J2182" t="str">
            <v>CTC</v>
          </cell>
          <cell r="K2182" t="str">
            <v>YES</v>
          </cell>
        </row>
        <row r="2183">
          <cell r="I2183" t="str">
            <v>V29107</v>
          </cell>
          <cell r="J2183" t="str">
            <v>CTC</v>
          </cell>
          <cell r="K2183" t="str">
            <v>YES</v>
          </cell>
        </row>
        <row r="2184">
          <cell r="I2184" t="str">
            <v>V11500</v>
          </cell>
          <cell r="J2184" t="str">
            <v>CTC</v>
          </cell>
          <cell r="K2184" t="str">
            <v>YES</v>
          </cell>
        </row>
        <row r="2185">
          <cell r="I2185" t="str">
            <v>V18207</v>
          </cell>
          <cell r="J2185" t="str">
            <v>CTC</v>
          </cell>
          <cell r="K2185" t="str">
            <v>YES</v>
          </cell>
        </row>
        <row r="2186">
          <cell r="I2186" t="str">
            <v>V18793</v>
          </cell>
          <cell r="J2186" t="str">
            <v>CTC</v>
          </cell>
          <cell r="K2186" t="str">
            <v>YES</v>
          </cell>
        </row>
        <row r="2187">
          <cell r="I2187" t="str">
            <v>V33621</v>
          </cell>
          <cell r="J2187" t="str">
            <v>CTC</v>
          </cell>
          <cell r="K2187" t="str">
            <v>YES</v>
          </cell>
        </row>
        <row r="2188">
          <cell r="I2188" t="str">
            <v>V44782</v>
          </cell>
          <cell r="J2188" t="str">
            <v>CTC</v>
          </cell>
          <cell r="K2188" t="str">
            <v>YES</v>
          </cell>
        </row>
        <row r="2189">
          <cell r="I2189" t="str">
            <v>V33636</v>
          </cell>
          <cell r="J2189" t="str">
            <v>CTC</v>
          </cell>
          <cell r="K2189" t="str">
            <v>YES</v>
          </cell>
        </row>
        <row r="2190">
          <cell r="I2190" t="str">
            <v>V42588</v>
          </cell>
          <cell r="J2190" t="str">
            <v>CTC</v>
          </cell>
          <cell r="K2190" t="str">
            <v>YES</v>
          </cell>
        </row>
        <row r="2191">
          <cell r="I2191" t="str">
            <v>V35795</v>
          </cell>
          <cell r="J2191" t="str">
            <v>CTC</v>
          </cell>
          <cell r="K2191" t="str">
            <v>YES</v>
          </cell>
        </row>
        <row r="2192">
          <cell r="I2192" t="str">
            <v>V36502</v>
          </cell>
          <cell r="J2192" t="str">
            <v>CTC</v>
          </cell>
          <cell r="K2192" t="str">
            <v>YES</v>
          </cell>
        </row>
        <row r="2193">
          <cell r="I2193" t="str">
            <v>V36648</v>
          </cell>
          <cell r="J2193" t="str">
            <v>CTC</v>
          </cell>
          <cell r="K2193" t="str">
            <v>YES</v>
          </cell>
        </row>
        <row r="2194">
          <cell r="I2194" t="str">
            <v>V40659</v>
          </cell>
          <cell r="J2194" t="str">
            <v>CTC</v>
          </cell>
          <cell r="K2194" t="str">
            <v>YES</v>
          </cell>
        </row>
        <row r="2195">
          <cell r="I2195" t="str">
            <v>V43987</v>
          </cell>
          <cell r="J2195" t="str">
            <v>CTC</v>
          </cell>
          <cell r="K2195" t="str">
            <v>YES</v>
          </cell>
        </row>
        <row r="2196">
          <cell r="I2196" t="str">
            <v>V37239</v>
          </cell>
          <cell r="J2196" t="str">
            <v>CTC</v>
          </cell>
          <cell r="K2196" t="str">
            <v>YES</v>
          </cell>
        </row>
        <row r="2197">
          <cell r="I2197" t="str">
            <v>V38441</v>
          </cell>
          <cell r="J2197" t="str">
            <v>CTC</v>
          </cell>
          <cell r="K2197" t="str">
            <v>YES</v>
          </cell>
        </row>
        <row r="2198">
          <cell r="I2198" t="str">
            <v>V38514</v>
          </cell>
          <cell r="J2198" t="str">
            <v>CTC</v>
          </cell>
          <cell r="K2198" t="str">
            <v>YES</v>
          </cell>
        </row>
        <row r="2199">
          <cell r="I2199" t="str">
            <v>V38737</v>
          </cell>
          <cell r="J2199" t="str">
            <v>CTC</v>
          </cell>
          <cell r="K2199" t="str">
            <v>YES</v>
          </cell>
        </row>
        <row r="2200">
          <cell r="I2200" t="str">
            <v>V39091</v>
          </cell>
          <cell r="J2200" t="str">
            <v>CTC</v>
          </cell>
          <cell r="K2200" t="str">
            <v>YES</v>
          </cell>
        </row>
        <row r="2201">
          <cell r="I2201" t="str">
            <v>V39109</v>
          </cell>
          <cell r="J2201" t="str">
            <v>CTC</v>
          </cell>
          <cell r="K2201" t="str">
            <v>YES</v>
          </cell>
        </row>
        <row r="2202">
          <cell r="I2202" t="str">
            <v>V39420</v>
          </cell>
          <cell r="J2202" t="str">
            <v>CTC</v>
          </cell>
          <cell r="K2202" t="str">
            <v>YES</v>
          </cell>
        </row>
        <row r="2203">
          <cell r="I2203" t="str">
            <v>V39422</v>
          </cell>
          <cell r="J2203" t="str">
            <v>CTC</v>
          </cell>
          <cell r="K2203" t="str">
            <v>YES</v>
          </cell>
        </row>
        <row r="2204">
          <cell r="I2204" t="str">
            <v>V39423</v>
          </cell>
          <cell r="J2204" t="str">
            <v>CTC</v>
          </cell>
          <cell r="K2204" t="str">
            <v>YES</v>
          </cell>
        </row>
        <row r="2205">
          <cell r="I2205" t="str">
            <v>V39425</v>
          </cell>
          <cell r="J2205" t="str">
            <v>CTC</v>
          </cell>
          <cell r="K2205" t="str">
            <v>YES</v>
          </cell>
        </row>
        <row r="2206">
          <cell r="I2206" t="str">
            <v>V39622</v>
          </cell>
          <cell r="J2206" t="str">
            <v>CTC</v>
          </cell>
          <cell r="K2206" t="str">
            <v>YES</v>
          </cell>
        </row>
        <row r="2207">
          <cell r="I2207" t="str">
            <v>V21949</v>
          </cell>
          <cell r="J2207" t="str">
            <v>CTC</v>
          </cell>
          <cell r="K2207" t="str">
            <v>YES</v>
          </cell>
        </row>
        <row r="2208">
          <cell r="I2208" t="str">
            <v>V21806</v>
          </cell>
          <cell r="J2208" t="str">
            <v>CTC</v>
          </cell>
          <cell r="K2208" t="str">
            <v>YES</v>
          </cell>
        </row>
        <row r="2209">
          <cell r="I2209" t="str">
            <v>V37015</v>
          </cell>
          <cell r="J2209" t="str">
            <v>CTC</v>
          </cell>
          <cell r="K2209" t="str">
            <v>YES</v>
          </cell>
        </row>
        <row r="2210">
          <cell r="I2210" t="str">
            <v>V37982</v>
          </cell>
          <cell r="J2210" t="str">
            <v>CTC</v>
          </cell>
          <cell r="K2210" t="str">
            <v>YES</v>
          </cell>
        </row>
        <row r="2211">
          <cell r="I2211" t="str">
            <v>V38347</v>
          </cell>
          <cell r="J2211" t="str">
            <v>CTC</v>
          </cell>
          <cell r="K2211" t="str">
            <v>YES</v>
          </cell>
        </row>
        <row r="2212">
          <cell r="I2212" t="str">
            <v>V41405</v>
          </cell>
          <cell r="J2212" t="str">
            <v>CTC</v>
          </cell>
          <cell r="K2212" t="str">
            <v>YES</v>
          </cell>
        </row>
        <row r="2213">
          <cell r="I2213" t="str">
            <v>V41767</v>
          </cell>
          <cell r="J2213" t="str">
            <v>CTC</v>
          </cell>
          <cell r="K2213" t="str">
            <v>YES</v>
          </cell>
        </row>
        <row r="2214">
          <cell r="I2214" t="str">
            <v>V42038</v>
          </cell>
          <cell r="J2214" t="str">
            <v>CTC</v>
          </cell>
          <cell r="K2214" t="str">
            <v>YES</v>
          </cell>
        </row>
        <row r="2215">
          <cell r="I2215" t="str">
            <v>V30987</v>
          </cell>
          <cell r="J2215" t="str">
            <v>CTC</v>
          </cell>
          <cell r="K2215" t="str">
            <v>YES</v>
          </cell>
        </row>
        <row r="2216">
          <cell r="I2216" t="str">
            <v>V45744</v>
          </cell>
          <cell r="J2216" t="str">
            <v>CTC</v>
          </cell>
          <cell r="K2216" t="str">
            <v>YES</v>
          </cell>
        </row>
        <row r="2217">
          <cell r="I2217" t="str">
            <v>V26254</v>
          </cell>
          <cell r="J2217" t="str">
            <v>CTC</v>
          </cell>
          <cell r="K2217" t="str">
            <v>YES</v>
          </cell>
        </row>
        <row r="2218">
          <cell r="I2218" t="str">
            <v>V08387</v>
          </cell>
          <cell r="J2218" t="str">
            <v>CTC</v>
          </cell>
          <cell r="K2218" t="str">
            <v>YES</v>
          </cell>
        </row>
        <row r="2219">
          <cell r="I2219" t="str">
            <v>V16796</v>
          </cell>
          <cell r="J2219" t="str">
            <v>CTC</v>
          </cell>
          <cell r="K2219" t="str">
            <v>YES</v>
          </cell>
        </row>
        <row r="2220">
          <cell r="I2220" t="str">
            <v>V32540</v>
          </cell>
          <cell r="J2220" t="str">
            <v>CTC</v>
          </cell>
          <cell r="K2220" t="str">
            <v>YES</v>
          </cell>
        </row>
        <row r="2221">
          <cell r="I2221" t="str">
            <v>V40658</v>
          </cell>
          <cell r="J2221" t="str">
            <v>CTC</v>
          </cell>
          <cell r="K2221" t="str">
            <v>YES</v>
          </cell>
        </row>
        <row r="2222">
          <cell r="I2222" t="str">
            <v>V19232</v>
          </cell>
          <cell r="J2222" t="str">
            <v>CTC</v>
          </cell>
          <cell r="K2222" t="str">
            <v>YES</v>
          </cell>
        </row>
        <row r="2223">
          <cell r="I2223" t="str">
            <v>V19901</v>
          </cell>
          <cell r="J2223" t="str">
            <v>CTC</v>
          </cell>
          <cell r="K2223" t="str">
            <v>YES</v>
          </cell>
        </row>
        <row r="2224">
          <cell r="I2224" t="str">
            <v>V30613</v>
          </cell>
          <cell r="J2224" t="str">
            <v>CTC</v>
          </cell>
          <cell r="K2224" t="str">
            <v>YES</v>
          </cell>
        </row>
        <row r="2225">
          <cell r="I2225" t="str">
            <v>V33588</v>
          </cell>
          <cell r="J2225" t="str">
            <v>CTC</v>
          </cell>
          <cell r="K2225" t="str">
            <v>YES</v>
          </cell>
        </row>
        <row r="2226">
          <cell r="I2226" t="str">
            <v>V37181</v>
          </cell>
          <cell r="J2226" t="str">
            <v>CTC</v>
          </cell>
          <cell r="K2226" t="str">
            <v>YES</v>
          </cell>
        </row>
        <row r="2227">
          <cell r="I2227" t="str">
            <v>V49509</v>
          </cell>
          <cell r="J2227" t="str">
            <v>CTC</v>
          </cell>
          <cell r="K2227" t="str">
            <v>YES</v>
          </cell>
        </row>
        <row r="2228">
          <cell r="I2228" t="str">
            <v>V36739</v>
          </cell>
          <cell r="J2228" t="str">
            <v>CTC</v>
          </cell>
          <cell r="K2228" t="str">
            <v>YES</v>
          </cell>
        </row>
        <row r="2229">
          <cell r="I2229" t="str">
            <v>V42239</v>
          </cell>
          <cell r="J2229" t="str">
            <v>CTC</v>
          </cell>
          <cell r="K2229" t="str">
            <v>YES</v>
          </cell>
        </row>
        <row r="2230">
          <cell r="I2230" t="str">
            <v>V23867</v>
          </cell>
          <cell r="J2230" t="str">
            <v>CTC</v>
          </cell>
          <cell r="K2230" t="str">
            <v>YES</v>
          </cell>
        </row>
        <row r="2231">
          <cell r="I2231" t="str">
            <v>V24152</v>
          </cell>
          <cell r="J2231" t="str">
            <v>CTC</v>
          </cell>
          <cell r="K2231" t="str">
            <v>YES</v>
          </cell>
        </row>
        <row r="2232">
          <cell r="I2232" t="str">
            <v>V25210</v>
          </cell>
          <cell r="J2232" t="str">
            <v>CTC</v>
          </cell>
          <cell r="K2232" t="str">
            <v>YES</v>
          </cell>
        </row>
        <row r="2233">
          <cell r="I2233" t="str">
            <v>V32984</v>
          </cell>
          <cell r="J2233" t="str">
            <v>CTC</v>
          </cell>
          <cell r="K2233" t="str">
            <v>YES</v>
          </cell>
        </row>
        <row r="2234">
          <cell r="I2234" t="str">
            <v>V34137</v>
          </cell>
          <cell r="J2234" t="str">
            <v>CTC</v>
          </cell>
          <cell r="K2234" t="str">
            <v>YES</v>
          </cell>
        </row>
        <row r="2235">
          <cell r="I2235" t="str">
            <v>V19085</v>
          </cell>
          <cell r="J2235" t="str">
            <v>CTC</v>
          </cell>
          <cell r="K2235" t="str">
            <v>YES</v>
          </cell>
        </row>
        <row r="2236">
          <cell r="I2236" t="str">
            <v>V19159</v>
          </cell>
          <cell r="J2236" t="str">
            <v>CTC</v>
          </cell>
          <cell r="K2236" t="str">
            <v>YES</v>
          </cell>
        </row>
        <row r="2237">
          <cell r="I2237" t="str">
            <v>V10035</v>
          </cell>
          <cell r="J2237" t="str">
            <v>CTC</v>
          </cell>
          <cell r="K2237" t="str">
            <v>YES</v>
          </cell>
        </row>
        <row r="2238">
          <cell r="I2238" t="str">
            <v>V38806</v>
          </cell>
          <cell r="J2238" t="str">
            <v>CTC</v>
          </cell>
          <cell r="K2238" t="str">
            <v>YES</v>
          </cell>
        </row>
        <row r="2239">
          <cell r="I2239" t="str">
            <v>V29476</v>
          </cell>
          <cell r="J2239" t="str">
            <v>CTC</v>
          </cell>
          <cell r="K2239" t="str">
            <v>YES</v>
          </cell>
        </row>
        <row r="2240">
          <cell r="I2240" t="str">
            <v>V23893</v>
          </cell>
          <cell r="J2240" t="str">
            <v>CTC</v>
          </cell>
          <cell r="K2240" t="str">
            <v>YES</v>
          </cell>
        </row>
        <row r="2241">
          <cell r="I2241" t="str">
            <v>V43533</v>
          </cell>
          <cell r="J2241" t="str">
            <v>CTC</v>
          </cell>
          <cell r="K2241" t="str">
            <v>YES</v>
          </cell>
        </row>
        <row r="2242">
          <cell r="I2242" t="str">
            <v>V31012</v>
          </cell>
          <cell r="J2242" t="str">
            <v>CTC</v>
          </cell>
          <cell r="K2242" t="str">
            <v>YES</v>
          </cell>
        </row>
        <row r="2243">
          <cell r="I2243" t="str">
            <v>V40407</v>
          </cell>
          <cell r="J2243" t="str">
            <v>CTC</v>
          </cell>
          <cell r="K2243" t="str">
            <v>YES</v>
          </cell>
        </row>
        <row r="2244">
          <cell r="I2244" t="str">
            <v>V36481</v>
          </cell>
          <cell r="J2244" t="str">
            <v>CTC</v>
          </cell>
          <cell r="K2244" t="str">
            <v>YES</v>
          </cell>
        </row>
        <row r="2245">
          <cell r="I2245" t="str">
            <v>V37253</v>
          </cell>
          <cell r="J2245" t="str">
            <v>CTC</v>
          </cell>
          <cell r="K2245" t="str">
            <v>YES</v>
          </cell>
        </row>
        <row r="2246">
          <cell r="I2246" t="str">
            <v>V37333</v>
          </cell>
          <cell r="J2246" t="str">
            <v>CTC</v>
          </cell>
          <cell r="K2246" t="str">
            <v>YES</v>
          </cell>
        </row>
        <row r="2247">
          <cell r="I2247" t="str">
            <v>V37357</v>
          </cell>
          <cell r="J2247" t="str">
            <v>CTC</v>
          </cell>
          <cell r="K2247" t="str">
            <v>YES</v>
          </cell>
        </row>
        <row r="2248">
          <cell r="I2248" t="str">
            <v>V37867</v>
          </cell>
          <cell r="J2248" t="str">
            <v>CTC</v>
          </cell>
          <cell r="K2248" t="str">
            <v>YES</v>
          </cell>
        </row>
        <row r="2249">
          <cell r="I2249" t="str">
            <v>V38873</v>
          </cell>
          <cell r="J2249" t="str">
            <v>CTC</v>
          </cell>
          <cell r="K2249" t="str">
            <v>YES</v>
          </cell>
        </row>
        <row r="2250">
          <cell r="I2250" t="str">
            <v>V38965</v>
          </cell>
          <cell r="J2250" t="str">
            <v>CTC</v>
          </cell>
          <cell r="K2250" t="str">
            <v>YES</v>
          </cell>
        </row>
        <row r="2251">
          <cell r="I2251" t="str">
            <v>V39023</v>
          </cell>
          <cell r="J2251" t="str">
            <v>CTC</v>
          </cell>
          <cell r="K2251" t="str">
            <v>YES</v>
          </cell>
        </row>
        <row r="2252">
          <cell r="I2252" t="str">
            <v>V39177</v>
          </cell>
          <cell r="J2252" t="str">
            <v>CTC</v>
          </cell>
          <cell r="K2252" t="str">
            <v>YES</v>
          </cell>
        </row>
        <row r="2253">
          <cell r="I2253" t="str">
            <v>V39950</v>
          </cell>
          <cell r="J2253" t="str">
            <v>CTC</v>
          </cell>
          <cell r="K2253" t="str">
            <v>YES</v>
          </cell>
        </row>
        <row r="2254">
          <cell r="I2254" t="str">
            <v>V40140</v>
          </cell>
          <cell r="J2254" t="str">
            <v>CTC</v>
          </cell>
          <cell r="K2254" t="str">
            <v>YES</v>
          </cell>
        </row>
        <row r="2255">
          <cell r="I2255" t="str">
            <v>V40171</v>
          </cell>
          <cell r="J2255" t="str">
            <v>CTC</v>
          </cell>
          <cell r="K2255" t="str">
            <v>YES</v>
          </cell>
        </row>
        <row r="2256">
          <cell r="I2256" t="str">
            <v>V40304</v>
          </cell>
          <cell r="J2256" t="str">
            <v>CTC</v>
          </cell>
          <cell r="K2256" t="str">
            <v>YES</v>
          </cell>
        </row>
        <row r="2257">
          <cell r="I2257" t="str">
            <v>V40547</v>
          </cell>
          <cell r="J2257" t="str">
            <v>CTC</v>
          </cell>
          <cell r="K2257" t="str">
            <v>YES</v>
          </cell>
        </row>
        <row r="2258">
          <cell r="I2258" t="str">
            <v>V40593</v>
          </cell>
          <cell r="J2258" t="str">
            <v>CTC</v>
          </cell>
          <cell r="K2258" t="str">
            <v>YES</v>
          </cell>
        </row>
        <row r="2259">
          <cell r="I2259" t="str">
            <v>V40755</v>
          </cell>
          <cell r="J2259" t="str">
            <v>CTC</v>
          </cell>
          <cell r="K2259" t="str">
            <v>YES</v>
          </cell>
        </row>
        <row r="2260">
          <cell r="I2260" t="str">
            <v>V40884</v>
          </cell>
          <cell r="J2260" t="str">
            <v>CTC</v>
          </cell>
          <cell r="K2260" t="str">
            <v>YES</v>
          </cell>
        </row>
        <row r="2261">
          <cell r="I2261" t="str">
            <v>V41362</v>
          </cell>
          <cell r="J2261" t="str">
            <v>CTC</v>
          </cell>
          <cell r="K2261" t="str">
            <v>YES</v>
          </cell>
        </row>
        <row r="2262">
          <cell r="I2262" t="str">
            <v>V41522</v>
          </cell>
          <cell r="J2262" t="str">
            <v>CTC</v>
          </cell>
          <cell r="K2262" t="str">
            <v>YES</v>
          </cell>
        </row>
        <row r="2263">
          <cell r="I2263" t="str">
            <v>V41545</v>
          </cell>
          <cell r="J2263" t="str">
            <v>CTC</v>
          </cell>
          <cell r="K2263" t="str">
            <v>YES</v>
          </cell>
        </row>
        <row r="2264">
          <cell r="I2264" t="str">
            <v>V41661</v>
          </cell>
          <cell r="J2264" t="str">
            <v>CTC</v>
          </cell>
          <cell r="K2264" t="str">
            <v>YES</v>
          </cell>
        </row>
        <row r="2265">
          <cell r="I2265" t="str">
            <v>V41867</v>
          </cell>
          <cell r="J2265" t="str">
            <v>CTC</v>
          </cell>
          <cell r="K2265" t="str">
            <v>YES</v>
          </cell>
        </row>
        <row r="2266">
          <cell r="I2266" t="str">
            <v>V41957</v>
          </cell>
          <cell r="J2266" t="str">
            <v>CTC</v>
          </cell>
          <cell r="K2266" t="str">
            <v>YES</v>
          </cell>
        </row>
        <row r="2267">
          <cell r="I2267" t="str">
            <v>V42205</v>
          </cell>
          <cell r="J2267" t="str">
            <v>CTC</v>
          </cell>
          <cell r="K2267" t="str">
            <v>YES</v>
          </cell>
        </row>
        <row r="2268">
          <cell r="I2268" t="str">
            <v>V17922</v>
          </cell>
          <cell r="J2268" t="str">
            <v>CTC</v>
          </cell>
          <cell r="K2268" t="str">
            <v>YES</v>
          </cell>
        </row>
        <row r="2269">
          <cell r="I2269" t="str">
            <v>V07311</v>
          </cell>
          <cell r="J2269" t="str">
            <v>CTC</v>
          </cell>
          <cell r="K2269" t="str">
            <v>YES</v>
          </cell>
        </row>
        <row r="2270">
          <cell r="I2270" t="str">
            <v>V31708</v>
          </cell>
          <cell r="J2270" t="str">
            <v>CTC</v>
          </cell>
          <cell r="K2270" t="str">
            <v>YES</v>
          </cell>
        </row>
        <row r="2271">
          <cell r="I2271" t="str">
            <v>V35897</v>
          </cell>
          <cell r="J2271" t="str">
            <v>CTC</v>
          </cell>
          <cell r="K2271" t="str">
            <v>YES</v>
          </cell>
        </row>
        <row r="2272">
          <cell r="I2272" t="str">
            <v>V24589</v>
          </cell>
          <cell r="J2272" t="str">
            <v>CTC</v>
          </cell>
          <cell r="K2272" t="str">
            <v>YES</v>
          </cell>
        </row>
        <row r="2273">
          <cell r="I2273" t="str">
            <v>V30166</v>
          </cell>
          <cell r="J2273" t="str">
            <v>CTC</v>
          </cell>
          <cell r="K2273" t="str">
            <v>YES</v>
          </cell>
        </row>
        <row r="2274">
          <cell r="I2274" t="str">
            <v>V31112</v>
          </cell>
          <cell r="J2274" t="str">
            <v>CTC</v>
          </cell>
          <cell r="K2274" t="str">
            <v>YES</v>
          </cell>
        </row>
        <row r="2275">
          <cell r="I2275" t="str">
            <v>V39880</v>
          </cell>
          <cell r="J2275" t="str">
            <v>CTC</v>
          </cell>
          <cell r="K2275" t="str">
            <v>YES</v>
          </cell>
        </row>
        <row r="2276">
          <cell r="I2276" t="str">
            <v>V38882</v>
          </cell>
          <cell r="J2276" t="str">
            <v>CTC</v>
          </cell>
          <cell r="K2276" t="str">
            <v>YES</v>
          </cell>
        </row>
        <row r="2277">
          <cell r="I2277" t="str">
            <v>V41358</v>
          </cell>
          <cell r="J2277" t="str">
            <v>CTC</v>
          </cell>
          <cell r="K2277" t="str">
            <v>YES</v>
          </cell>
        </row>
        <row r="2278">
          <cell r="I2278" t="str">
            <v>V24705</v>
          </cell>
          <cell r="J2278" t="str">
            <v>CTC</v>
          </cell>
          <cell r="K2278" t="str">
            <v>YES</v>
          </cell>
        </row>
        <row r="2279">
          <cell r="I2279" t="str">
            <v>V29477</v>
          </cell>
          <cell r="J2279" t="str">
            <v>CTC</v>
          </cell>
          <cell r="K2279" t="str">
            <v>YES</v>
          </cell>
        </row>
        <row r="2280">
          <cell r="I2280" t="str">
            <v>V44110</v>
          </cell>
          <cell r="J2280" t="str">
            <v>CTC</v>
          </cell>
          <cell r="K2280" t="str">
            <v>YES</v>
          </cell>
        </row>
        <row r="2281">
          <cell r="I2281" t="str">
            <v>V29336</v>
          </cell>
          <cell r="J2281" t="str">
            <v>CTC</v>
          </cell>
          <cell r="K2281" t="str">
            <v>YES</v>
          </cell>
        </row>
        <row r="2282">
          <cell r="I2282" t="str">
            <v>V49479</v>
          </cell>
          <cell r="J2282" t="str">
            <v>CTC</v>
          </cell>
          <cell r="K2282" t="str">
            <v>YES</v>
          </cell>
        </row>
        <row r="2283">
          <cell r="I2283" t="str">
            <v>V42671</v>
          </cell>
          <cell r="J2283" t="str">
            <v>CTC</v>
          </cell>
          <cell r="K2283" t="str">
            <v>YES</v>
          </cell>
        </row>
        <row r="2284">
          <cell r="I2284" t="str">
            <v>V40657</v>
          </cell>
          <cell r="J2284" t="str">
            <v>CTC</v>
          </cell>
          <cell r="K2284" t="str">
            <v>YES</v>
          </cell>
        </row>
        <row r="2285">
          <cell r="I2285" t="str">
            <v>V03183</v>
          </cell>
          <cell r="J2285" t="str">
            <v>CTC</v>
          </cell>
          <cell r="K2285" t="str">
            <v>YES</v>
          </cell>
        </row>
        <row r="2286">
          <cell r="I2286" t="str">
            <v>V30353</v>
          </cell>
          <cell r="J2286" t="str">
            <v>CTC</v>
          </cell>
          <cell r="K2286" t="str">
            <v>YES</v>
          </cell>
        </row>
        <row r="2287">
          <cell r="I2287" t="str">
            <v>V32650</v>
          </cell>
          <cell r="J2287" t="str">
            <v>CTC</v>
          </cell>
          <cell r="K2287" t="str">
            <v>YES</v>
          </cell>
        </row>
        <row r="2288">
          <cell r="I2288" t="str">
            <v>V39424</v>
          </cell>
          <cell r="J2288" t="str">
            <v>CTC</v>
          </cell>
          <cell r="K2288" t="str">
            <v>YES</v>
          </cell>
        </row>
        <row r="2289">
          <cell r="I2289" t="str">
            <v>V41381</v>
          </cell>
          <cell r="J2289" t="str">
            <v>CTC</v>
          </cell>
          <cell r="K2289" t="str">
            <v>YES</v>
          </cell>
        </row>
        <row r="2290">
          <cell r="I2290" t="str">
            <v>V20364</v>
          </cell>
          <cell r="J2290" t="str">
            <v>CTC</v>
          </cell>
          <cell r="K2290" t="str">
            <v>YES</v>
          </cell>
        </row>
        <row r="2291">
          <cell r="I2291" t="str">
            <v>V32160</v>
          </cell>
          <cell r="J2291" t="str">
            <v>CTC</v>
          </cell>
          <cell r="K2291" t="str">
            <v>YES</v>
          </cell>
        </row>
        <row r="2292">
          <cell r="I2292" t="str">
            <v>V37014</v>
          </cell>
          <cell r="J2292" t="str">
            <v>CTC</v>
          </cell>
          <cell r="K2292" t="str">
            <v>YES</v>
          </cell>
        </row>
        <row r="2293">
          <cell r="I2293" t="str">
            <v>V25673</v>
          </cell>
          <cell r="J2293" t="str">
            <v>CTC</v>
          </cell>
          <cell r="K2293" t="str">
            <v>YES</v>
          </cell>
        </row>
        <row r="2294">
          <cell r="I2294" t="str">
            <v>V25769</v>
          </cell>
          <cell r="J2294" t="str">
            <v>CTC</v>
          </cell>
          <cell r="K2294" t="str">
            <v>YES</v>
          </cell>
        </row>
        <row r="2295">
          <cell r="I2295" t="str">
            <v>V27553</v>
          </cell>
          <cell r="J2295" t="str">
            <v>CTC</v>
          </cell>
          <cell r="K2295" t="str">
            <v>YES</v>
          </cell>
        </row>
        <row r="2296">
          <cell r="I2296" t="str">
            <v>V27790</v>
          </cell>
          <cell r="J2296" t="str">
            <v>CTC</v>
          </cell>
          <cell r="K2296" t="str">
            <v>YES</v>
          </cell>
        </row>
        <row r="2297">
          <cell r="I2297" t="str">
            <v>V38063</v>
          </cell>
          <cell r="J2297" t="str">
            <v>CTC</v>
          </cell>
          <cell r="K2297" t="str">
            <v>YES</v>
          </cell>
        </row>
        <row r="2298">
          <cell r="I2298" t="str">
            <v>V20955</v>
          </cell>
          <cell r="J2298" t="str">
            <v>CTC</v>
          </cell>
          <cell r="K2298" t="str">
            <v>YES</v>
          </cell>
        </row>
        <row r="2299">
          <cell r="I2299" t="str">
            <v>V21105</v>
          </cell>
          <cell r="J2299" t="str">
            <v>CTC</v>
          </cell>
          <cell r="K2299" t="str">
            <v>YES</v>
          </cell>
        </row>
        <row r="2300">
          <cell r="I2300" t="str">
            <v>V21106</v>
          </cell>
          <cell r="J2300" t="str">
            <v>CTC</v>
          </cell>
          <cell r="K2300" t="str">
            <v>YES</v>
          </cell>
        </row>
        <row r="2301">
          <cell r="I2301" t="str">
            <v>V21231</v>
          </cell>
          <cell r="J2301" t="str">
            <v>CTC</v>
          </cell>
          <cell r="K2301" t="str">
            <v>YES</v>
          </cell>
        </row>
        <row r="2302">
          <cell r="I2302" t="str">
            <v>V42640</v>
          </cell>
          <cell r="J2302" t="str">
            <v>CTC</v>
          </cell>
          <cell r="K2302" t="str">
            <v>YES</v>
          </cell>
        </row>
        <row r="2303">
          <cell r="I2303" t="str">
            <v>V41192</v>
          </cell>
          <cell r="J2303" t="str">
            <v>CTC</v>
          </cell>
          <cell r="K2303" t="str">
            <v>YES</v>
          </cell>
        </row>
        <row r="2304">
          <cell r="I2304" t="str">
            <v>V42641</v>
          </cell>
          <cell r="J2304" t="str">
            <v>CTC</v>
          </cell>
          <cell r="K2304" t="str">
            <v>YES</v>
          </cell>
        </row>
        <row r="2305">
          <cell r="I2305" t="str">
            <v>V42569</v>
          </cell>
          <cell r="J2305" t="str">
            <v>CTC</v>
          </cell>
          <cell r="K2305" t="str">
            <v>YES</v>
          </cell>
        </row>
        <row r="2306">
          <cell r="I2306" t="str">
            <v>V47475</v>
          </cell>
          <cell r="J2306" t="str">
            <v>CTC</v>
          </cell>
          <cell r="K2306" t="str">
            <v>YES</v>
          </cell>
        </row>
        <row r="2307">
          <cell r="I2307" t="str">
            <v>V21894</v>
          </cell>
          <cell r="J2307" t="str">
            <v>CTC</v>
          </cell>
          <cell r="K2307" t="str">
            <v>YES</v>
          </cell>
        </row>
        <row r="2308">
          <cell r="I2308" t="str">
            <v>V32928</v>
          </cell>
          <cell r="J2308" t="str">
            <v>CTC</v>
          </cell>
          <cell r="K2308" t="str">
            <v>YES</v>
          </cell>
        </row>
        <row r="2309">
          <cell r="I2309" t="str">
            <v>V13937</v>
          </cell>
          <cell r="J2309" t="str">
            <v>CTC</v>
          </cell>
          <cell r="K2309" t="str">
            <v>YES</v>
          </cell>
        </row>
        <row r="2310">
          <cell r="I2310" t="str">
            <v>V21320</v>
          </cell>
          <cell r="J2310" t="str">
            <v>CTC</v>
          </cell>
          <cell r="K2310" t="str">
            <v>YES</v>
          </cell>
        </row>
        <row r="2311">
          <cell r="I2311" t="str">
            <v>V18299</v>
          </cell>
          <cell r="J2311" t="str">
            <v>CTC</v>
          </cell>
          <cell r="K2311" t="str">
            <v>YES</v>
          </cell>
        </row>
        <row r="2312">
          <cell r="I2312" t="str">
            <v>V15415</v>
          </cell>
          <cell r="J2312" t="str">
            <v>CTC</v>
          </cell>
          <cell r="K2312" t="str">
            <v>YES</v>
          </cell>
        </row>
        <row r="2313">
          <cell r="I2313" t="str">
            <v>V15421</v>
          </cell>
          <cell r="J2313" t="str">
            <v>CTC</v>
          </cell>
          <cell r="K2313" t="str">
            <v>YES</v>
          </cell>
        </row>
        <row r="2314">
          <cell r="I2314" t="str">
            <v>V16874</v>
          </cell>
          <cell r="J2314" t="str">
            <v>CTC</v>
          </cell>
          <cell r="K2314" t="str">
            <v>YES</v>
          </cell>
        </row>
        <row r="2315">
          <cell r="I2315" t="str">
            <v>V47205</v>
          </cell>
          <cell r="J2315" t="str">
            <v>CTC</v>
          </cell>
          <cell r="K2315" t="str">
            <v>YES</v>
          </cell>
        </row>
        <row r="2316">
          <cell r="I2316" t="str">
            <v>V15983</v>
          </cell>
          <cell r="J2316" t="str">
            <v>CTC</v>
          </cell>
          <cell r="K2316" t="str">
            <v>YES</v>
          </cell>
        </row>
        <row r="2317">
          <cell r="I2317" t="str">
            <v>V49486</v>
          </cell>
          <cell r="J2317" t="str">
            <v>CTC</v>
          </cell>
          <cell r="K2317" t="str">
            <v>YES</v>
          </cell>
        </row>
        <row r="2318">
          <cell r="I2318" t="str">
            <v>V10586</v>
          </cell>
          <cell r="J2318" t="str">
            <v>CTC</v>
          </cell>
          <cell r="K2318" t="str">
            <v>YES</v>
          </cell>
        </row>
        <row r="2319">
          <cell r="I2319" t="str">
            <v>V15751</v>
          </cell>
          <cell r="J2319" t="str">
            <v>CTC</v>
          </cell>
          <cell r="K2319" t="str">
            <v>YES</v>
          </cell>
        </row>
        <row r="2320">
          <cell r="I2320" t="str">
            <v>V16242</v>
          </cell>
          <cell r="J2320" t="str">
            <v>CTC</v>
          </cell>
          <cell r="K2320" t="str">
            <v>YES</v>
          </cell>
        </row>
        <row r="2321">
          <cell r="I2321" t="str">
            <v>V18824</v>
          </cell>
          <cell r="J2321" t="str">
            <v>CTC</v>
          </cell>
          <cell r="K2321" t="str">
            <v>YES</v>
          </cell>
        </row>
        <row r="2322">
          <cell r="I2322" t="str">
            <v>V18326</v>
          </cell>
          <cell r="J2322" t="str">
            <v>CTC</v>
          </cell>
          <cell r="K2322" t="str">
            <v>YES</v>
          </cell>
        </row>
        <row r="2323">
          <cell r="I2323" t="str">
            <v>V19465</v>
          </cell>
          <cell r="J2323" t="str">
            <v>CTC</v>
          </cell>
          <cell r="K2323" t="str">
            <v>YES</v>
          </cell>
        </row>
        <row r="2324">
          <cell r="I2324" t="str">
            <v>V30410</v>
          </cell>
          <cell r="J2324" t="str">
            <v>CTC</v>
          </cell>
          <cell r="K2324" t="str">
            <v>YES</v>
          </cell>
        </row>
        <row r="2325">
          <cell r="I2325" t="str">
            <v>V28899</v>
          </cell>
          <cell r="J2325" t="str">
            <v>CTC</v>
          </cell>
          <cell r="K2325" t="str">
            <v>YES</v>
          </cell>
        </row>
        <row r="2326">
          <cell r="I2326" t="str">
            <v>V34202</v>
          </cell>
          <cell r="J2326" t="str">
            <v>CTC</v>
          </cell>
          <cell r="K2326" t="str">
            <v>YES</v>
          </cell>
        </row>
        <row r="2327">
          <cell r="I2327" t="str">
            <v>V20927</v>
          </cell>
          <cell r="J2327" t="str">
            <v>CTC</v>
          </cell>
          <cell r="K2327" t="str">
            <v>YES</v>
          </cell>
        </row>
        <row r="2328">
          <cell r="I2328" t="str">
            <v>V07265</v>
          </cell>
          <cell r="J2328" t="str">
            <v>CTC</v>
          </cell>
          <cell r="K2328" t="str">
            <v>YES</v>
          </cell>
        </row>
        <row r="2329">
          <cell r="I2329" t="str">
            <v>V07584</v>
          </cell>
          <cell r="J2329" t="str">
            <v>CTC</v>
          </cell>
          <cell r="K2329" t="str">
            <v>YES</v>
          </cell>
        </row>
        <row r="2330">
          <cell r="I2330" t="str">
            <v>V07821</v>
          </cell>
          <cell r="J2330" t="str">
            <v>CTC</v>
          </cell>
          <cell r="K2330" t="str">
            <v>YES</v>
          </cell>
        </row>
        <row r="2331">
          <cell r="I2331" t="str">
            <v>V07893</v>
          </cell>
          <cell r="J2331" t="str">
            <v>CTC</v>
          </cell>
          <cell r="K2331" t="str">
            <v>YES</v>
          </cell>
        </row>
        <row r="2332">
          <cell r="I2332" t="str">
            <v>V09247</v>
          </cell>
          <cell r="J2332" t="str">
            <v>CTC</v>
          </cell>
          <cell r="K2332" t="str">
            <v>YES</v>
          </cell>
        </row>
        <row r="2333">
          <cell r="I2333" t="str">
            <v>V11410</v>
          </cell>
          <cell r="J2333" t="str">
            <v>CTC</v>
          </cell>
          <cell r="K2333" t="str">
            <v>YES</v>
          </cell>
        </row>
        <row r="2334">
          <cell r="I2334" t="str">
            <v>V12809</v>
          </cell>
          <cell r="J2334" t="str">
            <v>CTC</v>
          </cell>
          <cell r="K2334" t="str">
            <v>YES</v>
          </cell>
        </row>
        <row r="2335">
          <cell r="I2335" t="str">
            <v>V12810</v>
          </cell>
          <cell r="J2335" t="str">
            <v>CTC</v>
          </cell>
          <cell r="K2335" t="str">
            <v>YES</v>
          </cell>
        </row>
        <row r="2336">
          <cell r="I2336" t="str">
            <v>V12816</v>
          </cell>
          <cell r="J2336" t="str">
            <v>CTC</v>
          </cell>
          <cell r="K2336" t="str">
            <v>YES</v>
          </cell>
        </row>
        <row r="2337">
          <cell r="I2337" t="str">
            <v>V13405</v>
          </cell>
          <cell r="J2337" t="str">
            <v>CTC</v>
          </cell>
          <cell r="K2337" t="str">
            <v>YES</v>
          </cell>
        </row>
        <row r="2338">
          <cell r="I2338" t="str">
            <v>V13556</v>
          </cell>
          <cell r="J2338" t="str">
            <v>CTC</v>
          </cell>
          <cell r="K2338" t="str">
            <v>YES</v>
          </cell>
        </row>
        <row r="2339">
          <cell r="I2339" t="str">
            <v>V14663</v>
          </cell>
          <cell r="J2339" t="str">
            <v>CTC</v>
          </cell>
          <cell r="K2339" t="str">
            <v>YES</v>
          </cell>
        </row>
        <row r="2340">
          <cell r="I2340" t="str">
            <v>V14894</v>
          </cell>
          <cell r="J2340" t="str">
            <v>CTC</v>
          </cell>
          <cell r="K2340" t="str">
            <v>YES</v>
          </cell>
        </row>
        <row r="2341">
          <cell r="I2341" t="str">
            <v>V15002</v>
          </cell>
          <cell r="J2341" t="str">
            <v>CTC</v>
          </cell>
          <cell r="K2341" t="str">
            <v>YES</v>
          </cell>
        </row>
        <row r="2342">
          <cell r="I2342" t="str">
            <v>V07870</v>
          </cell>
          <cell r="J2342" t="str">
            <v>CTC</v>
          </cell>
          <cell r="K2342" t="str">
            <v>YES</v>
          </cell>
        </row>
        <row r="2343">
          <cell r="I2343" t="str">
            <v>V39851</v>
          </cell>
          <cell r="J2343" t="str">
            <v>CTC</v>
          </cell>
          <cell r="K2343" t="str">
            <v>YES</v>
          </cell>
        </row>
        <row r="2344">
          <cell r="I2344" t="str">
            <v>V16075</v>
          </cell>
          <cell r="J2344" t="str">
            <v>CTC</v>
          </cell>
          <cell r="K2344" t="str">
            <v>YES</v>
          </cell>
        </row>
        <row r="2345">
          <cell r="I2345" t="str">
            <v>V27186</v>
          </cell>
          <cell r="J2345" t="str">
            <v>CTC</v>
          </cell>
          <cell r="K2345" t="str">
            <v>YES</v>
          </cell>
        </row>
        <row r="2346">
          <cell r="I2346" t="str">
            <v>V21750</v>
          </cell>
          <cell r="J2346" t="str">
            <v>CTC</v>
          </cell>
          <cell r="K2346" t="str">
            <v>YES</v>
          </cell>
        </row>
        <row r="2347">
          <cell r="I2347" t="str">
            <v>V42737</v>
          </cell>
          <cell r="J2347" t="str">
            <v>CTC</v>
          </cell>
          <cell r="K2347" t="str">
            <v>YES</v>
          </cell>
        </row>
        <row r="2348">
          <cell r="I2348" t="str">
            <v>V40612</v>
          </cell>
          <cell r="J2348" t="str">
            <v>CTC</v>
          </cell>
          <cell r="K2348" t="str">
            <v>YES</v>
          </cell>
        </row>
        <row r="2349">
          <cell r="I2349" t="str">
            <v>V41236</v>
          </cell>
          <cell r="J2349" t="str">
            <v>CTC</v>
          </cell>
          <cell r="K2349" t="str">
            <v>YES</v>
          </cell>
        </row>
        <row r="2350">
          <cell r="I2350" t="str">
            <v>V21876</v>
          </cell>
          <cell r="J2350" t="str">
            <v>CTC</v>
          </cell>
          <cell r="K2350" t="str">
            <v>YES</v>
          </cell>
        </row>
        <row r="2351">
          <cell r="I2351" t="str">
            <v>V39658</v>
          </cell>
          <cell r="J2351" t="str">
            <v>CTC</v>
          </cell>
          <cell r="K2351" t="str">
            <v>YES</v>
          </cell>
        </row>
        <row r="2352">
          <cell r="I2352" t="str">
            <v>V44002</v>
          </cell>
          <cell r="J2352" t="str">
            <v>CTC</v>
          </cell>
          <cell r="K2352" t="str">
            <v>YES</v>
          </cell>
        </row>
        <row r="2353">
          <cell r="I2353" t="str">
            <v>V46838</v>
          </cell>
          <cell r="J2353" t="str">
            <v>CTC</v>
          </cell>
          <cell r="K2353" t="str">
            <v>YES</v>
          </cell>
        </row>
        <row r="2354">
          <cell r="I2354" t="str">
            <v>V08500</v>
          </cell>
          <cell r="J2354" t="str">
            <v>CTC</v>
          </cell>
          <cell r="K2354" t="str">
            <v>YES</v>
          </cell>
        </row>
        <row r="2355">
          <cell r="I2355" t="str">
            <v>V48866</v>
          </cell>
          <cell r="J2355" t="str">
            <v>CTC</v>
          </cell>
          <cell r="K2355" t="str">
            <v>YES</v>
          </cell>
        </row>
        <row r="2356">
          <cell r="I2356" t="str">
            <v>V30703</v>
          </cell>
          <cell r="J2356" t="str">
            <v>CTC</v>
          </cell>
          <cell r="K2356" t="str">
            <v>YES</v>
          </cell>
        </row>
        <row r="2357">
          <cell r="I2357" t="str">
            <v>V25919</v>
          </cell>
          <cell r="J2357" t="str">
            <v>CTC</v>
          </cell>
          <cell r="K2357" t="str">
            <v>YES</v>
          </cell>
        </row>
        <row r="2358">
          <cell r="I2358" t="str">
            <v>V37630</v>
          </cell>
          <cell r="J2358" t="str">
            <v>CTC</v>
          </cell>
          <cell r="K2358" t="str">
            <v>YES</v>
          </cell>
        </row>
        <row r="2359">
          <cell r="I2359" t="str">
            <v>V20643</v>
          </cell>
          <cell r="J2359" t="str">
            <v>CTC</v>
          </cell>
          <cell r="K2359" t="str">
            <v>YES</v>
          </cell>
        </row>
        <row r="2360">
          <cell r="I2360" t="str">
            <v>V42233</v>
          </cell>
          <cell r="J2360" t="str">
            <v>CTC</v>
          </cell>
          <cell r="K2360" t="str">
            <v>YES</v>
          </cell>
        </row>
        <row r="2361">
          <cell r="I2361" t="str">
            <v>V19779</v>
          </cell>
          <cell r="J2361" t="str">
            <v>CTC</v>
          </cell>
          <cell r="K2361" t="str">
            <v>YES</v>
          </cell>
        </row>
        <row r="2362">
          <cell r="I2362" t="str">
            <v>V09819</v>
          </cell>
          <cell r="J2362" t="str">
            <v>CTC</v>
          </cell>
          <cell r="K2362" t="str">
            <v>YES</v>
          </cell>
        </row>
        <row r="2363">
          <cell r="I2363" t="str">
            <v>V40066</v>
          </cell>
          <cell r="J2363" t="str">
            <v>CTC</v>
          </cell>
          <cell r="K2363" t="str">
            <v>YES</v>
          </cell>
        </row>
        <row r="2364">
          <cell r="I2364" t="str">
            <v>V29176</v>
          </cell>
          <cell r="J2364" t="str">
            <v>CTC</v>
          </cell>
          <cell r="K2364" t="str">
            <v>YES</v>
          </cell>
        </row>
        <row r="2365">
          <cell r="I2365" t="str">
            <v>V30075</v>
          </cell>
          <cell r="J2365" t="str">
            <v>CTC</v>
          </cell>
          <cell r="K2365" t="str">
            <v>YES</v>
          </cell>
        </row>
        <row r="2366">
          <cell r="I2366" t="str">
            <v>V30377</v>
          </cell>
          <cell r="J2366" t="str">
            <v>CTC</v>
          </cell>
          <cell r="K2366" t="str">
            <v>YES</v>
          </cell>
        </row>
        <row r="2367">
          <cell r="I2367" t="str">
            <v>V30534</v>
          </cell>
          <cell r="J2367" t="str">
            <v>CTC</v>
          </cell>
          <cell r="K2367" t="str">
            <v>YES</v>
          </cell>
        </row>
        <row r="2368">
          <cell r="I2368" t="str">
            <v>V31870</v>
          </cell>
          <cell r="J2368" t="str">
            <v>CTC</v>
          </cell>
          <cell r="K2368" t="str">
            <v>YES</v>
          </cell>
        </row>
        <row r="2369">
          <cell r="I2369" t="str">
            <v>V32483</v>
          </cell>
          <cell r="J2369" t="str">
            <v>CTC</v>
          </cell>
          <cell r="K2369" t="str">
            <v>YES</v>
          </cell>
        </row>
        <row r="2370">
          <cell r="I2370" t="str">
            <v>V35525</v>
          </cell>
          <cell r="J2370" t="str">
            <v>CTC</v>
          </cell>
          <cell r="K2370" t="str">
            <v>YES</v>
          </cell>
        </row>
        <row r="2371">
          <cell r="I2371" t="str">
            <v>V35555</v>
          </cell>
          <cell r="J2371" t="str">
            <v>CTC</v>
          </cell>
          <cell r="K2371" t="str">
            <v>YES</v>
          </cell>
        </row>
        <row r="2372">
          <cell r="I2372" t="str">
            <v>V35905</v>
          </cell>
          <cell r="J2372" t="str">
            <v>CTC</v>
          </cell>
          <cell r="K2372" t="str">
            <v>YES</v>
          </cell>
        </row>
        <row r="2373">
          <cell r="I2373" t="str">
            <v>V36049</v>
          </cell>
          <cell r="J2373" t="str">
            <v>CTC</v>
          </cell>
          <cell r="K2373" t="str">
            <v>YES</v>
          </cell>
        </row>
        <row r="2374">
          <cell r="I2374" t="str">
            <v>V36232</v>
          </cell>
          <cell r="J2374" t="str">
            <v>CTC</v>
          </cell>
          <cell r="K2374" t="str">
            <v>YES</v>
          </cell>
        </row>
        <row r="2375">
          <cell r="I2375" t="str">
            <v>V20525</v>
          </cell>
          <cell r="J2375" t="str">
            <v>CTC</v>
          </cell>
          <cell r="K2375" t="str">
            <v>YES</v>
          </cell>
        </row>
        <row r="2376">
          <cell r="I2376" t="str">
            <v>V12560</v>
          </cell>
          <cell r="J2376" t="str">
            <v>CTC</v>
          </cell>
          <cell r="K2376" t="str">
            <v>YES</v>
          </cell>
        </row>
        <row r="2377">
          <cell r="I2377" t="str">
            <v>V23033</v>
          </cell>
          <cell r="J2377" t="str">
            <v>CTC</v>
          </cell>
          <cell r="K2377" t="str">
            <v>YES</v>
          </cell>
        </row>
        <row r="2378">
          <cell r="I2378" t="str">
            <v>V36565</v>
          </cell>
          <cell r="J2378" t="str">
            <v>CTC</v>
          </cell>
          <cell r="K2378" t="str">
            <v>YES</v>
          </cell>
        </row>
        <row r="2379">
          <cell r="I2379" t="str">
            <v>V26569</v>
          </cell>
          <cell r="J2379" t="str">
            <v>CTC</v>
          </cell>
          <cell r="K2379" t="str">
            <v>YES</v>
          </cell>
        </row>
        <row r="2380">
          <cell r="I2380" t="str">
            <v>V42669</v>
          </cell>
          <cell r="J2380" t="str">
            <v>CTC</v>
          </cell>
          <cell r="K2380" t="str">
            <v>YES</v>
          </cell>
        </row>
        <row r="2381">
          <cell r="I2381" t="str">
            <v>V36608</v>
          </cell>
          <cell r="J2381" t="str">
            <v>CTC</v>
          </cell>
          <cell r="K2381" t="str">
            <v>YES</v>
          </cell>
        </row>
        <row r="2382">
          <cell r="I2382" t="str">
            <v>V26657</v>
          </cell>
          <cell r="J2382" t="str">
            <v>CTC</v>
          </cell>
          <cell r="K2382" t="str">
            <v>YES</v>
          </cell>
        </row>
        <row r="2383">
          <cell r="I2383" t="str">
            <v>V27369</v>
          </cell>
          <cell r="J2383" t="str">
            <v>CTC</v>
          </cell>
          <cell r="K2383" t="str">
            <v>YES</v>
          </cell>
        </row>
        <row r="2384">
          <cell r="I2384" t="str">
            <v>V40613</v>
          </cell>
          <cell r="J2384" t="str">
            <v>CTC</v>
          </cell>
          <cell r="K2384" t="str">
            <v>YES</v>
          </cell>
        </row>
        <row r="2385">
          <cell r="I2385" t="str">
            <v>V17061</v>
          </cell>
          <cell r="J2385" t="str">
            <v>CTC</v>
          </cell>
          <cell r="K2385" t="str">
            <v>YES</v>
          </cell>
        </row>
        <row r="2386">
          <cell r="I2386" t="str">
            <v>V10545</v>
          </cell>
          <cell r="J2386" t="str">
            <v>CTC</v>
          </cell>
          <cell r="K2386" t="str">
            <v>YES</v>
          </cell>
        </row>
        <row r="2387">
          <cell r="I2387" t="str">
            <v>V10572</v>
          </cell>
          <cell r="J2387" t="str">
            <v>CTC</v>
          </cell>
          <cell r="K2387" t="str">
            <v>YES</v>
          </cell>
        </row>
        <row r="2388">
          <cell r="I2388" t="str">
            <v>V40927</v>
          </cell>
          <cell r="J2388" t="str">
            <v>CTC</v>
          </cell>
          <cell r="K2388" t="str">
            <v>YES</v>
          </cell>
        </row>
        <row r="2389">
          <cell r="I2389" t="str">
            <v>V34615</v>
          </cell>
          <cell r="J2389" t="str">
            <v>CTC</v>
          </cell>
          <cell r="K2389" t="str">
            <v>YES</v>
          </cell>
        </row>
        <row r="2390">
          <cell r="I2390" t="str">
            <v>V38931</v>
          </cell>
          <cell r="J2390" t="str">
            <v>CTC</v>
          </cell>
          <cell r="K2390" t="str">
            <v>YES</v>
          </cell>
        </row>
        <row r="2391">
          <cell r="I2391" t="str">
            <v>V34350</v>
          </cell>
          <cell r="J2391" t="str">
            <v>CTC</v>
          </cell>
          <cell r="K2391" t="str">
            <v>YES</v>
          </cell>
        </row>
        <row r="2392">
          <cell r="I2392" t="str">
            <v>V20599</v>
          </cell>
          <cell r="J2392" t="str">
            <v>CTC</v>
          </cell>
          <cell r="K2392" t="str">
            <v>YES</v>
          </cell>
        </row>
        <row r="2393">
          <cell r="I2393" t="str">
            <v>V38374</v>
          </cell>
          <cell r="J2393" t="str">
            <v>CTC</v>
          </cell>
          <cell r="K2393" t="str">
            <v>YES</v>
          </cell>
        </row>
        <row r="2394">
          <cell r="I2394" t="str">
            <v>V21930</v>
          </cell>
          <cell r="J2394" t="str">
            <v>CTC</v>
          </cell>
          <cell r="K2394" t="str">
            <v>YES</v>
          </cell>
        </row>
        <row r="2395">
          <cell r="I2395" t="str">
            <v>V21960</v>
          </cell>
          <cell r="J2395" t="str">
            <v>CTC</v>
          </cell>
          <cell r="K2395" t="str">
            <v>YES</v>
          </cell>
        </row>
        <row r="2396">
          <cell r="I2396" t="str">
            <v>V40450</v>
          </cell>
          <cell r="J2396" t="str">
            <v>CTC</v>
          </cell>
          <cell r="K2396" t="str">
            <v>YES</v>
          </cell>
        </row>
        <row r="2397">
          <cell r="I2397" t="str">
            <v>V29288</v>
          </cell>
          <cell r="J2397" t="str">
            <v>CTC</v>
          </cell>
          <cell r="K2397" t="str">
            <v>YES</v>
          </cell>
        </row>
        <row r="2398">
          <cell r="I2398" t="str">
            <v>V21309</v>
          </cell>
          <cell r="J2398" t="str">
            <v>CTC</v>
          </cell>
          <cell r="K2398" t="str">
            <v>YES</v>
          </cell>
        </row>
        <row r="2399">
          <cell r="I2399" t="str">
            <v>V06049</v>
          </cell>
          <cell r="J2399" t="str">
            <v>CTC</v>
          </cell>
          <cell r="K2399" t="str">
            <v>YES</v>
          </cell>
        </row>
        <row r="2400">
          <cell r="I2400" t="str">
            <v>V06055</v>
          </cell>
          <cell r="J2400" t="str">
            <v>CTC</v>
          </cell>
          <cell r="K2400" t="str">
            <v>YES</v>
          </cell>
        </row>
        <row r="2401">
          <cell r="I2401" t="str">
            <v>V26500</v>
          </cell>
          <cell r="J2401" t="str">
            <v>CTC</v>
          </cell>
          <cell r="K2401" t="str">
            <v>YES</v>
          </cell>
        </row>
        <row r="2402">
          <cell r="I2402" t="str">
            <v>V43173</v>
          </cell>
          <cell r="J2402" t="str">
            <v>CTC</v>
          </cell>
          <cell r="K2402" t="str">
            <v>YES</v>
          </cell>
        </row>
        <row r="2403">
          <cell r="I2403" t="str">
            <v>V10713</v>
          </cell>
          <cell r="J2403" t="str">
            <v>CTC</v>
          </cell>
          <cell r="K2403" t="str">
            <v>YES</v>
          </cell>
        </row>
        <row r="2404">
          <cell r="I2404" t="str">
            <v>V31301</v>
          </cell>
          <cell r="J2404" t="str">
            <v>CTC</v>
          </cell>
          <cell r="K2404" t="str">
            <v>YES</v>
          </cell>
        </row>
        <row r="2405">
          <cell r="I2405" t="str">
            <v>V32727</v>
          </cell>
          <cell r="J2405" t="str">
            <v>CTC</v>
          </cell>
          <cell r="K2405" t="str">
            <v>YES</v>
          </cell>
        </row>
        <row r="2406">
          <cell r="I2406" t="str">
            <v>V11391</v>
          </cell>
          <cell r="J2406" t="str">
            <v>CTC</v>
          </cell>
          <cell r="K2406" t="str">
            <v>YES</v>
          </cell>
        </row>
        <row r="2407">
          <cell r="I2407" t="str">
            <v>V36623</v>
          </cell>
          <cell r="J2407" t="str">
            <v>CTC</v>
          </cell>
          <cell r="K2407" t="str">
            <v>YES</v>
          </cell>
        </row>
        <row r="2408">
          <cell r="I2408" t="str">
            <v>V37324</v>
          </cell>
          <cell r="J2408" t="str">
            <v>CTC</v>
          </cell>
          <cell r="K2408" t="str">
            <v>YES</v>
          </cell>
        </row>
        <row r="2409">
          <cell r="I2409" t="str">
            <v>V38383</v>
          </cell>
          <cell r="J2409" t="str">
            <v>CTC</v>
          </cell>
          <cell r="K2409" t="str">
            <v>YES</v>
          </cell>
        </row>
        <row r="2410">
          <cell r="I2410" t="str">
            <v>V38391</v>
          </cell>
          <cell r="J2410" t="str">
            <v>CTC</v>
          </cell>
          <cell r="K2410" t="str">
            <v>YES</v>
          </cell>
        </row>
        <row r="2411">
          <cell r="I2411" t="str">
            <v>V38402</v>
          </cell>
          <cell r="J2411" t="str">
            <v>CTC</v>
          </cell>
          <cell r="K2411" t="str">
            <v>YES</v>
          </cell>
        </row>
        <row r="2412">
          <cell r="I2412" t="str">
            <v>V38433</v>
          </cell>
          <cell r="J2412" t="str">
            <v>CTC</v>
          </cell>
          <cell r="K2412" t="str">
            <v>YES</v>
          </cell>
        </row>
        <row r="2413">
          <cell r="I2413" t="str">
            <v>V38567</v>
          </cell>
          <cell r="J2413" t="str">
            <v>CTC</v>
          </cell>
          <cell r="K2413" t="str">
            <v>YES</v>
          </cell>
        </row>
        <row r="2414">
          <cell r="I2414" t="str">
            <v>V38655</v>
          </cell>
          <cell r="J2414" t="str">
            <v>CTC</v>
          </cell>
          <cell r="K2414" t="str">
            <v>YES</v>
          </cell>
        </row>
        <row r="2415">
          <cell r="I2415" t="str">
            <v>V38766</v>
          </cell>
          <cell r="J2415" t="str">
            <v>CTC</v>
          </cell>
          <cell r="K2415" t="str">
            <v>YES</v>
          </cell>
        </row>
        <row r="2416">
          <cell r="I2416" t="str">
            <v>V38789</v>
          </cell>
          <cell r="J2416" t="str">
            <v>CTC</v>
          </cell>
          <cell r="K2416" t="str">
            <v>YES</v>
          </cell>
        </row>
        <row r="2417">
          <cell r="I2417" t="str">
            <v>V38872</v>
          </cell>
          <cell r="J2417" t="str">
            <v>CTC</v>
          </cell>
          <cell r="K2417" t="str">
            <v>YES</v>
          </cell>
        </row>
        <row r="2418">
          <cell r="I2418" t="str">
            <v>V39435</v>
          </cell>
          <cell r="J2418" t="str">
            <v>CTC</v>
          </cell>
          <cell r="K2418" t="str">
            <v>YES</v>
          </cell>
        </row>
        <row r="2419">
          <cell r="I2419" t="str">
            <v>V39522</v>
          </cell>
          <cell r="J2419" t="str">
            <v>CTC</v>
          </cell>
          <cell r="K2419" t="str">
            <v>YES</v>
          </cell>
        </row>
        <row r="2420">
          <cell r="I2420" t="str">
            <v>V39701</v>
          </cell>
          <cell r="J2420" t="str">
            <v>CTC</v>
          </cell>
          <cell r="K2420" t="str">
            <v>YES</v>
          </cell>
        </row>
        <row r="2421">
          <cell r="I2421" t="str">
            <v>V40441</v>
          </cell>
          <cell r="J2421" t="str">
            <v>CTC</v>
          </cell>
          <cell r="K2421" t="str">
            <v>YES</v>
          </cell>
        </row>
        <row r="2422">
          <cell r="I2422" t="str">
            <v>V40791</v>
          </cell>
          <cell r="J2422" t="str">
            <v>CTC</v>
          </cell>
          <cell r="K2422" t="str">
            <v>YES</v>
          </cell>
        </row>
        <row r="2423">
          <cell r="I2423" t="str">
            <v>V40795</v>
          </cell>
          <cell r="J2423" t="str">
            <v>CTC</v>
          </cell>
          <cell r="K2423" t="str">
            <v>YES</v>
          </cell>
        </row>
        <row r="2424">
          <cell r="I2424" t="str">
            <v>V41555</v>
          </cell>
          <cell r="J2424" t="str">
            <v>CTC</v>
          </cell>
          <cell r="K2424" t="str">
            <v>YES</v>
          </cell>
        </row>
        <row r="2425">
          <cell r="I2425" t="str">
            <v>V39446</v>
          </cell>
          <cell r="J2425" t="str">
            <v>CTC</v>
          </cell>
          <cell r="K2425" t="str">
            <v>YES</v>
          </cell>
        </row>
        <row r="2426">
          <cell r="I2426" t="str">
            <v>V39773</v>
          </cell>
          <cell r="J2426" t="str">
            <v>CTC</v>
          </cell>
          <cell r="K2426" t="str">
            <v>YES</v>
          </cell>
        </row>
        <row r="2427">
          <cell r="I2427" t="str">
            <v>V48897</v>
          </cell>
          <cell r="J2427" t="str">
            <v>CTC</v>
          </cell>
          <cell r="K2427" t="str">
            <v>YES</v>
          </cell>
        </row>
        <row r="2428">
          <cell r="I2428" t="str">
            <v>V28379</v>
          </cell>
          <cell r="J2428" t="str">
            <v>CTC</v>
          </cell>
          <cell r="K2428" t="str">
            <v>YES</v>
          </cell>
        </row>
        <row r="2429">
          <cell r="I2429" t="str">
            <v>V36240</v>
          </cell>
          <cell r="J2429" t="str">
            <v>CTC</v>
          </cell>
          <cell r="K2429" t="str">
            <v>YES</v>
          </cell>
        </row>
        <row r="2430">
          <cell r="I2430" t="str">
            <v>V27791</v>
          </cell>
          <cell r="J2430" t="str">
            <v>CTC</v>
          </cell>
          <cell r="K2430" t="str">
            <v>YES</v>
          </cell>
        </row>
        <row r="2431">
          <cell r="I2431" t="str">
            <v>V23912</v>
          </cell>
          <cell r="J2431" t="str">
            <v>CTC</v>
          </cell>
          <cell r="K2431" t="str">
            <v>YES</v>
          </cell>
        </row>
        <row r="2432">
          <cell r="I2432" t="str">
            <v>V27176</v>
          </cell>
          <cell r="J2432" t="str">
            <v>CTC</v>
          </cell>
          <cell r="K2432" t="str">
            <v>YES</v>
          </cell>
        </row>
        <row r="2433">
          <cell r="I2433" t="str">
            <v>V15511</v>
          </cell>
          <cell r="J2433" t="str">
            <v>CTC</v>
          </cell>
          <cell r="K2433" t="str">
            <v>YES</v>
          </cell>
        </row>
        <row r="2434">
          <cell r="I2434" t="str">
            <v>V19553</v>
          </cell>
          <cell r="J2434" t="str">
            <v>CTC</v>
          </cell>
          <cell r="K2434" t="str">
            <v>YES</v>
          </cell>
        </row>
        <row r="2435">
          <cell r="I2435" t="str">
            <v>V42431</v>
          </cell>
          <cell r="J2435" t="str">
            <v>CTC</v>
          </cell>
          <cell r="K2435" t="str">
            <v>YES</v>
          </cell>
        </row>
        <row r="2436">
          <cell r="I2436" t="str">
            <v>V01678</v>
          </cell>
          <cell r="J2436" t="str">
            <v>CTC</v>
          </cell>
          <cell r="K2436" t="str">
            <v>YES</v>
          </cell>
        </row>
        <row r="2437">
          <cell r="I2437" t="str">
            <v>V01883</v>
          </cell>
          <cell r="J2437" t="str">
            <v>CTC</v>
          </cell>
          <cell r="K2437" t="str">
            <v>YES</v>
          </cell>
        </row>
        <row r="2438">
          <cell r="I2438" t="str">
            <v>V01888</v>
          </cell>
          <cell r="J2438" t="str">
            <v>CTC</v>
          </cell>
          <cell r="K2438" t="str">
            <v>YES</v>
          </cell>
        </row>
        <row r="2439">
          <cell r="I2439" t="str">
            <v>V01916</v>
          </cell>
          <cell r="J2439" t="str">
            <v>CTC</v>
          </cell>
          <cell r="K2439" t="str">
            <v>YES</v>
          </cell>
        </row>
        <row r="2440">
          <cell r="I2440" t="str">
            <v>V17474</v>
          </cell>
          <cell r="J2440" t="str">
            <v>CTC</v>
          </cell>
          <cell r="K2440" t="str">
            <v>YES</v>
          </cell>
        </row>
        <row r="2441">
          <cell r="I2441" t="str">
            <v>V42791</v>
          </cell>
          <cell r="J2441" t="str">
            <v>CTC</v>
          </cell>
          <cell r="K2441" t="str">
            <v>YES</v>
          </cell>
        </row>
        <row r="2442">
          <cell r="I2442" t="str">
            <v>V24274</v>
          </cell>
          <cell r="J2442" t="str">
            <v>CTC</v>
          </cell>
          <cell r="K2442" t="str">
            <v>YES</v>
          </cell>
        </row>
        <row r="2443">
          <cell r="I2443" t="str">
            <v>V36761</v>
          </cell>
          <cell r="J2443" t="str">
            <v>CTC</v>
          </cell>
          <cell r="K2443" t="str">
            <v>YES</v>
          </cell>
        </row>
        <row r="2444">
          <cell r="I2444" t="str">
            <v>V46832</v>
          </cell>
          <cell r="J2444" t="str">
            <v>CTC</v>
          </cell>
          <cell r="K2444" t="str">
            <v>YES</v>
          </cell>
        </row>
        <row r="2445">
          <cell r="I2445" t="str">
            <v>V39321</v>
          </cell>
          <cell r="J2445" t="str">
            <v>CTC</v>
          </cell>
          <cell r="K2445" t="str">
            <v>YES</v>
          </cell>
        </row>
        <row r="2446">
          <cell r="I2446" t="str">
            <v>V48118</v>
          </cell>
          <cell r="J2446" t="str">
            <v>CTC</v>
          </cell>
          <cell r="K2446" t="str">
            <v>YES</v>
          </cell>
        </row>
        <row r="2447">
          <cell r="I2447" t="str">
            <v>V43712</v>
          </cell>
          <cell r="J2447" t="str">
            <v>CTC</v>
          </cell>
          <cell r="K2447" t="str">
            <v>YES</v>
          </cell>
        </row>
        <row r="2448">
          <cell r="I2448" t="str">
            <v>V47109</v>
          </cell>
          <cell r="J2448" t="str">
            <v>CTC</v>
          </cell>
          <cell r="K2448" t="str">
            <v>YES</v>
          </cell>
        </row>
        <row r="2449">
          <cell r="I2449" t="str">
            <v>V15559</v>
          </cell>
          <cell r="J2449" t="str">
            <v>CTC</v>
          </cell>
          <cell r="K2449" t="str">
            <v>YES</v>
          </cell>
        </row>
        <row r="2450">
          <cell r="I2450" t="str">
            <v>V18275</v>
          </cell>
          <cell r="J2450" t="str">
            <v>CTC</v>
          </cell>
          <cell r="K2450" t="str">
            <v>YES</v>
          </cell>
        </row>
        <row r="2451">
          <cell r="I2451" t="str">
            <v>V39029</v>
          </cell>
          <cell r="J2451" t="str">
            <v>CTC</v>
          </cell>
          <cell r="K2451" t="str">
            <v>YES</v>
          </cell>
        </row>
        <row r="2452">
          <cell r="I2452" t="str">
            <v>V47094</v>
          </cell>
          <cell r="J2452" t="str">
            <v>CTC</v>
          </cell>
          <cell r="K2452" t="str">
            <v>YES</v>
          </cell>
        </row>
        <row r="2453">
          <cell r="I2453" t="str">
            <v>V20217</v>
          </cell>
          <cell r="J2453" t="str">
            <v>CTC</v>
          </cell>
          <cell r="K2453" t="str">
            <v>YES</v>
          </cell>
        </row>
        <row r="2454">
          <cell r="I2454" t="str">
            <v>V32174</v>
          </cell>
          <cell r="J2454" t="str">
            <v>CTC</v>
          </cell>
          <cell r="K2454" t="str">
            <v>YES</v>
          </cell>
        </row>
        <row r="2455">
          <cell r="I2455" t="str">
            <v>V37046</v>
          </cell>
          <cell r="J2455" t="str">
            <v>CTC</v>
          </cell>
          <cell r="K2455" t="str">
            <v>YES</v>
          </cell>
        </row>
        <row r="2456">
          <cell r="I2456" t="str">
            <v>V43763</v>
          </cell>
          <cell r="J2456" t="str">
            <v>CTC</v>
          </cell>
          <cell r="K2456" t="str">
            <v>YES</v>
          </cell>
        </row>
        <row r="2457">
          <cell r="I2457" t="str">
            <v>V26161</v>
          </cell>
          <cell r="J2457" t="str">
            <v>CTC</v>
          </cell>
          <cell r="K2457" t="str">
            <v>YES</v>
          </cell>
        </row>
        <row r="2458">
          <cell r="I2458" t="str">
            <v>V26666</v>
          </cell>
          <cell r="J2458" t="str">
            <v>CTC</v>
          </cell>
          <cell r="K2458" t="str">
            <v>YES</v>
          </cell>
        </row>
        <row r="2459">
          <cell r="I2459" t="str">
            <v>V28052</v>
          </cell>
          <cell r="J2459" t="str">
            <v>CTC</v>
          </cell>
          <cell r="K2459" t="str">
            <v>YES</v>
          </cell>
        </row>
        <row r="2460">
          <cell r="I2460" t="str">
            <v>V25836</v>
          </cell>
          <cell r="J2460" t="str">
            <v>CTC</v>
          </cell>
          <cell r="K2460" t="str">
            <v>YES</v>
          </cell>
        </row>
        <row r="2461">
          <cell r="I2461" t="str">
            <v>V25901</v>
          </cell>
          <cell r="J2461" t="str">
            <v>CTC</v>
          </cell>
          <cell r="K2461" t="str">
            <v>YES</v>
          </cell>
        </row>
        <row r="2462">
          <cell r="I2462" t="str">
            <v>V26027</v>
          </cell>
          <cell r="J2462" t="str">
            <v>CTC</v>
          </cell>
          <cell r="K2462" t="str">
            <v>YES</v>
          </cell>
        </row>
        <row r="2463">
          <cell r="I2463" t="str">
            <v>V26973</v>
          </cell>
          <cell r="J2463" t="str">
            <v>CTC</v>
          </cell>
          <cell r="K2463" t="str">
            <v>YES</v>
          </cell>
        </row>
        <row r="2464">
          <cell r="I2464" t="str">
            <v>V28637</v>
          </cell>
          <cell r="J2464" t="str">
            <v>CTC</v>
          </cell>
          <cell r="K2464" t="str">
            <v>YES</v>
          </cell>
        </row>
        <row r="2465">
          <cell r="I2465" t="str">
            <v>V27999</v>
          </cell>
          <cell r="J2465" t="str">
            <v>CTC</v>
          </cell>
          <cell r="K2465" t="str">
            <v>YES</v>
          </cell>
        </row>
        <row r="2466">
          <cell r="I2466" t="str">
            <v>V30803</v>
          </cell>
          <cell r="J2466" t="str">
            <v>CTC</v>
          </cell>
          <cell r="K2466" t="str">
            <v>YES</v>
          </cell>
        </row>
        <row r="2467">
          <cell r="I2467" t="str">
            <v>V44695</v>
          </cell>
          <cell r="J2467" t="str">
            <v>CTC</v>
          </cell>
          <cell r="K2467" t="str">
            <v>YES</v>
          </cell>
        </row>
        <row r="2468">
          <cell r="I2468" t="str">
            <v>V36669</v>
          </cell>
          <cell r="J2468" t="str">
            <v>CTC</v>
          </cell>
          <cell r="K2468" t="str">
            <v>YES</v>
          </cell>
        </row>
        <row r="2469">
          <cell r="I2469" t="str">
            <v>V30363</v>
          </cell>
          <cell r="J2469" t="str">
            <v>CTC</v>
          </cell>
          <cell r="K2469" t="str">
            <v>YES</v>
          </cell>
        </row>
        <row r="2470">
          <cell r="I2470" t="str">
            <v>V39542</v>
          </cell>
          <cell r="J2470" t="str">
            <v>CTC</v>
          </cell>
          <cell r="K2470" t="str">
            <v>YES</v>
          </cell>
        </row>
        <row r="2471">
          <cell r="I2471" t="str">
            <v>V43526</v>
          </cell>
          <cell r="J2471" t="str">
            <v>CTC</v>
          </cell>
          <cell r="K2471" t="str">
            <v>YES</v>
          </cell>
        </row>
        <row r="2472">
          <cell r="I2472" t="str">
            <v>V19491</v>
          </cell>
          <cell r="J2472" t="str">
            <v>CTC</v>
          </cell>
          <cell r="K2472" t="str">
            <v>YES</v>
          </cell>
        </row>
        <row r="2473">
          <cell r="I2473" t="str">
            <v>V03472</v>
          </cell>
          <cell r="J2473" t="str">
            <v>CTC</v>
          </cell>
          <cell r="K2473" t="str">
            <v>YES</v>
          </cell>
        </row>
        <row r="2474">
          <cell r="I2474" t="str">
            <v>V43016</v>
          </cell>
          <cell r="J2474" t="str">
            <v>CTC</v>
          </cell>
          <cell r="K2474" t="str">
            <v>YES</v>
          </cell>
        </row>
        <row r="2475">
          <cell r="I2475" t="str">
            <v>V02413</v>
          </cell>
          <cell r="J2475" t="str">
            <v>CTC</v>
          </cell>
          <cell r="K2475" t="str">
            <v>YES</v>
          </cell>
        </row>
        <row r="2476">
          <cell r="I2476" t="str">
            <v>V02414</v>
          </cell>
          <cell r="J2476" t="str">
            <v>CTC</v>
          </cell>
          <cell r="K2476" t="str">
            <v>YES</v>
          </cell>
        </row>
        <row r="2477">
          <cell r="I2477" t="str">
            <v>V39124</v>
          </cell>
          <cell r="J2477" t="str">
            <v>CTC</v>
          </cell>
          <cell r="K2477" t="str">
            <v>YES</v>
          </cell>
        </row>
        <row r="2478">
          <cell r="I2478" t="str">
            <v>V02273</v>
          </cell>
          <cell r="J2478" t="str">
            <v>CTC</v>
          </cell>
          <cell r="K2478" t="str">
            <v>YES</v>
          </cell>
        </row>
        <row r="2479">
          <cell r="I2479" t="str">
            <v>V20956</v>
          </cell>
          <cell r="J2479" t="str">
            <v>CTC</v>
          </cell>
          <cell r="K2479" t="str">
            <v>YES</v>
          </cell>
        </row>
        <row r="2480">
          <cell r="I2480" t="str">
            <v>V20968</v>
          </cell>
          <cell r="J2480" t="str">
            <v>CTC</v>
          </cell>
          <cell r="K2480" t="str">
            <v>YES</v>
          </cell>
        </row>
        <row r="2481">
          <cell r="I2481" t="str">
            <v>V38386</v>
          </cell>
          <cell r="J2481" t="str">
            <v>CTC</v>
          </cell>
          <cell r="K2481" t="str">
            <v>YES</v>
          </cell>
        </row>
        <row r="2482">
          <cell r="I2482" t="str">
            <v>V23417</v>
          </cell>
          <cell r="J2482" t="str">
            <v>CTC</v>
          </cell>
          <cell r="K2482" t="str">
            <v>YES</v>
          </cell>
        </row>
        <row r="2483">
          <cell r="I2483" t="str">
            <v>V39388</v>
          </cell>
          <cell r="J2483" t="str">
            <v>CTC</v>
          </cell>
          <cell r="K2483" t="str">
            <v>YES</v>
          </cell>
        </row>
        <row r="2484">
          <cell r="I2484" t="str">
            <v>V17789</v>
          </cell>
          <cell r="J2484" t="str">
            <v>CTC</v>
          </cell>
          <cell r="K2484" t="str">
            <v>YES</v>
          </cell>
        </row>
        <row r="2485">
          <cell r="I2485" t="str">
            <v>V23705</v>
          </cell>
          <cell r="J2485" t="str">
            <v>CTC</v>
          </cell>
          <cell r="K2485" t="str">
            <v>YES</v>
          </cell>
        </row>
        <row r="2486">
          <cell r="I2486" t="str">
            <v>V24007</v>
          </cell>
          <cell r="J2486" t="str">
            <v>CTC</v>
          </cell>
          <cell r="K2486" t="str">
            <v>YES</v>
          </cell>
        </row>
        <row r="2487">
          <cell r="I2487" t="str">
            <v>V24843</v>
          </cell>
          <cell r="J2487" t="str">
            <v>CTC</v>
          </cell>
          <cell r="K2487" t="str">
            <v>YES</v>
          </cell>
        </row>
        <row r="2488">
          <cell r="I2488" t="str">
            <v>V20516</v>
          </cell>
          <cell r="J2488" t="str">
            <v>CTC</v>
          </cell>
          <cell r="K2488" t="str">
            <v>YES</v>
          </cell>
        </row>
        <row r="2489">
          <cell r="I2489" t="str">
            <v>V37347</v>
          </cell>
          <cell r="J2489" t="str">
            <v>CTC</v>
          </cell>
          <cell r="K2489" t="str">
            <v>YES</v>
          </cell>
        </row>
        <row r="2490">
          <cell r="I2490" t="str">
            <v>V43494</v>
          </cell>
          <cell r="J2490" t="str">
            <v>CTC</v>
          </cell>
          <cell r="K2490" t="str">
            <v>YES</v>
          </cell>
        </row>
        <row r="2491">
          <cell r="I2491" t="str">
            <v>V42477</v>
          </cell>
          <cell r="J2491" t="str">
            <v>CTC</v>
          </cell>
          <cell r="K2491" t="str">
            <v>YES</v>
          </cell>
        </row>
        <row r="2492">
          <cell r="I2492" t="str">
            <v>V19364</v>
          </cell>
          <cell r="J2492" t="str">
            <v>CTC</v>
          </cell>
          <cell r="K2492" t="str">
            <v>YES</v>
          </cell>
        </row>
        <row r="2493">
          <cell r="I2493" t="str">
            <v>V29329</v>
          </cell>
          <cell r="J2493" t="str">
            <v>CTC</v>
          </cell>
          <cell r="K2493" t="str">
            <v>YES</v>
          </cell>
        </row>
        <row r="2494">
          <cell r="I2494" t="str">
            <v>V47853</v>
          </cell>
          <cell r="J2494" t="str">
            <v>CTC</v>
          </cell>
          <cell r="K2494" t="str">
            <v>YES</v>
          </cell>
        </row>
        <row r="2495">
          <cell r="I2495" t="str">
            <v>V18940</v>
          </cell>
          <cell r="J2495" t="str">
            <v>CTC</v>
          </cell>
          <cell r="K2495" t="str">
            <v>YES</v>
          </cell>
        </row>
        <row r="2496">
          <cell r="I2496" t="str">
            <v>V19613</v>
          </cell>
          <cell r="J2496" t="str">
            <v>CTC</v>
          </cell>
          <cell r="K2496" t="str">
            <v>YES</v>
          </cell>
        </row>
        <row r="2497">
          <cell r="I2497" t="str">
            <v>V23020</v>
          </cell>
          <cell r="J2497" t="str">
            <v>CTC</v>
          </cell>
          <cell r="K2497" t="str">
            <v>YES</v>
          </cell>
        </row>
        <row r="2498">
          <cell r="I2498" t="str">
            <v>V14652</v>
          </cell>
          <cell r="J2498" t="str">
            <v>CTC</v>
          </cell>
          <cell r="K2498" t="str">
            <v>YES</v>
          </cell>
        </row>
        <row r="2499">
          <cell r="I2499" t="str">
            <v>V34743</v>
          </cell>
          <cell r="J2499" t="str">
            <v>CTC</v>
          </cell>
          <cell r="K2499" t="str">
            <v>YES</v>
          </cell>
        </row>
        <row r="2500">
          <cell r="I2500" t="str">
            <v>V27131</v>
          </cell>
          <cell r="J2500" t="str">
            <v>CTC</v>
          </cell>
          <cell r="K2500" t="str">
            <v>YES</v>
          </cell>
        </row>
        <row r="2501">
          <cell r="I2501" t="str">
            <v>V43050</v>
          </cell>
          <cell r="J2501" t="str">
            <v>CTC</v>
          </cell>
          <cell r="K2501" t="str">
            <v>YES</v>
          </cell>
        </row>
        <row r="2502">
          <cell r="I2502" t="str">
            <v>V42648</v>
          </cell>
          <cell r="J2502" t="str">
            <v>CTC</v>
          </cell>
          <cell r="K2502" t="str">
            <v>YES</v>
          </cell>
        </row>
        <row r="2503">
          <cell r="I2503" t="str">
            <v>V05028</v>
          </cell>
          <cell r="J2503" t="str">
            <v>CTC</v>
          </cell>
          <cell r="K2503" t="str">
            <v>YES</v>
          </cell>
        </row>
        <row r="2504">
          <cell r="I2504" t="str">
            <v>V05517</v>
          </cell>
          <cell r="J2504" t="str">
            <v>CTC</v>
          </cell>
          <cell r="K2504" t="str">
            <v>YES</v>
          </cell>
        </row>
        <row r="2505">
          <cell r="I2505" t="str">
            <v>V48666</v>
          </cell>
          <cell r="J2505" t="str">
            <v>CTC</v>
          </cell>
          <cell r="K2505" t="str">
            <v>YES</v>
          </cell>
        </row>
        <row r="2506">
          <cell r="I2506" t="str">
            <v>V02824</v>
          </cell>
          <cell r="J2506" t="str">
            <v>CTC</v>
          </cell>
          <cell r="K2506" t="str">
            <v>YES</v>
          </cell>
        </row>
        <row r="2507">
          <cell r="I2507" t="str">
            <v>V43873</v>
          </cell>
          <cell r="J2507" t="str">
            <v>CTC</v>
          </cell>
          <cell r="K2507" t="str">
            <v>YES</v>
          </cell>
        </row>
        <row r="2508">
          <cell r="I2508" t="str">
            <v>V27242</v>
          </cell>
          <cell r="J2508" t="str">
            <v>CTC</v>
          </cell>
          <cell r="K2508" t="str">
            <v>YES</v>
          </cell>
        </row>
        <row r="2509">
          <cell r="I2509" t="str">
            <v>V41077</v>
          </cell>
          <cell r="J2509" t="str">
            <v>CTC</v>
          </cell>
          <cell r="K2509" t="str">
            <v>YES</v>
          </cell>
        </row>
        <row r="2510">
          <cell r="I2510" t="str">
            <v>V30802</v>
          </cell>
          <cell r="J2510" t="str">
            <v>CTC</v>
          </cell>
          <cell r="K2510" t="str">
            <v>YES</v>
          </cell>
        </row>
        <row r="2511">
          <cell r="I2511" t="str">
            <v>V30723</v>
          </cell>
          <cell r="J2511" t="str">
            <v>CTC</v>
          </cell>
          <cell r="K2511" t="str">
            <v>YES</v>
          </cell>
        </row>
        <row r="2512">
          <cell r="I2512" t="str">
            <v>V30942</v>
          </cell>
          <cell r="J2512" t="str">
            <v>CTC</v>
          </cell>
          <cell r="K2512" t="str">
            <v>YES</v>
          </cell>
        </row>
        <row r="2513">
          <cell r="I2513" t="str">
            <v>V29742</v>
          </cell>
          <cell r="J2513" t="str">
            <v>CTC</v>
          </cell>
          <cell r="K2513" t="str">
            <v>YES</v>
          </cell>
        </row>
        <row r="2514">
          <cell r="I2514" t="str">
            <v>V29268</v>
          </cell>
          <cell r="J2514" t="str">
            <v>CTC</v>
          </cell>
          <cell r="K2514" t="str">
            <v>YES</v>
          </cell>
        </row>
        <row r="2515">
          <cell r="I2515" t="str">
            <v>V30222</v>
          </cell>
          <cell r="J2515" t="str">
            <v>CTC</v>
          </cell>
          <cell r="K2515" t="str">
            <v>YES</v>
          </cell>
        </row>
        <row r="2516">
          <cell r="I2516" t="str">
            <v>V30275</v>
          </cell>
          <cell r="J2516" t="str">
            <v>CTC</v>
          </cell>
          <cell r="K2516" t="str">
            <v>YES</v>
          </cell>
        </row>
        <row r="2517">
          <cell r="I2517" t="str">
            <v>V30300</v>
          </cell>
          <cell r="J2517" t="str">
            <v>CTC</v>
          </cell>
          <cell r="K2517" t="str">
            <v>YES</v>
          </cell>
        </row>
        <row r="2518">
          <cell r="I2518" t="str">
            <v>V30399</v>
          </cell>
          <cell r="J2518" t="str">
            <v>CTC</v>
          </cell>
          <cell r="K2518" t="str">
            <v>YES</v>
          </cell>
        </row>
        <row r="2519">
          <cell r="I2519" t="str">
            <v>V31593</v>
          </cell>
          <cell r="J2519" t="str">
            <v>CTC</v>
          </cell>
          <cell r="K2519" t="str">
            <v>YES</v>
          </cell>
        </row>
        <row r="2520">
          <cell r="I2520" t="str">
            <v>V32064</v>
          </cell>
          <cell r="J2520" t="str">
            <v>CTC</v>
          </cell>
          <cell r="K2520" t="str">
            <v>YES</v>
          </cell>
        </row>
        <row r="2521">
          <cell r="I2521" t="str">
            <v>V34281</v>
          </cell>
          <cell r="J2521" t="str">
            <v>CTC</v>
          </cell>
          <cell r="K2521" t="str">
            <v>YES</v>
          </cell>
        </row>
        <row r="2522">
          <cell r="I2522" t="str">
            <v>V34448</v>
          </cell>
          <cell r="J2522" t="str">
            <v>CTC</v>
          </cell>
          <cell r="K2522" t="str">
            <v>YES</v>
          </cell>
        </row>
        <row r="2523">
          <cell r="I2523" t="str">
            <v>V34766</v>
          </cell>
          <cell r="J2523" t="str">
            <v>CTC</v>
          </cell>
          <cell r="K2523" t="str">
            <v>YES</v>
          </cell>
        </row>
        <row r="2524">
          <cell r="I2524" t="str">
            <v>V34792</v>
          </cell>
          <cell r="J2524" t="str">
            <v>CTC</v>
          </cell>
          <cell r="K2524" t="str">
            <v>YES</v>
          </cell>
        </row>
        <row r="2525">
          <cell r="I2525" t="str">
            <v>V34813</v>
          </cell>
          <cell r="J2525" t="str">
            <v>CTC</v>
          </cell>
          <cell r="K2525" t="str">
            <v>YES</v>
          </cell>
        </row>
        <row r="2526">
          <cell r="I2526" t="str">
            <v>V34876</v>
          </cell>
          <cell r="J2526" t="str">
            <v>CTC</v>
          </cell>
          <cell r="K2526" t="str">
            <v>YES</v>
          </cell>
        </row>
        <row r="2527">
          <cell r="I2527" t="str">
            <v>V35839</v>
          </cell>
          <cell r="J2527" t="str">
            <v>CTC</v>
          </cell>
          <cell r="K2527" t="str">
            <v>YES</v>
          </cell>
        </row>
        <row r="2528">
          <cell r="I2528" t="str">
            <v>V36098</v>
          </cell>
          <cell r="J2528" t="str">
            <v>CTC</v>
          </cell>
          <cell r="K2528" t="str">
            <v>YES</v>
          </cell>
        </row>
        <row r="2529">
          <cell r="I2529" t="str">
            <v>V24577</v>
          </cell>
          <cell r="J2529" t="str">
            <v>CTC</v>
          </cell>
          <cell r="K2529" t="str">
            <v>YES</v>
          </cell>
        </row>
        <row r="2530">
          <cell r="I2530" t="str">
            <v>V08529</v>
          </cell>
          <cell r="J2530" t="str">
            <v>CTC</v>
          </cell>
          <cell r="K2530" t="str">
            <v>YES</v>
          </cell>
        </row>
        <row r="2531">
          <cell r="I2531" t="str">
            <v>V23505</v>
          </cell>
          <cell r="J2531" t="str">
            <v>CTC</v>
          </cell>
          <cell r="K2531" t="str">
            <v>YES</v>
          </cell>
        </row>
        <row r="2532">
          <cell r="I2532" t="str">
            <v>V18826</v>
          </cell>
          <cell r="J2532" t="str">
            <v>CTC</v>
          </cell>
          <cell r="K2532" t="str">
            <v>YES</v>
          </cell>
        </row>
        <row r="2533">
          <cell r="I2533" t="str">
            <v>V19065</v>
          </cell>
          <cell r="J2533" t="str">
            <v>CTC</v>
          </cell>
          <cell r="K2533" t="str">
            <v>YES</v>
          </cell>
        </row>
        <row r="2534">
          <cell r="I2534" t="str">
            <v>V34330</v>
          </cell>
          <cell r="J2534" t="str">
            <v>CTC</v>
          </cell>
          <cell r="K2534" t="str">
            <v>YES</v>
          </cell>
        </row>
        <row r="2535">
          <cell r="I2535" t="str">
            <v>V33511</v>
          </cell>
          <cell r="J2535" t="str">
            <v>CTC</v>
          </cell>
          <cell r="K2535" t="str">
            <v>YES</v>
          </cell>
        </row>
        <row r="2536">
          <cell r="I2536" t="str">
            <v>V19476</v>
          </cell>
          <cell r="J2536" t="str">
            <v>CTC</v>
          </cell>
          <cell r="K2536" t="str">
            <v>YES</v>
          </cell>
        </row>
        <row r="2537">
          <cell r="I2537" t="str">
            <v>V20301</v>
          </cell>
          <cell r="J2537" t="str">
            <v>CTC</v>
          </cell>
          <cell r="K2537" t="str">
            <v>YES</v>
          </cell>
        </row>
        <row r="2538">
          <cell r="I2538" t="str">
            <v>V08531</v>
          </cell>
          <cell r="J2538" t="str">
            <v>CTC</v>
          </cell>
          <cell r="K2538" t="str">
            <v>YES</v>
          </cell>
        </row>
        <row r="2539">
          <cell r="I2539" t="str">
            <v>V08549</v>
          </cell>
          <cell r="J2539" t="str">
            <v>CTC</v>
          </cell>
          <cell r="K2539" t="str">
            <v>YES</v>
          </cell>
        </row>
        <row r="2540">
          <cell r="I2540" t="str">
            <v>V08582</v>
          </cell>
          <cell r="J2540" t="str">
            <v>CTC</v>
          </cell>
          <cell r="K2540" t="str">
            <v>YES</v>
          </cell>
        </row>
        <row r="2541">
          <cell r="I2541" t="str">
            <v>V08585</v>
          </cell>
          <cell r="J2541" t="str">
            <v>CTC</v>
          </cell>
          <cell r="K2541" t="str">
            <v>YES</v>
          </cell>
        </row>
        <row r="2542">
          <cell r="I2542" t="str">
            <v>V09272</v>
          </cell>
          <cell r="J2542" t="str">
            <v>CTC</v>
          </cell>
          <cell r="K2542" t="str">
            <v>YES</v>
          </cell>
        </row>
        <row r="2543">
          <cell r="I2543" t="str">
            <v>V09707</v>
          </cell>
          <cell r="J2543" t="str">
            <v>CTC</v>
          </cell>
          <cell r="K2543" t="str">
            <v>YES</v>
          </cell>
        </row>
        <row r="2544">
          <cell r="I2544" t="str">
            <v>V11701</v>
          </cell>
          <cell r="J2544" t="str">
            <v>CTC</v>
          </cell>
          <cell r="K2544" t="str">
            <v>YES</v>
          </cell>
        </row>
        <row r="2545">
          <cell r="I2545" t="str">
            <v>V13569</v>
          </cell>
          <cell r="J2545" t="str">
            <v>CTC</v>
          </cell>
          <cell r="K2545" t="str">
            <v>YES</v>
          </cell>
        </row>
        <row r="2546">
          <cell r="I2546" t="str">
            <v>V13586</v>
          </cell>
          <cell r="J2546" t="str">
            <v>CTC</v>
          </cell>
          <cell r="K2546" t="str">
            <v>YES</v>
          </cell>
        </row>
        <row r="2547">
          <cell r="I2547" t="str">
            <v>V14730</v>
          </cell>
          <cell r="J2547" t="str">
            <v>CTC</v>
          </cell>
          <cell r="K2547" t="str">
            <v>YES</v>
          </cell>
        </row>
        <row r="2548">
          <cell r="I2548" t="str">
            <v>V14829</v>
          </cell>
          <cell r="J2548" t="str">
            <v>CTC</v>
          </cell>
          <cell r="K2548" t="str">
            <v>YES</v>
          </cell>
        </row>
        <row r="2549">
          <cell r="I2549" t="str">
            <v>V15859</v>
          </cell>
          <cell r="J2549" t="str">
            <v>CTC</v>
          </cell>
          <cell r="K2549" t="str">
            <v>YES</v>
          </cell>
        </row>
        <row r="2550">
          <cell r="I2550" t="str">
            <v>V16965</v>
          </cell>
          <cell r="J2550" t="str">
            <v>CTC</v>
          </cell>
          <cell r="K2550" t="str">
            <v>YES</v>
          </cell>
        </row>
        <row r="2551">
          <cell r="I2551" t="str">
            <v>V18490</v>
          </cell>
          <cell r="J2551" t="str">
            <v>CTC</v>
          </cell>
          <cell r="K2551" t="str">
            <v>YES</v>
          </cell>
        </row>
        <row r="2552">
          <cell r="I2552" t="str">
            <v>V19532</v>
          </cell>
          <cell r="J2552" t="str">
            <v>CTC</v>
          </cell>
          <cell r="K2552" t="str">
            <v>YES</v>
          </cell>
        </row>
        <row r="2553">
          <cell r="I2553" t="str">
            <v>V20127</v>
          </cell>
          <cell r="J2553" t="str">
            <v>CTC</v>
          </cell>
          <cell r="K2553" t="str">
            <v>YES</v>
          </cell>
        </row>
        <row r="2554">
          <cell r="I2554" t="str">
            <v>V20137</v>
          </cell>
          <cell r="J2554" t="str">
            <v>CTC</v>
          </cell>
          <cell r="K2554" t="str">
            <v>YES</v>
          </cell>
        </row>
        <row r="2555">
          <cell r="I2555" t="str">
            <v>V20576</v>
          </cell>
          <cell r="J2555" t="str">
            <v>CTC</v>
          </cell>
          <cell r="K2555" t="str">
            <v>YES</v>
          </cell>
        </row>
        <row r="2556">
          <cell r="I2556" t="str">
            <v>V21486</v>
          </cell>
          <cell r="J2556" t="str">
            <v>CTC</v>
          </cell>
          <cell r="K2556" t="str">
            <v>YES</v>
          </cell>
        </row>
        <row r="2557">
          <cell r="I2557" t="str">
            <v>V21940</v>
          </cell>
          <cell r="J2557" t="str">
            <v>CTC</v>
          </cell>
          <cell r="K2557" t="str">
            <v>YES</v>
          </cell>
        </row>
        <row r="2558">
          <cell r="I2558" t="str">
            <v>V22713</v>
          </cell>
          <cell r="J2558" t="str">
            <v>CTC</v>
          </cell>
          <cell r="K2558" t="str">
            <v>YES</v>
          </cell>
        </row>
        <row r="2559">
          <cell r="I2559" t="str">
            <v>V22716</v>
          </cell>
          <cell r="J2559" t="str">
            <v>CTC</v>
          </cell>
          <cell r="K2559" t="str">
            <v>YES</v>
          </cell>
        </row>
        <row r="2560">
          <cell r="I2560" t="str">
            <v>V23059</v>
          </cell>
          <cell r="J2560" t="str">
            <v>CTC</v>
          </cell>
          <cell r="K2560" t="str">
            <v>YES</v>
          </cell>
        </row>
        <row r="2561">
          <cell r="I2561" t="str">
            <v>V23066</v>
          </cell>
          <cell r="J2561" t="str">
            <v>CTC</v>
          </cell>
          <cell r="K2561" t="str">
            <v>YES</v>
          </cell>
        </row>
        <row r="2562">
          <cell r="I2562" t="str">
            <v>V23200</v>
          </cell>
          <cell r="J2562" t="str">
            <v>CTC</v>
          </cell>
          <cell r="K2562" t="str">
            <v>YES</v>
          </cell>
        </row>
        <row r="2563">
          <cell r="I2563" t="str">
            <v>V23625</v>
          </cell>
          <cell r="J2563" t="str">
            <v>CTC</v>
          </cell>
          <cell r="K2563" t="str">
            <v>YES</v>
          </cell>
        </row>
        <row r="2564">
          <cell r="I2564" t="str">
            <v>V23849</v>
          </cell>
          <cell r="J2564" t="str">
            <v>CTC</v>
          </cell>
          <cell r="K2564" t="str">
            <v>YES</v>
          </cell>
        </row>
        <row r="2565">
          <cell r="I2565" t="str">
            <v>V23856</v>
          </cell>
          <cell r="J2565" t="str">
            <v>CTC</v>
          </cell>
          <cell r="K2565" t="str">
            <v>YES</v>
          </cell>
        </row>
        <row r="2566">
          <cell r="I2566" t="str">
            <v>V24208</v>
          </cell>
          <cell r="J2566" t="str">
            <v>CTC</v>
          </cell>
          <cell r="K2566" t="str">
            <v>YES</v>
          </cell>
        </row>
        <row r="2567">
          <cell r="I2567" t="str">
            <v>V24209</v>
          </cell>
          <cell r="J2567" t="str">
            <v>CTC</v>
          </cell>
          <cell r="K2567" t="str">
            <v>YES</v>
          </cell>
        </row>
        <row r="2568">
          <cell r="I2568" t="str">
            <v>V24210</v>
          </cell>
          <cell r="J2568" t="str">
            <v>CTC</v>
          </cell>
          <cell r="K2568" t="str">
            <v>YES</v>
          </cell>
        </row>
        <row r="2569">
          <cell r="I2569" t="str">
            <v>V24432</v>
          </cell>
          <cell r="J2569" t="str">
            <v>CTC</v>
          </cell>
          <cell r="K2569" t="str">
            <v>YES</v>
          </cell>
        </row>
        <row r="2570">
          <cell r="I2570" t="str">
            <v>V24433</v>
          </cell>
          <cell r="J2570" t="str">
            <v>CTC</v>
          </cell>
          <cell r="K2570" t="str">
            <v>YES</v>
          </cell>
        </row>
        <row r="2571">
          <cell r="I2571" t="str">
            <v>V24435</v>
          </cell>
          <cell r="J2571" t="str">
            <v>CTC</v>
          </cell>
          <cell r="K2571" t="str">
            <v>YES</v>
          </cell>
        </row>
        <row r="2572">
          <cell r="I2572" t="str">
            <v>V24726</v>
          </cell>
          <cell r="J2572" t="str">
            <v>CTC</v>
          </cell>
          <cell r="K2572" t="str">
            <v>YES</v>
          </cell>
        </row>
        <row r="2573">
          <cell r="I2573" t="str">
            <v>V24736</v>
          </cell>
          <cell r="J2573" t="str">
            <v>CTC</v>
          </cell>
          <cell r="K2573" t="str">
            <v>YES</v>
          </cell>
        </row>
        <row r="2574">
          <cell r="I2574" t="str">
            <v>V25110</v>
          </cell>
          <cell r="J2574" t="str">
            <v>CTC</v>
          </cell>
          <cell r="K2574" t="str">
            <v>YES</v>
          </cell>
        </row>
        <row r="2575">
          <cell r="I2575" t="str">
            <v>V25192</v>
          </cell>
          <cell r="J2575" t="str">
            <v>CTC</v>
          </cell>
          <cell r="K2575" t="str">
            <v>YES</v>
          </cell>
        </row>
        <row r="2576">
          <cell r="I2576" t="str">
            <v>V25215</v>
          </cell>
          <cell r="J2576" t="str">
            <v>CTC</v>
          </cell>
          <cell r="K2576" t="str">
            <v>YES</v>
          </cell>
        </row>
        <row r="2577">
          <cell r="I2577" t="str">
            <v>V25332</v>
          </cell>
          <cell r="J2577" t="str">
            <v>CTC</v>
          </cell>
          <cell r="K2577" t="str">
            <v>YES</v>
          </cell>
        </row>
        <row r="2578">
          <cell r="I2578" t="str">
            <v>V25410</v>
          </cell>
          <cell r="J2578" t="str">
            <v>CTC</v>
          </cell>
          <cell r="K2578" t="str">
            <v>YES</v>
          </cell>
        </row>
        <row r="2579">
          <cell r="I2579" t="str">
            <v>V25411</v>
          </cell>
          <cell r="J2579" t="str">
            <v>CTC</v>
          </cell>
          <cell r="K2579" t="str">
            <v>YES</v>
          </cell>
        </row>
        <row r="2580">
          <cell r="I2580" t="str">
            <v>V25461</v>
          </cell>
          <cell r="J2580" t="str">
            <v>CTC</v>
          </cell>
          <cell r="K2580" t="str">
            <v>YES</v>
          </cell>
        </row>
        <row r="2581">
          <cell r="I2581" t="str">
            <v>V31275</v>
          </cell>
          <cell r="J2581" t="str">
            <v>CTC</v>
          </cell>
          <cell r="K2581" t="str">
            <v>YES</v>
          </cell>
        </row>
        <row r="2582">
          <cell r="I2582" t="str">
            <v>V18864</v>
          </cell>
          <cell r="J2582" t="str">
            <v>CTC</v>
          </cell>
          <cell r="K2582" t="str">
            <v>YES</v>
          </cell>
        </row>
        <row r="2583">
          <cell r="I2583" t="str">
            <v>V23844</v>
          </cell>
          <cell r="J2583" t="str">
            <v>CTC</v>
          </cell>
          <cell r="K2583" t="str">
            <v>YES</v>
          </cell>
        </row>
        <row r="2584">
          <cell r="I2584" t="str">
            <v>V43867</v>
          </cell>
          <cell r="J2584" t="str">
            <v>CTC</v>
          </cell>
          <cell r="K2584" t="str">
            <v>YES</v>
          </cell>
        </row>
        <row r="2585">
          <cell r="I2585" t="str">
            <v>V16378</v>
          </cell>
          <cell r="J2585" t="str">
            <v>CTC</v>
          </cell>
          <cell r="K2585" t="str">
            <v>YES</v>
          </cell>
        </row>
        <row r="2586">
          <cell r="I2586" t="str">
            <v>V16642</v>
          </cell>
          <cell r="J2586" t="str">
            <v>CTC</v>
          </cell>
          <cell r="K2586" t="str">
            <v>YES</v>
          </cell>
        </row>
        <row r="2587">
          <cell r="I2587" t="str">
            <v>V11810</v>
          </cell>
          <cell r="J2587" t="str">
            <v>CTC</v>
          </cell>
          <cell r="K2587" t="str">
            <v>YES</v>
          </cell>
        </row>
        <row r="2588">
          <cell r="I2588" t="str">
            <v>V12371</v>
          </cell>
          <cell r="J2588" t="str">
            <v>CTC</v>
          </cell>
          <cell r="K2588" t="str">
            <v>YES</v>
          </cell>
        </row>
        <row r="2589">
          <cell r="I2589" t="str">
            <v>V14352</v>
          </cell>
          <cell r="J2589" t="str">
            <v>CTC</v>
          </cell>
          <cell r="K2589" t="str">
            <v>YES</v>
          </cell>
        </row>
        <row r="2590">
          <cell r="I2590" t="str">
            <v>V31807</v>
          </cell>
          <cell r="J2590" t="str">
            <v>CTC</v>
          </cell>
          <cell r="K2590" t="str">
            <v>YES</v>
          </cell>
        </row>
        <row r="2591">
          <cell r="I2591" t="str">
            <v>V48932</v>
          </cell>
          <cell r="J2591" t="str">
            <v>CTC</v>
          </cell>
          <cell r="K2591" t="str">
            <v>YES</v>
          </cell>
        </row>
        <row r="2592">
          <cell r="I2592" t="str">
            <v>V43762</v>
          </cell>
          <cell r="J2592" t="str">
            <v>CTC</v>
          </cell>
          <cell r="K2592" t="str">
            <v>YES</v>
          </cell>
        </row>
        <row r="2593">
          <cell r="I2593" t="str">
            <v>V43878</v>
          </cell>
          <cell r="J2593" t="str">
            <v>CTC</v>
          </cell>
          <cell r="K2593" t="str">
            <v>YES</v>
          </cell>
        </row>
        <row r="2594">
          <cell r="I2594" t="str">
            <v>V45160</v>
          </cell>
          <cell r="J2594" t="str">
            <v>CTC</v>
          </cell>
          <cell r="K2594" t="str">
            <v>YES</v>
          </cell>
        </row>
        <row r="2595">
          <cell r="I2595" t="str">
            <v>V33652</v>
          </cell>
          <cell r="J2595" t="str">
            <v>CTC</v>
          </cell>
          <cell r="K2595" t="str">
            <v>YES</v>
          </cell>
        </row>
        <row r="2596">
          <cell r="I2596" t="str">
            <v>V42632</v>
          </cell>
          <cell r="J2596" t="str">
            <v>CTC</v>
          </cell>
          <cell r="K2596" t="str">
            <v>YES</v>
          </cell>
        </row>
        <row r="2597">
          <cell r="I2597" t="str">
            <v>V39339</v>
          </cell>
          <cell r="J2597" t="str">
            <v>CTC</v>
          </cell>
          <cell r="K2597" t="str">
            <v>YES</v>
          </cell>
        </row>
        <row r="2598">
          <cell r="I2598" t="str">
            <v>V44857</v>
          </cell>
          <cell r="J2598" t="str">
            <v>CTC</v>
          </cell>
          <cell r="K2598" t="str">
            <v>YES</v>
          </cell>
        </row>
        <row r="2599">
          <cell r="I2599" t="str">
            <v>V34790</v>
          </cell>
          <cell r="J2599" t="str">
            <v>CTC</v>
          </cell>
          <cell r="K2599" t="str">
            <v>YES</v>
          </cell>
        </row>
        <row r="2600">
          <cell r="I2600" t="str">
            <v>V42942</v>
          </cell>
          <cell r="J2600" t="str">
            <v>CTC</v>
          </cell>
          <cell r="K2600" t="str">
            <v>YES</v>
          </cell>
        </row>
        <row r="2601">
          <cell r="I2601" t="str">
            <v>V45376</v>
          </cell>
          <cell r="J2601" t="str">
            <v>CTC</v>
          </cell>
          <cell r="K2601" t="str">
            <v>YES</v>
          </cell>
        </row>
        <row r="2602">
          <cell r="I2602" t="str">
            <v>V19902</v>
          </cell>
          <cell r="J2602" t="str">
            <v>CTC</v>
          </cell>
          <cell r="K2602" t="str">
            <v>YES</v>
          </cell>
        </row>
        <row r="2603">
          <cell r="I2603" t="str">
            <v>V22622</v>
          </cell>
          <cell r="J2603" t="str">
            <v>CTC</v>
          </cell>
          <cell r="K2603" t="str">
            <v>YES</v>
          </cell>
        </row>
        <row r="2604">
          <cell r="I2604" t="str">
            <v>V48130</v>
          </cell>
          <cell r="J2604" t="str">
            <v>CTC</v>
          </cell>
          <cell r="K2604" t="str">
            <v>YES</v>
          </cell>
        </row>
        <row r="2605">
          <cell r="I2605" t="str">
            <v>V37643</v>
          </cell>
          <cell r="J2605" t="str">
            <v>CTC</v>
          </cell>
          <cell r="K2605" t="str">
            <v>YES</v>
          </cell>
        </row>
        <row r="2606">
          <cell r="I2606" t="str">
            <v>V29031</v>
          </cell>
          <cell r="J2606" t="str">
            <v>CTC</v>
          </cell>
          <cell r="K2606" t="str">
            <v>YES</v>
          </cell>
        </row>
        <row r="2607">
          <cell r="I2607" t="str">
            <v>V36375</v>
          </cell>
          <cell r="J2607" t="str">
            <v>CTC</v>
          </cell>
          <cell r="K2607" t="str">
            <v>YES</v>
          </cell>
        </row>
        <row r="2608">
          <cell r="I2608" t="str">
            <v>V37070</v>
          </cell>
          <cell r="J2608" t="str">
            <v>CTC</v>
          </cell>
          <cell r="K2608" t="str">
            <v>YES</v>
          </cell>
        </row>
        <row r="2609">
          <cell r="I2609" t="str">
            <v>V37179</v>
          </cell>
          <cell r="J2609" t="str">
            <v>CTC</v>
          </cell>
          <cell r="K2609" t="str">
            <v>YES</v>
          </cell>
        </row>
        <row r="2610">
          <cell r="I2610" t="str">
            <v>V37195</v>
          </cell>
          <cell r="J2610" t="str">
            <v>CTC</v>
          </cell>
          <cell r="K2610" t="str">
            <v>YES</v>
          </cell>
        </row>
        <row r="2611">
          <cell r="I2611" t="str">
            <v>V37682</v>
          </cell>
          <cell r="J2611" t="str">
            <v>CTC</v>
          </cell>
          <cell r="K2611" t="str">
            <v>YES</v>
          </cell>
        </row>
        <row r="2612">
          <cell r="I2612" t="str">
            <v>V37831</v>
          </cell>
          <cell r="J2612" t="str">
            <v>CTC</v>
          </cell>
          <cell r="K2612" t="str">
            <v>YES</v>
          </cell>
        </row>
        <row r="2613">
          <cell r="I2613" t="str">
            <v>V38642</v>
          </cell>
          <cell r="J2613" t="str">
            <v>CTC</v>
          </cell>
          <cell r="K2613" t="str">
            <v>YES</v>
          </cell>
        </row>
        <row r="2614">
          <cell r="I2614" t="str">
            <v>V38957</v>
          </cell>
          <cell r="J2614" t="str">
            <v>CTC</v>
          </cell>
          <cell r="K2614" t="str">
            <v>YES</v>
          </cell>
        </row>
        <row r="2615">
          <cell r="I2615" t="str">
            <v>V39014</v>
          </cell>
          <cell r="J2615" t="str">
            <v>CTC</v>
          </cell>
          <cell r="K2615" t="str">
            <v>YES</v>
          </cell>
        </row>
        <row r="2616">
          <cell r="I2616" t="str">
            <v>V39122</v>
          </cell>
          <cell r="J2616" t="str">
            <v>CTC</v>
          </cell>
          <cell r="K2616" t="str">
            <v>YES</v>
          </cell>
        </row>
        <row r="2617">
          <cell r="I2617" t="str">
            <v>V39386</v>
          </cell>
          <cell r="J2617" t="str">
            <v>CTC</v>
          </cell>
          <cell r="K2617" t="str">
            <v>YES</v>
          </cell>
        </row>
        <row r="2618">
          <cell r="I2618" t="str">
            <v>V39578</v>
          </cell>
          <cell r="J2618" t="str">
            <v>CTC</v>
          </cell>
          <cell r="K2618" t="str">
            <v>YES</v>
          </cell>
        </row>
        <row r="2619">
          <cell r="I2619" t="str">
            <v>V39684</v>
          </cell>
          <cell r="J2619" t="str">
            <v>CTC</v>
          </cell>
          <cell r="K2619" t="str">
            <v>YES</v>
          </cell>
        </row>
        <row r="2620">
          <cell r="I2620" t="str">
            <v>V39727</v>
          </cell>
          <cell r="J2620" t="str">
            <v>CTC</v>
          </cell>
          <cell r="K2620" t="str">
            <v>YES</v>
          </cell>
        </row>
        <row r="2621">
          <cell r="I2621" t="str">
            <v>V40444</v>
          </cell>
          <cell r="J2621" t="str">
            <v>CTC</v>
          </cell>
          <cell r="K2621" t="str">
            <v>YES</v>
          </cell>
        </row>
        <row r="2622">
          <cell r="I2622" t="str">
            <v>V41370</v>
          </cell>
          <cell r="J2622" t="str">
            <v>CTC</v>
          </cell>
          <cell r="K2622" t="str">
            <v>YES</v>
          </cell>
        </row>
        <row r="2623">
          <cell r="I2623" t="str">
            <v>V42035</v>
          </cell>
          <cell r="J2623" t="str">
            <v>CTC</v>
          </cell>
          <cell r="K2623" t="str">
            <v>YES</v>
          </cell>
        </row>
        <row r="2624">
          <cell r="I2624" t="str">
            <v>V42041</v>
          </cell>
          <cell r="J2624" t="str">
            <v>CTC</v>
          </cell>
          <cell r="K2624" t="str">
            <v>YES</v>
          </cell>
        </row>
        <row r="2625">
          <cell r="I2625" t="str">
            <v>V42406</v>
          </cell>
          <cell r="J2625" t="str">
            <v>CTC</v>
          </cell>
          <cell r="K2625" t="str">
            <v>YES</v>
          </cell>
        </row>
        <row r="2626">
          <cell r="I2626" t="str">
            <v>V42488</v>
          </cell>
          <cell r="J2626" t="str">
            <v>CTC</v>
          </cell>
          <cell r="K2626" t="str">
            <v>YES</v>
          </cell>
        </row>
        <row r="2627">
          <cell r="I2627" t="str">
            <v>V43090</v>
          </cell>
          <cell r="J2627" t="str">
            <v>CTC</v>
          </cell>
          <cell r="K2627" t="str">
            <v>YES</v>
          </cell>
        </row>
        <row r="2628">
          <cell r="I2628" t="str">
            <v>V42859</v>
          </cell>
          <cell r="J2628" t="str">
            <v>CTC</v>
          </cell>
          <cell r="K2628" t="str">
            <v>YES</v>
          </cell>
        </row>
        <row r="2629">
          <cell r="I2629" t="str">
            <v>V28117</v>
          </cell>
          <cell r="J2629" t="str">
            <v>CTC</v>
          </cell>
          <cell r="K2629" t="str">
            <v>YES</v>
          </cell>
        </row>
        <row r="2630">
          <cell r="I2630" t="str">
            <v>V41012</v>
          </cell>
          <cell r="J2630" t="str">
            <v>CTC</v>
          </cell>
          <cell r="K2630" t="str">
            <v>YES</v>
          </cell>
        </row>
        <row r="2631">
          <cell r="I2631" t="str">
            <v>V15238</v>
          </cell>
          <cell r="J2631" t="str">
            <v>CTC</v>
          </cell>
          <cell r="K2631" t="str">
            <v>YES</v>
          </cell>
        </row>
        <row r="2632">
          <cell r="I2632" t="str">
            <v>V17621</v>
          </cell>
          <cell r="J2632" t="str">
            <v>CTC</v>
          </cell>
          <cell r="K2632" t="str">
            <v>YES</v>
          </cell>
        </row>
        <row r="2633">
          <cell r="I2633" t="str">
            <v>V20255</v>
          </cell>
          <cell r="J2633" t="str">
            <v>CTC</v>
          </cell>
          <cell r="K2633" t="str">
            <v>YES</v>
          </cell>
        </row>
        <row r="2634">
          <cell r="I2634" t="str">
            <v>V21710</v>
          </cell>
          <cell r="J2634" t="str">
            <v>CTC</v>
          </cell>
          <cell r="K2634" t="str">
            <v>YES</v>
          </cell>
        </row>
        <row r="2635">
          <cell r="I2635" t="str">
            <v>V23233</v>
          </cell>
          <cell r="J2635" t="str">
            <v>CTC</v>
          </cell>
          <cell r="K2635" t="str">
            <v>YES</v>
          </cell>
        </row>
        <row r="2636">
          <cell r="I2636" t="str">
            <v>V24014</v>
          </cell>
          <cell r="J2636" t="str">
            <v>CTC</v>
          </cell>
          <cell r="K2636" t="str">
            <v>YES</v>
          </cell>
        </row>
        <row r="2637">
          <cell r="I2637" t="str">
            <v>V24090</v>
          </cell>
          <cell r="J2637" t="str">
            <v>CTC</v>
          </cell>
          <cell r="K2637" t="str">
            <v>YES</v>
          </cell>
        </row>
        <row r="2638">
          <cell r="I2638" t="str">
            <v>V24391</v>
          </cell>
          <cell r="J2638" t="str">
            <v>CTC</v>
          </cell>
          <cell r="K2638" t="str">
            <v>YES</v>
          </cell>
        </row>
        <row r="2639">
          <cell r="I2639" t="str">
            <v>V25188</v>
          </cell>
          <cell r="J2639" t="str">
            <v>CTC</v>
          </cell>
          <cell r="K2639" t="str">
            <v>YES</v>
          </cell>
        </row>
        <row r="2640">
          <cell r="I2640" t="str">
            <v>V21918</v>
          </cell>
          <cell r="J2640" t="str">
            <v>CTC</v>
          </cell>
          <cell r="K2640" t="str">
            <v>YES</v>
          </cell>
        </row>
        <row r="2641">
          <cell r="I2641" t="str">
            <v>V43846</v>
          </cell>
          <cell r="J2641" t="str">
            <v>CTC</v>
          </cell>
          <cell r="K2641" t="str">
            <v>YES</v>
          </cell>
        </row>
        <row r="2642">
          <cell r="I2642" t="str">
            <v>V45386</v>
          </cell>
          <cell r="J2642" t="str">
            <v>CTC</v>
          </cell>
          <cell r="K2642" t="str">
            <v>YES</v>
          </cell>
        </row>
        <row r="2643">
          <cell r="I2643" t="str">
            <v>V40539</v>
          </cell>
          <cell r="J2643" t="str">
            <v>CTC</v>
          </cell>
          <cell r="K2643" t="str">
            <v>YES</v>
          </cell>
        </row>
        <row r="2644">
          <cell r="I2644" t="str">
            <v>V36054</v>
          </cell>
          <cell r="J2644" t="str">
            <v>CTC</v>
          </cell>
          <cell r="K2644" t="str">
            <v>YES</v>
          </cell>
        </row>
        <row r="2645">
          <cell r="I2645" t="str">
            <v>V21102</v>
          </cell>
          <cell r="J2645" t="str">
            <v>CTC</v>
          </cell>
          <cell r="K2645" t="str">
            <v>YES</v>
          </cell>
        </row>
        <row r="2646">
          <cell r="I2646" t="str">
            <v>V47816</v>
          </cell>
          <cell r="J2646" t="str">
            <v>CTC</v>
          </cell>
          <cell r="K2646" t="str">
            <v>YES</v>
          </cell>
        </row>
        <row r="2647">
          <cell r="I2647" t="str">
            <v>V43963</v>
          </cell>
          <cell r="J2647" t="str">
            <v>CTC</v>
          </cell>
          <cell r="K2647" t="str">
            <v>YES</v>
          </cell>
        </row>
        <row r="2648">
          <cell r="I2648" t="str">
            <v>V26368</v>
          </cell>
          <cell r="J2648" t="str">
            <v>CTC</v>
          </cell>
          <cell r="K2648" t="str">
            <v>YES</v>
          </cell>
        </row>
        <row r="2649">
          <cell r="I2649" t="str">
            <v>V43133</v>
          </cell>
          <cell r="J2649" t="str">
            <v>CTC</v>
          </cell>
          <cell r="K2649" t="str">
            <v>YES</v>
          </cell>
        </row>
        <row r="2650">
          <cell r="I2650" t="str">
            <v>V25322</v>
          </cell>
          <cell r="J2650" t="str">
            <v>CTC</v>
          </cell>
          <cell r="K2650" t="str">
            <v>YES</v>
          </cell>
        </row>
        <row r="2651">
          <cell r="I2651" t="str">
            <v>V43661</v>
          </cell>
          <cell r="J2651" t="str">
            <v>CTC</v>
          </cell>
          <cell r="K2651" t="str">
            <v>YES</v>
          </cell>
        </row>
        <row r="2652">
          <cell r="I2652" t="str">
            <v>V49492</v>
          </cell>
          <cell r="J2652" t="str">
            <v>CTC</v>
          </cell>
          <cell r="K2652" t="str">
            <v>YES</v>
          </cell>
        </row>
        <row r="2653">
          <cell r="I2653" t="str">
            <v>V30040</v>
          </cell>
          <cell r="J2653" t="str">
            <v>CTC</v>
          </cell>
          <cell r="K2653" t="str">
            <v>YES</v>
          </cell>
        </row>
        <row r="2654">
          <cell r="I2654" t="str">
            <v>V32043</v>
          </cell>
          <cell r="J2654" t="str">
            <v>CTC</v>
          </cell>
          <cell r="K2654" t="str">
            <v>YES</v>
          </cell>
        </row>
        <row r="2655">
          <cell r="I2655" t="str">
            <v>V13761</v>
          </cell>
          <cell r="J2655" t="str">
            <v>CTC</v>
          </cell>
          <cell r="K2655" t="str">
            <v>YES</v>
          </cell>
        </row>
        <row r="2656">
          <cell r="I2656" t="str">
            <v>V14260</v>
          </cell>
          <cell r="J2656" t="str">
            <v>CTC</v>
          </cell>
          <cell r="K2656" t="str">
            <v>YES</v>
          </cell>
        </row>
        <row r="2657">
          <cell r="I2657" t="str">
            <v>V41897</v>
          </cell>
          <cell r="J2657" t="str">
            <v>CTC</v>
          </cell>
          <cell r="K2657" t="str">
            <v>YES</v>
          </cell>
        </row>
        <row r="2658">
          <cell r="I2658" t="str">
            <v>V23454</v>
          </cell>
          <cell r="J2658" t="str">
            <v>CTC</v>
          </cell>
          <cell r="K2658" t="str">
            <v>YES</v>
          </cell>
        </row>
        <row r="2659">
          <cell r="I2659" t="str">
            <v>V37979</v>
          </cell>
          <cell r="J2659" t="str">
            <v>CTC</v>
          </cell>
          <cell r="K2659" t="str">
            <v>YES</v>
          </cell>
        </row>
        <row r="2660">
          <cell r="I2660" t="str">
            <v>V31925</v>
          </cell>
          <cell r="J2660" t="str">
            <v>CTC</v>
          </cell>
          <cell r="K2660" t="str">
            <v>YES</v>
          </cell>
        </row>
        <row r="2661">
          <cell r="I2661" t="str">
            <v>V41840</v>
          </cell>
          <cell r="J2661" t="str">
            <v>CTC</v>
          </cell>
          <cell r="K2661" t="str">
            <v>YES</v>
          </cell>
        </row>
        <row r="2662">
          <cell r="I2662" t="str">
            <v>V24334</v>
          </cell>
          <cell r="J2662" t="str">
            <v>CTC</v>
          </cell>
          <cell r="K2662" t="str">
            <v>YES</v>
          </cell>
        </row>
        <row r="2663">
          <cell r="I2663" t="str">
            <v>V25471</v>
          </cell>
          <cell r="J2663" t="str">
            <v>CTC</v>
          </cell>
          <cell r="K2663" t="str">
            <v>YES</v>
          </cell>
        </row>
        <row r="2664">
          <cell r="I2664" t="str">
            <v>V25643</v>
          </cell>
          <cell r="J2664" t="str">
            <v>CTC</v>
          </cell>
          <cell r="K2664" t="str">
            <v>YES</v>
          </cell>
        </row>
        <row r="2665">
          <cell r="I2665" t="str">
            <v>V26215</v>
          </cell>
          <cell r="J2665" t="str">
            <v>CTC</v>
          </cell>
          <cell r="K2665" t="str">
            <v>YES</v>
          </cell>
        </row>
        <row r="2666">
          <cell r="I2666" t="str">
            <v>V27095</v>
          </cell>
          <cell r="J2666" t="str">
            <v>CTC</v>
          </cell>
          <cell r="K2666" t="str">
            <v>YES</v>
          </cell>
        </row>
        <row r="2667">
          <cell r="I2667" t="str">
            <v>V27687</v>
          </cell>
          <cell r="J2667" t="str">
            <v>CTC</v>
          </cell>
          <cell r="K2667" t="str">
            <v>YES</v>
          </cell>
        </row>
        <row r="2668">
          <cell r="I2668" t="str">
            <v>V25938</v>
          </cell>
          <cell r="J2668" t="str">
            <v>CTC</v>
          </cell>
          <cell r="K2668" t="str">
            <v>YES</v>
          </cell>
        </row>
        <row r="2669">
          <cell r="I2669" t="str">
            <v>V26277</v>
          </cell>
          <cell r="J2669" t="str">
            <v>CTC</v>
          </cell>
          <cell r="K2669" t="str">
            <v>YES</v>
          </cell>
        </row>
        <row r="2670">
          <cell r="I2670" t="str">
            <v>V27370</v>
          </cell>
          <cell r="J2670" t="str">
            <v>CTC</v>
          </cell>
          <cell r="K2670" t="str">
            <v>YES</v>
          </cell>
        </row>
        <row r="2671">
          <cell r="I2671" t="str">
            <v>V27415</v>
          </cell>
          <cell r="J2671" t="str">
            <v>CTC</v>
          </cell>
          <cell r="K2671" t="str">
            <v>YES</v>
          </cell>
        </row>
        <row r="2672">
          <cell r="I2672" t="str">
            <v>V30113</v>
          </cell>
          <cell r="J2672" t="str">
            <v>CTC</v>
          </cell>
          <cell r="K2672" t="str">
            <v>YES</v>
          </cell>
        </row>
        <row r="2673">
          <cell r="I2673" t="str">
            <v>V43215</v>
          </cell>
          <cell r="J2673" t="str">
            <v>CTC</v>
          </cell>
          <cell r="K2673" t="str">
            <v>YES</v>
          </cell>
        </row>
        <row r="2674">
          <cell r="I2674" t="str">
            <v>V06741</v>
          </cell>
          <cell r="J2674" t="str">
            <v>CTC</v>
          </cell>
          <cell r="K2674" t="str">
            <v>YES</v>
          </cell>
        </row>
        <row r="2675">
          <cell r="I2675" t="str">
            <v>V47570</v>
          </cell>
          <cell r="J2675" t="str">
            <v>CTC</v>
          </cell>
          <cell r="K2675" t="str">
            <v>YES</v>
          </cell>
        </row>
        <row r="2676">
          <cell r="I2676" t="str">
            <v>V40667</v>
          </cell>
          <cell r="J2676" t="str">
            <v>CTC</v>
          </cell>
          <cell r="K2676" t="str">
            <v>YES</v>
          </cell>
        </row>
        <row r="2677">
          <cell r="I2677" t="str">
            <v>V36359</v>
          </cell>
          <cell r="J2677" t="str">
            <v>CTC</v>
          </cell>
          <cell r="K2677" t="str">
            <v>YES</v>
          </cell>
        </row>
        <row r="2678">
          <cell r="I2678" t="str">
            <v>V40051</v>
          </cell>
          <cell r="J2678" t="str">
            <v>CTC</v>
          </cell>
          <cell r="K2678" t="str">
            <v>YES</v>
          </cell>
        </row>
        <row r="2679">
          <cell r="I2679" t="str">
            <v>V39405</v>
          </cell>
          <cell r="J2679" t="str">
            <v>CTC</v>
          </cell>
          <cell r="K2679" t="str">
            <v>YES</v>
          </cell>
        </row>
        <row r="2680">
          <cell r="I2680" t="str">
            <v>V40595</v>
          </cell>
          <cell r="J2680" t="str">
            <v>CTC</v>
          </cell>
          <cell r="K2680" t="str">
            <v>YES</v>
          </cell>
        </row>
        <row r="2681">
          <cell r="I2681" t="str">
            <v>V02588</v>
          </cell>
          <cell r="J2681" t="str">
            <v>CTC</v>
          </cell>
          <cell r="K2681" t="str">
            <v>YES</v>
          </cell>
        </row>
        <row r="2682">
          <cell r="I2682" t="str">
            <v>V04041</v>
          </cell>
          <cell r="J2682" t="str">
            <v>CTC</v>
          </cell>
          <cell r="K2682" t="str">
            <v>YES</v>
          </cell>
        </row>
        <row r="2683">
          <cell r="I2683" t="str">
            <v>V15048</v>
          </cell>
          <cell r="J2683" t="str">
            <v>CTC</v>
          </cell>
          <cell r="K2683" t="str">
            <v>YES</v>
          </cell>
        </row>
        <row r="2684">
          <cell r="I2684" t="str">
            <v>V15157</v>
          </cell>
          <cell r="J2684" t="str">
            <v>CTC</v>
          </cell>
          <cell r="K2684" t="str">
            <v>YES</v>
          </cell>
        </row>
        <row r="2685">
          <cell r="I2685" t="str">
            <v>V17574</v>
          </cell>
          <cell r="J2685" t="str">
            <v>CTC</v>
          </cell>
          <cell r="K2685" t="str">
            <v>YES</v>
          </cell>
        </row>
        <row r="2686">
          <cell r="I2686" t="str">
            <v>V19968</v>
          </cell>
          <cell r="J2686" t="str">
            <v>CTC</v>
          </cell>
          <cell r="K2686" t="str">
            <v>YES</v>
          </cell>
        </row>
        <row r="2687">
          <cell r="I2687" t="str">
            <v>V19969</v>
          </cell>
          <cell r="J2687" t="str">
            <v>CTC</v>
          </cell>
          <cell r="K2687" t="str">
            <v>YES</v>
          </cell>
        </row>
        <row r="2688">
          <cell r="I2688" t="str">
            <v>V20609</v>
          </cell>
          <cell r="J2688" t="str">
            <v>CTC</v>
          </cell>
          <cell r="K2688" t="str">
            <v>YES</v>
          </cell>
        </row>
        <row r="2689">
          <cell r="I2689" t="str">
            <v>V20618</v>
          </cell>
          <cell r="J2689" t="str">
            <v>CTC</v>
          </cell>
          <cell r="K2689" t="str">
            <v>YES</v>
          </cell>
        </row>
        <row r="2690">
          <cell r="I2690" t="str">
            <v>V22427</v>
          </cell>
          <cell r="J2690" t="str">
            <v>CTC</v>
          </cell>
          <cell r="K2690" t="str">
            <v>YES</v>
          </cell>
        </row>
        <row r="2691">
          <cell r="I2691" t="str">
            <v>V48119</v>
          </cell>
          <cell r="J2691" t="str">
            <v>CTC</v>
          </cell>
          <cell r="K2691" t="str">
            <v>YES</v>
          </cell>
        </row>
        <row r="2692">
          <cell r="I2692" t="str">
            <v>V39625</v>
          </cell>
          <cell r="J2692" t="str">
            <v>CTC</v>
          </cell>
          <cell r="K2692" t="str">
            <v>YES</v>
          </cell>
        </row>
        <row r="2693">
          <cell r="I2693" t="str">
            <v>V26387</v>
          </cell>
          <cell r="J2693" t="str">
            <v>CTC</v>
          </cell>
          <cell r="K2693" t="str">
            <v>YES</v>
          </cell>
        </row>
        <row r="2694">
          <cell r="I2694" t="str">
            <v>V26410</v>
          </cell>
          <cell r="J2694" t="str">
            <v>CTC</v>
          </cell>
          <cell r="K2694" t="str">
            <v>YES</v>
          </cell>
        </row>
        <row r="2695">
          <cell r="I2695" t="str">
            <v>V28629</v>
          </cell>
          <cell r="J2695" t="str">
            <v>CTC</v>
          </cell>
          <cell r="K2695" t="str">
            <v>YES</v>
          </cell>
        </row>
        <row r="2696">
          <cell r="I2696" t="str">
            <v>V29225</v>
          </cell>
          <cell r="J2696" t="str">
            <v>CTC</v>
          </cell>
          <cell r="K2696" t="str">
            <v>YES</v>
          </cell>
        </row>
        <row r="2697">
          <cell r="I2697" t="str">
            <v>V27693</v>
          </cell>
          <cell r="J2697" t="str">
            <v>CTC</v>
          </cell>
          <cell r="K2697" t="str">
            <v>YES</v>
          </cell>
        </row>
        <row r="2698">
          <cell r="I2698" t="str">
            <v>V09501</v>
          </cell>
          <cell r="J2698" t="str">
            <v>CTC</v>
          </cell>
          <cell r="K2698" t="str">
            <v>YES</v>
          </cell>
        </row>
        <row r="2699">
          <cell r="I2699" t="str">
            <v>V26858</v>
          </cell>
          <cell r="J2699" t="str">
            <v>CTC</v>
          </cell>
          <cell r="K2699" t="str">
            <v>YES</v>
          </cell>
        </row>
        <row r="2700">
          <cell r="I2700" t="str">
            <v>V24578</v>
          </cell>
          <cell r="J2700" t="str">
            <v>CTC</v>
          </cell>
          <cell r="K2700" t="str">
            <v>YES</v>
          </cell>
        </row>
        <row r="2701">
          <cell r="I2701" t="str">
            <v>V42253</v>
          </cell>
          <cell r="J2701" t="str">
            <v>CTC</v>
          </cell>
          <cell r="K2701" t="str">
            <v>YES</v>
          </cell>
        </row>
        <row r="2702">
          <cell r="I2702" t="str">
            <v>V26759</v>
          </cell>
          <cell r="J2702" t="str">
            <v>CTC</v>
          </cell>
          <cell r="K2702" t="str">
            <v>YES</v>
          </cell>
        </row>
        <row r="2703">
          <cell r="I2703" t="str">
            <v>V23862</v>
          </cell>
          <cell r="J2703" t="str">
            <v>CTC</v>
          </cell>
          <cell r="K2703" t="str">
            <v>YES</v>
          </cell>
        </row>
        <row r="2704">
          <cell r="I2704" t="str">
            <v>V12710</v>
          </cell>
          <cell r="J2704" t="str">
            <v>CTC</v>
          </cell>
          <cell r="K2704" t="str">
            <v>YES</v>
          </cell>
        </row>
        <row r="2705">
          <cell r="I2705" t="str">
            <v>V48568</v>
          </cell>
          <cell r="J2705" t="str">
            <v>CTC</v>
          </cell>
          <cell r="K2705" t="str">
            <v>YES</v>
          </cell>
        </row>
        <row r="2706">
          <cell r="I2706" t="str">
            <v>V24737</v>
          </cell>
          <cell r="J2706" t="str">
            <v>CTC</v>
          </cell>
          <cell r="K2706" t="str">
            <v>YES</v>
          </cell>
        </row>
        <row r="2707">
          <cell r="I2707" t="str">
            <v>V14575</v>
          </cell>
          <cell r="J2707" t="str">
            <v>CTC</v>
          </cell>
          <cell r="K2707" t="str">
            <v>YES</v>
          </cell>
        </row>
        <row r="2708">
          <cell r="I2708" t="str">
            <v>V43352</v>
          </cell>
          <cell r="J2708" t="str">
            <v>CTC</v>
          </cell>
          <cell r="K2708" t="str">
            <v>YES</v>
          </cell>
        </row>
        <row r="2709">
          <cell r="I2709" t="str">
            <v>V29407</v>
          </cell>
          <cell r="J2709" t="str">
            <v>CTC</v>
          </cell>
          <cell r="K2709" t="str">
            <v>YES</v>
          </cell>
        </row>
        <row r="2710">
          <cell r="I2710" t="str">
            <v>V30293</v>
          </cell>
          <cell r="J2710" t="str">
            <v>CTC</v>
          </cell>
          <cell r="K2710" t="str">
            <v>YES</v>
          </cell>
        </row>
        <row r="2711">
          <cell r="I2711" t="str">
            <v>V31801</v>
          </cell>
          <cell r="J2711" t="str">
            <v>CTC</v>
          </cell>
          <cell r="K2711" t="str">
            <v>YES</v>
          </cell>
        </row>
        <row r="2712">
          <cell r="I2712" t="str">
            <v>V34450</v>
          </cell>
          <cell r="J2712" t="str">
            <v>CTC</v>
          </cell>
          <cell r="K2712" t="str">
            <v>YES</v>
          </cell>
        </row>
        <row r="2713">
          <cell r="I2713" t="str">
            <v>V34527</v>
          </cell>
          <cell r="J2713" t="str">
            <v>CTC</v>
          </cell>
          <cell r="K2713" t="str">
            <v>YES</v>
          </cell>
        </row>
        <row r="2714">
          <cell r="I2714" t="str">
            <v>V34769</v>
          </cell>
          <cell r="J2714" t="str">
            <v>CTC</v>
          </cell>
          <cell r="K2714" t="str">
            <v>YES</v>
          </cell>
        </row>
        <row r="2715">
          <cell r="I2715" t="str">
            <v>V35602</v>
          </cell>
          <cell r="J2715" t="str">
            <v>CTC</v>
          </cell>
          <cell r="K2715" t="str">
            <v>YES</v>
          </cell>
        </row>
        <row r="2716">
          <cell r="I2716" t="str">
            <v>V34660</v>
          </cell>
          <cell r="J2716" t="str">
            <v>CTC</v>
          </cell>
          <cell r="K2716" t="str">
            <v>YES</v>
          </cell>
        </row>
        <row r="2717">
          <cell r="I2717" t="str">
            <v>V34927</v>
          </cell>
          <cell r="J2717" t="str">
            <v>CTC</v>
          </cell>
          <cell r="K2717" t="str">
            <v>YES</v>
          </cell>
        </row>
        <row r="2718">
          <cell r="I2718" t="str">
            <v>V44015</v>
          </cell>
          <cell r="J2718" t="str">
            <v>CTC</v>
          </cell>
          <cell r="K2718" t="str">
            <v>YES</v>
          </cell>
        </row>
        <row r="2719">
          <cell r="I2719" t="str">
            <v>V16516</v>
          </cell>
          <cell r="J2719" t="str">
            <v>CTC</v>
          </cell>
          <cell r="K2719" t="str">
            <v>YES</v>
          </cell>
        </row>
        <row r="2720">
          <cell r="I2720" t="str">
            <v>V42943</v>
          </cell>
          <cell r="J2720" t="str">
            <v>CTC</v>
          </cell>
          <cell r="K2720" t="str">
            <v>YES</v>
          </cell>
        </row>
        <row r="2721">
          <cell r="I2721" t="str">
            <v>V43326</v>
          </cell>
          <cell r="J2721" t="str">
            <v>CTC</v>
          </cell>
          <cell r="K2721" t="str">
            <v>YES</v>
          </cell>
        </row>
        <row r="2722">
          <cell r="I2722" t="str">
            <v>V42634</v>
          </cell>
          <cell r="J2722" t="str">
            <v>CTC</v>
          </cell>
          <cell r="K2722" t="str">
            <v>YES</v>
          </cell>
        </row>
        <row r="2723">
          <cell r="I2723" t="str">
            <v>V10253</v>
          </cell>
          <cell r="J2723" t="str">
            <v>CTC</v>
          </cell>
          <cell r="K2723" t="str">
            <v>YES</v>
          </cell>
        </row>
        <row r="2724">
          <cell r="I2724" t="str">
            <v>V45011</v>
          </cell>
          <cell r="J2724" t="str">
            <v>CTC</v>
          </cell>
          <cell r="K2724" t="str">
            <v>YES</v>
          </cell>
        </row>
        <row r="2725">
          <cell r="I2725" t="str">
            <v>V2S1397</v>
          </cell>
          <cell r="J2725" t="str">
            <v>CTC</v>
          </cell>
          <cell r="K2725" t="str">
            <v>YES</v>
          </cell>
        </row>
        <row r="2726">
          <cell r="I2726" t="str">
            <v>V33669</v>
          </cell>
          <cell r="J2726" t="str">
            <v>CTC</v>
          </cell>
          <cell r="K2726" t="str">
            <v>YES</v>
          </cell>
        </row>
        <row r="2727">
          <cell r="I2727" t="str">
            <v>V42833</v>
          </cell>
          <cell r="J2727" t="str">
            <v>CTC</v>
          </cell>
          <cell r="K2727" t="str">
            <v>YES</v>
          </cell>
        </row>
        <row r="2728">
          <cell r="I2728" t="str">
            <v>V39333</v>
          </cell>
          <cell r="J2728" t="str">
            <v>CTC</v>
          </cell>
          <cell r="K2728" t="str">
            <v>YES</v>
          </cell>
        </row>
        <row r="2729">
          <cell r="I2729" t="str">
            <v>V39708</v>
          </cell>
          <cell r="J2729" t="str">
            <v>CTC</v>
          </cell>
          <cell r="K2729" t="str">
            <v>YES</v>
          </cell>
        </row>
        <row r="2730">
          <cell r="I2730" t="str">
            <v>V39713</v>
          </cell>
          <cell r="J2730" t="str">
            <v>CTC</v>
          </cell>
          <cell r="K2730" t="str">
            <v>YES</v>
          </cell>
        </row>
        <row r="2731">
          <cell r="I2731" t="str">
            <v>V18974</v>
          </cell>
          <cell r="J2731" t="str">
            <v>CTC</v>
          </cell>
          <cell r="K2731" t="str">
            <v>YES</v>
          </cell>
        </row>
        <row r="2732">
          <cell r="I2732" t="str">
            <v>V45559</v>
          </cell>
          <cell r="J2732" t="str">
            <v>CTC</v>
          </cell>
          <cell r="K2732" t="str">
            <v>YES</v>
          </cell>
        </row>
        <row r="2733">
          <cell r="I2733" t="str">
            <v>V23532</v>
          </cell>
          <cell r="J2733" t="str">
            <v>CTC</v>
          </cell>
          <cell r="K2733" t="str">
            <v>YES</v>
          </cell>
        </row>
        <row r="2734">
          <cell r="I2734" t="str">
            <v>V49888</v>
          </cell>
          <cell r="J2734" t="str">
            <v>CTC</v>
          </cell>
          <cell r="K2734" t="str">
            <v>YES</v>
          </cell>
        </row>
        <row r="2735">
          <cell r="I2735" t="str">
            <v>V42740</v>
          </cell>
          <cell r="J2735" t="str">
            <v>CTC</v>
          </cell>
          <cell r="K2735" t="str">
            <v>YES</v>
          </cell>
        </row>
        <row r="2736">
          <cell r="I2736" t="str">
            <v>V43155</v>
          </cell>
          <cell r="J2736" t="str">
            <v>CTC</v>
          </cell>
          <cell r="K2736" t="str">
            <v>YES</v>
          </cell>
        </row>
        <row r="2737">
          <cell r="I2737" t="str">
            <v>V15173</v>
          </cell>
          <cell r="J2737" t="str">
            <v>CTC</v>
          </cell>
          <cell r="K2737" t="str">
            <v>YES</v>
          </cell>
        </row>
        <row r="2738">
          <cell r="I2738" t="str">
            <v>V15290</v>
          </cell>
          <cell r="J2738" t="str">
            <v>CTC</v>
          </cell>
          <cell r="K2738" t="str">
            <v>YES</v>
          </cell>
        </row>
        <row r="2739">
          <cell r="I2739" t="str">
            <v>V15649</v>
          </cell>
          <cell r="J2739" t="str">
            <v>CTC</v>
          </cell>
          <cell r="K2739" t="str">
            <v>YES</v>
          </cell>
        </row>
        <row r="2740">
          <cell r="I2740" t="str">
            <v>V16105</v>
          </cell>
          <cell r="J2740" t="str">
            <v>CTC</v>
          </cell>
          <cell r="K2740" t="str">
            <v>YES</v>
          </cell>
        </row>
        <row r="2741">
          <cell r="I2741" t="str">
            <v>V16138</v>
          </cell>
          <cell r="J2741" t="str">
            <v>CTC</v>
          </cell>
          <cell r="K2741" t="str">
            <v>YES</v>
          </cell>
        </row>
        <row r="2742">
          <cell r="I2742" t="str">
            <v>V16171</v>
          </cell>
          <cell r="J2742" t="str">
            <v>CTC</v>
          </cell>
          <cell r="K2742" t="str">
            <v>YES</v>
          </cell>
        </row>
        <row r="2743">
          <cell r="I2743" t="str">
            <v>V16280</v>
          </cell>
          <cell r="J2743" t="str">
            <v>CTC</v>
          </cell>
          <cell r="K2743" t="str">
            <v>YES</v>
          </cell>
        </row>
        <row r="2744">
          <cell r="I2744" t="str">
            <v>V16476</v>
          </cell>
          <cell r="J2744" t="str">
            <v>CTC</v>
          </cell>
          <cell r="K2744" t="str">
            <v>YES</v>
          </cell>
        </row>
        <row r="2745">
          <cell r="I2745" t="str">
            <v>V16652</v>
          </cell>
          <cell r="J2745" t="str">
            <v>CTC</v>
          </cell>
          <cell r="K2745" t="str">
            <v>YES</v>
          </cell>
        </row>
        <row r="2746">
          <cell r="I2746" t="str">
            <v>V16695</v>
          </cell>
          <cell r="J2746" t="str">
            <v>CTC</v>
          </cell>
          <cell r="K2746" t="str">
            <v>YES</v>
          </cell>
        </row>
        <row r="2747">
          <cell r="I2747" t="str">
            <v>V16780</v>
          </cell>
          <cell r="J2747" t="str">
            <v>CTC</v>
          </cell>
          <cell r="K2747" t="str">
            <v>YES</v>
          </cell>
        </row>
        <row r="2748">
          <cell r="I2748" t="str">
            <v>V16890</v>
          </cell>
          <cell r="J2748" t="str">
            <v>CTC</v>
          </cell>
          <cell r="K2748" t="str">
            <v>YES</v>
          </cell>
        </row>
        <row r="2749">
          <cell r="I2749" t="str">
            <v>V16894</v>
          </cell>
          <cell r="J2749" t="str">
            <v>CTC</v>
          </cell>
          <cell r="K2749" t="str">
            <v>YES</v>
          </cell>
        </row>
        <row r="2750">
          <cell r="I2750" t="str">
            <v>V16900</v>
          </cell>
          <cell r="J2750" t="str">
            <v>CTC</v>
          </cell>
          <cell r="K2750" t="str">
            <v>YES</v>
          </cell>
        </row>
        <row r="2751">
          <cell r="I2751" t="str">
            <v>V17300</v>
          </cell>
          <cell r="J2751" t="str">
            <v>CTC</v>
          </cell>
          <cell r="K2751" t="str">
            <v>YES</v>
          </cell>
        </row>
        <row r="2752">
          <cell r="I2752" t="str">
            <v>V17302</v>
          </cell>
          <cell r="J2752" t="str">
            <v>CTC</v>
          </cell>
          <cell r="K2752" t="str">
            <v>YES</v>
          </cell>
        </row>
        <row r="2753">
          <cell r="I2753" t="str">
            <v>V17333</v>
          </cell>
          <cell r="J2753" t="str">
            <v>CTC</v>
          </cell>
          <cell r="K2753" t="str">
            <v>YES</v>
          </cell>
        </row>
        <row r="2754">
          <cell r="I2754" t="str">
            <v>V17633</v>
          </cell>
          <cell r="J2754" t="str">
            <v>CTC</v>
          </cell>
          <cell r="K2754" t="str">
            <v>YES</v>
          </cell>
        </row>
        <row r="2755">
          <cell r="I2755" t="str">
            <v>V17634</v>
          </cell>
          <cell r="J2755" t="str">
            <v>CTC</v>
          </cell>
          <cell r="K2755" t="str">
            <v>YES</v>
          </cell>
        </row>
        <row r="2756">
          <cell r="I2756" t="str">
            <v>V17645</v>
          </cell>
          <cell r="J2756" t="str">
            <v>CTC</v>
          </cell>
          <cell r="K2756" t="str">
            <v>YES</v>
          </cell>
        </row>
        <row r="2757">
          <cell r="I2757" t="str">
            <v>V17660</v>
          </cell>
          <cell r="J2757" t="str">
            <v>CTC</v>
          </cell>
          <cell r="K2757" t="str">
            <v>YES</v>
          </cell>
        </row>
        <row r="2758">
          <cell r="I2758" t="str">
            <v>V17664</v>
          </cell>
          <cell r="J2758" t="str">
            <v>CTC</v>
          </cell>
          <cell r="K2758" t="str">
            <v>YES</v>
          </cell>
        </row>
        <row r="2759">
          <cell r="I2759" t="str">
            <v>V17669</v>
          </cell>
          <cell r="J2759" t="str">
            <v>CTC</v>
          </cell>
          <cell r="K2759" t="str">
            <v>YES</v>
          </cell>
        </row>
        <row r="2760">
          <cell r="I2760" t="str">
            <v>V17690</v>
          </cell>
          <cell r="J2760" t="str">
            <v>CTC</v>
          </cell>
          <cell r="K2760" t="str">
            <v>YES</v>
          </cell>
        </row>
        <row r="2761">
          <cell r="I2761" t="str">
            <v>V18001</v>
          </cell>
          <cell r="J2761" t="str">
            <v>CTC</v>
          </cell>
          <cell r="K2761" t="str">
            <v>YES</v>
          </cell>
        </row>
        <row r="2762">
          <cell r="I2762" t="str">
            <v>V23721</v>
          </cell>
          <cell r="J2762" t="str">
            <v>CTC</v>
          </cell>
          <cell r="K2762" t="str">
            <v>YES</v>
          </cell>
        </row>
        <row r="2763">
          <cell r="I2763" t="str">
            <v>V27121</v>
          </cell>
          <cell r="J2763" t="str">
            <v>CTC</v>
          </cell>
          <cell r="K2763" t="str">
            <v>YES</v>
          </cell>
        </row>
        <row r="2764">
          <cell r="I2764" t="str">
            <v>V48551</v>
          </cell>
          <cell r="J2764" t="str">
            <v>CTC</v>
          </cell>
          <cell r="K2764" t="str">
            <v>YES</v>
          </cell>
        </row>
        <row r="2765">
          <cell r="I2765" t="str">
            <v>V23991</v>
          </cell>
          <cell r="J2765" t="str">
            <v>CTC</v>
          </cell>
          <cell r="K2765" t="str">
            <v>YES</v>
          </cell>
        </row>
        <row r="2766">
          <cell r="I2766" t="str">
            <v>V47810</v>
          </cell>
          <cell r="J2766" t="str">
            <v>CTC</v>
          </cell>
          <cell r="K2766" t="str">
            <v>YES</v>
          </cell>
        </row>
        <row r="2767">
          <cell r="I2767" t="str">
            <v>V21976</v>
          </cell>
          <cell r="J2767" t="str">
            <v>CTC</v>
          </cell>
          <cell r="K2767" t="str">
            <v>YES</v>
          </cell>
        </row>
        <row r="2768">
          <cell r="I2768" t="str">
            <v>V36307</v>
          </cell>
          <cell r="J2768" t="str">
            <v>CTC</v>
          </cell>
          <cell r="K2768" t="str">
            <v>YES</v>
          </cell>
        </row>
        <row r="2769">
          <cell r="I2769" t="str">
            <v>V36421</v>
          </cell>
          <cell r="J2769" t="str">
            <v>CTC</v>
          </cell>
          <cell r="K2769" t="str">
            <v>YES</v>
          </cell>
        </row>
        <row r="2770">
          <cell r="I2770" t="str">
            <v>V36577</v>
          </cell>
          <cell r="J2770" t="str">
            <v>CTC</v>
          </cell>
          <cell r="K2770" t="str">
            <v>YES</v>
          </cell>
        </row>
        <row r="2771">
          <cell r="I2771" t="str">
            <v>V36680</v>
          </cell>
          <cell r="J2771" t="str">
            <v>CTC</v>
          </cell>
          <cell r="K2771" t="str">
            <v>YES</v>
          </cell>
        </row>
        <row r="2772">
          <cell r="I2772" t="str">
            <v>V37954</v>
          </cell>
          <cell r="J2772" t="str">
            <v>CTC</v>
          </cell>
          <cell r="K2772" t="str">
            <v>YES</v>
          </cell>
        </row>
        <row r="2773">
          <cell r="I2773" t="str">
            <v>V38415</v>
          </cell>
          <cell r="J2773" t="str">
            <v>CTC</v>
          </cell>
          <cell r="K2773" t="str">
            <v>YES</v>
          </cell>
        </row>
        <row r="2774">
          <cell r="I2774" t="str">
            <v>V38706</v>
          </cell>
          <cell r="J2774" t="str">
            <v>CTC</v>
          </cell>
          <cell r="K2774" t="str">
            <v>YES</v>
          </cell>
        </row>
        <row r="2775">
          <cell r="I2775" t="str">
            <v>V39107</v>
          </cell>
          <cell r="J2775" t="str">
            <v>CTC</v>
          </cell>
          <cell r="K2775" t="str">
            <v>YES</v>
          </cell>
        </row>
        <row r="2776">
          <cell r="I2776" t="str">
            <v>V39221</v>
          </cell>
          <cell r="J2776" t="str">
            <v>CTC</v>
          </cell>
          <cell r="K2776" t="str">
            <v>YES</v>
          </cell>
        </row>
        <row r="2777">
          <cell r="I2777" t="str">
            <v>V39470</v>
          </cell>
          <cell r="J2777" t="str">
            <v>CTC</v>
          </cell>
          <cell r="K2777" t="str">
            <v>YES</v>
          </cell>
        </row>
        <row r="2778">
          <cell r="I2778" t="str">
            <v>V41537</v>
          </cell>
          <cell r="J2778" t="str">
            <v>CTC</v>
          </cell>
          <cell r="K2778" t="str">
            <v>YES</v>
          </cell>
        </row>
        <row r="2779">
          <cell r="I2779" t="str">
            <v>V36519</v>
          </cell>
          <cell r="J2779" t="str">
            <v>CTC</v>
          </cell>
          <cell r="K2779" t="str">
            <v>YES</v>
          </cell>
        </row>
        <row r="2780">
          <cell r="I2780" t="str">
            <v>V26558</v>
          </cell>
          <cell r="J2780" t="str">
            <v>CTC</v>
          </cell>
          <cell r="K2780" t="str">
            <v>YES</v>
          </cell>
        </row>
        <row r="2781">
          <cell r="I2781" t="str">
            <v>V43590</v>
          </cell>
          <cell r="J2781" t="str">
            <v>CTC</v>
          </cell>
          <cell r="K2781" t="str">
            <v>YES</v>
          </cell>
        </row>
        <row r="2782">
          <cell r="I2782" t="str">
            <v>V21071</v>
          </cell>
          <cell r="J2782" t="str">
            <v>CTC</v>
          </cell>
          <cell r="K2782" t="str">
            <v>YES</v>
          </cell>
        </row>
        <row r="2783">
          <cell r="I2783" t="str">
            <v>V28512</v>
          </cell>
          <cell r="J2783" t="str">
            <v>CTC</v>
          </cell>
          <cell r="K2783" t="str">
            <v>YES</v>
          </cell>
        </row>
        <row r="2784">
          <cell r="I2784" t="str">
            <v>V19656</v>
          </cell>
          <cell r="J2784" t="str">
            <v>CTC</v>
          </cell>
          <cell r="K2784" t="str">
            <v>YES</v>
          </cell>
        </row>
        <row r="2785">
          <cell r="I2785" t="str">
            <v>V21664</v>
          </cell>
          <cell r="J2785" t="str">
            <v>CTC</v>
          </cell>
          <cell r="K2785" t="str">
            <v>YES</v>
          </cell>
        </row>
        <row r="2786">
          <cell r="I2786" t="str">
            <v>V22581</v>
          </cell>
          <cell r="J2786" t="str">
            <v>CTC</v>
          </cell>
          <cell r="K2786" t="str">
            <v>YES</v>
          </cell>
        </row>
        <row r="2787">
          <cell r="I2787" t="str">
            <v>V25556</v>
          </cell>
          <cell r="J2787" t="str">
            <v>CTC</v>
          </cell>
          <cell r="K2787" t="str">
            <v>YES</v>
          </cell>
        </row>
        <row r="2788">
          <cell r="I2788" t="str">
            <v>V26077</v>
          </cell>
          <cell r="J2788" t="str">
            <v>CTC</v>
          </cell>
          <cell r="K2788" t="str">
            <v>YES</v>
          </cell>
        </row>
        <row r="2789">
          <cell r="I2789" t="str">
            <v>V26138</v>
          </cell>
          <cell r="J2789" t="str">
            <v>CTC</v>
          </cell>
          <cell r="K2789" t="str">
            <v>YES</v>
          </cell>
        </row>
        <row r="2790">
          <cell r="I2790" t="str">
            <v>V26271</v>
          </cell>
          <cell r="J2790" t="str">
            <v>CTC</v>
          </cell>
          <cell r="K2790" t="str">
            <v>YES</v>
          </cell>
        </row>
        <row r="2791">
          <cell r="I2791" t="str">
            <v>V26672</v>
          </cell>
          <cell r="J2791" t="str">
            <v>CTC</v>
          </cell>
          <cell r="K2791" t="str">
            <v>YES</v>
          </cell>
        </row>
        <row r="2792">
          <cell r="I2792" t="str">
            <v>V26763</v>
          </cell>
          <cell r="J2792" t="str">
            <v>CTC</v>
          </cell>
          <cell r="K2792" t="str">
            <v>YES</v>
          </cell>
        </row>
        <row r="2793">
          <cell r="I2793" t="str">
            <v>V26851</v>
          </cell>
          <cell r="J2793" t="str">
            <v>CTC</v>
          </cell>
          <cell r="K2793" t="str">
            <v>YES</v>
          </cell>
        </row>
        <row r="2794">
          <cell r="I2794" t="str">
            <v>V26945</v>
          </cell>
          <cell r="J2794" t="str">
            <v>CTC</v>
          </cell>
          <cell r="K2794" t="str">
            <v>YES</v>
          </cell>
        </row>
        <row r="2795">
          <cell r="I2795" t="str">
            <v>V27142</v>
          </cell>
          <cell r="J2795" t="str">
            <v>CTC</v>
          </cell>
          <cell r="K2795" t="str">
            <v>YES</v>
          </cell>
        </row>
        <row r="2796">
          <cell r="I2796" t="str">
            <v>V27471</v>
          </cell>
          <cell r="J2796" t="str">
            <v>CTC</v>
          </cell>
          <cell r="K2796" t="str">
            <v>YES</v>
          </cell>
        </row>
        <row r="2797">
          <cell r="I2797" t="str">
            <v>V27512</v>
          </cell>
          <cell r="J2797" t="str">
            <v>CTC</v>
          </cell>
          <cell r="K2797" t="str">
            <v>YES</v>
          </cell>
        </row>
        <row r="2798">
          <cell r="I2798" t="str">
            <v>V27623</v>
          </cell>
          <cell r="J2798" t="str">
            <v>CTC</v>
          </cell>
          <cell r="K2798" t="str">
            <v>YES</v>
          </cell>
        </row>
        <row r="2799">
          <cell r="I2799" t="str">
            <v>V27850</v>
          </cell>
          <cell r="J2799" t="str">
            <v>CTC</v>
          </cell>
          <cell r="K2799" t="str">
            <v>YES</v>
          </cell>
        </row>
        <row r="2800">
          <cell r="I2800" t="str">
            <v>V27993</v>
          </cell>
          <cell r="J2800" t="str">
            <v>CTC</v>
          </cell>
          <cell r="K2800" t="str">
            <v>YES</v>
          </cell>
        </row>
        <row r="2801">
          <cell r="I2801" t="str">
            <v>V27994</v>
          </cell>
          <cell r="J2801" t="str">
            <v>CTC</v>
          </cell>
          <cell r="K2801" t="str">
            <v>YES</v>
          </cell>
        </row>
        <row r="2802">
          <cell r="I2802" t="str">
            <v>V27996</v>
          </cell>
          <cell r="J2802" t="str">
            <v>CTC</v>
          </cell>
          <cell r="K2802" t="str">
            <v>YES</v>
          </cell>
        </row>
        <row r="2803">
          <cell r="I2803" t="str">
            <v>V28024</v>
          </cell>
          <cell r="J2803" t="str">
            <v>CTC</v>
          </cell>
          <cell r="K2803" t="str">
            <v>YES</v>
          </cell>
        </row>
        <row r="2804">
          <cell r="I2804" t="str">
            <v>V28028</v>
          </cell>
          <cell r="J2804" t="str">
            <v>CTC</v>
          </cell>
          <cell r="K2804" t="str">
            <v>YES</v>
          </cell>
        </row>
        <row r="2805">
          <cell r="I2805" t="str">
            <v>V28047</v>
          </cell>
          <cell r="J2805" t="str">
            <v>CTC</v>
          </cell>
          <cell r="K2805" t="str">
            <v>YES</v>
          </cell>
        </row>
        <row r="2806">
          <cell r="I2806" t="str">
            <v>V28098</v>
          </cell>
          <cell r="J2806" t="str">
            <v>CTC</v>
          </cell>
          <cell r="K2806" t="str">
            <v>YES</v>
          </cell>
        </row>
        <row r="2807">
          <cell r="I2807" t="str">
            <v>V28272</v>
          </cell>
          <cell r="J2807" t="str">
            <v>CTC</v>
          </cell>
          <cell r="K2807" t="str">
            <v>YES</v>
          </cell>
        </row>
        <row r="2808">
          <cell r="I2808" t="str">
            <v>V28489</v>
          </cell>
          <cell r="J2808" t="str">
            <v>CTC</v>
          </cell>
          <cell r="K2808" t="str">
            <v>YES</v>
          </cell>
        </row>
        <row r="2809">
          <cell r="I2809" t="str">
            <v>V28525</v>
          </cell>
          <cell r="J2809" t="str">
            <v>CTC</v>
          </cell>
          <cell r="K2809" t="str">
            <v>YES</v>
          </cell>
        </row>
        <row r="2810">
          <cell r="I2810" t="str">
            <v>V28526</v>
          </cell>
          <cell r="J2810" t="str">
            <v>CTC</v>
          </cell>
          <cell r="K2810" t="str">
            <v>YES</v>
          </cell>
        </row>
        <row r="2811">
          <cell r="I2811" t="str">
            <v>V28674</v>
          </cell>
          <cell r="J2811" t="str">
            <v>CTC</v>
          </cell>
          <cell r="K2811" t="str">
            <v>YES</v>
          </cell>
        </row>
        <row r="2812">
          <cell r="I2812" t="str">
            <v>V28684</v>
          </cell>
          <cell r="J2812" t="str">
            <v>CTC</v>
          </cell>
          <cell r="K2812" t="str">
            <v>YES</v>
          </cell>
        </row>
        <row r="2813">
          <cell r="I2813" t="str">
            <v>V28714</v>
          </cell>
          <cell r="J2813" t="str">
            <v>CTC</v>
          </cell>
          <cell r="K2813" t="str">
            <v>YES</v>
          </cell>
        </row>
        <row r="2814">
          <cell r="I2814" t="str">
            <v>V28718</v>
          </cell>
          <cell r="J2814" t="str">
            <v>CTC</v>
          </cell>
          <cell r="K2814" t="str">
            <v>YES</v>
          </cell>
        </row>
        <row r="2815">
          <cell r="I2815" t="str">
            <v>V28738</v>
          </cell>
          <cell r="J2815" t="str">
            <v>CTC</v>
          </cell>
          <cell r="K2815" t="str">
            <v>YES</v>
          </cell>
        </row>
        <row r="2816">
          <cell r="I2816" t="str">
            <v>V28739</v>
          </cell>
          <cell r="J2816" t="str">
            <v>CTC</v>
          </cell>
          <cell r="K2816" t="str">
            <v>YES</v>
          </cell>
        </row>
        <row r="2817">
          <cell r="I2817" t="str">
            <v>V28795</v>
          </cell>
          <cell r="J2817" t="str">
            <v>CTC</v>
          </cell>
          <cell r="K2817" t="str">
            <v>YES</v>
          </cell>
        </row>
        <row r="2818">
          <cell r="I2818" t="str">
            <v>V28796</v>
          </cell>
          <cell r="J2818" t="str">
            <v>CTC</v>
          </cell>
          <cell r="K2818" t="str">
            <v>YES</v>
          </cell>
        </row>
        <row r="2819">
          <cell r="I2819" t="str">
            <v>V28862</v>
          </cell>
          <cell r="J2819" t="str">
            <v>CTC</v>
          </cell>
          <cell r="K2819" t="str">
            <v>YES</v>
          </cell>
        </row>
        <row r="2820">
          <cell r="I2820" t="str">
            <v>V20911</v>
          </cell>
          <cell r="J2820" t="str">
            <v>CTC</v>
          </cell>
          <cell r="K2820" t="str">
            <v>YES</v>
          </cell>
        </row>
        <row r="2821">
          <cell r="I2821" t="str">
            <v>V48550</v>
          </cell>
          <cell r="J2821" t="str">
            <v>CTC</v>
          </cell>
          <cell r="K2821" t="str">
            <v>YES</v>
          </cell>
        </row>
        <row r="2822">
          <cell r="I2822" t="str">
            <v>V33546</v>
          </cell>
          <cell r="J2822" t="str">
            <v>CTC</v>
          </cell>
          <cell r="K2822" t="str">
            <v>YES</v>
          </cell>
        </row>
        <row r="2823">
          <cell r="I2823" t="str">
            <v>V33578</v>
          </cell>
          <cell r="J2823" t="str">
            <v>CTC</v>
          </cell>
          <cell r="K2823" t="str">
            <v>YES</v>
          </cell>
        </row>
        <row r="2824">
          <cell r="I2824" t="str">
            <v>V13959</v>
          </cell>
          <cell r="J2824" t="str">
            <v>CTC</v>
          </cell>
          <cell r="K2824" t="str">
            <v>YES</v>
          </cell>
        </row>
        <row r="2825">
          <cell r="I2825" t="str">
            <v>V42614</v>
          </cell>
          <cell r="J2825" t="str">
            <v>CTC</v>
          </cell>
          <cell r="K2825" t="str">
            <v>YES</v>
          </cell>
        </row>
        <row r="2826">
          <cell r="I2826" t="str">
            <v>V42615</v>
          </cell>
          <cell r="J2826" t="str">
            <v>CTC</v>
          </cell>
          <cell r="K2826" t="str">
            <v>YES</v>
          </cell>
        </row>
        <row r="2827">
          <cell r="I2827" t="str">
            <v>V31962</v>
          </cell>
          <cell r="J2827" t="str">
            <v>CTC</v>
          </cell>
          <cell r="K2827" t="str">
            <v>YES</v>
          </cell>
        </row>
        <row r="2828">
          <cell r="I2828" t="str">
            <v>V02309</v>
          </cell>
          <cell r="J2828" t="str">
            <v>CTC</v>
          </cell>
          <cell r="K2828" t="str">
            <v>YES</v>
          </cell>
        </row>
        <row r="2829">
          <cell r="I2829" t="str">
            <v>V11647</v>
          </cell>
          <cell r="J2829" t="str">
            <v>CTC</v>
          </cell>
          <cell r="K2829" t="str">
            <v>YES</v>
          </cell>
        </row>
        <row r="2830">
          <cell r="I2830" t="str">
            <v>V12853</v>
          </cell>
          <cell r="J2830" t="str">
            <v>CTC</v>
          </cell>
          <cell r="K2830" t="str">
            <v>YES</v>
          </cell>
        </row>
        <row r="2831">
          <cell r="I2831" t="str">
            <v>V12869</v>
          </cell>
          <cell r="J2831" t="str">
            <v>CTC</v>
          </cell>
          <cell r="K2831" t="str">
            <v>YES</v>
          </cell>
        </row>
        <row r="2832">
          <cell r="I2832" t="str">
            <v>V13759</v>
          </cell>
          <cell r="J2832" t="str">
            <v>CTC</v>
          </cell>
          <cell r="K2832" t="str">
            <v>YES</v>
          </cell>
        </row>
        <row r="2833">
          <cell r="I2833" t="str">
            <v>V19250</v>
          </cell>
          <cell r="J2833" t="str">
            <v>CTC</v>
          </cell>
          <cell r="K2833" t="str">
            <v>YES</v>
          </cell>
        </row>
        <row r="2834">
          <cell r="I2834" t="str">
            <v>V19921</v>
          </cell>
          <cell r="J2834" t="str">
            <v>CTC</v>
          </cell>
          <cell r="K2834" t="str">
            <v>YES</v>
          </cell>
        </row>
        <row r="2835">
          <cell r="I2835" t="str">
            <v>V19927</v>
          </cell>
          <cell r="J2835" t="str">
            <v>CTC</v>
          </cell>
          <cell r="K2835" t="str">
            <v>YES</v>
          </cell>
        </row>
        <row r="2836">
          <cell r="I2836" t="str">
            <v>V19928</v>
          </cell>
          <cell r="J2836" t="str">
            <v>CTC</v>
          </cell>
          <cell r="K2836" t="str">
            <v>YES</v>
          </cell>
        </row>
        <row r="2837">
          <cell r="I2837" t="str">
            <v>V21755</v>
          </cell>
          <cell r="J2837" t="str">
            <v>CTC</v>
          </cell>
          <cell r="K2837" t="str">
            <v>YES</v>
          </cell>
        </row>
        <row r="2838">
          <cell r="I2838" t="str">
            <v>V21757</v>
          </cell>
          <cell r="J2838" t="str">
            <v>CTC</v>
          </cell>
          <cell r="K2838" t="str">
            <v>YES</v>
          </cell>
        </row>
        <row r="2839">
          <cell r="I2839" t="str">
            <v>V22276</v>
          </cell>
          <cell r="J2839" t="str">
            <v>CTC</v>
          </cell>
          <cell r="K2839" t="str">
            <v>YES</v>
          </cell>
        </row>
        <row r="2840">
          <cell r="I2840" t="str">
            <v>V22738</v>
          </cell>
          <cell r="J2840" t="str">
            <v>CTC</v>
          </cell>
          <cell r="K2840" t="str">
            <v>YES</v>
          </cell>
        </row>
        <row r="2841">
          <cell r="I2841" t="str">
            <v>V24217</v>
          </cell>
          <cell r="J2841" t="str">
            <v>CTC</v>
          </cell>
          <cell r="K2841" t="str">
            <v>YES</v>
          </cell>
        </row>
        <row r="2842">
          <cell r="I2842" t="str">
            <v>V24346</v>
          </cell>
          <cell r="J2842" t="str">
            <v>CTC</v>
          </cell>
          <cell r="K2842" t="str">
            <v>YES</v>
          </cell>
        </row>
        <row r="2843">
          <cell r="I2843" t="str">
            <v>V43697</v>
          </cell>
          <cell r="J2843" t="str">
            <v>CTC</v>
          </cell>
          <cell r="K2843" t="str">
            <v>YES</v>
          </cell>
        </row>
        <row r="2844">
          <cell r="I2844" t="str">
            <v>V17650</v>
          </cell>
          <cell r="J2844" t="str">
            <v>CTC</v>
          </cell>
          <cell r="K2844" t="str">
            <v>YES</v>
          </cell>
        </row>
        <row r="2845">
          <cell r="I2845" t="str">
            <v>V17303</v>
          </cell>
          <cell r="J2845" t="str">
            <v>CTC</v>
          </cell>
          <cell r="K2845" t="str">
            <v>YES</v>
          </cell>
        </row>
        <row r="2846">
          <cell r="I2846" t="str">
            <v>V41666</v>
          </cell>
          <cell r="J2846" t="str">
            <v>CTC</v>
          </cell>
          <cell r="K2846" t="str">
            <v>YES</v>
          </cell>
        </row>
        <row r="2847">
          <cell r="I2847" t="str">
            <v>V33739</v>
          </cell>
          <cell r="J2847" t="str">
            <v>CTC</v>
          </cell>
          <cell r="K2847" t="str">
            <v>YES</v>
          </cell>
        </row>
        <row r="2848">
          <cell r="I2848" t="str">
            <v>V39709</v>
          </cell>
          <cell r="J2848" t="str">
            <v>CTC</v>
          </cell>
          <cell r="K2848" t="str">
            <v>YES</v>
          </cell>
        </row>
        <row r="2849">
          <cell r="I2849" t="str">
            <v>V21921</v>
          </cell>
          <cell r="J2849" t="str">
            <v>CTC</v>
          </cell>
          <cell r="K2849" t="str">
            <v>YES</v>
          </cell>
        </row>
        <row r="2850">
          <cell r="I2850" t="str">
            <v>V15690</v>
          </cell>
          <cell r="J2850" t="str">
            <v>CTC</v>
          </cell>
          <cell r="K2850" t="str">
            <v>YES</v>
          </cell>
        </row>
        <row r="2851">
          <cell r="I2851" t="str">
            <v>V38075</v>
          </cell>
          <cell r="J2851" t="str">
            <v>CTC</v>
          </cell>
          <cell r="K2851" t="str">
            <v>YES</v>
          </cell>
        </row>
        <row r="2852">
          <cell r="I2852" t="str">
            <v>V29764</v>
          </cell>
          <cell r="J2852" t="str">
            <v>CTC</v>
          </cell>
          <cell r="K2852" t="str">
            <v>YES</v>
          </cell>
        </row>
        <row r="2853">
          <cell r="I2853" t="str">
            <v>V41582</v>
          </cell>
          <cell r="J2853" t="str">
            <v>CTC</v>
          </cell>
          <cell r="K2853" t="str">
            <v>YES</v>
          </cell>
        </row>
        <row r="2854">
          <cell r="I2854" t="str">
            <v>V47572</v>
          </cell>
          <cell r="J2854" t="str">
            <v>CTC</v>
          </cell>
          <cell r="K2854" t="str">
            <v>YES</v>
          </cell>
        </row>
        <row r="2855">
          <cell r="I2855" t="str">
            <v>V42163</v>
          </cell>
          <cell r="J2855" t="str">
            <v>CTC</v>
          </cell>
          <cell r="K2855" t="str">
            <v>YES</v>
          </cell>
        </row>
        <row r="2856">
          <cell r="I2856" t="str">
            <v>V02209</v>
          </cell>
          <cell r="J2856" t="str">
            <v>CTC</v>
          </cell>
          <cell r="K2856" t="str">
            <v>YES</v>
          </cell>
        </row>
        <row r="2857">
          <cell r="I2857" t="str">
            <v>V04002</v>
          </cell>
          <cell r="J2857" t="str">
            <v>CTC</v>
          </cell>
          <cell r="K2857" t="str">
            <v>YES</v>
          </cell>
        </row>
        <row r="2858">
          <cell r="I2858" t="str">
            <v>V04417</v>
          </cell>
          <cell r="J2858" t="str">
            <v>CTC</v>
          </cell>
          <cell r="K2858" t="str">
            <v>YES</v>
          </cell>
        </row>
        <row r="2859">
          <cell r="I2859" t="str">
            <v>V04618</v>
          </cell>
          <cell r="J2859" t="str">
            <v>CTC</v>
          </cell>
          <cell r="K2859" t="str">
            <v>YES</v>
          </cell>
        </row>
        <row r="2860">
          <cell r="I2860" t="str">
            <v>V05760</v>
          </cell>
          <cell r="J2860" t="str">
            <v>CTC</v>
          </cell>
          <cell r="K2860" t="str">
            <v>YES</v>
          </cell>
        </row>
        <row r="2861">
          <cell r="I2861" t="str">
            <v>V44513</v>
          </cell>
          <cell r="J2861" t="str">
            <v>CTC</v>
          </cell>
          <cell r="K2861" t="str">
            <v>YES</v>
          </cell>
        </row>
        <row r="2862">
          <cell r="I2862" t="str">
            <v>V33318</v>
          </cell>
          <cell r="J2862" t="str">
            <v>CTC</v>
          </cell>
          <cell r="K2862" t="str">
            <v>YES</v>
          </cell>
        </row>
        <row r="2863">
          <cell r="I2863" t="str">
            <v>V37218</v>
          </cell>
          <cell r="J2863" t="str">
            <v>CTC</v>
          </cell>
          <cell r="K2863" t="str">
            <v>YES</v>
          </cell>
        </row>
        <row r="2864">
          <cell r="I2864" t="str">
            <v>V44082</v>
          </cell>
          <cell r="J2864" t="str">
            <v>CTC</v>
          </cell>
          <cell r="K2864" t="str">
            <v>YES</v>
          </cell>
        </row>
        <row r="2865">
          <cell r="I2865" t="str">
            <v>V16463</v>
          </cell>
          <cell r="J2865" t="str">
            <v>CTC</v>
          </cell>
          <cell r="K2865" t="str">
            <v>YES</v>
          </cell>
        </row>
        <row r="2866">
          <cell r="I2866" t="str">
            <v>V27840</v>
          </cell>
          <cell r="J2866" t="str">
            <v>CTC</v>
          </cell>
          <cell r="K2866" t="str">
            <v>YES</v>
          </cell>
        </row>
        <row r="2867">
          <cell r="I2867" t="str">
            <v>V24149</v>
          </cell>
          <cell r="J2867" t="str">
            <v>CTC</v>
          </cell>
          <cell r="K2867" t="str">
            <v>YES</v>
          </cell>
        </row>
        <row r="2868">
          <cell r="I2868" t="str">
            <v>V24464</v>
          </cell>
          <cell r="J2868" t="str">
            <v>CTC</v>
          </cell>
          <cell r="K2868" t="str">
            <v>YES</v>
          </cell>
        </row>
        <row r="2869">
          <cell r="I2869" t="str">
            <v>V25280</v>
          </cell>
          <cell r="J2869" t="str">
            <v>CTC</v>
          </cell>
          <cell r="K2869" t="str">
            <v>YES</v>
          </cell>
        </row>
        <row r="2870">
          <cell r="I2870" t="str">
            <v>V31102</v>
          </cell>
          <cell r="J2870" t="str">
            <v>CTC</v>
          </cell>
          <cell r="K2870" t="str">
            <v>YES</v>
          </cell>
        </row>
        <row r="2871">
          <cell r="I2871" t="str">
            <v>V34419</v>
          </cell>
          <cell r="J2871" t="str">
            <v>CTC</v>
          </cell>
          <cell r="K2871" t="str">
            <v>YES</v>
          </cell>
        </row>
        <row r="2872">
          <cell r="I2872" t="str">
            <v>V37091</v>
          </cell>
          <cell r="J2872" t="str">
            <v>CTC</v>
          </cell>
          <cell r="K2872" t="str">
            <v>YES</v>
          </cell>
        </row>
        <row r="2873">
          <cell r="I2873" t="str">
            <v>V28013</v>
          </cell>
          <cell r="J2873" t="str">
            <v>CTC</v>
          </cell>
          <cell r="K2873" t="str">
            <v>YES</v>
          </cell>
        </row>
        <row r="2874">
          <cell r="I2874" t="str">
            <v>V43877</v>
          </cell>
          <cell r="J2874" t="str">
            <v>CTC</v>
          </cell>
          <cell r="K2874" t="str">
            <v>YES</v>
          </cell>
        </row>
        <row r="2875">
          <cell r="I2875" t="str">
            <v>V23657</v>
          </cell>
          <cell r="J2875" t="str">
            <v>CTC</v>
          </cell>
          <cell r="K2875" t="str">
            <v>YES</v>
          </cell>
        </row>
        <row r="2876">
          <cell r="I2876" t="str">
            <v>V26685</v>
          </cell>
          <cell r="J2876" t="str">
            <v>CTC</v>
          </cell>
          <cell r="K2876" t="str">
            <v>YES</v>
          </cell>
        </row>
        <row r="2877">
          <cell r="I2877" t="str">
            <v>V39338</v>
          </cell>
          <cell r="J2877" t="str">
            <v>CTC</v>
          </cell>
          <cell r="K2877" t="str">
            <v>YES</v>
          </cell>
        </row>
        <row r="2878">
          <cell r="I2878" t="str">
            <v>V39779</v>
          </cell>
          <cell r="J2878" t="str">
            <v>CTC</v>
          </cell>
          <cell r="K2878" t="str">
            <v>YES</v>
          </cell>
        </row>
        <row r="2879">
          <cell r="I2879" t="str">
            <v>V27149</v>
          </cell>
          <cell r="J2879" t="str">
            <v>CTC</v>
          </cell>
          <cell r="K2879" t="str">
            <v>YES</v>
          </cell>
        </row>
        <row r="2880">
          <cell r="I2880" t="str">
            <v>V27630</v>
          </cell>
          <cell r="J2880" t="str">
            <v>CTC</v>
          </cell>
          <cell r="K2880" t="str">
            <v>YES</v>
          </cell>
        </row>
        <row r="2881">
          <cell r="I2881" t="str">
            <v>V16961</v>
          </cell>
          <cell r="J2881" t="str">
            <v>CTC</v>
          </cell>
          <cell r="K2881" t="str">
            <v>YES</v>
          </cell>
        </row>
        <row r="2882">
          <cell r="I2882" t="str">
            <v>V34393</v>
          </cell>
          <cell r="J2882" t="str">
            <v>CTC</v>
          </cell>
          <cell r="K2882" t="str">
            <v>YES</v>
          </cell>
        </row>
        <row r="2883">
          <cell r="I2883" t="str">
            <v>V34734</v>
          </cell>
          <cell r="J2883" t="str">
            <v>CTC</v>
          </cell>
          <cell r="K2883" t="str">
            <v>YES</v>
          </cell>
        </row>
        <row r="2884">
          <cell r="I2884" t="str">
            <v>V34735</v>
          </cell>
          <cell r="J2884" t="str">
            <v>CTC</v>
          </cell>
          <cell r="K2884" t="str">
            <v>YES</v>
          </cell>
        </row>
        <row r="2885">
          <cell r="I2885" t="str">
            <v>V45158</v>
          </cell>
          <cell r="J2885" t="str">
            <v>CTC</v>
          </cell>
          <cell r="K2885" t="str">
            <v>YES</v>
          </cell>
        </row>
        <row r="2886">
          <cell r="I2886" t="str">
            <v>V48030</v>
          </cell>
          <cell r="J2886" t="str">
            <v>CTC</v>
          </cell>
          <cell r="K2886" t="str">
            <v>YES</v>
          </cell>
        </row>
        <row r="2887">
          <cell r="I2887" t="str">
            <v>V43241</v>
          </cell>
          <cell r="J2887" t="str">
            <v>CTC</v>
          </cell>
          <cell r="K2887" t="str">
            <v>YES</v>
          </cell>
        </row>
        <row r="2888">
          <cell r="I2888" t="str">
            <v>V37532</v>
          </cell>
          <cell r="J2888" t="str">
            <v>CTC</v>
          </cell>
          <cell r="K2888" t="str">
            <v>YES</v>
          </cell>
        </row>
        <row r="2889">
          <cell r="I2889" t="str">
            <v>V21294</v>
          </cell>
          <cell r="J2889" t="str">
            <v>CTC</v>
          </cell>
          <cell r="K2889" t="str">
            <v>YES</v>
          </cell>
        </row>
        <row r="2890">
          <cell r="I2890" t="str">
            <v>V34009</v>
          </cell>
          <cell r="J2890" t="str">
            <v>CTC</v>
          </cell>
          <cell r="K2890" t="str">
            <v>YES</v>
          </cell>
        </row>
        <row r="2891">
          <cell r="I2891" t="str">
            <v>V26621</v>
          </cell>
          <cell r="J2891" t="str">
            <v>CTC</v>
          </cell>
          <cell r="K2891" t="str">
            <v>YES</v>
          </cell>
        </row>
        <row r="2892">
          <cell r="I2892" t="str">
            <v>V25823</v>
          </cell>
          <cell r="J2892" t="str">
            <v>CTC</v>
          </cell>
          <cell r="K2892" t="str">
            <v>YES</v>
          </cell>
        </row>
        <row r="2893">
          <cell r="I2893" t="str">
            <v>V34754</v>
          </cell>
          <cell r="J2893" t="str">
            <v>CTC</v>
          </cell>
          <cell r="K2893" t="str">
            <v>YES</v>
          </cell>
        </row>
        <row r="2894">
          <cell r="I2894" t="str">
            <v>V25900</v>
          </cell>
          <cell r="J2894" t="str">
            <v>CTC</v>
          </cell>
          <cell r="K2894" t="str">
            <v>YES</v>
          </cell>
        </row>
        <row r="2895">
          <cell r="I2895" t="str">
            <v>V43961</v>
          </cell>
          <cell r="J2895" t="str">
            <v>CTC</v>
          </cell>
          <cell r="K2895" t="str">
            <v>YES</v>
          </cell>
        </row>
        <row r="2896">
          <cell r="I2896" t="str">
            <v>V16581</v>
          </cell>
          <cell r="J2896" t="str">
            <v>CTC</v>
          </cell>
          <cell r="K2896" t="str">
            <v>YES</v>
          </cell>
        </row>
        <row r="2897">
          <cell r="I2897" t="str">
            <v>V43289</v>
          </cell>
          <cell r="J2897" t="str">
            <v>CTC</v>
          </cell>
          <cell r="K2897" t="str">
            <v>YES</v>
          </cell>
        </row>
        <row r="2898">
          <cell r="I2898" t="str">
            <v>V41374</v>
          </cell>
          <cell r="J2898" t="str">
            <v>CTC</v>
          </cell>
          <cell r="K2898" t="str">
            <v>YES</v>
          </cell>
        </row>
        <row r="2899">
          <cell r="I2899" t="str">
            <v>V19638</v>
          </cell>
          <cell r="J2899" t="str">
            <v>CTC</v>
          </cell>
          <cell r="K2899" t="str">
            <v>YES</v>
          </cell>
        </row>
        <row r="2900">
          <cell r="I2900" t="str">
            <v>V39930</v>
          </cell>
          <cell r="J2900" t="str">
            <v>CTC</v>
          </cell>
          <cell r="K2900" t="str">
            <v>YES</v>
          </cell>
        </row>
        <row r="2901">
          <cell r="I2901" t="str">
            <v>V41393</v>
          </cell>
          <cell r="J2901" t="str">
            <v>CTC</v>
          </cell>
          <cell r="K2901" t="str">
            <v>YES</v>
          </cell>
        </row>
        <row r="2902">
          <cell r="I2902" t="str">
            <v>V42292</v>
          </cell>
          <cell r="J2902" t="str">
            <v>CTC</v>
          </cell>
          <cell r="K2902" t="str">
            <v>YES</v>
          </cell>
        </row>
        <row r="2903">
          <cell r="I2903" t="str">
            <v>V35469</v>
          </cell>
          <cell r="J2903" t="str">
            <v>CTC</v>
          </cell>
          <cell r="K2903" t="str">
            <v>YES</v>
          </cell>
        </row>
        <row r="2904">
          <cell r="I2904" t="str">
            <v>V46862</v>
          </cell>
          <cell r="J2904" t="str">
            <v>CTC</v>
          </cell>
          <cell r="K2904" t="str">
            <v>YES</v>
          </cell>
        </row>
        <row r="2905">
          <cell r="I2905" t="str">
            <v>V47578</v>
          </cell>
          <cell r="J2905" t="str">
            <v>CTC</v>
          </cell>
          <cell r="K2905" t="str">
            <v>YES</v>
          </cell>
        </row>
        <row r="2906">
          <cell r="I2906" t="str">
            <v>V44855</v>
          </cell>
          <cell r="J2906" t="str">
            <v>CTC</v>
          </cell>
          <cell r="K2906" t="str">
            <v>YES</v>
          </cell>
        </row>
        <row r="2907">
          <cell r="I2907" t="str">
            <v>V40827</v>
          </cell>
          <cell r="J2907" t="str">
            <v>CTC</v>
          </cell>
          <cell r="K2907" t="str">
            <v>YES</v>
          </cell>
        </row>
        <row r="2908">
          <cell r="I2908" t="str">
            <v>V35231</v>
          </cell>
          <cell r="J2908" t="str">
            <v>CTC</v>
          </cell>
          <cell r="K2908" t="str">
            <v>YES</v>
          </cell>
        </row>
        <row r="2909">
          <cell r="I2909" t="str">
            <v>V36109</v>
          </cell>
          <cell r="J2909" t="str">
            <v>CTC</v>
          </cell>
          <cell r="K2909" t="str">
            <v>YES</v>
          </cell>
        </row>
        <row r="2910">
          <cell r="I2910" t="str">
            <v>V29145</v>
          </cell>
          <cell r="J2910" t="str">
            <v>CTC</v>
          </cell>
          <cell r="K2910" t="str">
            <v>YES</v>
          </cell>
        </row>
        <row r="2911">
          <cell r="I2911" t="str">
            <v>V29180</v>
          </cell>
          <cell r="J2911" t="str">
            <v>CTC</v>
          </cell>
          <cell r="K2911" t="str">
            <v>YES</v>
          </cell>
        </row>
        <row r="2912">
          <cell r="I2912" t="str">
            <v>V29498</v>
          </cell>
          <cell r="J2912" t="str">
            <v>CTC</v>
          </cell>
          <cell r="K2912" t="str">
            <v>YES</v>
          </cell>
        </row>
        <row r="2913">
          <cell r="I2913" t="str">
            <v>V29884</v>
          </cell>
          <cell r="J2913" t="str">
            <v>CTC</v>
          </cell>
          <cell r="K2913" t="str">
            <v>YES</v>
          </cell>
        </row>
        <row r="2914">
          <cell r="I2914" t="str">
            <v>V30014</v>
          </cell>
          <cell r="J2914" t="str">
            <v>CTC</v>
          </cell>
          <cell r="K2914" t="str">
            <v>YES</v>
          </cell>
        </row>
        <row r="2915">
          <cell r="I2915" t="str">
            <v>V30283</v>
          </cell>
          <cell r="J2915" t="str">
            <v>CTC</v>
          </cell>
          <cell r="K2915" t="str">
            <v>YES</v>
          </cell>
        </row>
        <row r="2916">
          <cell r="I2916" t="str">
            <v>V30284</v>
          </cell>
          <cell r="J2916" t="str">
            <v>CTC</v>
          </cell>
          <cell r="K2916" t="str">
            <v>YES</v>
          </cell>
        </row>
        <row r="2917">
          <cell r="I2917" t="str">
            <v>V30307</v>
          </cell>
          <cell r="J2917" t="str">
            <v>CTC</v>
          </cell>
          <cell r="K2917" t="str">
            <v>YES</v>
          </cell>
        </row>
        <row r="2918">
          <cell r="I2918" t="str">
            <v>V30372</v>
          </cell>
          <cell r="J2918" t="str">
            <v>CTC</v>
          </cell>
          <cell r="K2918" t="str">
            <v>YES</v>
          </cell>
        </row>
        <row r="2919">
          <cell r="I2919" t="str">
            <v>V30573</v>
          </cell>
          <cell r="J2919" t="str">
            <v>CTC</v>
          </cell>
          <cell r="K2919" t="str">
            <v>YES</v>
          </cell>
        </row>
        <row r="2920">
          <cell r="I2920" t="str">
            <v>V30680</v>
          </cell>
          <cell r="J2920" t="str">
            <v>CTC</v>
          </cell>
          <cell r="K2920" t="str">
            <v>YES</v>
          </cell>
        </row>
        <row r="2921">
          <cell r="I2921" t="str">
            <v>V31411</v>
          </cell>
          <cell r="J2921" t="str">
            <v>CTC</v>
          </cell>
          <cell r="K2921" t="str">
            <v>YES</v>
          </cell>
        </row>
        <row r="2922">
          <cell r="I2922" t="str">
            <v>V31632</v>
          </cell>
          <cell r="J2922" t="str">
            <v>CTC</v>
          </cell>
          <cell r="K2922" t="str">
            <v>YES</v>
          </cell>
        </row>
        <row r="2923">
          <cell r="I2923" t="str">
            <v>V32576</v>
          </cell>
          <cell r="J2923" t="str">
            <v>CTC</v>
          </cell>
          <cell r="K2923" t="str">
            <v>YES</v>
          </cell>
        </row>
        <row r="2924">
          <cell r="I2924" t="str">
            <v>V33704</v>
          </cell>
          <cell r="J2924" t="str">
            <v>CTC</v>
          </cell>
          <cell r="K2924" t="str">
            <v>YES</v>
          </cell>
        </row>
        <row r="2925">
          <cell r="I2925" t="str">
            <v>V34046</v>
          </cell>
          <cell r="J2925" t="str">
            <v>CTC</v>
          </cell>
          <cell r="K2925" t="str">
            <v>YES</v>
          </cell>
        </row>
        <row r="2926">
          <cell r="I2926" t="str">
            <v>V34679</v>
          </cell>
          <cell r="J2926" t="str">
            <v>CTC</v>
          </cell>
          <cell r="K2926" t="str">
            <v>YES</v>
          </cell>
        </row>
        <row r="2927">
          <cell r="I2927" t="str">
            <v>V34681</v>
          </cell>
          <cell r="J2927" t="str">
            <v>CTC</v>
          </cell>
          <cell r="K2927" t="str">
            <v>YES</v>
          </cell>
        </row>
        <row r="2928">
          <cell r="I2928" t="str">
            <v>V34687</v>
          </cell>
          <cell r="J2928" t="str">
            <v>CTC</v>
          </cell>
          <cell r="K2928" t="str">
            <v>YES</v>
          </cell>
        </row>
        <row r="2929">
          <cell r="I2929" t="str">
            <v>V34697</v>
          </cell>
          <cell r="J2929" t="str">
            <v>CTC</v>
          </cell>
          <cell r="K2929" t="str">
            <v>YES</v>
          </cell>
        </row>
        <row r="2930">
          <cell r="I2930" t="str">
            <v>V34698</v>
          </cell>
          <cell r="J2930" t="str">
            <v>CTC</v>
          </cell>
          <cell r="K2930" t="str">
            <v>YES</v>
          </cell>
        </row>
        <row r="2931">
          <cell r="I2931" t="str">
            <v>V34704</v>
          </cell>
          <cell r="J2931" t="str">
            <v>CTC</v>
          </cell>
          <cell r="K2931" t="str">
            <v>YES</v>
          </cell>
        </row>
        <row r="2932">
          <cell r="I2932" t="str">
            <v>V34706</v>
          </cell>
          <cell r="J2932" t="str">
            <v>CTC</v>
          </cell>
          <cell r="K2932" t="str">
            <v>YES</v>
          </cell>
        </row>
        <row r="2933">
          <cell r="I2933" t="str">
            <v>V35415</v>
          </cell>
          <cell r="J2933" t="str">
            <v>CTC</v>
          </cell>
          <cell r="K2933" t="str">
            <v>YES</v>
          </cell>
        </row>
        <row r="2934">
          <cell r="I2934" t="str">
            <v>V35418</v>
          </cell>
          <cell r="J2934" t="str">
            <v>CTC</v>
          </cell>
          <cell r="K2934" t="str">
            <v>YES</v>
          </cell>
        </row>
        <row r="2935">
          <cell r="I2935" t="str">
            <v>V35466</v>
          </cell>
          <cell r="J2935" t="str">
            <v>CTC</v>
          </cell>
          <cell r="K2935" t="str">
            <v>YES</v>
          </cell>
        </row>
        <row r="2936">
          <cell r="I2936" t="str">
            <v>V36011</v>
          </cell>
          <cell r="J2936" t="str">
            <v>CTC</v>
          </cell>
          <cell r="K2936" t="str">
            <v>YES</v>
          </cell>
        </row>
        <row r="2937">
          <cell r="I2937" t="str">
            <v>V36065</v>
          </cell>
          <cell r="J2937" t="str">
            <v>CTC</v>
          </cell>
          <cell r="K2937" t="str">
            <v>YES</v>
          </cell>
        </row>
        <row r="2938">
          <cell r="I2938" t="str">
            <v>V43623</v>
          </cell>
          <cell r="J2938" t="str">
            <v>CTC</v>
          </cell>
          <cell r="K2938" t="str">
            <v>YES</v>
          </cell>
        </row>
        <row r="2939">
          <cell r="I2939" t="str">
            <v>V17159</v>
          </cell>
          <cell r="J2939" t="str">
            <v>CTC</v>
          </cell>
          <cell r="K2939" t="str">
            <v>YES</v>
          </cell>
        </row>
        <row r="2940">
          <cell r="I2940" t="str">
            <v>V23515</v>
          </cell>
          <cell r="J2940" t="str">
            <v>CTC</v>
          </cell>
          <cell r="K2940" t="str">
            <v>YES</v>
          </cell>
        </row>
        <row r="2941">
          <cell r="I2941" t="str">
            <v>V16303</v>
          </cell>
          <cell r="J2941" t="str">
            <v>CTC</v>
          </cell>
          <cell r="K2941" t="str">
            <v>YES</v>
          </cell>
        </row>
        <row r="2942">
          <cell r="I2942" t="str">
            <v>V19811</v>
          </cell>
          <cell r="J2942" t="str">
            <v>CTC</v>
          </cell>
          <cell r="K2942" t="str">
            <v>YES</v>
          </cell>
        </row>
        <row r="2943">
          <cell r="I2943" t="str">
            <v>V20411</v>
          </cell>
          <cell r="J2943" t="str">
            <v>CTC</v>
          </cell>
          <cell r="K2943" t="str">
            <v>YES</v>
          </cell>
        </row>
        <row r="2944">
          <cell r="I2944" t="str">
            <v>V22210</v>
          </cell>
          <cell r="J2944" t="str">
            <v>CTC</v>
          </cell>
          <cell r="K2944" t="str">
            <v>YES</v>
          </cell>
        </row>
        <row r="2945">
          <cell r="I2945" t="str">
            <v>V24844</v>
          </cell>
          <cell r="J2945" t="str">
            <v>CTC</v>
          </cell>
          <cell r="K2945" t="str">
            <v>YES</v>
          </cell>
        </row>
        <row r="2946">
          <cell r="I2946" t="str">
            <v>V25201</v>
          </cell>
          <cell r="J2946" t="str">
            <v>CTC</v>
          </cell>
          <cell r="K2946" t="str">
            <v>YES</v>
          </cell>
        </row>
        <row r="2947">
          <cell r="I2947" t="str">
            <v>V28519</v>
          </cell>
          <cell r="J2947" t="str">
            <v>CTC</v>
          </cell>
          <cell r="K2947" t="str">
            <v>YES</v>
          </cell>
        </row>
        <row r="2948">
          <cell r="I2948" t="str">
            <v>V46121</v>
          </cell>
          <cell r="J2948" t="str">
            <v>CTC</v>
          </cell>
          <cell r="K2948" t="str">
            <v>YES</v>
          </cell>
        </row>
        <row r="2949">
          <cell r="I2949" t="str">
            <v>V26447</v>
          </cell>
          <cell r="J2949" t="str">
            <v>CTC</v>
          </cell>
          <cell r="K2949" t="str">
            <v>YES</v>
          </cell>
        </row>
        <row r="2950">
          <cell r="I2950" t="str">
            <v>V41395</v>
          </cell>
          <cell r="J2950" t="str">
            <v>CTC</v>
          </cell>
          <cell r="K2950" t="str">
            <v>YES</v>
          </cell>
        </row>
        <row r="2951">
          <cell r="I2951" t="str">
            <v>V34122</v>
          </cell>
          <cell r="J2951" t="str">
            <v>CTC</v>
          </cell>
          <cell r="K2951" t="str">
            <v>YES</v>
          </cell>
        </row>
        <row r="2952">
          <cell r="I2952" t="str">
            <v>V33852</v>
          </cell>
          <cell r="J2952" t="str">
            <v>CTC</v>
          </cell>
          <cell r="K2952" t="str">
            <v>YES</v>
          </cell>
        </row>
        <row r="2953">
          <cell r="I2953" t="str">
            <v>V03618</v>
          </cell>
          <cell r="J2953" t="str">
            <v>CTC</v>
          </cell>
          <cell r="K2953" t="str">
            <v>YES</v>
          </cell>
        </row>
        <row r="2954">
          <cell r="I2954" t="str">
            <v>V04516</v>
          </cell>
          <cell r="J2954" t="str">
            <v>CTC</v>
          </cell>
          <cell r="K2954" t="str">
            <v>YES</v>
          </cell>
        </row>
        <row r="2955">
          <cell r="I2955" t="str">
            <v>V18259</v>
          </cell>
          <cell r="J2955" t="str">
            <v>CTC</v>
          </cell>
          <cell r="K2955" t="str">
            <v>YES</v>
          </cell>
        </row>
        <row r="2956">
          <cell r="I2956" t="str">
            <v>V18457</v>
          </cell>
          <cell r="J2956" t="str">
            <v>CTC</v>
          </cell>
          <cell r="K2956" t="str">
            <v>YES</v>
          </cell>
        </row>
        <row r="2957">
          <cell r="I2957" t="str">
            <v>V18499</v>
          </cell>
          <cell r="J2957" t="str">
            <v>CTC</v>
          </cell>
          <cell r="K2957" t="str">
            <v>YES</v>
          </cell>
        </row>
        <row r="2958">
          <cell r="I2958" t="str">
            <v>V19015</v>
          </cell>
          <cell r="J2958" t="str">
            <v>CTC</v>
          </cell>
          <cell r="K2958" t="str">
            <v>YES</v>
          </cell>
        </row>
        <row r="2959">
          <cell r="I2959" t="str">
            <v>V19103</v>
          </cell>
          <cell r="J2959" t="str">
            <v>CTC</v>
          </cell>
          <cell r="K2959" t="str">
            <v>YES</v>
          </cell>
        </row>
        <row r="2960">
          <cell r="I2960" t="str">
            <v>V19132</v>
          </cell>
          <cell r="J2960" t="str">
            <v>CTC</v>
          </cell>
          <cell r="K2960" t="str">
            <v>YES</v>
          </cell>
        </row>
        <row r="2961">
          <cell r="I2961" t="str">
            <v>V19152</v>
          </cell>
          <cell r="J2961" t="str">
            <v>CTC</v>
          </cell>
          <cell r="K2961" t="str">
            <v>YES</v>
          </cell>
        </row>
        <row r="2962">
          <cell r="I2962" t="str">
            <v>V19452</v>
          </cell>
          <cell r="J2962" t="str">
            <v>CTC</v>
          </cell>
          <cell r="K2962" t="str">
            <v>YES</v>
          </cell>
        </row>
        <row r="2963">
          <cell r="I2963" t="str">
            <v>V19494</v>
          </cell>
          <cell r="J2963" t="str">
            <v>CTC</v>
          </cell>
          <cell r="K2963" t="str">
            <v>YES</v>
          </cell>
        </row>
        <row r="2964">
          <cell r="I2964" t="str">
            <v>V18784</v>
          </cell>
          <cell r="J2964" t="str">
            <v>CTC</v>
          </cell>
          <cell r="K2964" t="str">
            <v>YES</v>
          </cell>
        </row>
        <row r="2965">
          <cell r="I2965" t="str">
            <v>V29036</v>
          </cell>
          <cell r="J2965" t="str">
            <v>CTC</v>
          </cell>
          <cell r="K2965" t="str">
            <v>YES</v>
          </cell>
        </row>
        <row r="2966">
          <cell r="I2966" t="str">
            <v>V29132</v>
          </cell>
          <cell r="J2966" t="str">
            <v>CTC</v>
          </cell>
          <cell r="K2966" t="str">
            <v>YES</v>
          </cell>
        </row>
        <row r="2967">
          <cell r="I2967" t="str">
            <v>V34691</v>
          </cell>
          <cell r="J2967" t="str">
            <v>CTC</v>
          </cell>
          <cell r="K2967" t="str">
            <v>YES</v>
          </cell>
        </row>
        <row r="2968">
          <cell r="I2968" t="str">
            <v>V35759</v>
          </cell>
          <cell r="J2968" t="str">
            <v>CTC</v>
          </cell>
          <cell r="K2968" t="str">
            <v>YES</v>
          </cell>
        </row>
        <row r="2969">
          <cell r="I2969" t="str">
            <v>V31717</v>
          </cell>
          <cell r="J2969" t="str">
            <v>CTC</v>
          </cell>
          <cell r="K2969" t="str">
            <v>YES</v>
          </cell>
        </row>
        <row r="2970">
          <cell r="I2970" t="str">
            <v>V26290</v>
          </cell>
          <cell r="J2970" t="str">
            <v>CTC</v>
          </cell>
          <cell r="K2970" t="str">
            <v>YES</v>
          </cell>
        </row>
        <row r="2971">
          <cell r="I2971" t="str">
            <v>V09486</v>
          </cell>
          <cell r="J2971" t="str">
            <v>CTC</v>
          </cell>
          <cell r="K2971" t="str">
            <v>YES</v>
          </cell>
        </row>
        <row r="2972">
          <cell r="I2972" t="str">
            <v>V10933</v>
          </cell>
          <cell r="J2972" t="str">
            <v>CTC</v>
          </cell>
          <cell r="K2972" t="str">
            <v>YES</v>
          </cell>
        </row>
        <row r="2973">
          <cell r="I2973" t="str">
            <v>V11777</v>
          </cell>
          <cell r="J2973" t="str">
            <v>CTC</v>
          </cell>
          <cell r="K2973" t="str">
            <v>YES</v>
          </cell>
        </row>
        <row r="2974">
          <cell r="I2974" t="str">
            <v>V12146</v>
          </cell>
          <cell r="J2974" t="str">
            <v>CTC</v>
          </cell>
          <cell r="K2974" t="str">
            <v>YES</v>
          </cell>
        </row>
        <row r="2975">
          <cell r="I2975" t="str">
            <v>V12330</v>
          </cell>
          <cell r="J2975" t="str">
            <v>CTC</v>
          </cell>
          <cell r="K2975" t="str">
            <v>YES</v>
          </cell>
        </row>
        <row r="2976">
          <cell r="I2976" t="str">
            <v>V13169</v>
          </cell>
          <cell r="J2976" t="str">
            <v>CTC</v>
          </cell>
          <cell r="K2976" t="str">
            <v>YES</v>
          </cell>
        </row>
        <row r="2977">
          <cell r="I2977" t="str">
            <v>V13384</v>
          </cell>
          <cell r="J2977" t="str">
            <v>CTC</v>
          </cell>
          <cell r="K2977" t="str">
            <v>YES</v>
          </cell>
        </row>
        <row r="2978">
          <cell r="I2978" t="str">
            <v>V13445</v>
          </cell>
          <cell r="J2978" t="str">
            <v>CTC</v>
          </cell>
          <cell r="K2978" t="str">
            <v>YES</v>
          </cell>
        </row>
        <row r="2979">
          <cell r="I2979" t="str">
            <v>V14484</v>
          </cell>
          <cell r="J2979" t="str">
            <v>CTC</v>
          </cell>
          <cell r="K2979" t="str">
            <v>YES</v>
          </cell>
        </row>
        <row r="2980">
          <cell r="I2980" t="str">
            <v>V14515</v>
          </cell>
          <cell r="J2980" t="str">
            <v>CTC</v>
          </cell>
          <cell r="K2980" t="str">
            <v>YES</v>
          </cell>
        </row>
        <row r="2981">
          <cell r="I2981" t="str">
            <v>V14831</v>
          </cell>
          <cell r="J2981" t="str">
            <v>CTC</v>
          </cell>
          <cell r="K2981" t="str">
            <v>YES</v>
          </cell>
        </row>
        <row r="2982">
          <cell r="I2982" t="str">
            <v>V15974</v>
          </cell>
          <cell r="J2982" t="str">
            <v>CTC</v>
          </cell>
          <cell r="K2982" t="str">
            <v>YES</v>
          </cell>
        </row>
        <row r="2983">
          <cell r="I2983" t="str">
            <v>V16038</v>
          </cell>
          <cell r="J2983" t="str">
            <v>CTC</v>
          </cell>
          <cell r="K2983" t="str">
            <v>YES</v>
          </cell>
        </row>
        <row r="2984">
          <cell r="I2984" t="str">
            <v>V16245</v>
          </cell>
          <cell r="J2984" t="str">
            <v>CTC</v>
          </cell>
          <cell r="K2984" t="str">
            <v>YES</v>
          </cell>
        </row>
        <row r="2985">
          <cell r="I2985" t="str">
            <v>V17983</v>
          </cell>
          <cell r="J2985" t="str">
            <v>CTC</v>
          </cell>
          <cell r="K2985" t="str">
            <v>YES</v>
          </cell>
        </row>
        <row r="2986">
          <cell r="I2986" t="str">
            <v>V18068</v>
          </cell>
          <cell r="J2986" t="str">
            <v>CTC</v>
          </cell>
          <cell r="K2986" t="str">
            <v>YES</v>
          </cell>
        </row>
        <row r="2987">
          <cell r="I2987" t="str">
            <v>V18392</v>
          </cell>
          <cell r="J2987" t="str">
            <v>CTC</v>
          </cell>
          <cell r="K2987" t="str">
            <v>YES</v>
          </cell>
        </row>
        <row r="2988">
          <cell r="I2988" t="str">
            <v>V18546</v>
          </cell>
          <cell r="J2988" t="str">
            <v>CTC</v>
          </cell>
          <cell r="K2988" t="str">
            <v>YES</v>
          </cell>
        </row>
        <row r="2989">
          <cell r="I2989" t="str">
            <v>V20404</v>
          </cell>
          <cell r="J2989" t="str">
            <v>CTC</v>
          </cell>
          <cell r="K2989" t="str">
            <v>YES</v>
          </cell>
        </row>
        <row r="2990">
          <cell r="I2990" t="str">
            <v>V20514</v>
          </cell>
          <cell r="J2990" t="str">
            <v>CTC</v>
          </cell>
          <cell r="K2990" t="str">
            <v>YES</v>
          </cell>
        </row>
        <row r="2991">
          <cell r="I2991" t="str">
            <v>V20543</v>
          </cell>
          <cell r="J2991" t="str">
            <v>CTC</v>
          </cell>
          <cell r="K2991" t="str">
            <v>YES</v>
          </cell>
        </row>
        <row r="2992">
          <cell r="I2992" t="str">
            <v>V20544</v>
          </cell>
          <cell r="J2992" t="str">
            <v>CTC</v>
          </cell>
          <cell r="K2992" t="str">
            <v>YES</v>
          </cell>
        </row>
        <row r="2993">
          <cell r="I2993" t="str">
            <v>V20639</v>
          </cell>
          <cell r="J2993" t="str">
            <v>CTC</v>
          </cell>
          <cell r="K2993" t="str">
            <v>YES</v>
          </cell>
        </row>
        <row r="2994">
          <cell r="I2994" t="str">
            <v>V20886</v>
          </cell>
          <cell r="J2994" t="str">
            <v>CTC</v>
          </cell>
          <cell r="K2994" t="str">
            <v>YES</v>
          </cell>
        </row>
        <row r="2995">
          <cell r="I2995" t="str">
            <v>V20894</v>
          </cell>
          <cell r="J2995" t="str">
            <v>CTC</v>
          </cell>
          <cell r="K2995" t="str">
            <v>YES</v>
          </cell>
        </row>
        <row r="2996">
          <cell r="I2996" t="str">
            <v>V20987</v>
          </cell>
          <cell r="J2996" t="str">
            <v>CTC</v>
          </cell>
          <cell r="K2996" t="str">
            <v>YES</v>
          </cell>
        </row>
        <row r="2997">
          <cell r="I2997" t="str">
            <v>V21267</v>
          </cell>
          <cell r="J2997" t="str">
            <v>CTC</v>
          </cell>
          <cell r="K2997" t="str">
            <v>YES</v>
          </cell>
        </row>
        <row r="2998">
          <cell r="I2998" t="str">
            <v>V21272</v>
          </cell>
          <cell r="J2998" t="str">
            <v>CTC</v>
          </cell>
          <cell r="K2998" t="str">
            <v>YES</v>
          </cell>
        </row>
        <row r="2999">
          <cell r="I2999" t="str">
            <v>V21376</v>
          </cell>
          <cell r="J2999" t="str">
            <v>CTC</v>
          </cell>
          <cell r="K2999" t="str">
            <v>YES</v>
          </cell>
        </row>
        <row r="3000">
          <cell r="I3000" t="str">
            <v>V21698</v>
          </cell>
          <cell r="J3000" t="str">
            <v>CTC</v>
          </cell>
          <cell r="K3000" t="str">
            <v>YES</v>
          </cell>
        </row>
        <row r="3001">
          <cell r="I3001" t="str">
            <v>V21737</v>
          </cell>
          <cell r="J3001" t="str">
            <v>CTC</v>
          </cell>
          <cell r="K3001" t="str">
            <v>YES</v>
          </cell>
        </row>
        <row r="3002">
          <cell r="I3002" t="str">
            <v>V21817</v>
          </cell>
          <cell r="J3002" t="str">
            <v>CTC</v>
          </cell>
          <cell r="K3002" t="str">
            <v>YES</v>
          </cell>
        </row>
        <row r="3003">
          <cell r="I3003" t="str">
            <v>V22040</v>
          </cell>
          <cell r="J3003" t="str">
            <v>CTC</v>
          </cell>
          <cell r="K3003" t="str">
            <v>YES</v>
          </cell>
        </row>
        <row r="3004">
          <cell r="I3004" t="str">
            <v>V22267</v>
          </cell>
          <cell r="J3004" t="str">
            <v>CTC</v>
          </cell>
          <cell r="K3004" t="str">
            <v>YES</v>
          </cell>
        </row>
        <row r="3005">
          <cell r="I3005" t="str">
            <v>V22394</v>
          </cell>
          <cell r="J3005" t="str">
            <v>CTC</v>
          </cell>
          <cell r="K3005" t="str">
            <v>YES</v>
          </cell>
        </row>
        <row r="3006">
          <cell r="I3006" t="str">
            <v>V22621</v>
          </cell>
          <cell r="J3006" t="str">
            <v>CTC</v>
          </cell>
          <cell r="K3006" t="str">
            <v>YES</v>
          </cell>
        </row>
        <row r="3007">
          <cell r="I3007" t="str">
            <v>V22648</v>
          </cell>
          <cell r="J3007" t="str">
            <v>CTC</v>
          </cell>
          <cell r="K3007" t="str">
            <v>YES</v>
          </cell>
        </row>
        <row r="3008">
          <cell r="I3008" t="str">
            <v>V22720</v>
          </cell>
          <cell r="J3008" t="str">
            <v>CTC</v>
          </cell>
          <cell r="K3008" t="str">
            <v>YES</v>
          </cell>
        </row>
        <row r="3009">
          <cell r="I3009" t="str">
            <v>V22722</v>
          </cell>
          <cell r="J3009" t="str">
            <v>CTC</v>
          </cell>
          <cell r="K3009" t="str">
            <v>YES</v>
          </cell>
        </row>
        <row r="3010">
          <cell r="I3010" t="str">
            <v>V22795</v>
          </cell>
          <cell r="J3010" t="str">
            <v>CTC</v>
          </cell>
          <cell r="K3010" t="str">
            <v>YES</v>
          </cell>
        </row>
        <row r="3011">
          <cell r="I3011" t="str">
            <v>V22846</v>
          </cell>
          <cell r="J3011" t="str">
            <v>CTC</v>
          </cell>
          <cell r="K3011" t="str">
            <v>YES</v>
          </cell>
        </row>
        <row r="3012">
          <cell r="I3012" t="str">
            <v>V22877</v>
          </cell>
          <cell r="J3012" t="str">
            <v>CTC</v>
          </cell>
          <cell r="K3012" t="str">
            <v>YES</v>
          </cell>
        </row>
        <row r="3013">
          <cell r="I3013" t="str">
            <v>V22893</v>
          </cell>
          <cell r="J3013" t="str">
            <v>CTC</v>
          </cell>
          <cell r="K3013" t="str">
            <v>YES</v>
          </cell>
        </row>
        <row r="3014">
          <cell r="I3014" t="str">
            <v>V22976</v>
          </cell>
          <cell r="J3014" t="str">
            <v>CTC</v>
          </cell>
          <cell r="K3014" t="str">
            <v>YES</v>
          </cell>
        </row>
        <row r="3015">
          <cell r="I3015" t="str">
            <v>V23031</v>
          </cell>
          <cell r="J3015" t="str">
            <v>CTC</v>
          </cell>
          <cell r="K3015" t="str">
            <v>YES</v>
          </cell>
        </row>
        <row r="3016">
          <cell r="I3016" t="str">
            <v>V23076</v>
          </cell>
          <cell r="J3016" t="str">
            <v>CTC</v>
          </cell>
          <cell r="K3016" t="str">
            <v>YES</v>
          </cell>
        </row>
        <row r="3017">
          <cell r="I3017" t="str">
            <v>V23086</v>
          </cell>
          <cell r="J3017" t="str">
            <v>CTC</v>
          </cell>
          <cell r="K3017" t="str">
            <v>YES</v>
          </cell>
        </row>
        <row r="3018">
          <cell r="I3018" t="str">
            <v>V23133</v>
          </cell>
          <cell r="J3018" t="str">
            <v>CTC</v>
          </cell>
          <cell r="K3018" t="str">
            <v>YES</v>
          </cell>
        </row>
        <row r="3019">
          <cell r="I3019" t="str">
            <v>V23155</v>
          </cell>
          <cell r="J3019" t="str">
            <v>CTC</v>
          </cell>
          <cell r="K3019" t="str">
            <v>YES</v>
          </cell>
        </row>
        <row r="3020">
          <cell r="I3020" t="str">
            <v>V23203</v>
          </cell>
          <cell r="J3020" t="str">
            <v>CTC</v>
          </cell>
          <cell r="K3020" t="str">
            <v>YES</v>
          </cell>
        </row>
        <row r="3021">
          <cell r="I3021" t="str">
            <v>V23379</v>
          </cell>
          <cell r="J3021" t="str">
            <v>CTC</v>
          </cell>
          <cell r="K3021" t="str">
            <v>YES</v>
          </cell>
        </row>
        <row r="3022">
          <cell r="I3022" t="str">
            <v>V23400</v>
          </cell>
          <cell r="J3022" t="str">
            <v>CTC</v>
          </cell>
          <cell r="K3022" t="str">
            <v>YES</v>
          </cell>
        </row>
        <row r="3023">
          <cell r="I3023" t="str">
            <v>V23543</v>
          </cell>
          <cell r="J3023" t="str">
            <v>CTC</v>
          </cell>
          <cell r="K3023" t="str">
            <v>YES</v>
          </cell>
        </row>
        <row r="3024">
          <cell r="I3024" t="str">
            <v>V23611</v>
          </cell>
          <cell r="J3024" t="str">
            <v>CTC</v>
          </cell>
          <cell r="K3024" t="str">
            <v>YES</v>
          </cell>
        </row>
        <row r="3025">
          <cell r="I3025" t="str">
            <v>V23617</v>
          </cell>
          <cell r="J3025" t="str">
            <v>CTC</v>
          </cell>
          <cell r="K3025" t="str">
            <v>YES</v>
          </cell>
        </row>
        <row r="3026">
          <cell r="I3026" t="str">
            <v>V23619</v>
          </cell>
          <cell r="J3026" t="str">
            <v>CTC</v>
          </cell>
          <cell r="K3026" t="str">
            <v>YES</v>
          </cell>
        </row>
        <row r="3027">
          <cell r="I3027" t="str">
            <v>V23888</v>
          </cell>
          <cell r="J3027" t="str">
            <v>CTC</v>
          </cell>
          <cell r="K3027" t="str">
            <v>YES</v>
          </cell>
        </row>
        <row r="3028">
          <cell r="I3028" t="str">
            <v>V23889</v>
          </cell>
          <cell r="J3028" t="str">
            <v>CTC</v>
          </cell>
          <cell r="K3028" t="str">
            <v>YES</v>
          </cell>
        </row>
        <row r="3029">
          <cell r="I3029" t="str">
            <v>V23942</v>
          </cell>
          <cell r="J3029" t="str">
            <v>CTC</v>
          </cell>
          <cell r="K3029" t="str">
            <v>YES</v>
          </cell>
        </row>
        <row r="3030">
          <cell r="I3030" t="str">
            <v>V23943</v>
          </cell>
          <cell r="J3030" t="str">
            <v>CTC</v>
          </cell>
          <cell r="K3030" t="str">
            <v>YES</v>
          </cell>
        </row>
        <row r="3031">
          <cell r="I3031" t="str">
            <v>V24026</v>
          </cell>
          <cell r="J3031" t="str">
            <v>CTC</v>
          </cell>
          <cell r="K3031" t="str">
            <v>YES</v>
          </cell>
        </row>
        <row r="3032">
          <cell r="I3032" t="str">
            <v>V24109</v>
          </cell>
          <cell r="J3032" t="str">
            <v>CTC</v>
          </cell>
          <cell r="K3032" t="str">
            <v>YES</v>
          </cell>
        </row>
        <row r="3033">
          <cell r="I3033" t="str">
            <v>V24114</v>
          </cell>
          <cell r="J3033" t="str">
            <v>CTC</v>
          </cell>
          <cell r="K3033" t="str">
            <v>YES</v>
          </cell>
        </row>
        <row r="3034">
          <cell r="I3034" t="str">
            <v>V24119</v>
          </cell>
          <cell r="J3034" t="str">
            <v>CTC</v>
          </cell>
          <cell r="K3034" t="str">
            <v>YES</v>
          </cell>
        </row>
        <row r="3035">
          <cell r="I3035" t="str">
            <v>V24171</v>
          </cell>
          <cell r="J3035" t="str">
            <v>CTC</v>
          </cell>
          <cell r="K3035" t="str">
            <v>YES</v>
          </cell>
        </row>
        <row r="3036">
          <cell r="I3036" t="str">
            <v>V24245</v>
          </cell>
          <cell r="J3036" t="str">
            <v>CTC</v>
          </cell>
          <cell r="K3036" t="str">
            <v>YES</v>
          </cell>
        </row>
        <row r="3037">
          <cell r="I3037" t="str">
            <v>V24352</v>
          </cell>
          <cell r="J3037" t="str">
            <v>CTC</v>
          </cell>
          <cell r="K3037" t="str">
            <v>YES</v>
          </cell>
        </row>
        <row r="3038">
          <cell r="I3038" t="str">
            <v>V24586</v>
          </cell>
          <cell r="J3038" t="str">
            <v>CTC</v>
          </cell>
          <cell r="K3038" t="str">
            <v>YES</v>
          </cell>
        </row>
        <row r="3039">
          <cell r="I3039" t="str">
            <v>V24890</v>
          </cell>
          <cell r="J3039" t="str">
            <v>CTC</v>
          </cell>
          <cell r="K3039" t="str">
            <v>YES</v>
          </cell>
        </row>
        <row r="3040">
          <cell r="I3040" t="str">
            <v>V24946</v>
          </cell>
          <cell r="J3040" t="str">
            <v>CTC</v>
          </cell>
          <cell r="K3040" t="str">
            <v>YES</v>
          </cell>
        </row>
        <row r="3041">
          <cell r="I3041" t="str">
            <v>V25130</v>
          </cell>
          <cell r="J3041" t="str">
            <v>CTC</v>
          </cell>
          <cell r="K3041" t="str">
            <v>YES</v>
          </cell>
        </row>
        <row r="3042">
          <cell r="I3042" t="str">
            <v>V25207</v>
          </cell>
          <cell r="J3042" t="str">
            <v>CTC</v>
          </cell>
          <cell r="K3042" t="str">
            <v>YES</v>
          </cell>
        </row>
        <row r="3043">
          <cell r="I3043" t="str">
            <v>V25264</v>
          </cell>
          <cell r="J3043" t="str">
            <v>CTC</v>
          </cell>
          <cell r="K3043" t="str">
            <v>YES</v>
          </cell>
        </row>
        <row r="3044">
          <cell r="I3044" t="str">
            <v>V25287</v>
          </cell>
          <cell r="J3044" t="str">
            <v>CTC</v>
          </cell>
          <cell r="K3044" t="str">
            <v>YES</v>
          </cell>
        </row>
        <row r="3045">
          <cell r="I3045" t="str">
            <v>V25319</v>
          </cell>
          <cell r="J3045" t="str">
            <v>CTC</v>
          </cell>
          <cell r="K3045" t="str">
            <v>YES</v>
          </cell>
        </row>
        <row r="3046">
          <cell r="I3046" t="str">
            <v>V25344</v>
          </cell>
          <cell r="J3046" t="str">
            <v>CTC</v>
          </cell>
          <cell r="K3046" t="str">
            <v>YES</v>
          </cell>
        </row>
        <row r="3047">
          <cell r="I3047" t="str">
            <v>V25416</v>
          </cell>
          <cell r="J3047" t="str">
            <v>CTC</v>
          </cell>
          <cell r="K3047" t="str">
            <v>YES</v>
          </cell>
        </row>
        <row r="3048">
          <cell r="I3048" t="str">
            <v>V36046</v>
          </cell>
          <cell r="J3048" t="str">
            <v>CTC</v>
          </cell>
          <cell r="K3048" t="str">
            <v>YES</v>
          </cell>
        </row>
        <row r="3049">
          <cell r="I3049" t="str">
            <v>V20324</v>
          </cell>
          <cell r="J3049" t="str">
            <v>CTC</v>
          </cell>
          <cell r="K3049" t="str">
            <v>YES</v>
          </cell>
        </row>
        <row r="3050">
          <cell r="I3050" t="str">
            <v>V47266</v>
          </cell>
          <cell r="J3050" t="str">
            <v>CTC</v>
          </cell>
          <cell r="K3050" t="str">
            <v>YES</v>
          </cell>
        </row>
        <row r="3051">
          <cell r="I3051" t="str">
            <v>V02580</v>
          </cell>
          <cell r="J3051" t="str">
            <v>CTC</v>
          </cell>
          <cell r="K3051" t="str">
            <v>YES</v>
          </cell>
        </row>
        <row r="3052">
          <cell r="I3052" t="str">
            <v>V03193</v>
          </cell>
          <cell r="J3052" t="str">
            <v>CTC</v>
          </cell>
          <cell r="K3052" t="str">
            <v>YES</v>
          </cell>
        </row>
        <row r="3053">
          <cell r="I3053" t="str">
            <v>V04515</v>
          </cell>
          <cell r="J3053" t="str">
            <v>CTC</v>
          </cell>
          <cell r="K3053" t="str">
            <v>YES</v>
          </cell>
        </row>
        <row r="3054">
          <cell r="I3054" t="str">
            <v>V04926</v>
          </cell>
          <cell r="J3054" t="str">
            <v>CTC</v>
          </cell>
          <cell r="K3054" t="str">
            <v>YES</v>
          </cell>
        </row>
        <row r="3055">
          <cell r="I3055" t="str">
            <v>V05501</v>
          </cell>
          <cell r="J3055" t="str">
            <v>CTC</v>
          </cell>
          <cell r="K3055" t="str">
            <v>YES</v>
          </cell>
        </row>
        <row r="3056">
          <cell r="I3056" t="str">
            <v>V05679</v>
          </cell>
          <cell r="J3056" t="str">
            <v>CTC</v>
          </cell>
          <cell r="K3056" t="str">
            <v>YES</v>
          </cell>
        </row>
        <row r="3057">
          <cell r="I3057" t="str">
            <v>V06865</v>
          </cell>
          <cell r="J3057" t="str">
            <v>CTC</v>
          </cell>
          <cell r="K3057" t="str">
            <v>YES</v>
          </cell>
        </row>
        <row r="3058">
          <cell r="I3058" t="str">
            <v>V06904</v>
          </cell>
          <cell r="J3058" t="str">
            <v>CTC</v>
          </cell>
          <cell r="K3058" t="str">
            <v>YES</v>
          </cell>
        </row>
        <row r="3059">
          <cell r="I3059" t="str">
            <v>V07363</v>
          </cell>
          <cell r="J3059" t="str">
            <v>CTC</v>
          </cell>
          <cell r="K3059" t="str">
            <v>YES</v>
          </cell>
        </row>
        <row r="3060">
          <cell r="I3060" t="str">
            <v>V07527</v>
          </cell>
          <cell r="J3060" t="str">
            <v>CTC</v>
          </cell>
          <cell r="K3060" t="str">
            <v>YES</v>
          </cell>
        </row>
        <row r="3061">
          <cell r="I3061" t="str">
            <v>V07989</v>
          </cell>
          <cell r="J3061" t="str">
            <v>CTC</v>
          </cell>
          <cell r="K3061" t="str">
            <v>YES</v>
          </cell>
        </row>
        <row r="3062">
          <cell r="I3062" t="str">
            <v>V08361</v>
          </cell>
          <cell r="J3062" t="str">
            <v>CTC</v>
          </cell>
          <cell r="K3062" t="str">
            <v>YES</v>
          </cell>
        </row>
        <row r="3063">
          <cell r="I3063" t="str">
            <v>V09191</v>
          </cell>
          <cell r="J3063" t="str">
            <v>CTC</v>
          </cell>
          <cell r="K3063" t="str">
            <v>YES</v>
          </cell>
        </row>
        <row r="3064">
          <cell r="I3064" t="str">
            <v>V09585</v>
          </cell>
          <cell r="J3064" t="str">
            <v>CTC</v>
          </cell>
          <cell r="K3064" t="str">
            <v>YES</v>
          </cell>
        </row>
        <row r="3065">
          <cell r="I3065" t="str">
            <v>V09794</v>
          </cell>
          <cell r="J3065" t="str">
            <v>CTC</v>
          </cell>
          <cell r="K3065" t="str">
            <v>YES</v>
          </cell>
        </row>
        <row r="3066">
          <cell r="I3066" t="str">
            <v>V09795</v>
          </cell>
          <cell r="J3066" t="str">
            <v>CTC</v>
          </cell>
          <cell r="K3066" t="str">
            <v>YES</v>
          </cell>
        </row>
        <row r="3067">
          <cell r="I3067" t="str">
            <v>V10369</v>
          </cell>
          <cell r="J3067" t="str">
            <v>CTC</v>
          </cell>
          <cell r="K3067" t="str">
            <v>YES</v>
          </cell>
        </row>
        <row r="3068">
          <cell r="I3068" t="str">
            <v>V12251</v>
          </cell>
          <cell r="J3068" t="str">
            <v>CTC</v>
          </cell>
          <cell r="K3068" t="str">
            <v>YES</v>
          </cell>
        </row>
        <row r="3069">
          <cell r="I3069" t="str">
            <v>V12521</v>
          </cell>
          <cell r="J3069" t="str">
            <v>CTC</v>
          </cell>
          <cell r="K3069" t="str">
            <v>YES</v>
          </cell>
        </row>
        <row r="3070">
          <cell r="I3070" t="str">
            <v>V12523</v>
          </cell>
          <cell r="J3070" t="str">
            <v>CTC</v>
          </cell>
          <cell r="K3070" t="str">
            <v>YES</v>
          </cell>
        </row>
        <row r="3071">
          <cell r="I3071" t="str">
            <v>V12596</v>
          </cell>
          <cell r="J3071" t="str">
            <v>CTC</v>
          </cell>
          <cell r="K3071" t="str">
            <v>YES</v>
          </cell>
        </row>
        <row r="3072">
          <cell r="I3072" t="str">
            <v>V13185</v>
          </cell>
          <cell r="J3072" t="str">
            <v>CTC</v>
          </cell>
          <cell r="K3072" t="str">
            <v>YES</v>
          </cell>
        </row>
        <row r="3073">
          <cell r="I3073" t="str">
            <v>V13287</v>
          </cell>
          <cell r="J3073" t="str">
            <v>CTC</v>
          </cell>
          <cell r="K3073" t="str">
            <v>YES</v>
          </cell>
        </row>
        <row r="3074">
          <cell r="I3074" t="str">
            <v>V13368</v>
          </cell>
          <cell r="J3074" t="str">
            <v>CTC</v>
          </cell>
          <cell r="K3074" t="str">
            <v>YES</v>
          </cell>
        </row>
        <row r="3075">
          <cell r="I3075" t="str">
            <v>V13803</v>
          </cell>
          <cell r="J3075" t="str">
            <v>CTC</v>
          </cell>
          <cell r="K3075" t="str">
            <v>YES</v>
          </cell>
        </row>
        <row r="3076">
          <cell r="I3076" t="str">
            <v>V13869</v>
          </cell>
          <cell r="J3076" t="str">
            <v>CTC</v>
          </cell>
          <cell r="K3076" t="str">
            <v>YES</v>
          </cell>
        </row>
        <row r="3077">
          <cell r="I3077" t="str">
            <v>V14309</v>
          </cell>
          <cell r="J3077" t="str">
            <v>CTC</v>
          </cell>
          <cell r="K3077" t="str">
            <v>YES</v>
          </cell>
        </row>
        <row r="3078">
          <cell r="I3078" t="str">
            <v>V15029</v>
          </cell>
          <cell r="J3078" t="str">
            <v>CTC</v>
          </cell>
          <cell r="K3078" t="str">
            <v>YES</v>
          </cell>
        </row>
        <row r="3079">
          <cell r="I3079" t="str">
            <v>V15360</v>
          </cell>
          <cell r="J3079" t="str">
            <v>CTC</v>
          </cell>
          <cell r="K3079" t="str">
            <v>YES</v>
          </cell>
        </row>
        <row r="3080">
          <cell r="I3080" t="str">
            <v>V15375</v>
          </cell>
          <cell r="J3080" t="str">
            <v>CTC</v>
          </cell>
          <cell r="K3080" t="str">
            <v>YES</v>
          </cell>
        </row>
        <row r="3081">
          <cell r="I3081" t="str">
            <v>V15393</v>
          </cell>
          <cell r="J3081" t="str">
            <v>CTC</v>
          </cell>
          <cell r="K3081" t="str">
            <v>YES</v>
          </cell>
        </row>
        <row r="3082">
          <cell r="I3082" t="str">
            <v>V15468</v>
          </cell>
          <cell r="J3082" t="str">
            <v>CTC</v>
          </cell>
          <cell r="K3082" t="str">
            <v>YES</v>
          </cell>
        </row>
        <row r="3083">
          <cell r="I3083" t="str">
            <v>V15514</v>
          </cell>
          <cell r="J3083" t="str">
            <v>CTC</v>
          </cell>
          <cell r="K3083" t="str">
            <v>YES</v>
          </cell>
        </row>
        <row r="3084">
          <cell r="I3084" t="str">
            <v>V15535</v>
          </cell>
          <cell r="J3084" t="str">
            <v>CTC</v>
          </cell>
          <cell r="K3084" t="str">
            <v>YES</v>
          </cell>
        </row>
        <row r="3085">
          <cell r="I3085" t="str">
            <v>V15657</v>
          </cell>
          <cell r="J3085" t="str">
            <v>CTC</v>
          </cell>
          <cell r="K3085" t="str">
            <v>YES</v>
          </cell>
        </row>
        <row r="3086">
          <cell r="I3086" t="str">
            <v>V15847</v>
          </cell>
          <cell r="J3086" t="str">
            <v>CTC</v>
          </cell>
          <cell r="K3086" t="str">
            <v>YES</v>
          </cell>
        </row>
        <row r="3087">
          <cell r="I3087" t="str">
            <v>V16205</v>
          </cell>
          <cell r="J3087" t="str">
            <v>CTC</v>
          </cell>
          <cell r="K3087" t="str">
            <v>YES</v>
          </cell>
        </row>
        <row r="3088">
          <cell r="I3088" t="str">
            <v>V16310</v>
          </cell>
          <cell r="J3088" t="str">
            <v>CTC</v>
          </cell>
          <cell r="K3088" t="str">
            <v>YES</v>
          </cell>
        </row>
        <row r="3089">
          <cell r="I3089" t="str">
            <v>V16431</v>
          </cell>
          <cell r="J3089" t="str">
            <v>CTC</v>
          </cell>
          <cell r="K3089" t="str">
            <v>YES</v>
          </cell>
        </row>
        <row r="3090">
          <cell r="I3090" t="str">
            <v>V16446</v>
          </cell>
          <cell r="J3090" t="str">
            <v>CTC</v>
          </cell>
          <cell r="K3090" t="str">
            <v>YES</v>
          </cell>
        </row>
        <row r="3091">
          <cell r="I3091" t="str">
            <v>V16543</v>
          </cell>
          <cell r="J3091" t="str">
            <v>CTC</v>
          </cell>
          <cell r="K3091" t="str">
            <v>YES</v>
          </cell>
        </row>
        <row r="3092">
          <cell r="I3092" t="str">
            <v>V17015</v>
          </cell>
          <cell r="J3092" t="str">
            <v>CTC</v>
          </cell>
          <cell r="K3092" t="str">
            <v>YES</v>
          </cell>
        </row>
        <row r="3093">
          <cell r="I3093" t="str">
            <v>V18034</v>
          </cell>
          <cell r="J3093" t="str">
            <v>CTC</v>
          </cell>
          <cell r="K3093" t="str">
            <v>YES</v>
          </cell>
        </row>
        <row r="3094">
          <cell r="I3094" t="str">
            <v>V18085</v>
          </cell>
          <cell r="J3094" t="str">
            <v>CTC</v>
          </cell>
          <cell r="K3094" t="str">
            <v>YES</v>
          </cell>
        </row>
        <row r="3095">
          <cell r="I3095" t="str">
            <v>V18192</v>
          </cell>
          <cell r="J3095" t="str">
            <v>CTC</v>
          </cell>
          <cell r="K3095" t="str">
            <v>YES</v>
          </cell>
        </row>
        <row r="3096">
          <cell r="I3096" t="str">
            <v>V18206</v>
          </cell>
          <cell r="J3096" t="str">
            <v>CTC</v>
          </cell>
          <cell r="K3096" t="str">
            <v>YES</v>
          </cell>
        </row>
        <row r="3097">
          <cell r="I3097" t="str">
            <v>V18208</v>
          </cell>
          <cell r="J3097" t="str">
            <v>CTC</v>
          </cell>
          <cell r="K3097" t="str">
            <v>YES</v>
          </cell>
        </row>
        <row r="3098">
          <cell r="I3098" t="str">
            <v>V18252</v>
          </cell>
          <cell r="J3098" t="str">
            <v>CTC</v>
          </cell>
          <cell r="K3098" t="str">
            <v>YES</v>
          </cell>
        </row>
        <row r="3099">
          <cell r="I3099" t="str">
            <v>V18257</v>
          </cell>
          <cell r="J3099" t="str">
            <v>CTC</v>
          </cell>
          <cell r="K3099" t="str">
            <v>YES</v>
          </cell>
        </row>
        <row r="3100">
          <cell r="I3100" t="str">
            <v>V18286</v>
          </cell>
          <cell r="J3100" t="str">
            <v>CTC</v>
          </cell>
          <cell r="K3100" t="str">
            <v>YES</v>
          </cell>
        </row>
        <row r="3101">
          <cell r="I3101" t="str">
            <v>V18422</v>
          </cell>
          <cell r="J3101" t="str">
            <v>CTC</v>
          </cell>
          <cell r="K3101" t="str">
            <v>YES</v>
          </cell>
        </row>
        <row r="3102">
          <cell r="I3102" t="str">
            <v>V18458</v>
          </cell>
          <cell r="J3102" t="str">
            <v>CTC</v>
          </cell>
          <cell r="K3102" t="str">
            <v>YES</v>
          </cell>
        </row>
        <row r="3103">
          <cell r="I3103" t="str">
            <v>V18476</v>
          </cell>
          <cell r="J3103" t="str">
            <v>CTC</v>
          </cell>
          <cell r="K3103" t="str">
            <v>YES</v>
          </cell>
        </row>
        <row r="3104">
          <cell r="I3104" t="str">
            <v>V18633</v>
          </cell>
          <cell r="J3104" t="str">
            <v>CTC</v>
          </cell>
          <cell r="K3104" t="str">
            <v>YES</v>
          </cell>
        </row>
        <row r="3105">
          <cell r="I3105" t="str">
            <v>V18659</v>
          </cell>
          <cell r="J3105" t="str">
            <v>CTC</v>
          </cell>
          <cell r="K3105" t="str">
            <v>YES</v>
          </cell>
        </row>
        <row r="3106">
          <cell r="I3106" t="str">
            <v>V18670</v>
          </cell>
          <cell r="J3106" t="str">
            <v>CTC</v>
          </cell>
          <cell r="K3106" t="str">
            <v>YES</v>
          </cell>
        </row>
        <row r="3107">
          <cell r="I3107" t="str">
            <v>V18794</v>
          </cell>
          <cell r="J3107" t="str">
            <v>CTC</v>
          </cell>
          <cell r="K3107" t="str">
            <v>YES</v>
          </cell>
        </row>
        <row r="3108">
          <cell r="I3108" t="str">
            <v>V18827</v>
          </cell>
          <cell r="J3108" t="str">
            <v>CTC</v>
          </cell>
          <cell r="K3108" t="str">
            <v>YES</v>
          </cell>
        </row>
        <row r="3109">
          <cell r="I3109" t="str">
            <v>V18833</v>
          </cell>
          <cell r="J3109" t="str">
            <v>CTC</v>
          </cell>
          <cell r="K3109" t="str">
            <v>YES</v>
          </cell>
        </row>
        <row r="3110">
          <cell r="I3110" t="str">
            <v>V18835</v>
          </cell>
          <cell r="J3110" t="str">
            <v>CTC</v>
          </cell>
          <cell r="K3110" t="str">
            <v>YES</v>
          </cell>
        </row>
        <row r="3111">
          <cell r="I3111" t="str">
            <v>V18836</v>
          </cell>
          <cell r="J3111" t="str">
            <v>CTC</v>
          </cell>
          <cell r="K3111" t="str">
            <v>YES</v>
          </cell>
        </row>
        <row r="3112">
          <cell r="I3112" t="str">
            <v>V18878</v>
          </cell>
          <cell r="J3112" t="str">
            <v>CTC</v>
          </cell>
          <cell r="K3112" t="str">
            <v>YES</v>
          </cell>
        </row>
        <row r="3113">
          <cell r="I3113" t="str">
            <v>V18884</v>
          </cell>
          <cell r="J3113" t="str">
            <v>CTC</v>
          </cell>
          <cell r="K3113" t="str">
            <v>YES</v>
          </cell>
        </row>
        <row r="3114">
          <cell r="I3114" t="str">
            <v>V18889</v>
          </cell>
          <cell r="J3114" t="str">
            <v>CTC</v>
          </cell>
          <cell r="K3114" t="str">
            <v>YES</v>
          </cell>
        </row>
        <row r="3115">
          <cell r="I3115" t="str">
            <v>V18935</v>
          </cell>
          <cell r="J3115" t="str">
            <v>CTC</v>
          </cell>
          <cell r="K3115" t="str">
            <v>YES</v>
          </cell>
        </row>
        <row r="3116">
          <cell r="I3116" t="str">
            <v>V18963</v>
          </cell>
          <cell r="J3116" t="str">
            <v>CTC</v>
          </cell>
          <cell r="K3116" t="str">
            <v>YES</v>
          </cell>
        </row>
        <row r="3117">
          <cell r="I3117" t="str">
            <v>V19069</v>
          </cell>
          <cell r="J3117" t="str">
            <v>CTC</v>
          </cell>
          <cell r="K3117" t="str">
            <v>YES</v>
          </cell>
        </row>
        <row r="3118">
          <cell r="I3118" t="str">
            <v>V19071</v>
          </cell>
          <cell r="J3118" t="str">
            <v>CTC</v>
          </cell>
          <cell r="K3118" t="str">
            <v>YES</v>
          </cell>
        </row>
        <row r="3119">
          <cell r="I3119" t="str">
            <v>V19203</v>
          </cell>
          <cell r="J3119" t="str">
            <v>CTC</v>
          </cell>
          <cell r="K3119" t="str">
            <v>YES</v>
          </cell>
        </row>
        <row r="3120">
          <cell r="I3120" t="str">
            <v>V19311</v>
          </cell>
          <cell r="J3120" t="str">
            <v>CTC</v>
          </cell>
          <cell r="K3120" t="str">
            <v>YES</v>
          </cell>
        </row>
        <row r="3121">
          <cell r="I3121" t="str">
            <v>V19461</v>
          </cell>
          <cell r="J3121" t="str">
            <v>CTC</v>
          </cell>
          <cell r="K3121" t="str">
            <v>YES</v>
          </cell>
        </row>
        <row r="3122">
          <cell r="I3122" t="str">
            <v>V19628</v>
          </cell>
          <cell r="J3122" t="str">
            <v>CTC</v>
          </cell>
          <cell r="K3122" t="str">
            <v>YES</v>
          </cell>
        </row>
        <row r="3123">
          <cell r="I3123" t="str">
            <v>V19665</v>
          </cell>
          <cell r="J3123" t="str">
            <v>CTC</v>
          </cell>
          <cell r="K3123" t="str">
            <v>YES</v>
          </cell>
        </row>
        <row r="3124">
          <cell r="I3124" t="str">
            <v>V19683</v>
          </cell>
          <cell r="J3124" t="str">
            <v>CTC</v>
          </cell>
          <cell r="K3124" t="str">
            <v>YES</v>
          </cell>
        </row>
        <row r="3125">
          <cell r="I3125" t="str">
            <v>V44601</v>
          </cell>
          <cell r="J3125" t="str">
            <v>CTC</v>
          </cell>
          <cell r="K3125" t="str">
            <v>YES</v>
          </cell>
        </row>
        <row r="3126">
          <cell r="I3126" t="str">
            <v>V30255</v>
          </cell>
          <cell r="J3126" t="str">
            <v>CTC</v>
          </cell>
          <cell r="K3126" t="str">
            <v>YES</v>
          </cell>
        </row>
        <row r="3127">
          <cell r="I3127" t="str">
            <v>V34496</v>
          </cell>
          <cell r="J3127" t="str">
            <v>CTC</v>
          </cell>
          <cell r="K3127" t="str">
            <v>YES</v>
          </cell>
        </row>
        <row r="3128">
          <cell r="I3128" t="str">
            <v>V14156</v>
          </cell>
          <cell r="J3128" t="str">
            <v>CTC</v>
          </cell>
          <cell r="K3128" t="str">
            <v>YES</v>
          </cell>
        </row>
        <row r="3129">
          <cell r="I3129" t="str">
            <v>V27344</v>
          </cell>
          <cell r="J3129" t="str">
            <v>CTC</v>
          </cell>
          <cell r="K3129" t="str">
            <v>YES</v>
          </cell>
        </row>
        <row r="3130">
          <cell r="I3130" t="str">
            <v>V23923</v>
          </cell>
          <cell r="J3130" t="str">
            <v>CTC</v>
          </cell>
          <cell r="K3130" t="str">
            <v>YES</v>
          </cell>
        </row>
        <row r="3131">
          <cell r="I3131" t="str">
            <v>V24804</v>
          </cell>
          <cell r="J3131" t="str">
            <v>CTC</v>
          </cell>
          <cell r="K3131" t="str">
            <v>YES</v>
          </cell>
        </row>
        <row r="3132">
          <cell r="I3132" t="str">
            <v>V24083</v>
          </cell>
          <cell r="J3132" t="str">
            <v>CTC</v>
          </cell>
          <cell r="K3132" t="str">
            <v>YES</v>
          </cell>
        </row>
        <row r="3133">
          <cell r="I3133" t="str">
            <v>V33086</v>
          </cell>
          <cell r="J3133" t="str">
            <v>CTC</v>
          </cell>
          <cell r="K3133" t="str">
            <v>YES</v>
          </cell>
        </row>
        <row r="3134">
          <cell r="I3134" t="str">
            <v>V46111</v>
          </cell>
          <cell r="J3134" t="str">
            <v>CTC</v>
          </cell>
          <cell r="K3134" t="str">
            <v>YES</v>
          </cell>
        </row>
        <row r="3135">
          <cell r="I3135" t="str">
            <v>V35234</v>
          </cell>
          <cell r="J3135" t="str">
            <v>CTC</v>
          </cell>
          <cell r="K3135" t="str">
            <v>YES</v>
          </cell>
        </row>
        <row r="3136">
          <cell r="I3136" t="str">
            <v>V07098</v>
          </cell>
          <cell r="J3136" t="str">
            <v>CTC</v>
          </cell>
          <cell r="K3136" t="str">
            <v>YES</v>
          </cell>
        </row>
        <row r="3137">
          <cell r="I3137" t="str">
            <v>V39337</v>
          </cell>
          <cell r="J3137" t="str">
            <v>CTC</v>
          </cell>
          <cell r="K3137" t="str">
            <v>YES</v>
          </cell>
        </row>
        <row r="3138">
          <cell r="I3138" t="str">
            <v>V42796</v>
          </cell>
          <cell r="J3138" t="str">
            <v>CTC</v>
          </cell>
          <cell r="K3138" t="str">
            <v>YES</v>
          </cell>
        </row>
        <row r="3139">
          <cell r="I3139" t="str">
            <v>V43199</v>
          </cell>
          <cell r="J3139" t="str">
            <v>CTC</v>
          </cell>
          <cell r="K3139" t="str">
            <v>YES</v>
          </cell>
        </row>
        <row r="3140">
          <cell r="I3140" t="str">
            <v>V39834</v>
          </cell>
          <cell r="J3140" t="str">
            <v>CTC</v>
          </cell>
          <cell r="K3140" t="str">
            <v>YES</v>
          </cell>
        </row>
        <row r="3141">
          <cell r="I3141" t="str">
            <v>V37780</v>
          </cell>
          <cell r="J3141" t="str">
            <v>CTC</v>
          </cell>
          <cell r="K3141" t="str">
            <v>YES</v>
          </cell>
        </row>
        <row r="3142">
          <cell r="I3142" t="str">
            <v>V19963</v>
          </cell>
          <cell r="J3142" t="str">
            <v>CTC</v>
          </cell>
          <cell r="K3142" t="str">
            <v>YES</v>
          </cell>
        </row>
        <row r="3143">
          <cell r="I3143" t="str">
            <v>V45061</v>
          </cell>
          <cell r="J3143" t="str">
            <v>CTC</v>
          </cell>
          <cell r="K3143" t="str">
            <v>YES</v>
          </cell>
        </row>
        <row r="3144">
          <cell r="I3144" t="str">
            <v>V42571</v>
          </cell>
          <cell r="J3144" t="str">
            <v>CTC</v>
          </cell>
          <cell r="K3144" t="str">
            <v>YES</v>
          </cell>
        </row>
        <row r="3145">
          <cell r="I3145" t="str">
            <v>V45226</v>
          </cell>
          <cell r="J3145" t="str">
            <v>CTC</v>
          </cell>
          <cell r="K3145" t="str">
            <v>YES</v>
          </cell>
        </row>
        <row r="3146">
          <cell r="I3146" t="str">
            <v>V35243</v>
          </cell>
          <cell r="J3146" t="str">
            <v>CTC</v>
          </cell>
          <cell r="K3146" t="str">
            <v>YES</v>
          </cell>
        </row>
        <row r="3147">
          <cell r="I3147" t="str">
            <v>V36687</v>
          </cell>
          <cell r="J3147" t="str">
            <v>CTC</v>
          </cell>
          <cell r="K3147" t="str">
            <v>YES</v>
          </cell>
        </row>
        <row r="3148">
          <cell r="I3148" t="str">
            <v>V37351</v>
          </cell>
          <cell r="J3148" t="str">
            <v>CTC</v>
          </cell>
          <cell r="K3148" t="str">
            <v>YES</v>
          </cell>
        </row>
        <row r="3149">
          <cell r="I3149" t="str">
            <v>V38064</v>
          </cell>
          <cell r="J3149" t="str">
            <v>CTC</v>
          </cell>
          <cell r="K3149" t="str">
            <v>YES</v>
          </cell>
        </row>
        <row r="3150">
          <cell r="I3150" t="str">
            <v>V39978</v>
          </cell>
          <cell r="J3150" t="str">
            <v>CTC</v>
          </cell>
          <cell r="K3150" t="str">
            <v>YES</v>
          </cell>
        </row>
        <row r="3151">
          <cell r="I3151" t="str">
            <v>V40036</v>
          </cell>
          <cell r="J3151" t="str">
            <v>CTC</v>
          </cell>
          <cell r="K3151" t="str">
            <v>YES</v>
          </cell>
        </row>
        <row r="3152">
          <cell r="I3152" t="str">
            <v>V41385</v>
          </cell>
          <cell r="J3152" t="str">
            <v>CTC</v>
          </cell>
          <cell r="K3152" t="str">
            <v>YES</v>
          </cell>
        </row>
        <row r="3153">
          <cell r="I3153" t="str">
            <v>V42149</v>
          </cell>
          <cell r="J3153" t="str">
            <v>CTC</v>
          </cell>
          <cell r="K3153" t="str">
            <v>YES</v>
          </cell>
        </row>
        <row r="3154">
          <cell r="I3154" t="str">
            <v>V42154</v>
          </cell>
          <cell r="J3154" t="str">
            <v>CTC</v>
          </cell>
          <cell r="K3154" t="str">
            <v>YES</v>
          </cell>
        </row>
        <row r="3155">
          <cell r="I3155" t="str">
            <v>V42156</v>
          </cell>
          <cell r="J3155" t="str">
            <v>CTC</v>
          </cell>
          <cell r="K3155" t="str">
            <v>YES</v>
          </cell>
        </row>
        <row r="3156">
          <cell r="I3156" t="str">
            <v>V42315</v>
          </cell>
          <cell r="J3156" t="str">
            <v>CTC</v>
          </cell>
          <cell r="K3156" t="str">
            <v>YES</v>
          </cell>
        </row>
        <row r="3157">
          <cell r="I3157" t="str">
            <v>V38890</v>
          </cell>
          <cell r="J3157" t="str">
            <v>CTC</v>
          </cell>
          <cell r="K3157" t="str">
            <v>YES</v>
          </cell>
        </row>
        <row r="3158">
          <cell r="I3158" t="str">
            <v>V39180</v>
          </cell>
          <cell r="J3158" t="str">
            <v>CTC</v>
          </cell>
          <cell r="K3158" t="str">
            <v>YES</v>
          </cell>
        </row>
        <row r="3159">
          <cell r="I3159" t="str">
            <v>V39187</v>
          </cell>
          <cell r="J3159" t="str">
            <v>CTC</v>
          </cell>
          <cell r="K3159" t="str">
            <v>YES</v>
          </cell>
        </row>
        <row r="3160">
          <cell r="I3160" t="str">
            <v>V40734</v>
          </cell>
          <cell r="J3160" t="str">
            <v>CTC</v>
          </cell>
          <cell r="K3160" t="str">
            <v>YES</v>
          </cell>
        </row>
        <row r="3161">
          <cell r="I3161" t="str">
            <v>V40735</v>
          </cell>
          <cell r="J3161" t="str">
            <v>CTC</v>
          </cell>
          <cell r="K3161" t="str">
            <v>YES</v>
          </cell>
        </row>
        <row r="3162">
          <cell r="I3162" t="str">
            <v>V14805</v>
          </cell>
          <cell r="J3162" t="str">
            <v>CTC</v>
          </cell>
          <cell r="K3162" t="str">
            <v>YES</v>
          </cell>
        </row>
        <row r="3163">
          <cell r="I3163" t="str">
            <v>V43182</v>
          </cell>
          <cell r="J3163" t="str">
            <v>CTC</v>
          </cell>
          <cell r="K3163" t="str">
            <v>YES</v>
          </cell>
        </row>
        <row r="3164">
          <cell r="I3164" t="str">
            <v>V42194</v>
          </cell>
          <cell r="J3164" t="str">
            <v>CTC</v>
          </cell>
          <cell r="K3164" t="str">
            <v>YES</v>
          </cell>
        </row>
        <row r="3165">
          <cell r="I3165" t="str">
            <v>V32846</v>
          </cell>
          <cell r="J3165" t="str">
            <v>CTC</v>
          </cell>
          <cell r="K3165" t="str">
            <v>YES</v>
          </cell>
        </row>
        <row r="3166">
          <cell r="I3166" t="str">
            <v>V35623</v>
          </cell>
          <cell r="J3166" t="str">
            <v>CTC</v>
          </cell>
          <cell r="K3166" t="str">
            <v>YES</v>
          </cell>
        </row>
        <row r="3167">
          <cell r="I3167" t="str">
            <v>V20215</v>
          </cell>
          <cell r="J3167" t="str">
            <v>CTC</v>
          </cell>
          <cell r="K3167" t="str">
            <v>YES</v>
          </cell>
        </row>
        <row r="3168">
          <cell r="I3168" t="str">
            <v>V19785</v>
          </cell>
          <cell r="J3168" t="str">
            <v>CTC</v>
          </cell>
          <cell r="K3168" t="str">
            <v>YES</v>
          </cell>
        </row>
        <row r="3169">
          <cell r="I3169" t="str">
            <v>V19952</v>
          </cell>
          <cell r="J3169" t="str">
            <v>CTC</v>
          </cell>
          <cell r="K3169" t="str">
            <v>YES</v>
          </cell>
        </row>
        <row r="3170">
          <cell r="I3170" t="str">
            <v>V20003</v>
          </cell>
          <cell r="J3170" t="str">
            <v>CTC</v>
          </cell>
          <cell r="K3170" t="str">
            <v>YES</v>
          </cell>
        </row>
        <row r="3171">
          <cell r="I3171" t="str">
            <v>V20004</v>
          </cell>
          <cell r="J3171" t="str">
            <v>CTC</v>
          </cell>
          <cell r="K3171" t="str">
            <v>YES</v>
          </cell>
        </row>
        <row r="3172">
          <cell r="I3172" t="str">
            <v>V37032</v>
          </cell>
          <cell r="J3172" t="str">
            <v>CTC</v>
          </cell>
          <cell r="K3172" t="str">
            <v>YES</v>
          </cell>
        </row>
        <row r="3173">
          <cell r="I3173" t="str">
            <v>V25457</v>
          </cell>
          <cell r="J3173" t="str">
            <v>CTC</v>
          </cell>
          <cell r="K3173" t="str">
            <v>YES</v>
          </cell>
        </row>
        <row r="3174">
          <cell r="I3174" t="str">
            <v>V26078</v>
          </cell>
          <cell r="J3174" t="str">
            <v>CTC</v>
          </cell>
          <cell r="K3174" t="str">
            <v>YES</v>
          </cell>
        </row>
        <row r="3175">
          <cell r="I3175" t="str">
            <v>V43373</v>
          </cell>
          <cell r="J3175" t="str">
            <v>CTC</v>
          </cell>
          <cell r="K3175" t="str">
            <v>YES</v>
          </cell>
        </row>
        <row r="3176">
          <cell r="I3176" t="str">
            <v>V43374</v>
          </cell>
          <cell r="J3176" t="str">
            <v>CTC</v>
          </cell>
          <cell r="K3176" t="str">
            <v>YES</v>
          </cell>
        </row>
        <row r="3177">
          <cell r="I3177" t="str">
            <v>V35580</v>
          </cell>
          <cell r="J3177" t="str">
            <v>CTC</v>
          </cell>
          <cell r="K3177" t="str">
            <v>YES</v>
          </cell>
        </row>
        <row r="3178">
          <cell r="I3178" t="str">
            <v>V32421</v>
          </cell>
          <cell r="J3178" t="str">
            <v>CTC</v>
          </cell>
          <cell r="K3178" t="str">
            <v>YES</v>
          </cell>
        </row>
        <row r="3179">
          <cell r="I3179" t="str">
            <v>V32495</v>
          </cell>
          <cell r="J3179" t="str">
            <v>CTC</v>
          </cell>
          <cell r="K3179" t="str">
            <v>YES</v>
          </cell>
        </row>
        <row r="3180">
          <cell r="I3180" t="str">
            <v>V32506</v>
          </cell>
          <cell r="J3180" t="str">
            <v>CTC</v>
          </cell>
          <cell r="K3180" t="str">
            <v>YES</v>
          </cell>
        </row>
        <row r="3181">
          <cell r="I3181" t="str">
            <v>V32659</v>
          </cell>
          <cell r="J3181" t="str">
            <v>CTC</v>
          </cell>
          <cell r="K3181" t="str">
            <v>YES</v>
          </cell>
        </row>
        <row r="3182">
          <cell r="I3182" t="str">
            <v>V32833</v>
          </cell>
          <cell r="J3182" t="str">
            <v>CTC</v>
          </cell>
          <cell r="K3182" t="str">
            <v>YES</v>
          </cell>
        </row>
        <row r="3183">
          <cell r="I3183" t="str">
            <v>V33075</v>
          </cell>
          <cell r="J3183" t="str">
            <v>CTC</v>
          </cell>
          <cell r="K3183" t="str">
            <v>YES</v>
          </cell>
        </row>
        <row r="3184">
          <cell r="I3184" t="str">
            <v>V39393</v>
          </cell>
          <cell r="J3184" t="str">
            <v>CTC</v>
          </cell>
          <cell r="K3184" t="str">
            <v>YES</v>
          </cell>
        </row>
        <row r="3185">
          <cell r="I3185" t="str">
            <v>V39626</v>
          </cell>
          <cell r="J3185" t="str">
            <v>CTC</v>
          </cell>
          <cell r="K3185" t="str">
            <v>YES</v>
          </cell>
        </row>
        <row r="3186">
          <cell r="I3186" t="str">
            <v>V43448</v>
          </cell>
          <cell r="J3186" t="str">
            <v>CTC</v>
          </cell>
          <cell r="K3186" t="str">
            <v>YES</v>
          </cell>
        </row>
        <row r="3187">
          <cell r="I3187" t="str">
            <v>V44690</v>
          </cell>
          <cell r="J3187" t="str">
            <v>CTC</v>
          </cell>
          <cell r="K3187" t="str">
            <v>YES</v>
          </cell>
        </row>
        <row r="3188">
          <cell r="I3188" t="str">
            <v>V42837</v>
          </cell>
          <cell r="J3188" t="str">
            <v>CTC</v>
          </cell>
          <cell r="K3188" t="str">
            <v>YES</v>
          </cell>
        </row>
        <row r="3189">
          <cell r="I3189" t="str">
            <v>V13201</v>
          </cell>
          <cell r="J3189" t="str">
            <v>CTC</v>
          </cell>
          <cell r="K3189" t="str">
            <v>YES</v>
          </cell>
        </row>
        <row r="3190">
          <cell r="I3190" t="str">
            <v>V34528</v>
          </cell>
          <cell r="J3190" t="str">
            <v>CTC</v>
          </cell>
          <cell r="K3190" t="str">
            <v>YES</v>
          </cell>
        </row>
        <row r="3191">
          <cell r="I3191" t="str">
            <v>V45405</v>
          </cell>
          <cell r="J3191" t="str">
            <v>CTC</v>
          </cell>
          <cell r="K3191" t="str">
            <v>YES</v>
          </cell>
        </row>
        <row r="3192">
          <cell r="I3192" t="str">
            <v>V40652</v>
          </cell>
          <cell r="J3192" t="str">
            <v>CTC</v>
          </cell>
          <cell r="K3192" t="str">
            <v>YES</v>
          </cell>
        </row>
        <row r="3193">
          <cell r="I3193" t="str">
            <v>V20066</v>
          </cell>
          <cell r="J3193" t="str">
            <v>CTC</v>
          </cell>
          <cell r="K3193" t="str">
            <v>YES</v>
          </cell>
        </row>
        <row r="3194">
          <cell r="I3194" t="str">
            <v>V20166</v>
          </cell>
          <cell r="J3194" t="str">
            <v>CTC</v>
          </cell>
          <cell r="K3194" t="str">
            <v>YES</v>
          </cell>
        </row>
        <row r="3195">
          <cell r="I3195" t="str">
            <v>V43372</v>
          </cell>
          <cell r="J3195" t="str">
            <v>CTC</v>
          </cell>
          <cell r="K3195" t="str">
            <v>YES</v>
          </cell>
        </row>
        <row r="3196">
          <cell r="I3196" t="str">
            <v>V42147</v>
          </cell>
          <cell r="J3196" t="str">
            <v>CTC</v>
          </cell>
          <cell r="K3196" t="str">
            <v>YES</v>
          </cell>
        </row>
        <row r="3197">
          <cell r="I3197" t="str">
            <v>V20743</v>
          </cell>
          <cell r="J3197" t="str">
            <v>CTC</v>
          </cell>
          <cell r="K3197" t="str">
            <v>YES</v>
          </cell>
        </row>
        <row r="3198">
          <cell r="I3198" t="str">
            <v>V21250</v>
          </cell>
          <cell r="J3198" t="str">
            <v>CTC</v>
          </cell>
          <cell r="K3198" t="str">
            <v>YES</v>
          </cell>
        </row>
        <row r="3199">
          <cell r="I3199" t="str">
            <v>V22244</v>
          </cell>
          <cell r="J3199" t="str">
            <v>CTC</v>
          </cell>
          <cell r="K3199" t="str">
            <v>YES</v>
          </cell>
        </row>
        <row r="3200">
          <cell r="I3200" t="str">
            <v>V22313</v>
          </cell>
          <cell r="J3200" t="str">
            <v>CTC</v>
          </cell>
          <cell r="K3200" t="str">
            <v>YES</v>
          </cell>
        </row>
        <row r="3201">
          <cell r="I3201" t="str">
            <v>V22699</v>
          </cell>
          <cell r="J3201" t="str">
            <v>CTC</v>
          </cell>
          <cell r="K3201" t="str">
            <v>YES</v>
          </cell>
        </row>
        <row r="3202">
          <cell r="I3202" t="str">
            <v>V22700</v>
          </cell>
          <cell r="J3202" t="str">
            <v>CTC</v>
          </cell>
          <cell r="K3202" t="str">
            <v>YES</v>
          </cell>
        </row>
        <row r="3203">
          <cell r="I3203" t="str">
            <v>V26520</v>
          </cell>
          <cell r="J3203" t="str">
            <v>CTC</v>
          </cell>
          <cell r="K3203" t="str">
            <v>YES</v>
          </cell>
        </row>
        <row r="3204">
          <cell r="I3204" t="str">
            <v>V22518</v>
          </cell>
          <cell r="J3204" t="str">
            <v>CTC</v>
          </cell>
          <cell r="K3204" t="str">
            <v>YES</v>
          </cell>
        </row>
        <row r="3205">
          <cell r="I3205" t="str">
            <v>V22071</v>
          </cell>
          <cell r="J3205" t="str">
            <v>CTC</v>
          </cell>
          <cell r="K3205" t="str">
            <v>YES</v>
          </cell>
        </row>
        <row r="3206">
          <cell r="I3206" t="str">
            <v>V42298</v>
          </cell>
          <cell r="J3206" t="str">
            <v>CTC</v>
          </cell>
          <cell r="K3206" t="str">
            <v>YES</v>
          </cell>
        </row>
        <row r="3207">
          <cell r="I3207" t="str">
            <v>V39392</v>
          </cell>
          <cell r="J3207" t="str">
            <v>CTC</v>
          </cell>
          <cell r="K3207" t="str">
            <v>YES</v>
          </cell>
        </row>
        <row r="3208">
          <cell r="I3208" t="str">
            <v>V35054</v>
          </cell>
          <cell r="J3208" t="str">
            <v>CTC</v>
          </cell>
          <cell r="K3208" t="str">
            <v>YES</v>
          </cell>
        </row>
        <row r="3209">
          <cell r="I3209" t="str">
            <v>V35056</v>
          </cell>
          <cell r="J3209" t="str">
            <v>CTC</v>
          </cell>
          <cell r="K3209" t="str">
            <v>YES</v>
          </cell>
        </row>
        <row r="3210">
          <cell r="I3210" t="str">
            <v>V35057</v>
          </cell>
          <cell r="J3210" t="str">
            <v>CTC</v>
          </cell>
          <cell r="K3210" t="str">
            <v>YES</v>
          </cell>
        </row>
        <row r="3211">
          <cell r="I3211" t="str">
            <v>V35060</v>
          </cell>
          <cell r="J3211" t="str">
            <v>CTC</v>
          </cell>
          <cell r="K3211" t="str">
            <v>YES</v>
          </cell>
        </row>
        <row r="3212">
          <cell r="I3212" t="str">
            <v>V35684</v>
          </cell>
          <cell r="J3212" t="str">
            <v>CTC</v>
          </cell>
          <cell r="K3212" t="str">
            <v>YES</v>
          </cell>
        </row>
        <row r="3213">
          <cell r="I3213" t="str">
            <v>V36125</v>
          </cell>
          <cell r="J3213" t="str">
            <v>CTC</v>
          </cell>
          <cell r="K3213" t="str">
            <v>YES</v>
          </cell>
        </row>
        <row r="3214">
          <cell r="I3214" t="str">
            <v>V36135</v>
          </cell>
          <cell r="J3214" t="str">
            <v>CTC</v>
          </cell>
          <cell r="K3214" t="str">
            <v>YES</v>
          </cell>
        </row>
        <row r="3215">
          <cell r="I3215" t="str">
            <v>V49957</v>
          </cell>
          <cell r="J3215" t="str">
            <v>CTC</v>
          </cell>
          <cell r="K3215" t="str">
            <v>YES</v>
          </cell>
        </row>
        <row r="3216">
          <cell r="I3216" t="str">
            <v>V25685</v>
          </cell>
          <cell r="J3216" t="str">
            <v>CTC</v>
          </cell>
          <cell r="K3216" t="str">
            <v>YES</v>
          </cell>
        </row>
        <row r="3217">
          <cell r="I3217" t="str">
            <v>V25879</v>
          </cell>
          <cell r="J3217" t="str">
            <v>CTC</v>
          </cell>
          <cell r="K3217" t="str">
            <v>YES</v>
          </cell>
        </row>
        <row r="3218">
          <cell r="I3218" t="str">
            <v>V25939</v>
          </cell>
          <cell r="J3218" t="str">
            <v>CTC</v>
          </cell>
          <cell r="K3218" t="str">
            <v>YES</v>
          </cell>
        </row>
        <row r="3219">
          <cell r="I3219" t="str">
            <v>V26071</v>
          </cell>
          <cell r="J3219" t="str">
            <v>CTC</v>
          </cell>
          <cell r="K3219" t="str">
            <v>YES</v>
          </cell>
        </row>
        <row r="3220">
          <cell r="I3220" t="str">
            <v>V26307</v>
          </cell>
          <cell r="J3220" t="str">
            <v>CTC</v>
          </cell>
          <cell r="K3220" t="str">
            <v>YES</v>
          </cell>
        </row>
        <row r="3221">
          <cell r="I3221" t="str">
            <v>V26733</v>
          </cell>
          <cell r="J3221" t="str">
            <v>CTC</v>
          </cell>
          <cell r="K3221" t="str">
            <v>YES</v>
          </cell>
        </row>
        <row r="3222">
          <cell r="I3222" t="str">
            <v>V27907</v>
          </cell>
          <cell r="J3222" t="str">
            <v>CTC</v>
          </cell>
          <cell r="K3222" t="str">
            <v>YES</v>
          </cell>
        </row>
        <row r="3223">
          <cell r="I3223" t="str">
            <v>V28448</v>
          </cell>
          <cell r="J3223" t="str">
            <v>CTC</v>
          </cell>
          <cell r="K3223" t="str">
            <v>YES</v>
          </cell>
        </row>
        <row r="3224">
          <cell r="I3224" t="str">
            <v>V28449</v>
          </cell>
          <cell r="J3224" t="str">
            <v>CTC</v>
          </cell>
          <cell r="K3224" t="str">
            <v>YES</v>
          </cell>
        </row>
        <row r="3225">
          <cell r="I3225" t="str">
            <v>V28748</v>
          </cell>
          <cell r="J3225" t="str">
            <v>CTC</v>
          </cell>
          <cell r="K3225" t="str">
            <v>YES</v>
          </cell>
        </row>
        <row r="3226">
          <cell r="I3226" t="str">
            <v>V39271</v>
          </cell>
          <cell r="J3226" t="str">
            <v>CTC</v>
          </cell>
          <cell r="K3226" t="str">
            <v>YES</v>
          </cell>
        </row>
        <row r="3227">
          <cell r="I3227" t="str">
            <v>V20096</v>
          </cell>
          <cell r="J3227" t="str">
            <v>CTC</v>
          </cell>
          <cell r="K3227" t="str">
            <v>YES</v>
          </cell>
        </row>
        <row r="3228">
          <cell r="I3228" t="str">
            <v>V28952</v>
          </cell>
          <cell r="J3228" t="str">
            <v>CTC</v>
          </cell>
          <cell r="K3228" t="str">
            <v>YES</v>
          </cell>
        </row>
        <row r="3229">
          <cell r="I3229" t="str">
            <v>V28976</v>
          </cell>
          <cell r="J3229" t="str">
            <v>CTC</v>
          </cell>
          <cell r="K3229" t="str">
            <v>YES</v>
          </cell>
        </row>
        <row r="3230">
          <cell r="I3230" t="str">
            <v>V31103</v>
          </cell>
          <cell r="J3230" t="str">
            <v>CTC</v>
          </cell>
          <cell r="K3230" t="str">
            <v>YES</v>
          </cell>
        </row>
        <row r="3231">
          <cell r="I3231" t="str">
            <v>V31172</v>
          </cell>
          <cell r="J3231" t="str">
            <v>CTC</v>
          </cell>
          <cell r="K3231" t="str">
            <v>YES</v>
          </cell>
        </row>
        <row r="3232">
          <cell r="I3232" t="str">
            <v>V31403</v>
          </cell>
          <cell r="J3232" t="str">
            <v>CTC</v>
          </cell>
          <cell r="K3232" t="str">
            <v>YES</v>
          </cell>
        </row>
        <row r="3233">
          <cell r="I3233" t="str">
            <v>V31405</v>
          </cell>
          <cell r="J3233" t="str">
            <v>CTC</v>
          </cell>
          <cell r="K3233" t="str">
            <v>YES</v>
          </cell>
        </row>
        <row r="3234">
          <cell r="I3234" t="str">
            <v>V31741</v>
          </cell>
          <cell r="J3234" t="str">
            <v>CTC</v>
          </cell>
          <cell r="K3234" t="str">
            <v>YES</v>
          </cell>
        </row>
        <row r="3235">
          <cell r="I3235" t="str">
            <v>V31744</v>
          </cell>
          <cell r="J3235" t="str">
            <v>CTC</v>
          </cell>
          <cell r="K3235" t="str">
            <v>YES</v>
          </cell>
        </row>
        <row r="3236">
          <cell r="I3236" t="str">
            <v>V32110</v>
          </cell>
          <cell r="J3236" t="str">
            <v>CTC</v>
          </cell>
          <cell r="K3236" t="str">
            <v>YES</v>
          </cell>
        </row>
        <row r="3237">
          <cell r="I3237" t="str">
            <v>V32113</v>
          </cell>
          <cell r="J3237" t="str">
            <v>CTC</v>
          </cell>
          <cell r="K3237" t="str">
            <v>YES</v>
          </cell>
        </row>
        <row r="3238">
          <cell r="I3238" t="str">
            <v>V32242</v>
          </cell>
          <cell r="J3238" t="str">
            <v>CTC</v>
          </cell>
          <cell r="K3238" t="str">
            <v>YES</v>
          </cell>
        </row>
        <row r="3239">
          <cell r="I3239" t="str">
            <v>V33877</v>
          </cell>
          <cell r="J3239" t="str">
            <v>CTC</v>
          </cell>
          <cell r="K3239" t="str">
            <v>YES</v>
          </cell>
        </row>
        <row r="3240">
          <cell r="I3240" t="str">
            <v>V35217</v>
          </cell>
          <cell r="J3240" t="str">
            <v>CTC</v>
          </cell>
          <cell r="K3240" t="str">
            <v>YES</v>
          </cell>
        </row>
        <row r="3241">
          <cell r="I3241" t="str">
            <v>V29422</v>
          </cell>
          <cell r="J3241" t="str">
            <v>CTC</v>
          </cell>
          <cell r="K3241" t="str">
            <v>YES</v>
          </cell>
        </row>
        <row r="3242">
          <cell r="I3242" t="str">
            <v>V39441</v>
          </cell>
          <cell r="J3242" t="str">
            <v>CTC</v>
          </cell>
          <cell r="K3242" t="str">
            <v>YES</v>
          </cell>
        </row>
        <row r="3243">
          <cell r="I3243" t="str">
            <v>V26330</v>
          </cell>
          <cell r="J3243" t="str">
            <v>CTC</v>
          </cell>
          <cell r="K3243" t="str">
            <v>YES</v>
          </cell>
        </row>
        <row r="3244">
          <cell r="I3244" t="str">
            <v>V49508</v>
          </cell>
          <cell r="J3244" t="str">
            <v>CTC</v>
          </cell>
          <cell r="K3244" t="str">
            <v>YES</v>
          </cell>
        </row>
        <row r="3245">
          <cell r="I3245" t="str">
            <v>V24770</v>
          </cell>
          <cell r="J3245" t="str">
            <v>CTC</v>
          </cell>
          <cell r="K3245" t="str">
            <v>YES</v>
          </cell>
        </row>
        <row r="3246">
          <cell r="I3246" t="str">
            <v>V46112</v>
          </cell>
          <cell r="J3246" t="str">
            <v>CTC</v>
          </cell>
          <cell r="K3246" t="str">
            <v>YES</v>
          </cell>
        </row>
        <row r="3247">
          <cell r="I3247" t="str">
            <v>V40071</v>
          </cell>
          <cell r="J3247" t="str">
            <v>CTC</v>
          </cell>
          <cell r="K3247" t="str">
            <v>YES</v>
          </cell>
        </row>
        <row r="3248">
          <cell r="I3248" t="str">
            <v>V42925</v>
          </cell>
          <cell r="J3248" t="str">
            <v>CTC</v>
          </cell>
          <cell r="K3248" t="str">
            <v>YES</v>
          </cell>
        </row>
        <row r="3249">
          <cell r="I3249" t="str">
            <v>V30687</v>
          </cell>
          <cell r="J3249" t="str">
            <v>CTC</v>
          </cell>
          <cell r="K3249" t="str">
            <v>YES</v>
          </cell>
        </row>
        <row r="3250">
          <cell r="I3250" t="str">
            <v>V21468</v>
          </cell>
          <cell r="J3250" t="str">
            <v>CTC</v>
          </cell>
          <cell r="K3250" t="str">
            <v>YES</v>
          </cell>
        </row>
        <row r="3251">
          <cell r="I3251" t="str">
            <v>V21796</v>
          </cell>
          <cell r="J3251" t="str">
            <v>CTC</v>
          </cell>
          <cell r="K3251" t="str">
            <v>YES</v>
          </cell>
        </row>
        <row r="3252">
          <cell r="I3252" t="str">
            <v>V22612</v>
          </cell>
          <cell r="J3252" t="str">
            <v>CTC</v>
          </cell>
          <cell r="K3252" t="str">
            <v>YES</v>
          </cell>
        </row>
        <row r="3253">
          <cell r="I3253" t="str">
            <v>V43375</v>
          </cell>
          <cell r="J3253" t="str">
            <v>CTC</v>
          </cell>
          <cell r="K3253" t="str">
            <v>YES</v>
          </cell>
        </row>
        <row r="3254">
          <cell r="I3254" t="str">
            <v>V35240</v>
          </cell>
          <cell r="J3254" t="str">
            <v>CTC</v>
          </cell>
          <cell r="K3254" t="str">
            <v>YES</v>
          </cell>
        </row>
        <row r="3255">
          <cell r="I3255" t="str">
            <v>V40463</v>
          </cell>
          <cell r="J3255" t="str">
            <v>CTC</v>
          </cell>
          <cell r="K3255" t="str">
            <v>YES</v>
          </cell>
        </row>
        <row r="3256">
          <cell r="I3256" t="str">
            <v>V49476</v>
          </cell>
          <cell r="J3256" t="str">
            <v>CTC</v>
          </cell>
          <cell r="K3256" t="str">
            <v>YES</v>
          </cell>
        </row>
        <row r="3257">
          <cell r="I3257" t="str">
            <v>V40127</v>
          </cell>
          <cell r="J3257" t="str">
            <v>CTC</v>
          </cell>
          <cell r="K3257" t="str">
            <v>YES</v>
          </cell>
        </row>
        <row r="3258">
          <cell r="I3258" t="str">
            <v>V40166</v>
          </cell>
          <cell r="J3258" t="str">
            <v>CTC</v>
          </cell>
          <cell r="K3258" t="str">
            <v>YES</v>
          </cell>
        </row>
        <row r="3259">
          <cell r="I3259" t="str">
            <v>V39442</v>
          </cell>
          <cell r="J3259" t="str">
            <v>CTC</v>
          </cell>
          <cell r="K3259" t="str">
            <v>YES</v>
          </cell>
        </row>
        <row r="3260">
          <cell r="I3260" t="str">
            <v>V47105</v>
          </cell>
          <cell r="J3260" t="str">
            <v>CTC</v>
          </cell>
          <cell r="K3260" t="str">
            <v>YES</v>
          </cell>
        </row>
        <row r="3261">
          <cell r="I3261" t="str">
            <v>V39960</v>
          </cell>
          <cell r="J3261" t="str">
            <v>CTC</v>
          </cell>
          <cell r="K3261" t="str">
            <v>YES</v>
          </cell>
        </row>
        <row r="3262">
          <cell r="I3262" t="str">
            <v>V27552</v>
          </cell>
          <cell r="J3262" t="str">
            <v>CTC</v>
          </cell>
          <cell r="K3262" t="str">
            <v>YES</v>
          </cell>
        </row>
        <row r="3263">
          <cell r="I3263" t="str">
            <v>V26104</v>
          </cell>
          <cell r="J3263" t="str">
            <v>CTC</v>
          </cell>
          <cell r="K3263" t="str">
            <v>YES</v>
          </cell>
        </row>
        <row r="3264">
          <cell r="I3264" t="str">
            <v>V26679</v>
          </cell>
          <cell r="J3264" t="str">
            <v>CTC</v>
          </cell>
          <cell r="K3264" t="str">
            <v>YES</v>
          </cell>
        </row>
        <row r="3265">
          <cell r="I3265" t="str">
            <v>V26680</v>
          </cell>
          <cell r="J3265" t="str">
            <v>CTC</v>
          </cell>
          <cell r="K3265" t="str">
            <v>YES</v>
          </cell>
        </row>
        <row r="3266">
          <cell r="I3266" t="str">
            <v>V27566</v>
          </cell>
          <cell r="J3266" t="str">
            <v>CTC</v>
          </cell>
          <cell r="K3266" t="str">
            <v>YES</v>
          </cell>
        </row>
        <row r="3267">
          <cell r="I3267" t="str">
            <v>V30513</v>
          </cell>
          <cell r="J3267" t="str">
            <v>CTC</v>
          </cell>
          <cell r="K3267" t="str">
            <v>YES</v>
          </cell>
        </row>
        <row r="3268">
          <cell r="I3268" t="str">
            <v>V30515</v>
          </cell>
          <cell r="J3268" t="str">
            <v>CTC</v>
          </cell>
          <cell r="K3268" t="str">
            <v>YES</v>
          </cell>
        </row>
        <row r="3269">
          <cell r="I3269" t="str">
            <v>V30517</v>
          </cell>
          <cell r="J3269" t="str">
            <v>CTC</v>
          </cell>
          <cell r="K3269" t="str">
            <v>YES</v>
          </cell>
        </row>
        <row r="3270">
          <cell r="I3270" t="str">
            <v>V35879</v>
          </cell>
          <cell r="J3270" t="str">
            <v>CTC</v>
          </cell>
          <cell r="K3270" t="str">
            <v>YES</v>
          </cell>
        </row>
        <row r="3271">
          <cell r="I3271" t="str">
            <v>V43548</v>
          </cell>
          <cell r="J3271" t="str">
            <v>CTC</v>
          </cell>
          <cell r="K3271" t="str">
            <v>YES</v>
          </cell>
        </row>
        <row r="3272">
          <cell r="I3272" t="str">
            <v>V36124</v>
          </cell>
          <cell r="J3272" t="str">
            <v>CTC</v>
          </cell>
          <cell r="K3272" t="str">
            <v>YES</v>
          </cell>
        </row>
        <row r="3273">
          <cell r="I3273" t="str">
            <v>V40300</v>
          </cell>
          <cell r="J3273" t="str">
            <v>CTC</v>
          </cell>
          <cell r="K3273" t="str">
            <v>YES</v>
          </cell>
        </row>
        <row r="3274">
          <cell r="I3274" t="str">
            <v>V43386</v>
          </cell>
          <cell r="J3274" t="str">
            <v>CTC</v>
          </cell>
          <cell r="K3274" t="str">
            <v>YES</v>
          </cell>
        </row>
        <row r="3275">
          <cell r="I3275" t="str">
            <v>V39979</v>
          </cell>
          <cell r="J3275" t="str">
            <v>CTC</v>
          </cell>
          <cell r="K3275" t="str">
            <v>YES</v>
          </cell>
        </row>
        <row r="3276">
          <cell r="I3276" t="str">
            <v>V22999</v>
          </cell>
          <cell r="J3276" t="str">
            <v>CTC</v>
          </cell>
          <cell r="K3276" t="str">
            <v>YES</v>
          </cell>
        </row>
        <row r="3277">
          <cell r="I3277" t="str">
            <v>V19574</v>
          </cell>
          <cell r="J3277" t="str">
            <v>CTC</v>
          </cell>
          <cell r="K3277" t="str">
            <v>YES</v>
          </cell>
        </row>
        <row r="3278">
          <cell r="I3278" t="str">
            <v>V43401</v>
          </cell>
          <cell r="J3278" t="str">
            <v>CTC</v>
          </cell>
          <cell r="K3278" t="str">
            <v>YES</v>
          </cell>
        </row>
        <row r="3279">
          <cell r="I3279" t="str">
            <v>V49472</v>
          </cell>
          <cell r="J3279" t="str">
            <v>CTC</v>
          </cell>
          <cell r="K3279" t="str">
            <v>YES</v>
          </cell>
        </row>
        <row r="3280">
          <cell r="I3280" t="str">
            <v>V31781</v>
          </cell>
          <cell r="J3280" t="str">
            <v>CTC</v>
          </cell>
          <cell r="K3280" t="str">
            <v>YES</v>
          </cell>
        </row>
        <row r="3281">
          <cell r="I3281" t="str">
            <v>V20311</v>
          </cell>
          <cell r="J3281" t="str">
            <v>CTC</v>
          </cell>
          <cell r="K3281" t="str">
            <v>YES</v>
          </cell>
        </row>
        <row r="3282">
          <cell r="I3282" t="str">
            <v>V37031</v>
          </cell>
          <cell r="J3282" t="str">
            <v>CTC</v>
          </cell>
          <cell r="K3282" t="str">
            <v>YES</v>
          </cell>
        </row>
        <row r="3283">
          <cell r="I3283" t="str">
            <v>V44867</v>
          </cell>
          <cell r="J3283" t="str">
            <v>CTC</v>
          </cell>
          <cell r="K3283" t="str">
            <v>YES</v>
          </cell>
        </row>
        <row r="3284">
          <cell r="I3284" t="str">
            <v>V30223</v>
          </cell>
          <cell r="J3284" t="str">
            <v>CTC</v>
          </cell>
          <cell r="K3284" t="str">
            <v>YES</v>
          </cell>
        </row>
        <row r="3285">
          <cell r="I3285" t="str">
            <v>V30226</v>
          </cell>
          <cell r="J3285" t="str">
            <v>CTC</v>
          </cell>
          <cell r="K3285" t="str">
            <v>YES</v>
          </cell>
        </row>
        <row r="3286">
          <cell r="I3286" t="str">
            <v>V30277</v>
          </cell>
          <cell r="J3286" t="str">
            <v>CTC</v>
          </cell>
          <cell r="K3286" t="str">
            <v>YES</v>
          </cell>
        </row>
        <row r="3287">
          <cell r="I3287" t="str">
            <v>V30280</v>
          </cell>
          <cell r="J3287" t="str">
            <v>CTC</v>
          </cell>
          <cell r="K3287" t="str">
            <v>YES</v>
          </cell>
        </row>
        <row r="3288">
          <cell r="I3288" t="str">
            <v>V30414</v>
          </cell>
          <cell r="J3288" t="str">
            <v>CTC</v>
          </cell>
          <cell r="K3288" t="str">
            <v>YES</v>
          </cell>
        </row>
        <row r="3289">
          <cell r="I3289" t="str">
            <v>V30415</v>
          </cell>
          <cell r="J3289" t="str">
            <v>CTC</v>
          </cell>
          <cell r="K3289" t="str">
            <v>YES</v>
          </cell>
        </row>
        <row r="3290">
          <cell r="I3290" t="str">
            <v>V30418</v>
          </cell>
          <cell r="J3290" t="str">
            <v>CTC</v>
          </cell>
          <cell r="K3290" t="str">
            <v>YES</v>
          </cell>
        </row>
        <row r="3291">
          <cell r="I3291" t="str">
            <v>V30436</v>
          </cell>
          <cell r="J3291" t="str">
            <v>CTC</v>
          </cell>
          <cell r="K3291" t="str">
            <v>YES</v>
          </cell>
        </row>
        <row r="3292">
          <cell r="I3292" t="str">
            <v>V30437</v>
          </cell>
          <cell r="J3292" t="str">
            <v>CTC</v>
          </cell>
          <cell r="K3292" t="str">
            <v>YES</v>
          </cell>
        </row>
        <row r="3293">
          <cell r="I3293" t="str">
            <v>V30704</v>
          </cell>
          <cell r="J3293" t="str">
            <v>CTC</v>
          </cell>
          <cell r="K3293" t="str">
            <v>YES</v>
          </cell>
        </row>
        <row r="3294">
          <cell r="I3294" t="str">
            <v>V31090</v>
          </cell>
          <cell r="J3294" t="str">
            <v>CTC</v>
          </cell>
          <cell r="K3294" t="str">
            <v>YES</v>
          </cell>
        </row>
        <row r="3295">
          <cell r="I3295" t="str">
            <v>V31098</v>
          </cell>
          <cell r="J3295" t="str">
            <v>CTC</v>
          </cell>
          <cell r="K3295" t="str">
            <v>YES</v>
          </cell>
        </row>
        <row r="3296">
          <cell r="I3296" t="str">
            <v>V31191</v>
          </cell>
          <cell r="J3296" t="str">
            <v>CTC</v>
          </cell>
          <cell r="K3296" t="str">
            <v>YES</v>
          </cell>
        </row>
        <row r="3297">
          <cell r="I3297" t="str">
            <v>V31618</v>
          </cell>
          <cell r="J3297" t="str">
            <v>CTC</v>
          </cell>
          <cell r="K3297" t="str">
            <v>YES</v>
          </cell>
        </row>
        <row r="3298">
          <cell r="I3298" t="str">
            <v>V31905</v>
          </cell>
          <cell r="J3298" t="str">
            <v>CTC</v>
          </cell>
          <cell r="K3298" t="str">
            <v>YES</v>
          </cell>
        </row>
        <row r="3299">
          <cell r="I3299" t="str">
            <v>V32020</v>
          </cell>
          <cell r="J3299" t="str">
            <v>CTC</v>
          </cell>
          <cell r="K3299" t="str">
            <v>YES</v>
          </cell>
        </row>
        <row r="3300">
          <cell r="I3300" t="str">
            <v>V32120</v>
          </cell>
          <cell r="J3300" t="str">
            <v>CTC</v>
          </cell>
          <cell r="K3300" t="str">
            <v>YES</v>
          </cell>
        </row>
        <row r="3301">
          <cell r="I3301" t="str">
            <v>V32178</v>
          </cell>
          <cell r="J3301" t="str">
            <v>CTC</v>
          </cell>
          <cell r="K3301" t="str">
            <v>YES</v>
          </cell>
        </row>
        <row r="3302">
          <cell r="I3302" t="str">
            <v>V33304</v>
          </cell>
          <cell r="J3302" t="str">
            <v>CTC</v>
          </cell>
          <cell r="K3302" t="str">
            <v>YES</v>
          </cell>
        </row>
        <row r="3303">
          <cell r="I3303" t="str">
            <v>V33765</v>
          </cell>
          <cell r="J3303" t="str">
            <v>CTC</v>
          </cell>
          <cell r="K3303" t="str">
            <v>YES</v>
          </cell>
        </row>
        <row r="3304">
          <cell r="I3304" t="str">
            <v>V34356</v>
          </cell>
          <cell r="J3304" t="str">
            <v>CTC</v>
          </cell>
          <cell r="K3304" t="str">
            <v>YES</v>
          </cell>
        </row>
        <row r="3305">
          <cell r="I3305" t="str">
            <v>V34570</v>
          </cell>
          <cell r="J3305" t="str">
            <v>CTC</v>
          </cell>
          <cell r="K3305" t="str">
            <v>YES</v>
          </cell>
        </row>
        <row r="3306">
          <cell r="I3306" t="str">
            <v>V34906</v>
          </cell>
          <cell r="J3306" t="str">
            <v>CTC</v>
          </cell>
          <cell r="K3306" t="str">
            <v>YES</v>
          </cell>
        </row>
        <row r="3307">
          <cell r="I3307" t="str">
            <v>V35567</v>
          </cell>
          <cell r="J3307" t="str">
            <v>CTC</v>
          </cell>
          <cell r="K3307" t="str">
            <v>YES</v>
          </cell>
        </row>
        <row r="3308">
          <cell r="I3308" t="str">
            <v>V35710</v>
          </cell>
          <cell r="J3308" t="str">
            <v>CTC</v>
          </cell>
          <cell r="K3308" t="str">
            <v>YES</v>
          </cell>
        </row>
        <row r="3309">
          <cell r="I3309" t="str">
            <v>V30558</v>
          </cell>
          <cell r="J3309" t="str">
            <v>CTC</v>
          </cell>
          <cell r="K3309" t="str">
            <v>YES</v>
          </cell>
        </row>
        <row r="3310">
          <cell r="I3310" t="str">
            <v>V34705</v>
          </cell>
          <cell r="J3310" t="str">
            <v>CTC</v>
          </cell>
          <cell r="K3310" t="str">
            <v>YES</v>
          </cell>
        </row>
        <row r="3311">
          <cell r="I3311" t="str">
            <v>V38109</v>
          </cell>
          <cell r="J3311" t="str">
            <v>CTC</v>
          </cell>
          <cell r="K3311" t="str">
            <v>YES</v>
          </cell>
        </row>
        <row r="3312">
          <cell r="I3312" t="str">
            <v>V41267</v>
          </cell>
          <cell r="J3312" t="str">
            <v>CTC</v>
          </cell>
          <cell r="K3312" t="str">
            <v>YES</v>
          </cell>
        </row>
        <row r="3313">
          <cell r="I3313" t="str">
            <v>V41296</v>
          </cell>
          <cell r="J3313" t="str">
            <v>CTC</v>
          </cell>
          <cell r="K3313" t="str">
            <v>YES</v>
          </cell>
        </row>
        <row r="3314">
          <cell r="I3314" t="str">
            <v>V41297</v>
          </cell>
          <cell r="J3314" t="str">
            <v>CTC</v>
          </cell>
          <cell r="K3314" t="str">
            <v>YES</v>
          </cell>
        </row>
        <row r="3315">
          <cell r="I3315" t="str">
            <v>V18857</v>
          </cell>
          <cell r="J3315" t="str">
            <v>CTC</v>
          </cell>
          <cell r="K3315" t="str">
            <v>YES</v>
          </cell>
        </row>
        <row r="3316">
          <cell r="I3316" t="str">
            <v>V39842</v>
          </cell>
          <cell r="J3316" t="str">
            <v>CTC</v>
          </cell>
          <cell r="K3316" t="str">
            <v>YES</v>
          </cell>
        </row>
        <row r="3317">
          <cell r="I3317" t="str">
            <v>V37905</v>
          </cell>
          <cell r="J3317" t="str">
            <v>CTC</v>
          </cell>
          <cell r="K3317" t="str">
            <v>YES</v>
          </cell>
        </row>
        <row r="3318">
          <cell r="I3318" t="str">
            <v>V38648</v>
          </cell>
          <cell r="J3318" t="str">
            <v>CTC</v>
          </cell>
          <cell r="K3318" t="str">
            <v>YES</v>
          </cell>
        </row>
        <row r="3319">
          <cell r="I3319" t="str">
            <v>V38900</v>
          </cell>
          <cell r="J3319" t="str">
            <v>CTC</v>
          </cell>
          <cell r="K3319" t="str">
            <v>YES</v>
          </cell>
        </row>
        <row r="3320">
          <cell r="I3320" t="str">
            <v>V38903</v>
          </cell>
          <cell r="J3320" t="str">
            <v>CTC</v>
          </cell>
          <cell r="K3320" t="str">
            <v>YES</v>
          </cell>
        </row>
        <row r="3321">
          <cell r="I3321" t="str">
            <v>V38904</v>
          </cell>
          <cell r="J3321" t="str">
            <v>CTC</v>
          </cell>
          <cell r="K3321" t="str">
            <v>YES</v>
          </cell>
        </row>
        <row r="3322">
          <cell r="I3322" t="str">
            <v>V39004</v>
          </cell>
          <cell r="J3322" t="str">
            <v>CTC</v>
          </cell>
          <cell r="K3322" t="str">
            <v>YES</v>
          </cell>
        </row>
        <row r="3323">
          <cell r="I3323" t="str">
            <v>V39039</v>
          </cell>
          <cell r="J3323" t="str">
            <v>CTC</v>
          </cell>
          <cell r="K3323" t="str">
            <v>YES</v>
          </cell>
        </row>
        <row r="3324">
          <cell r="I3324" t="str">
            <v>V39046</v>
          </cell>
          <cell r="J3324" t="str">
            <v>CTC</v>
          </cell>
          <cell r="K3324" t="str">
            <v>YES</v>
          </cell>
        </row>
        <row r="3325">
          <cell r="I3325" t="str">
            <v>V39049</v>
          </cell>
          <cell r="J3325" t="str">
            <v>CTC</v>
          </cell>
          <cell r="K3325" t="str">
            <v>YES</v>
          </cell>
        </row>
        <row r="3326">
          <cell r="I3326" t="str">
            <v>V39052</v>
          </cell>
          <cell r="J3326" t="str">
            <v>CTC</v>
          </cell>
          <cell r="K3326" t="str">
            <v>YES</v>
          </cell>
        </row>
        <row r="3327">
          <cell r="I3327" t="str">
            <v>V39062</v>
          </cell>
          <cell r="J3327" t="str">
            <v>CTC</v>
          </cell>
          <cell r="K3327" t="str">
            <v>YES</v>
          </cell>
        </row>
        <row r="3328">
          <cell r="I3328" t="str">
            <v>V39362</v>
          </cell>
          <cell r="J3328" t="str">
            <v>CTC</v>
          </cell>
          <cell r="K3328" t="str">
            <v>YES</v>
          </cell>
        </row>
        <row r="3329">
          <cell r="I3329" t="str">
            <v>V40168</v>
          </cell>
          <cell r="J3329" t="str">
            <v>CTC</v>
          </cell>
          <cell r="K3329" t="str">
            <v>YES</v>
          </cell>
        </row>
        <row r="3330">
          <cell r="I3330" t="str">
            <v>V40279</v>
          </cell>
          <cell r="J3330" t="str">
            <v>CTC</v>
          </cell>
          <cell r="K3330" t="str">
            <v>YES</v>
          </cell>
        </row>
        <row r="3331">
          <cell r="I3331" t="str">
            <v>V39586</v>
          </cell>
          <cell r="J3331" t="str">
            <v>CTC</v>
          </cell>
          <cell r="K3331" t="str">
            <v>YES</v>
          </cell>
        </row>
        <row r="3332">
          <cell r="I3332" t="str">
            <v>V42814</v>
          </cell>
          <cell r="J3332" t="str">
            <v>CTC</v>
          </cell>
          <cell r="K3332" t="str">
            <v>YES</v>
          </cell>
        </row>
        <row r="3333">
          <cell r="I3333" t="str">
            <v>V42678</v>
          </cell>
          <cell r="J3333" t="str">
            <v>CTC</v>
          </cell>
          <cell r="K3333" t="str">
            <v>YES</v>
          </cell>
        </row>
        <row r="3334">
          <cell r="I3334" t="str">
            <v>V34123</v>
          </cell>
          <cell r="J3334" t="str">
            <v>CTC</v>
          </cell>
          <cell r="K3334" t="str">
            <v>YES</v>
          </cell>
        </row>
        <row r="3335">
          <cell r="I3335" t="str">
            <v>V34351</v>
          </cell>
          <cell r="J3335" t="str">
            <v>CTC</v>
          </cell>
          <cell r="K3335" t="str">
            <v>YES</v>
          </cell>
        </row>
        <row r="3336">
          <cell r="I3336" t="str">
            <v>V34498</v>
          </cell>
          <cell r="J3336" t="str">
            <v>CTC</v>
          </cell>
          <cell r="K3336" t="str">
            <v>YES</v>
          </cell>
        </row>
        <row r="3337">
          <cell r="I3337" t="str">
            <v>V34902</v>
          </cell>
          <cell r="J3337" t="str">
            <v>CTC</v>
          </cell>
          <cell r="K3337" t="str">
            <v>YES</v>
          </cell>
        </row>
        <row r="3338">
          <cell r="I3338" t="str">
            <v>V35691</v>
          </cell>
          <cell r="J3338" t="str">
            <v>CTC</v>
          </cell>
          <cell r="K3338" t="str">
            <v>YES</v>
          </cell>
        </row>
        <row r="3339">
          <cell r="I3339" t="str">
            <v>V30508</v>
          </cell>
          <cell r="J3339" t="str">
            <v>CTC</v>
          </cell>
          <cell r="K3339" t="str">
            <v>YES</v>
          </cell>
        </row>
        <row r="3340">
          <cell r="I3340" t="str">
            <v>V30636</v>
          </cell>
          <cell r="J3340" t="str">
            <v>CTC</v>
          </cell>
          <cell r="K3340" t="str">
            <v>YES</v>
          </cell>
        </row>
        <row r="3341">
          <cell r="I3341" t="str">
            <v>V31104</v>
          </cell>
          <cell r="J3341" t="str">
            <v>CTC</v>
          </cell>
          <cell r="K3341" t="str">
            <v>YES</v>
          </cell>
        </row>
        <row r="3342">
          <cell r="I3342" t="str">
            <v>V37781</v>
          </cell>
          <cell r="J3342" t="str">
            <v>CTC</v>
          </cell>
          <cell r="K3342" t="str">
            <v>YES</v>
          </cell>
        </row>
        <row r="3343">
          <cell r="I3343" t="str">
            <v>V20432</v>
          </cell>
          <cell r="J3343" t="str">
            <v>CTC</v>
          </cell>
          <cell r="K3343" t="str">
            <v>YES</v>
          </cell>
        </row>
        <row r="3344">
          <cell r="I3344" t="str">
            <v>V13024</v>
          </cell>
          <cell r="J3344" t="str">
            <v>CTC</v>
          </cell>
          <cell r="K3344" t="str">
            <v>YES</v>
          </cell>
        </row>
        <row r="3345">
          <cell r="I3345" t="str">
            <v>V40105</v>
          </cell>
          <cell r="J3345" t="str">
            <v>CTC</v>
          </cell>
          <cell r="K3345" t="str">
            <v>YES</v>
          </cell>
        </row>
        <row r="3346">
          <cell r="I3346" t="str">
            <v>V42760</v>
          </cell>
          <cell r="J3346" t="str">
            <v>CTC</v>
          </cell>
          <cell r="K3346" t="str">
            <v>YES</v>
          </cell>
        </row>
        <row r="3347">
          <cell r="I3347" t="str">
            <v>V24838</v>
          </cell>
          <cell r="J3347" t="str">
            <v>CTC</v>
          </cell>
          <cell r="K3347" t="str">
            <v>YES</v>
          </cell>
        </row>
        <row r="3348">
          <cell r="I3348" t="str">
            <v>V24839</v>
          </cell>
          <cell r="J3348" t="str">
            <v>CTC</v>
          </cell>
          <cell r="K3348" t="str">
            <v>YES</v>
          </cell>
        </row>
        <row r="3349">
          <cell r="I3349" t="str">
            <v>V44323</v>
          </cell>
          <cell r="J3349" t="str">
            <v>CTC</v>
          </cell>
          <cell r="K3349" t="str">
            <v>YES</v>
          </cell>
        </row>
        <row r="3350">
          <cell r="I3350" t="str">
            <v>V39042</v>
          </cell>
          <cell r="J3350" t="str">
            <v>CTC</v>
          </cell>
          <cell r="K3350" t="str">
            <v>YES</v>
          </cell>
        </row>
        <row r="3351">
          <cell r="I3351" t="str">
            <v>V44859</v>
          </cell>
          <cell r="J3351" t="str">
            <v>CTC</v>
          </cell>
          <cell r="K3351" t="str">
            <v>YES</v>
          </cell>
        </row>
        <row r="3352">
          <cell r="I3352" t="str">
            <v>V26688</v>
          </cell>
          <cell r="J3352" t="str">
            <v>CTC</v>
          </cell>
          <cell r="K3352" t="str">
            <v>YES</v>
          </cell>
        </row>
        <row r="3353">
          <cell r="I3353" t="str">
            <v>V25119</v>
          </cell>
          <cell r="J3353" t="str">
            <v>CTC</v>
          </cell>
          <cell r="K3353" t="str">
            <v>YES</v>
          </cell>
        </row>
        <row r="3354">
          <cell r="I3354" t="str">
            <v>V27067</v>
          </cell>
          <cell r="J3354" t="str">
            <v>CTC</v>
          </cell>
          <cell r="K3354" t="str">
            <v>YES</v>
          </cell>
        </row>
        <row r="3355">
          <cell r="I3355" t="str">
            <v>V27249</v>
          </cell>
          <cell r="J3355" t="str">
            <v>CTC</v>
          </cell>
          <cell r="K3355" t="str">
            <v>YES</v>
          </cell>
        </row>
        <row r="3356">
          <cell r="I3356" t="str">
            <v>V47310</v>
          </cell>
          <cell r="J3356" t="str">
            <v>CTC</v>
          </cell>
          <cell r="K3356" t="str">
            <v>YES</v>
          </cell>
        </row>
        <row r="3357">
          <cell r="I3357" t="str">
            <v>V20481</v>
          </cell>
          <cell r="J3357" t="str">
            <v>CTC</v>
          </cell>
          <cell r="K3357" t="str">
            <v>YES</v>
          </cell>
        </row>
        <row r="3358">
          <cell r="I3358" t="str">
            <v>V44999</v>
          </cell>
          <cell r="J3358" t="str">
            <v>CTC</v>
          </cell>
          <cell r="K3358" t="str">
            <v>YES</v>
          </cell>
        </row>
        <row r="3359">
          <cell r="I3359" t="str">
            <v>V20620</v>
          </cell>
          <cell r="J3359" t="str">
            <v>CTC</v>
          </cell>
          <cell r="K3359" t="str">
            <v>YES</v>
          </cell>
        </row>
        <row r="3360">
          <cell r="I3360" t="str">
            <v>V20728</v>
          </cell>
          <cell r="J3360" t="str">
            <v>CTC</v>
          </cell>
          <cell r="K3360" t="str">
            <v>YES</v>
          </cell>
        </row>
        <row r="3361">
          <cell r="I3361" t="str">
            <v>V20738</v>
          </cell>
          <cell r="J3361" t="str">
            <v>CTC</v>
          </cell>
          <cell r="K3361" t="str">
            <v>YES</v>
          </cell>
        </row>
        <row r="3362">
          <cell r="I3362" t="str">
            <v>V20760</v>
          </cell>
          <cell r="J3362" t="str">
            <v>CTC</v>
          </cell>
          <cell r="K3362" t="str">
            <v>YES</v>
          </cell>
        </row>
        <row r="3363">
          <cell r="I3363" t="str">
            <v>V20879</v>
          </cell>
          <cell r="J3363" t="str">
            <v>CTC</v>
          </cell>
          <cell r="K3363" t="str">
            <v>YES</v>
          </cell>
        </row>
        <row r="3364">
          <cell r="I3364" t="str">
            <v>V20935</v>
          </cell>
          <cell r="J3364" t="str">
            <v>CTC</v>
          </cell>
          <cell r="K3364" t="str">
            <v>YES</v>
          </cell>
        </row>
        <row r="3365">
          <cell r="I3365" t="str">
            <v>V20975</v>
          </cell>
          <cell r="J3365" t="str">
            <v>CTC</v>
          </cell>
          <cell r="K3365" t="str">
            <v>YES</v>
          </cell>
        </row>
        <row r="3366">
          <cell r="I3366" t="str">
            <v>V21054</v>
          </cell>
          <cell r="J3366" t="str">
            <v>CTC</v>
          </cell>
          <cell r="K3366" t="str">
            <v>YES</v>
          </cell>
        </row>
        <row r="3367">
          <cell r="I3367" t="str">
            <v>V21092</v>
          </cell>
          <cell r="J3367" t="str">
            <v>CTC</v>
          </cell>
          <cell r="K3367" t="str">
            <v>YES</v>
          </cell>
        </row>
        <row r="3368">
          <cell r="I3368" t="str">
            <v>V21115</v>
          </cell>
          <cell r="J3368" t="str">
            <v>CTC</v>
          </cell>
          <cell r="K3368" t="str">
            <v>YES</v>
          </cell>
        </row>
        <row r="3369">
          <cell r="I3369" t="str">
            <v>V21117</v>
          </cell>
          <cell r="J3369" t="str">
            <v>CTC</v>
          </cell>
          <cell r="K3369" t="str">
            <v>YES</v>
          </cell>
        </row>
        <row r="3370">
          <cell r="I3370" t="str">
            <v>V21243</v>
          </cell>
          <cell r="J3370" t="str">
            <v>CTC</v>
          </cell>
          <cell r="K3370" t="str">
            <v>YES</v>
          </cell>
        </row>
        <row r="3371">
          <cell r="I3371" t="str">
            <v>V21312</v>
          </cell>
          <cell r="J3371" t="str">
            <v>CTC</v>
          </cell>
          <cell r="K3371" t="str">
            <v>YES</v>
          </cell>
        </row>
        <row r="3372">
          <cell r="I3372" t="str">
            <v>V21518</v>
          </cell>
          <cell r="J3372" t="str">
            <v>CTC</v>
          </cell>
          <cell r="K3372" t="str">
            <v>YES</v>
          </cell>
        </row>
        <row r="3373">
          <cell r="I3373" t="str">
            <v>V21580</v>
          </cell>
          <cell r="J3373" t="str">
            <v>CTC</v>
          </cell>
          <cell r="K3373" t="str">
            <v>YES</v>
          </cell>
        </row>
        <row r="3374">
          <cell r="I3374" t="str">
            <v>V21739</v>
          </cell>
          <cell r="J3374" t="str">
            <v>CTC</v>
          </cell>
          <cell r="K3374" t="str">
            <v>YES</v>
          </cell>
        </row>
        <row r="3375">
          <cell r="I3375" t="str">
            <v>V21809</v>
          </cell>
          <cell r="J3375" t="str">
            <v>CTC</v>
          </cell>
          <cell r="K3375" t="str">
            <v>YES</v>
          </cell>
        </row>
        <row r="3376">
          <cell r="I3376" t="str">
            <v>V21838</v>
          </cell>
          <cell r="J3376" t="str">
            <v>CTC</v>
          </cell>
          <cell r="K3376" t="str">
            <v>YES</v>
          </cell>
        </row>
        <row r="3377">
          <cell r="I3377" t="str">
            <v>V21841</v>
          </cell>
          <cell r="J3377" t="str">
            <v>CTC</v>
          </cell>
          <cell r="K3377" t="str">
            <v>YES</v>
          </cell>
        </row>
        <row r="3378">
          <cell r="I3378" t="str">
            <v>V21867</v>
          </cell>
          <cell r="J3378" t="str">
            <v>CTC</v>
          </cell>
          <cell r="K3378" t="str">
            <v>YES</v>
          </cell>
        </row>
        <row r="3379">
          <cell r="I3379" t="str">
            <v>V22061</v>
          </cell>
          <cell r="J3379" t="str">
            <v>CTC</v>
          </cell>
          <cell r="K3379" t="str">
            <v>YES</v>
          </cell>
        </row>
        <row r="3380">
          <cell r="I3380" t="str">
            <v>V22170</v>
          </cell>
          <cell r="J3380" t="str">
            <v>CTC</v>
          </cell>
          <cell r="K3380" t="str">
            <v>YES</v>
          </cell>
        </row>
        <row r="3381">
          <cell r="I3381" t="str">
            <v>V22172</v>
          </cell>
          <cell r="J3381" t="str">
            <v>CTC</v>
          </cell>
          <cell r="K3381" t="str">
            <v>YES</v>
          </cell>
        </row>
        <row r="3382">
          <cell r="I3382" t="str">
            <v>V22179</v>
          </cell>
          <cell r="J3382" t="str">
            <v>CTC</v>
          </cell>
          <cell r="K3382" t="str">
            <v>YES</v>
          </cell>
        </row>
        <row r="3383">
          <cell r="I3383" t="str">
            <v>V22186</v>
          </cell>
          <cell r="J3383" t="str">
            <v>CTC</v>
          </cell>
          <cell r="K3383" t="str">
            <v>YES</v>
          </cell>
        </row>
        <row r="3384">
          <cell r="I3384" t="str">
            <v>V22233</v>
          </cell>
          <cell r="J3384" t="str">
            <v>CTC</v>
          </cell>
          <cell r="K3384" t="str">
            <v>YES</v>
          </cell>
        </row>
        <row r="3385">
          <cell r="I3385" t="str">
            <v>V22235</v>
          </cell>
          <cell r="J3385" t="str">
            <v>CTC</v>
          </cell>
          <cell r="K3385" t="str">
            <v>YES</v>
          </cell>
        </row>
        <row r="3386">
          <cell r="I3386" t="str">
            <v>V22237</v>
          </cell>
          <cell r="J3386" t="str">
            <v>CTC</v>
          </cell>
          <cell r="K3386" t="str">
            <v>YES</v>
          </cell>
        </row>
        <row r="3387">
          <cell r="I3387" t="str">
            <v>V22350</v>
          </cell>
          <cell r="J3387" t="str">
            <v>CTC</v>
          </cell>
          <cell r="K3387" t="str">
            <v>YES</v>
          </cell>
        </row>
        <row r="3388">
          <cell r="I3388" t="str">
            <v>V22675</v>
          </cell>
          <cell r="J3388" t="str">
            <v>CTC</v>
          </cell>
          <cell r="K3388" t="str">
            <v>YES</v>
          </cell>
        </row>
        <row r="3389">
          <cell r="I3389" t="str">
            <v>V22225</v>
          </cell>
          <cell r="J3389" t="str">
            <v>CTC</v>
          </cell>
          <cell r="K3389" t="str">
            <v>YES</v>
          </cell>
        </row>
        <row r="3390">
          <cell r="I3390" t="str">
            <v>V20684</v>
          </cell>
          <cell r="J3390" t="str">
            <v>CTC</v>
          </cell>
          <cell r="K3390" t="str">
            <v>YES</v>
          </cell>
        </row>
        <row r="3391">
          <cell r="I3391" t="str">
            <v>V20781</v>
          </cell>
          <cell r="J3391" t="str">
            <v>CTC</v>
          </cell>
          <cell r="K3391" t="str">
            <v>YES</v>
          </cell>
        </row>
        <row r="3392">
          <cell r="I3392" t="str">
            <v>V20804</v>
          </cell>
          <cell r="J3392" t="str">
            <v>CTC</v>
          </cell>
          <cell r="K3392" t="str">
            <v>YES</v>
          </cell>
        </row>
        <row r="3393">
          <cell r="I3393" t="str">
            <v>V20805</v>
          </cell>
          <cell r="J3393" t="str">
            <v>CTC</v>
          </cell>
          <cell r="K3393" t="str">
            <v>YES</v>
          </cell>
        </row>
        <row r="3394">
          <cell r="I3394" t="str">
            <v>V20819</v>
          </cell>
          <cell r="J3394" t="str">
            <v>CTC</v>
          </cell>
          <cell r="K3394" t="str">
            <v>YES</v>
          </cell>
        </row>
        <row r="3395">
          <cell r="I3395" t="str">
            <v>V20966</v>
          </cell>
          <cell r="J3395" t="str">
            <v>CTC</v>
          </cell>
          <cell r="K3395" t="str">
            <v>YES</v>
          </cell>
        </row>
        <row r="3396">
          <cell r="I3396" t="str">
            <v>V20984</v>
          </cell>
          <cell r="J3396" t="str">
            <v>CTC</v>
          </cell>
          <cell r="K3396" t="str">
            <v>YES</v>
          </cell>
        </row>
        <row r="3397">
          <cell r="I3397" t="str">
            <v>V21003</v>
          </cell>
          <cell r="J3397" t="str">
            <v>CTC</v>
          </cell>
          <cell r="K3397" t="str">
            <v>YES</v>
          </cell>
        </row>
        <row r="3398">
          <cell r="I3398" t="str">
            <v>V21065</v>
          </cell>
          <cell r="J3398" t="str">
            <v>CTC</v>
          </cell>
          <cell r="K3398" t="str">
            <v>YES</v>
          </cell>
        </row>
        <row r="3399">
          <cell r="I3399" t="str">
            <v>V21170</v>
          </cell>
          <cell r="J3399" t="str">
            <v>CTC</v>
          </cell>
          <cell r="K3399" t="str">
            <v>YES</v>
          </cell>
        </row>
        <row r="3400">
          <cell r="I3400" t="str">
            <v>V21313</v>
          </cell>
          <cell r="J3400" t="str">
            <v>CTC</v>
          </cell>
          <cell r="K3400" t="str">
            <v>YES</v>
          </cell>
        </row>
        <row r="3401">
          <cell r="I3401" t="str">
            <v>V21641</v>
          </cell>
          <cell r="J3401" t="str">
            <v>CTC</v>
          </cell>
          <cell r="K3401" t="str">
            <v>YES</v>
          </cell>
        </row>
        <row r="3402">
          <cell r="I3402" t="str">
            <v>V21661</v>
          </cell>
          <cell r="J3402" t="str">
            <v>CTC</v>
          </cell>
          <cell r="K3402" t="str">
            <v>YES</v>
          </cell>
        </row>
        <row r="3403">
          <cell r="I3403" t="str">
            <v>V21662</v>
          </cell>
          <cell r="J3403" t="str">
            <v>CTC</v>
          </cell>
          <cell r="K3403" t="str">
            <v>YES</v>
          </cell>
        </row>
        <row r="3404">
          <cell r="I3404" t="str">
            <v>V21684</v>
          </cell>
          <cell r="J3404" t="str">
            <v>CTC</v>
          </cell>
          <cell r="K3404" t="str">
            <v>YES</v>
          </cell>
        </row>
        <row r="3405">
          <cell r="I3405" t="str">
            <v>V21712</v>
          </cell>
          <cell r="J3405" t="str">
            <v>CTC</v>
          </cell>
          <cell r="K3405" t="str">
            <v>YES</v>
          </cell>
        </row>
        <row r="3406">
          <cell r="I3406" t="str">
            <v>V21727</v>
          </cell>
          <cell r="J3406" t="str">
            <v>CTC</v>
          </cell>
          <cell r="K3406" t="str">
            <v>YES</v>
          </cell>
        </row>
        <row r="3407">
          <cell r="I3407" t="str">
            <v>V21774</v>
          </cell>
          <cell r="J3407" t="str">
            <v>CTC</v>
          </cell>
          <cell r="K3407" t="str">
            <v>YES</v>
          </cell>
        </row>
        <row r="3408">
          <cell r="I3408" t="str">
            <v>V21786</v>
          </cell>
          <cell r="J3408" t="str">
            <v>CTC</v>
          </cell>
          <cell r="K3408" t="str">
            <v>YES</v>
          </cell>
        </row>
        <row r="3409">
          <cell r="I3409" t="str">
            <v>V21805</v>
          </cell>
          <cell r="J3409" t="str">
            <v>CTC</v>
          </cell>
          <cell r="K3409" t="str">
            <v>YES</v>
          </cell>
        </row>
        <row r="3410">
          <cell r="I3410" t="str">
            <v>V21834</v>
          </cell>
          <cell r="J3410" t="str">
            <v>CTC</v>
          </cell>
          <cell r="K3410" t="str">
            <v>YES</v>
          </cell>
        </row>
        <row r="3411">
          <cell r="I3411" t="str">
            <v>V21847</v>
          </cell>
          <cell r="J3411" t="str">
            <v>CTC</v>
          </cell>
          <cell r="K3411" t="str">
            <v>YES</v>
          </cell>
        </row>
        <row r="3412">
          <cell r="I3412" t="str">
            <v>V21880</v>
          </cell>
          <cell r="J3412" t="str">
            <v>CTC</v>
          </cell>
          <cell r="K3412" t="str">
            <v>YES</v>
          </cell>
        </row>
        <row r="3413">
          <cell r="I3413" t="str">
            <v>V21928</v>
          </cell>
          <cell r="J3413" t="str">
            <v>CTC</v>
          </cell>
          <cell r="K3413" t="str">
            <v>YES</v>
          </cell>
        </row>
        <row r="3414">
          <cell r="I3414" t="str">
            <v>V21936</v>
          </cell>
          <cell r="J3414" t="str">
            <v>CTC</v>
          </cell>
          <cell r="K3414" t="str">
            <v>YES</v>
          </cell>
        </row>
        <row r="3415">
          <cell r="I3415" t="str">
            <v>V22073</v>
          </cell>
          <cell r="J3415" t="str">
            <v>CTC</v>
          </cell>
          <cell r="K3415" t="str">
            <v>YES</v>
          </cell>
        </row>
        <row r="3416">
          <cell r="I3416" t="str">
            <v>V22088</v>
          </cell>
          <cell r="J3416" t="str">
            <v>CTC</v>
          </cell>
          <cell r="K3416" t="str">
            <v>YES</v>
          </cell>
        </row>
        <row r="3417">
          <cell r="I3417" t="str">
            <v>V22093</v>
          </cell>
          <cell r="J3417" t="str">
            <v>CTC</v>
          </cell>
          <cell r="K3417" t="str">
            <v>YES</v>
          </cell>
        </row>
        <row r="3418">
          <cell r="I3418" t="str">
            <v>V22151</v>
          </cell>
          <cell r="J3418" t="str">
            <v>CTC</v>
          </cell>
          <cell r="K3418" t="str">
            <v>YES</v>
          </cell>
        </row>
        <row r="3419">
          <cell r="I3419" t="str">
            <v>V22158</v>
          </cell>
          <cell r="J3419" t="str">
            <v>CTC</v>
          </cell>
          <cell r="K3419" t="str">
            <v>YES</v>
          </cell>
        </row>
        <row r="3420">
          <cell r="I3420" t="str">
            <v>V22250</v>
          </cell>
          <cell r="J3420" t="str">
            <v>CTC</v>
          </cell>
          <cell r="K3420" t="str">
            <v>YES</v>
          </cell>
        </row>
        <row r="3421">
          <cell r="I3421" t="str">
            <v>V22275</v>
          </cell>
          <cell r="J3421" t="str">
            <v>CTC</v>
          </cell>
          <cell r="K3421" t="str">
            <v>YES</v>
          </cell>
        </row>
        <row r="3422">
          <cell r="I3422" t="str">
            <v>V22400</v>
          </cell>
          <cell r="J3422" t="str">
            <v>CTC</v>
          </cell>
          <cell r="K3422" t="str">
            <v>YES</v>
          </cell>
        </row>
        <row r="3423">
          <cell r="I3423" t="str">
            <v>V22445</v>
          </cell>
          <cell r="J3423" t="str">
            <v>CTC</v>
          </cell>
          <cell r="K3423" t="str">
            <v>YES</v>
          </cell>
        </row>
        <row r="3424">
          <cell r="I3424" t="str">
            <v>V22493</v>
          </cell>
          <cell r="J3424" t="str">
            <v>CTC</v>
          </cell>
          <cell r="K3424" t="str">
            <v>YES</v>
          </cell>
        </row>
        <row r="3425">
          <cell r="I3425" t="str">
            <v>V22517</v>
          </cell>
          <cell r="J3425" t="str">
            <v>CTC</v>
          </cell>
          <cell r="K3425" t="str">
            <v>YES</v>
          </cell>
        </row>
        <row r="3426">
          <cell r="I3426" t="str">
            <v>V22524</v>
          </cell>
          <cell r="J3426" t="str">
            <v>CTC</v>
          </cell>
          <cell r="K3426" t="str">
            <v>YES</v>
          </cell>
        </row>
        <row r="3427">
          <cell r="I3427" t="str">
            <v>V22528</v>
          </cell>
          <cell r="J3427" t="str">
            <v>CTC</v>
          </cell>
          <cell r="K3427" t="str">
            <v>YES</v>
          </cell>
        </row>
        <row r="3428">
          <cell r="I3428" t="str">
            <v>V22589</v>
          </cell>
          <cell r="J3428" t="str">
            <v>CTC</v>
          </cell>
          <cell r="K3428" t="str">
            <v>YES</v>
          </cell>
        </row>
        <row r="3429">
          <cell r="I3429" t="str">
            <v>V22671</v>
          </cell>
          <cell r="J3429" t="str">
            <v>CTC</v>
          </cell>
          <cell r="K3429" t="str">
            <v>YES</v>
          </cell>
        </row>
        <row r="3430">
          <cell r="I3430" t="str">
            <v>V22672</v>
          </cell>
          <cell r="J3430" t="str">
            <v>CTC</v>
          </cell>
          <cell r="K3430" t="str">
            <v>YES</v>
          </cell>
        </row>
        <row r="3431">
          <cell r="I3431" t="str">
            <v>V22710</v>
          </cell>
          <cell r="J3431" t="str">
            <v>CTC</v>
          </cell>
          <cell r="K3431" t="str">
            <v>YES</v>
          </cell>
        </row>
        <row r="3432">
          <cell r="I3432" t="str">
            <v>V22786</v>
          </cell>
          <cell r="J3432" t="str">
            <v>CTC</v>
          </cell>
          <cell r="K3432" t="str">
            <v>YES</v>
          </cell>
        </row>
        <row r="3433">
          <cell r="I3433" t="str">
            <v>V30465</v>
          </cell>
          <cell r="J3433" t="str">
            <v>CTC</v>
          </cell>
          <cell r="K3433" t="str">
            <v>YES</v>
          </cell>
        </row>
        <row r="3434">
          <cell r="I3434" t="str">
            <v>V41268</v>
          </cell>
          <cell r="J3434" t="str">
            <v>CTC</v>
          </cell>
          <cell r="K3434" t="str">
            <v>YES</v>
          </cell>
        </row>
        <row r="3435">
          <cell r="I3435" t="str">
            <v>V28097</v>
          </cell>
          <cell r="J3435" t="str">
            <v>CTC</v>
          </cell>
          <cell r="K3435" t="str">
            <v>YES</v>
          </cell>
        </row>
        <row r="3436">
          <cell r="I3436" t="str">
            <v>V38933</v>
          </cell>
          <cell r="J3436" t="str">
            <v>CTC</v>
          </cell>
          <cell r="K3436" t="str">
            <v>YES</v>
          </cell>
        </row>
        <row r="3437">
          <cell r="I3437" t="str">
            <v>V40338</v>
          </cell>
          <cell r="J3437" t="str">
            <v>CTC</v>
          </cell>
          <cell r="K3437" t="str">
            <v>YES</v>
          </cell>
        </row>
        <row r="3438">
          <cell r="I3438" t="str">
            <v>V48895</v>
          </cell>
          <cell r="J3438" t="str">
            <v>CTC</v>
          </cell>
          <cell r="K3438" t="str">
            <v>YES</v>
          </cell>
        </row>
        <row r="3439">
          <cell r="I3439" t="str">
            <v>V31422</v>
          </cell>
          <cell r="J3439" t="str">
            <v>CTC</v>
          </cell>
          <cell r="K3439" t="str">
            <v>YES</v>
          </cell>
        </row>
        <row r="3440">
          <cell r="I3440" t="str">
            <v>V41598</v>
          </cell>
          <cell r="J3440" t="str">
            <v>CTC</v>
          </cell>
          <cell r="K3440" t="str">
            <v>YES</v>
          </cell>
        </row>
        <row r="3441">
          <cell r="I3441" t="str">
            <v>V36848</v>
          </cell>
          <cell r="J3441" t="str">
            <v>CTC</v>
          </cell>
          <cell r="K3441" t="str">
            <v>YES</v>
          </cell>
        </row>
        <row r="3442">
          <cell r="I3442" t="str">
            <v>V36849</v>
          </cell>
          <cell r="J3442" t="str">
            <v>CTC</v>
          </cell>
          <cell r="K3442" t="str">
            <v>YES</v>
          </cell>
        </row>
        <row r="3443">
          <cell r="I3443" t="str">
            <v>V36853</v>
          </cell>
          <cell r="J3443" t="str">
            <v>CTC</v>
          </cell>
          <cell r="K3443" t="str">
            <v>YES</v>
          </cell>
        </row>
        <row r="3444">
          <cell r="I3444" t="str">
            <v>V36855</v>
          </cell>
          <cell r="J3444" t="str">
            <v>CTC</v>
          </cell>
          <cell r="K3444" t="str">
            <v>YES</v>
          </cell>
        </row>
        <row r="3445">
          <cell r="I3445" t="str">
            <v>V37663</v>
          </cell>
          <cell r="J3445" t="str">
            <v>CTC</v>
          </cell>
          <cell r="K3445" t="str">
            <v>YES</v>
          </cell>
        </row>
        <row r="3446">
          <cell r="I3446" t="str">
            <v>V40139</v>
          </cell>
          <cell r="J3446" t="str">
            <v>CTC</v>
          </cell>
          <cell r="K3446" t="str">
            <v>YES</v>
          </cell>
        </row>
        <row r="3447">
          <cell r="I3447" t="str">
            <v>V24179</v>
          </cell>
          <cell r="J3447" t="str">
            <v>CTC</v>
          </cell>
          <cell r="K3447" t="str">
            <v>YES</v>
          </cell>
        </row>
        <row r="3448">
          <cell r="I3448" t="str">
            <v>V30416</v>
          </cell>
          <cell r="J3448" t="str">
            <v>CTC</v>
          </cell>
          <cell r="K3448" t="str">
            <v>YES</v>
          </cell>
        </row>
        <row r="3449">
          <cell r="I3449" t="str">
            <v>V29513</v>
          </cell>
          <cell r="J3449" t="str">
            <v>CTC</v>
          </cell>
          <cell r="K3449" t="str">
            <v>YES</v>
          </cell>
        </row>
        <row r="3450">
          <cell r="I3450" t="str">
            <v>V40411</v>
          </cell>
          <cell r="J3450" t="str">
            <v>CTC</v>
          </cell>
          <cell r="K3450" t="str">
            <v>YES</v>
          </cell>
        </row>
        <row r="3451">
          <cell r="I3451" t="str">
            <v>V37327</v>
          </cell>
          <cell r="J3451" t="str">
            <v>CTC</v>
          </cell>
          <cell r="K3451" t="str">
            <v>YES</v>
          </cell>
        </row>
        <row r="3452">
          <cell r="I3452" t="str">
            <v>V37770</v>
          </cell>
          <cell r="J3452" t="str">
            <v>CTC</v>
          </cell>
          <cell r="K3452" t="str">
            <v>YES</v>
          </cell>
        </row>
        <row r="3453">
          <cell r="I3453" t="str">
            <v>V37969</v>
          </cell>
          <cell r="J3453" t="str">
            <v>CTC</v>
          </cell>
          <cell r="K3453" t="str">
            <v>YES</v>
          </cell>
        </row>
        <row r="3454">
          <cell r="I3454" t="str">
            <v>V38074</v>
          </cell>
          <cell r="J3454" t="str">
            <v>CTC</v>
          </cell>
          <cell r="K3454" t="str">
            <v>YES</v>
          </cell>
        </row>
        <row r="3455">
          <cell r="I3455" t="str">
            <v>V38849</v>
          </cell>
          <cell r="J3455" t="str">
            <v>CTC</v>
          </cell>
          <cell r="K3455" t="str">
            <v>YES</v>
          </cell>
        </row>
        <row r="3456">
          <cell r="I3456" t="str">
            <v>V39688</v>
          </cell>
          <cell r="J3456" t="str">
            <v>CTC</v>
          </cell>
          <cell r="K3456" t="str">
            <v>YES</v>
          </cell>
        </row>
        <row r="3457">
          <cell r="I3457" t="str">
            <v>V40094</v>
          </cell>
          <cell r="J3457" t="str">
            <v>CTC</v>
          </cell>
          <cell r="K3457" t="str">
            <v>YES</v>
          </cell>
        </row>
        <row r="3458">
          <cell r="I3458" t="str">
            <v>V41029</v>
          </cell>
          <cell r="J3458" t="str">
            <v>CTC</v>
          </cell>
          <cell r="K3458" t="str">
            <v>YES</v>
          </cell>
        </row>
        <row r="3459">
          <cell r="I3459" t="str">
            <v>V42609</v>
          </cell>
          <cell r="J3459" t="str">
            <v>CTC</v>
          </cell>
          <cell r="K3459" t="str">
            <v>YES</v>
          </cell>
        </row>
        <row r="3460">
          <cell r="I3460" t="str">
            <v>V37093</v>
          </cell>
          <cell r="J3460" t="str">
            <v>CTC</v>
          </cell>
          <cell r="K3460" t="str">
            <v>YES</v>
          </cell>
        </row>
        <row r="3461">
          <cell r="I3461" t="str">
            <v>V21979</v>
          </cell>
          <cell r="J3461" t="str">
            <v>CTC</v>
          </cell>
          <cell r="K3461" t="str">
            <v>YES</v>
          </cell>
        </row>
        <row r="3462">
          <cell r="I3462" t="str">
            <v>V25711</v>
          </cell>
          <cell r="J3462" t="str">
            <v>CTC</v>
          </cell>
          <cell r="K3462" t="str">
            <v>YES</v>
          </cell>
        </row>
        <row r="3463">
          <cell r="I3463" t="str">
            <v>V36371</v>
          </cell>
          <cell r="J3463" t="str">
            <v>CTC</v>
          </cell>
          <cell r="K3463" t="str">
            <v>YES</v>
          </cell>
        </row>
        <row r="3464">
          <cell r="I3464" t="str">
            <v>V25507</v>
          </cell>
          <cell r="J3464" t="str">
            <v>CTC</v>
          </cell>
          <cell r="K3464" t="str">
            <v>YES</v>
          </cell>
        </row>
        <row r="3465">
          <cell r="I3465" t="str">
            <v>V25696</v>
          </cell>
          <cell r="J3465" t="str">
            <v>CTC</v>
          </cell>
          <cell r="K3465" t="str">
            <v>YES</v>
          </cell>
        </row>
        <row r="3466">
          <cell r="I3466" t="str">
            <v>V25733</v>
          </cell>
          <cell r="J3466" t="str">
            <v>CTC</v>
          </cell>
          <cell r="K3466" t="str">
            <v>YES</v>
          </cell>
        </row>
        <row r="3467">
          <cell r="I3467" t="str">
            <v>V25763</v>
          </cell>
          <cell r="J3467" t="str">
            <v>CTC</v>
          </cell>
          <cell r="K3467" t="str">
            <v>YES</v>
          </cell>
        </row>
        <row r="3468">
          <cell r="I3468" t="str">
            <v>V25933</v>
          </cell>
          <cell r="J3468" t="str">
            <v>CTC</v>
          </cell>
          <cell r="K3468" t="str">
            <v>YES</v>
          </cell>
        </row>
        <row r="3469">
          <cell r="I3469" t="str">
            <v>V25935</v>
          </cell>
          <cell r="J3469" t="str">
            <v>CTC</v>
          </cell>
          <cell r="K3469" t="str">
            <v>YES</v>
          </cell>
        </row>
        <row r="3470">
          <cell r="I3470" t="str">
            <v>V25955</v>
          </cell>
          <cell r="J3470" t="str">
            <v>CTC</v>
          </cell>
          <cell r="K3470" t="str">
            <v>YES</v>
          </cell>
        </row>
        <row r="3471">
          <cell r="I3471" t="str">
            <v>V26018</v>
          </cell>
          <cell r="J3471" t="str">
            <v>CTC</v>
          </cell>
          <cell r="K3471" t="str">
            <v>YES</v>
          </cell>
        </row>
        <row r="3472">
          <cell r="I3472" t="str">
            <v>V26040</v>
          </cell>
          <cell r="J3472" t="str">
            <v>CTC</v>
          </cell>
          <cell r="K3472" t="str">
            <v>YES</v>
          </cell>
        </row>
        <row r="3473">
          <cell r="I3473" t="str">
            <v>V26074</v>
          </cell>
          <cell r="J3473" t="str">
            <v>CTC</v>
          </cell>
          <cell r="K3473" t="str">
            <v>YES</v>
          </cell>
        </row>
        <row r="3474">
          <cell r="I3474" t="str">
            <v>V26154</v>
          </cell>
          <cell r="J3474" t="str">
            <v>CTC</v>
          </cell>
          <cell r="K3474" t="str">
            <v>YES</v>
          </cell>
        </row>
        <row r="3475">
          <cell r="I3475" t="str">
            <v>V26453</v>
          </cell>
          <cell r="J3475" t="str">
            <v>CTC</v>
          </cell>
          <cell r="K3475" t="str">
            <v>YES</v>
          </cell>
        </row>
        <row r="3476">
          <cell r="I3476" t="str">
            <v>V26495</v>
          </cell>
          <cell r="J3476" t="str">
            <v>CTC</v>
          </cell>
          <cell r="K3476" t="str">
            <v>YES</v>
          </cell>
        </row>
        <row r="3477">
          <cell r="I3477" t="str">
            <v>V26722</v>
          </cell>
          <cell r="J3477" t="str">
            <v>CTC</v>
          </cell>
          <cell r="K3477" t="str">
            <v>YES</v>
          </cell>
        </row>
        <row r="3478">
          <cell r="I3478" t="str">
            <v>V26999</v>
          </cell>
          <cell r="J3478" t="str">
            <v>CTC</v>
          </cell>
          <cell r="K3478" t="str">
            <v>YES</v>
          </cell>
        </row>
        <row r="3479">
          <cell r="I3479" t="str">
            <v>V27055</v>
          </cell>
          <cell r="J3479" t="str">
            <v>CTC</v>
          </cell>
          <cell r="K3479" t="str">
            <v>YES</v>
          </cell>
        </row>
        <row r="3480">
          <cell r="I3480" t="str">
            <v>V27076</v>
          </cell>
          <cell r="J3480" t="str">
            <v>CTC</v>
          </cell>
          <cell r="K3480" t="str">
            <v>YES</v>
          </cell>
        </row>
        <row r="3481">
          <cell r="I3481" t="str">
            <v>V27221</v>
          </cell>
          <cell r="J3481" t="str">
            <v>CTC</v>
          </cell>
          <cell r="K3481" t="str">
            <v>YES</v>
          </cell>
        </row>
        <row r="3482">
          <cell r="I3482" t="str">
            <v>V27409</v>
          </cell>
          <cell r="J3482" t="str">
            <v>CTC</v>
          </cell>
          <cell r="K3482" t="str">
            <v>YES</v>
          </cell>
        </row>
        <row r="3483">
          <cell r="I3483" t="str">
            <v>V27410</v>
          </cell>
          <cell r="J3483" t="str">
            <v>CTC</v>
          </cell>
          <cell r="K3483" t="str">
            <v>YES</v>
          </cell>
        </row>
        <row r="3484">
          <cell r="I3484" t="str">
            <v>V27451</v>
          </cell>
          <cell r="J3484" t="str">
            <v>CTC</v>
          </cell>
          <cell r="K3484" t="str">
            <v>YES</v>
          </cell>
        </row>
        <row r="3485">
          <cell r="I3485" t="str">
            <v>V27533</v>
          </cell>
          <cell r="J3485" t="str">
            <v>CTC</v>
          </cell>
          <cell r="K3485" t="str">
            <v>YES</v>
          </cell>
        </row>
        <row r="3486">
          <cell r="I3486" t="str">
            <v>V27778</v>
          </cell>
          <cell r="J3486" t="str">
            <v>CTC</v>
          </cell>
          <cell r="K3486" t="str">
            <v>YES</v>
          </cell>
        </row>
        <row r="3487">
          <cell r="I3487" t="str">
            <v>V27904</v>
          </cell>
          <cell r="J3487" t="str">
            <v>CTC</v>
          </cell>
          <cell r="K3487" t="str">
            <v>YES</v>
          </cell>
        </row>
        <row r="3488">
          <cell r="I3488" t="str">
            <v>V27933</v>
          </cell>
          <cell r="J3488" t="str">
            <v>CTC</v>
          </cell>
          <cell r="K3488" t="str">
            <v>YES</v>
          </cell>
        </row>
        <row r="3489">
          <cell r="I3489" t="str">
            <v>V27944</v>
          </cell>
          <cell r="J3489" t="str">
            <v>CTC</v>
          </cell>
          <cell r="K3489" t="str">
            <v>YES</v>
          </cell>
        </row>
        <row r="3490">
          <cell r="I3490" t="str">
            <v>V27975</v>
          </cell>
          <cell r="J3490" t="str">
            <v>CTC</v>
          </cell>
          <cell r="K3490" t="str">
            <v>YES</v>
          </cell>
        </row>
        <row r="3491">
          <cell r="I3491" t="str">
            <v>V28114</v>
          </cell>
          <cell r="J3491" t="str">
            <v>CTC</v>
          </cell>
          <cell r="K3491" t="str">
            <v>YES</v>
          </cell>
        </row>
        <row r="3492">
          <cell r="I3492" t="str">
            <v>V28129</v>
          </cell>
          <cell r="J3492" t="str">
            <v>CTC</v>
          </cell>
          <cell r="K3492" t="str">
            <v>YES</v>
          </cell>
        </row>
        <row r="3493">
          <cell r="I3493" t="str">
            <v>V28140</v>
          </cell>
          <cell r="J3493" t="str">
            <v>CTC</v>
          </cell>
          <cell r="K3493" t="str">
            <v>YES</v>
          </cell>
        </row>
        <row r="3494">
          <cell r="I3494" t="str">
            <v>V28142</v>
          </cell>
          <cell r="J3494" t="str">
            <v>CTC</v>
          </cell>
          <cell r="K3494" t="str">
            <v>YES</v>
          </cell>
        </row>
        <row r="3495">
          <cell r="I3495" t="str">
            <v>V28151</v>
          </cell>
          <cell r="J3495" t="str">
            <v>CTC</v>
          </cell>
          <cell r="K3495" t="str">
            <v>YES</v>
          </cell>
        </row>
        <row r="3496">
          <cell r="I3496" t="str">
            <v>V28152</v>
          </cell>
          <cell r="J3496" t="str">
            <v>CTC</v>
          </cell>
          <cell r="K3496" t="str">
            <v>YES</v>
          </cell>
        </row>
        <row r="3497">
          <cell r="I3497" t="str">
            <v>V28273</v>
          </cell>
          <cell r="J3497" t="str">
            <v>CTC</v>
          </cell>
          <cell r="K3497" t="str">
            <v>YES</v>
          </cell>
        </row>
        <row r="3498">
          <cell r="I3498" t="str">
            <v>V28283</v>
          </cell>
          <cell r="J3498" t="str">
            <v>CTC</v>
          </cell>
          <cell r="K3498" t="str">
            <v>YES</v>
          </cell>
        </row>
        <row r="3499">
          <cell r="I3499" t="str">
            <v>V28293</v>
          </cell>
          <cell r="J3499" t="str">
            <v>CTC</v>
          </cell>
          <cell r="K3499" t="str">
            <v>YES</v>
          </cell>
        </row>
        <row r="3500">
          <cell r="I3500" t="str">
            <v>V28295</v>
          </cell>
          <cell r="J3500" t="str">
            <v>CTC</v>
          </cell>
          <cell r="K3500" t="str">
            <v>YES</v>
          </cell>
        </row>
        <row r="3501">
          <cell r="I3501" t="str">
            <v>V28298</v>
          </cell>
          <cell r="J3501" t="str">
            <v>CTC</v>
          </cell>
          <cell r="K3501" t="str">
            <v>YES</v>
          </cell>
        </row>
        <row r="3502">
          <cell r="I3502" t="str">
            <v>V28303</v>
          </cell>
          <cell r="J3502" t="str">
            <v>CTC</v>
          </cell>
          <cell r="K3502" t="str">
            <v>YES</v>
          </cell>
        </row>
        <row r="3503">
          <cell r="I3503" t="str">
            <v>V28318</v>
          </cell>
          <cell r="J3503" t="str">
            <v>CTC</v>
          </cell>
          <cell r="K3503" t="str">
            <v>YES</v>
          </cell>
        </row>
        <row r="3504">
          <cell r="I3504" t="str">
            <v>V28378</v>
          </cell>
          <cell r="J3504" t="str">
            <v>CTC</v>
          </cell>
          <cell r="K3504" t="str">
            <v>YES</v>
          </cell>
        </row>
        <row r="3505">
          <cell r="I3505" t="str">
            <v>V28397</v>
          </cell>
          <cell r="J3505" t="str">
            <v>CTC</v>
          </cell>
          <cell r="K3505" t="str">
            <v>YES</v>
          </cell>
        </row>
        <row r="3506">
          <cell r="I3506" t="str">
            <v>V28410</v>
          </cell>
          <cell r="J3506" t="str">
            <v>CTC</v>
          </cell>
          <cell r="K3506" t="str">
            <v>YES</v>
          </cell>
        </row>
        <row r="3507">
          <cell r="I3507" t="str">
            <v>V28444</v>
          </cell>
          <cell r="J3507" t="str">
            <v>CTC</v>
          </cell>
          <cell r="K3507" t="str">
            <v>YES</v>
          </cell>
        </row>
        <row r="3508">
          <cell r="I3508" t="str">
            <v>V28568</v>
          </cell>
          <cell r="J3508" t="str">
            <v>CTC</v>
          </cell>
          <cell r="K3508" t="str">
            <v>YES</v>
          </cell>
        </row>
        <row r="3509">
          <cell r="I3509" t="str">
            <v>V28569</v>
          </cell>
          <cell r="J3509" t="str">
            <v>CTC</v>
          </cell>
          <cell r="K3509" t="str">
            <v>YES</v>
          </cell>
        </row>
        <row r="3510">
          <cell r="I3510" t="str">
            <v>V28571</v>
          </cell>
          <cell r="J3510" t="str">
            <v>CTC</v>
          </cell>
          <cell r="K3510" t="str">
            <v>YES</v>
          </cell>
        </row>
        <row r="3511">
          <cell r="I3511" t="str">
            <v>V28575</v>
          </cell>
          <cell r="J3511" t="str">
            <v>CTC</v>
          </cell>
          <cell r="K3511" t="str">
            <v>YES</v>
          </cell>
        </row>
        <row r="3512">
          <cell r="I3512" t="str">
            <v>V28577</v>
          </cell>
          <cell r="J3512" t="str">
            <v>CTC</v>
          </cell>
          <cell r="K3512" t="str">
            <v>YES</v>
          </cell>
        </row>
        <row r="3513">
          <cell r="I3513" t="str">
            <v>V28608</v>
          </cell>
          <cell r="J3513" t="str">
            <v>CTC</v>
          </cell>
          <cell r="K3513" t="str">
            <v>YES</v>
          </cell>
        </row>
        <row r="3514">
          <cell r="I3514" t="str">
            <v>V28754</v>
          </cell>
          <cell r="J3514" t="str">
            <v>CTC</v>
          </cell>
          <cell r="K3514" t="str">
            <v>YES</v>
          </cell>
        </row>
        <row r="3515">
          <cell r="I3515" t="str">
            <v>V28773</v>
          </cell>
          <cell r="J3515" t="str">
            <v>CTC</v>
          </cell>
          <cell r="K3515" t="str">
            <v>YES</v>
          </cell>
        </row>
        <row r="3516">
          <cell r="I3516" t="str">
            <v>V28775</v>
          </cell>
          <cell r="J3516" t="str">
            <v>CTC</v>
          </cell>
          <cell r="K3516" t="str">
            <v>YES</v>
          </cell>
        </row>
        <row r="3517">
          <cell r="I3517" t="str">
            <v>V28777</v>
          </cell>
          <cell r="J3517" t="str">
            <v>CTC</v>
          </cell>
          <cell r="K3517" t="str">
            <v>YES</v>
          </cell>
        </row>
        <row r="3518">
          <cell r="I3518" t="str">
            <v>V28779</v>
          </cell>
          <cell r="J3518" t="str">
            <v>CTC</v>
          </cell>
          <cell r="K3518" t="str">
            <v>YES</v>
          </cell>
        </row>
        <row r="3519">
          <cell r="I3519" t="str">
            <v>V28851</v>
          </cell>
          <cell r="J3519" t="str">
            <v>CTC</v>
          </cell>
          <cell r="K3519" t="str">
            <v>YES</v>
          </cell>
        </row>
        <row r="3520">
          <cell r="I3520" t="str">
            <v>V44023</v>
          </cell>
          <cell r="J3520" t="str">
            <v>CTC</v>
          </cell>
          <cell r="K3520" t="str">
            <v>YES</v>
          </cell>
        </row>
        <row r="3521">
          <cell r="I3521" t="str">
            <v>V38495</v>
          </cell>
          <cell r="J3521" t="str">
            <v>CTC</v>
          </cell>
          <cell r="K3521" t="str">
            <v>YES</v>
          </cell>
        </row>
        <row r="3522">
          <cell r="I3522" t="str">
            <v>V35041</v>
          </cell>
          <cell r="J3522" t="str">
            <v>CTC</v>
          </cell>
          <cell r="K3522" t="str">
            <v>YES</v>
          </cell>
        </row>
        <row r="3523">
          <cell r="I3523" t="str">
            <v>V37709</v>
          </cell>
          <cell r="J3523" t="str">
            <v>CTC</v>
          </cell>
          <cell r="K3523" t="str">
            <v>YES</v>
          </cell>
        </row>
        <row r="3524">
          <cell r="I3524" t="str">
            <v>V42500</v>
          </cell>
          <cell r="J3524" t="str">
            <v>CTC</v>
          </cell>
          <cell r="K3524" t="str">
            <v>YES</v>
          </cell>
        </row>
        <row r="3525">
          <cell r="I3525" t="str">
            <v>V28277</v>
          </cell>
          <cell r="J3525" t="str">
            <v>CTC</v>
          </cell>
          <cell r="K3525" t="str">
            <v>YES</v>
          </cell>
        </row>
        <row r="3526">
          <cell r="I3526" t="str">
            <v>V38907</v>
          </cell>
          <cell r="J3526" t="str">
            <v>CTC</v>
          </cell>
          <cell r="K3526" t="str">
            <v>YES</v>
          </cell>
        </row>
        <row r="3527">
          <cell r="I3527" t="str">
            <v>V38066</v>
          </cell>
          <cell r="J3527" t="str">
            <v>CTC</v>
          </cell>
          <cell r="K3527" t="str">
            <v>YES</v>
          </cell>
        </row>
        <row r="3528">
          <cell r="I3528" t="str">
            <v>V19616</v>
          </cell>
          <cell r="J3528" t="str">
            <v>CTC</v>
          </cell>
          <cell r="K3528" t="str">
            <v>YES</v>
          </cell>
        </row>
        <row r="3529">
          <cell r="I3529" t="str">
            <v>V39594</v>
          </cell>
          <cell r="J3529" t="str">
            <v>CTC</v>
          </cell>
          <cell r="K3529" t="str">
            <v>YES</v>
          </cell>
        </row>
        <row r="3530">
          <cell r="I3530" t="str">
            <v>V26394</v>
          </cell>
          <cell r="J3530" t="str">
            <v>CTC</v>
          </cell>
          <cell r="K3530" t="str">
            <v>YES</v>
          </cell>
        </row>
        <row r="3531">
          <cell r="I3531" t="str">
            <v>V38996</v>
          </cell>
          <cell r="J3531" t="str">
            <v>CTC</v>
          </cell>
          <cell r="K3531" t="str">
            <v>YES</v>
          </cell>
        </row>
        <row r="3532">
          <cell r="I3532" t="str">
            <v>V46387</v>
          </cell>
          <cell r="J3532" t="str">
            <v>CTC</v>
          </cell>
          <cell r="K3532" t="str">
            <v>YES</v>
          </cell>
        </row>
        <row r="3533">
          <cell r="I3533" t="str">
            <v>V07108</v>
          </cell>
          <cell r="J3533" t="str">
            <v>CTC</v>
          </cell>
          <cell r="K3533" t="str">
            <v>YES</v>
          </cell>
        </row>
        <row r="3534">
          <cell r="I3534" t="str">
            <v>V32648</v>
          </cell>
          <cell r="J3534" t="str">
            <v>CTC</v>
          </cell>
          <cell r="K3534" t="str">
            <v>YES</v>
          </cell>
        </row>
        <row r="3535">
          <cell r="I3535" t="str">
            <v>V32743</v>
          </cell>
          <cell r="J3535" t="str">
            <v>CTC</v>
          </cell>
          <cell r="K3535" t="str">
            <v>YES</v>
          </cell>
        </row>
        <row r="3536">
          <cell r="I3536" t="str">
            <v>V43233</v>
          </cell>
          <cell r="J3536" t="str">
            <v>CTC</v>
          </cell>
          <cell r="K3536" t="str">
            <v>YES</v>
          </cell>
        </row>
        <row r="3537">
          <cell r="I3537" t="str">
            <v>V27309</v>
          </cell>
          <cell r="J3537" t="str">
            <v>CTC</v>
          </cell>
          <cell r="K3537" t="str">
            <v>YES</v>
          </cell>
        </row>
        <row r="3538">
          <cell r="I3538" t="str">
            <v>V49955</v>
          </cell>
          <cell r="J3538" t="str">
            <v>CTC</v>
          </cell>
          <cell r="K3538" t="str">
            <v>YES</v>
          </cell>
        </row>
        <row r="3539">
          <cell r="I3539" t="str">
            <v>V37120</v>
          </cell>
          <cell r="J3539" t="str">
            <v>CTC</v>
          </cell>
          <cell r="K3539" t="str">
            <v>YES</v>
          </cell>
        </row>
        <row r="3540">
          <cell r="I3540" t="str">
            <v>V37858</v>
          </cell>
          <cell r="J3540" t="str">
            <v>CTC</v>
          </cell>
          <cell r="K3540" t="str">
            <v>YES</v>
          </cell>
        </row>
        <row r="3541">
          <cell r="I3541" t="str">
            <v>V41028</v>
          </cell>
          <cell r="J3541" t="str">
            <v>CTC</v>
          </cell>
          <cell r="K3541" t="str">
            <v>YES</v>
          </cell>
        </row>
        <row r="3542">
          <cell r="I3542" t="str">
            <v>V46688</v>
          </cell>
          <cell r="J3542" t="str">
            <v>CTC</v>
          </cell>
          <cell r="K3542" t="str">
            <v>YES</v>
          </cell>
        </row>
        <row r="3543">
          <cell r="I3543" t="str">
            <v>V16788</v>
          </cell>
          <cell r="J3543" t="str">
            <v>CTC</v>
          </cell>
          <cell r="K3543" t="str">
            <v>YES</v>
          </cell>
        </row>
        <row r="3544">
          <cell r="I3544" t="str">
            <v>V31529</v>
          </cell>
          <cell r="J3544" t="str">
            <v>CTC</v>
          </cell>
          <cell r="K3544" t="str">
            <v>YES</v>
          </cell>
        </row>
        <row r="3545">
          <cell r="I3545" t="str">
            <v>V43501</v>
          </cell>
          <cell r="J3545" t="str">
            <v>CTC</v>
          </cell>
          <cell r="K3545" t="str">
            <v>YES</v>
          </cell>
        </row>
        <row r="3546">
          <cell r="I3546" t="str">
            <v>V39951</v>
          </cell>
          <cell r="J3546" t="str">
            <v>CTC</v>
          </cell>
          <cell r="K3546" t="str">
            <v>YES</v>
          </cell>
        </row>
        <row r="3547">
          <cell r="I3547" t="str">
            <v>V38368</v>
          </cell>
          <cell r="J3547" t="str">
            <v>CTC</v>
          </cell>
          <cell r="K3547" t="str">
            <v>YES</v>
          </cell>
        </row>
        <row r="3548">
          <cell r="I3548" t="str">
            <v>V39782</v>
          </cell>
          <cell r="J3548" t="str">
            <v>CTC</v>
          </cell>
          <cell r="K3548" t="str">
            <v>YES</v>
          </cell>
        </row>
        <row r="3549">
          <cell r="I3549" t="str">
            <v>V34156</v>
          </cell>
          <cell r="J3549" t="str">
            <v>CTC</v>
          </cell>
          <cell r="K3549" t="str">
            <v>YES</v>
          </cell>
        </row>
        <row r="3550">
          <cell r="I3550" t="str">
            <v>V33848</v>
          </cell>
          <cell r="J3550" t="str">
            <v>CTC</v>
          </cell>
          <cell r="K3550" t="str">
            <v>YES</v>
          </cell>
        </row>
        <row r="3551">
          <cell r="I3551" t="str">
            <v>V42865</v>
          </cell>
          <cell r="J3551" t="str">
            <v>CTC</v>
          </cell>
          <cell r="K3551" t="str">
            <v>YES</v>
          </cell>
        </row>
        <row r="3552">
          <cell r="I3552" t="str">
            <v>V26736</v>
          </cell>
          <cell r="J3552" t="str">
            <v>CTC</v>
          </cell>
          <cell r="K3552" t="str">
            <v>YES</v>
          </cell>
        </row>
        <row r="3553">
          <cell r="I3553" t="str">
            <v>V46152</v>
          </cell>
          <cell r="J3553" t="str">
            <v>CTC</v>
          </cell>
          <cell r="K3553" t="str">
            <v>YES</v>
          </cell>
        </row>
        <row r="3554">
          <cell r="I3554" t="str">
            <v>V34589</v>
          </cell>
          <cell r="J3554" t="str">
            <v>CTC</v>
          </cell>
          <cell r="K3554" t="str">
            <v>YES</v>
          </cell>
        </row>
        <row r="3555">
          <cell r="I3555" t="str">
            <v>V44024</v>
          </cell>
          <cell r="J3555" t="str">
            <v>CTC</v>
          </cell>
          <cell r="K3555" t="str">
            <v>YES</v>
          </cell>
        </row>
        <row r="3556">
          <cell r="I3556" t="str">
            <v>V40025</v>
          </cell>
          <cell r="J3556" t="str">
            <v>CTC</v>
          </cell>
          <cell r="K3556" t="str">
            <v>YES</v>
          </cell>
        </row>
        <row r="3557">
          <cell r="I3557" t="str">
            <v>V37906</v>
          </cell>
          <cell r="J3557" t="str">
            <v>CTC</v>
          </cell>
          <cell r="K3557" t="str">
            <v>YES</v>
          </cell>
        </row>
        <row r="3558">
          <cell r="I3558" t="str">
            <v>V29353</v>
          </cell>
          <cell r="J3558" t="str">
            <v>CTC</v>
          </cell>
          <cell r="K3558" t="str">
            <v>YES</v>
          </cell>
        </row>
        <row r="3559">
          <cell r="I3559" t="str">
            <v>V29354</v>
          </cell>
          <cell r="J3559" t="str">
            <v>CTC</v>
          </cell>
          <cell r="K3559" t="str">
            <v>YES</v>
          </cell>
        </row>
        <row r="3560">
          <cell r="I3560" t="str">
            <v>V29358</v>
          </cell>
          <cell r="J3560" t="str">
            <v>CTC</v>
          </cell>
          <cell r="K3560" t="str">
            <v>YES</v>
          </cell>
        </row>
        <row r="3561">
          <cell r="I3561" t="str">
            <v>V29360</v>
          </cell>
          <cell r="J3561" t="str">
            <v>CTC</v>
          </cell>
          <cell r="K3561" t="str">
            <v>YES</v>
          </cell>
        </row>
        <row r="3562">
          <cell r="I3562" t="str">
            <v>V29361</v>
          </cell>
          <cell r="J3562" t="str">
            <v>CTC</v>
          </cell>
          <cell r="K3562" t="str">
            <v>YES</v>
          </cell>
        </row>
        <row r="3563">
          <cell r="I3563" t="str">
            <v>V29954</v>
          </cell>
          <cell r="J3563" t="str">
            <v>CTC</v>
          </cell>
          <cell r="K3563" t="str">
            <v>YES</v>
          </cell>
        </row>
        <row r="3564">
          <cell r="I3564" t="str">
            <v>V29956</v>
          </cell>
          <cell r="J3564" t="str">
            <v>CTC</v>
          </cell>
          <cell r="K3564" t="str">
            <v>YES</v>
          </cell>
        </row>
        <row r="3565">
          <cell r="I3565" t="str">
            <v>V29976</v>
          </cell>
          <cell r="J3565" t="str">
            <v>CTC</v>
          </cell>
          <cell r="K3565" t="str">
            <v>YES</v>
          </cell>
        </row>
        <row r="3566">
          <cell r="I3566" t="str">
            <v>V29977</v>
          </cell>
          <cell r="J3566" t="str">
            <v>CTC</v>
          </cell>
          <cell r="K3566" t="str">
            <v>YES</v>
          </cell>
        </row>
        <row r="3567">
          <cell r="I3567" t="str">
            <v>V29984</v>
          </cell>
          <cell r="J3567" t="str">
            <v>CTC</v>
          </cell>
          <cell r="K3567" t="str">
            <v>YES</v>
          </cell>
        </row>
        <row r="3568">
          <cell r="I3568" t="str">
            <v>V30140</v>
          </cell>
          <cell r="J3568" t="str">
            <v>CTC</v>
          </cell>
          <cell r="K3568" t="str">
            <v>YES</v>
          </cell>
        </row>
        <row r="3569">
          <cell r="I3569" t="str">
            <v>V30142</v>
          </cell>
          <cell r="J3569" t="str">
            <v>CTC</v>
          </cell>
          <cell r="K3569" t="str">
            <v>YES</v>
          </cell>
        </row>
        <row r="3570">
          <cell r="I3570" t="str">
            <v>V30143</v>
          </cell>
          <cell r="J3570" t="str">
            <v>CTC</v>
          </cell>
          <cell r="K3570" t="str">
            <v>YES</v>
          </cell>
        </row>
        <row r="3571">
          <cell r="I3571" t="str">
            <v>V30258</v>
          </cell>
          <cell r="J3571" t="str">
            <v>CTC</v>
          </cell>
          <cell r="K3571" t="str">
            <v>YES</v>
          </cell>
        </row>
        <row r="3572">
          <cell r="I3572" t="str">
            <v>V30322</v>
          </cell>
          <cell r="J3572" t="str">
            <v>CTC</v>
          </cell>
          <cell r="K3572" t="str">
            <v>YES</v>
          </cell>
        </row>
        <row r="3573">
          <cell r="I3573" t="str">
            <v>V30532</v>
          </cell>
          <cell r="J3573" t="str">
            <v>CTC</v>
          </cell>
          <cell r="K3573" t="str">
            <v>YES</v>
          </cell>
        </row>
        <row r="3574">
          <cell r="I3574" t="str">
            <v>V32715</v>
          </cell>
          <cell r="J3574" t="str">
            <v>CTC</v>
          </cell>
          <cell r="K3574" t="str">
            <v>YES</v>
          </cell>
        </row>
        <row r="3575">
          <cell r="I3575" t="str">
            <v>V32720</v>
          </cell>
          <cell r="J3575" t="str">
            <v>CTC</v>
          </cell>
          <cell r="K3575" t="str">
            <v>YES</v>
          </cell>
        </row>
        <row r="3576">
          <cell r="I3576" t="str">
            <v>V33131</v>
          </cell>
          <cell r="J3576" t="str">
            <v>CTC</v>
          </cell>
          <cell r="K3576" t="str">
            <v>YES</v>
          </cell>
        </row>
        <row r="3577">
          <cell r="I3577" t="str">
            <v>V33134</v>
          </cell>
          <cell r="J3577" t="str">
            <v>CTC</v>
          </cell>
          <cell r="K3577" t="str">
            <v>YES</v>
          </cell>
        </row>
        <row r="3578">
          <cell r="I3578" t="str">
            <v>V33136</v>
          </cell>
          <cell r="J3578" t="str">
            <v>CTC</v>
          </cell>
          <cell r="K3578" t="str">
            <v>YES</v>
          </cell>
        </row>
        <row r="3579">
          <cell r="I3579" t="str">
            <v>V34103</v>
          </cell>
          <cell r="J3579" t="str">
            <v>CTC</v>
          </cell>
          <cell r="K3579" t="str">
            <v>YES</v>
          </cell>
        </row>
        <row r="3580">
          <cell r="I3580" t="str">
            <v>V34488</v>
          </cell>
          <cell r="J3580" t="str">
            <v>CTC</v>
          </cell>
          <cell r="K3580" t="str">
            <v>YES</v>
          </cell>
        </row>
        <row r="3581">
          <cell r="I3581" t="str">
            <v>V35119</v>
          </cell>
          <cell r="J3581" t="str">
            <v>CTC</v>
          </cell>
          <cell r="K3581" t="str">
            <v>YES</v>
          </cell>
        </row>
        <row r="3582">
          <cell r="I3582" t="str">
            <v>V35122</v>
          </cell>
          <cell r="J3582" t="str">
            <v>CTC</v>
          </cell>
          <cell r="K3582" t="str">
            <v>YES</v>
          </cell>
        </row>
        <row r="3583">
          <cell r="I3583" t="str">
            <v>V35132</v>
          </cell>
          <cell r="J3583" t="str">
            <v>CTC</v>
          </cell>
          <cell r="K3583" t="str">
            <v>YES</v>
          </cell>
        </row>
        <row r="3584">
          <cell r="I3584" t="str">
            <v>V35135</v>
          </cell>
          <cell r="J3584" t="str">
            <v>CTC</v>
          </cell>
          <cell r="K3584" t="str">
            <v>YES</v>
          </cell>
        </row>
        <row r="3585">
          <cell r="I3585" t="str">
            <v>V35211</v>
          </cell>
          <cell r="J3585" t="str">
            <v>CTC</v>
          </cell>
          <cell r="K3585" t="str">
            <v>YES</v>
          </cell>
        </row>
        <row r="3586">
          <cell r="I3586" t="str">
            <v>V35271</v>
          </cell>
          <cell r="J3586" t="str">
            <v>CTC</v>
          </cell>
          <cell r="K3586" t="str">
            <v>YES</v>
          </cell>
        </row>
        <row r="3587">
          <cell r="I3587" t="str">
            <v>V35284</v>
          </cell>
          <cell r="J3587" t="str">
            <v>CTC</v>
          </cell>
          <cell r="K3587" t="str">
            <v>YES</v>
          </cell>
        </row>
        <row r="3588">
          <cell r="I3588" t="str">
            <v>V35411</v>
          </cell>
          <cell r="J3588" t="str">
            <v>CTC</v>
          </cell>
          <cell r="K3588" t="str">
            <v>YES</v>
          </cell>
        </row>
        <row r="3589">
          <cell r="I3589" t="str">
            <v>V29801</v>
          </cell>
          <cell r="J3589" t="str">
            <v>CTC</v>
          </cell>
          <cell r="K3589" t="str">
            <v>YES</v>
          </cell>
        </row>
        <row r="3590">
          <cell r="I3590" t="str">
            <v>V30182</v>
          </cell>
          <cell r="J3590" t="str">
            <v>CTC</v>
          </cell>
          <cell r="K3590" t="str">
            <v>YES</v>
          </cell>
        </row>
        <row r="3591">
          <cell r="I3591" t="str">
            <v>V49470</v>
          </cell>
          <cell r="J3591" t="str">
            <v>CTC</v>
          </cell>
          <cell r="K3591" t="str">
            <v>YES</v>
          </cell>
        </row>
        <row r="3592">
          <cell r="I3592" t="str">
            <v>V30442</v>
          </cell>
          <cell r="J3592" t="str">
            <v>CTC</v>
          </cell>
          <cell r="K3592" t="str">
            <v>YES</v>
          </cell>
        </row>
        <row r="3593">
          <cell r="I3593" t="str">
            <v>V42589</v>
          </cell>
          <cell r="J3593" t="str">
            <v>CTC</v>
          </cell>
          <cell r="K3593" t="str">
            <v>YES</v>
          </cell>
        </row>
        <row r="3594">
          <cell r="I3594" t="str">
            <v>V48117</v>
          </cell>
          <cell r="J3594" t="str">
            <v>CTC</v>
          </cell>
          <cell r="K3594" t="str">
            <v>YES</v>
          </cell>
        </row>
        <row r="3595">
          <cell r="I3595" t="str">
            <v>V17283</v>
          </cell>
          <cell r="J3595" t="str">
            <v>CTC</v>
          </cell>
          <cell r="K3595" t="str">
            <v>YES</v>
          </cell>
        </row>
        <row r="3596">
          <cell r="I3596" t="str">
            <v>V47818</v>
          </cell>
          <cell r="J3596" t="str">
            <v>CTC</v>
          </cell>
          <cell r="K3596" t="str">
            <v>YES</v>
          </cell>
        </row>
        <row r="3597">
          <cell r="I3597" t="str">
            <v>V37224</v>
          </cell>
          <cell r="J3597" t="str">
            <v>CTC</v>
          </cell>
          <cell r="K3597" t="str">
            <v>YES</v>
          </cell>
        </row>
        <row r="3598">
          <cell r="I3598" t="str">
            <v>V43437</v>
          </cell>
          <cell r="J3598" t="str">
            <v>CTC</v>
          </cell>
          <cell r="K3598" t="str">
            <v>YES</v>
          </cell>
        </row>
        <row r="3599">
          <cell r="I3599" t="str">
            <v>V45019</v>
          </cell>
          <cell r="J3599" t="str">
            <v>CTC</v>
          </cell>
          <cell r="K3599" t="str">
            <v>YES</v>
          </cell>
        </row>
        <row r="3600">
          <cell r="I3600" t="str">
            <v>V39407</v>
          </cell>
          <cell r="J3600" t="str">
            <v>CTC</v>
          </cell>
          <cell r="K3600" t="str">
            <v>YES</v>
          </cell>
        </row>
        <row r="3601">
          <cell r="I3601" t="str">
            <v>V43554</v>
          </cell>
          <cell r="J3601" t="str">
            <v>CTC</v>
          </cell>
          <cell r="K3601" t="str">
            <v>YES</v>
          </cell>
        </row>
        <row r="3602">
          <cell r="I3602" t="str">
            <v>V31773</v>
          </cell>
          <cell r="J3602" t="str">
            <v>CTC</v>
          </cell>
          <cell r="K3602" t="str">
            <v>YES</v>
          </cell>
        </row>
        <row r="3603">
          <cell r="I3603" t="str">
            <v>V43522</v>
          </cell>
          <cell r="J3603" t="str">
            <v>CTC</v>
          </cell>
          <cell r="K3603" t="str">
            <v>YES</v>
          </cell>
        </row>
        <row r="3604">
          <cell r="I3604" t="str">
            <v>V37895</v>
          </cell>
          <cell r="J3604" t="str">
            <v>CTC</v>
          </cell>
          <cell r="K3604" t="str">
            <v>YES</v>
          </cell>
        </row>
        <row r="3605">
          <cell r="I3605" t="str">
            <v>V20946</v>
          </cell>
          <cell r="J3605" t="str">
            <v>CTC</v>
          </cell>
          <cell r="K3605" t="str">
            <v>YES</v>
          </cell>
        </row>
        <row r="3606">
          <cell r="I3606" t="str">
            <v>V43047</v>
          </cell>
          <cell r="J3606" t="str">
            <v>CTC</v>
          </cell>
          <cell r="K3606" t="str">
            <v>YES</v>
          </cell>
        </row>
        <row r="3607">
          <cell r="I3607" t="str">
            <v>V38899</v>
          </cell>
          <cell r="J3607" t="str">
            <v>CTC</v>
          </cell>
          <cell r="K3607" t="str">
            <v>YES</v>
          </cell>
        </row>
        <row r="3608">
          <cell r="I3608" t="str">
            <v>V24560</v>
          </cell>
          <cell r="J3608" t="str">
            <v>CTC</v>
          </cell>
          <cell r="K3608" t="str">
            <v>YES</v>
          </cell>
        </row>
        <row r="3609">
          <cell r="I3609" t="str">
            <v>V25090</v>
          </cell>
          <cell r="J3609" t="str">
            <v>CTC</v>
          </cell>
          <cell r="K3609" t="str">
            <v>YES</v>
          </cell>
        </row>
        <row r="3610">
          <cell r="I3610" t="str">
            <v>V48570</v>
          </cell>
          <cell r="J3610" t="str">
            <v>CTC</v>
          </cell>
          <cell r="K3610" t="str">
            <v>YES</v>
          </cell>
        </row>
        <row r="3611">
          <cell r="I3611" t="str">
            <v>V44942</v>
          </cell>
          <cell r="J3611" t="str">
            <v>CTC</v>
          </cell>
          <cell r="K3611" t="str">
            <v>YES</v>
          </cell>
        </row>
        <row r="3612">
          <cell r="I3612" t="str">
            <v>V26571</v>
          </cell>
          <cell r="J3612" t="str">
            <v>CTC</v>
          </cell>
          <cell r="K3612" t="str">
            <v>YES</v>
          </cell>
        </row>
        <row r="3613">
          <cell r="I3613" t="str">
            <v>V41512</v>
          </cell>
          <cell r="J3613" t="str">
            <v>CTC</v>
          </cell>
          <cell r="K3613" t="str">
            <v>YES</v>
          </cell>
        </row>
        <row r="3614">
          <cell r="I3614" t="str">
            <v>V03828</v>
          </cell>
          <cell r="J3614" t="str">
            <v>CTC</v>
          </cell>
          <cell r="K3614" t="str">
            <v>YES</v>
          </cell>
        </row>
        <row r="3615">
          <cell r="I3615" t="str">
            <v>V26665</v>
          </cell>
          <cell r="J3615" t="str">
            <v>CTC</v>
          </cell>
          <cell r="K3615" t="str">
            <v>YES</v>
          </cell>
        </row>
        <row r="3616">
          <cell r="I3616" t="str">
            <v>V45073</v>
          </cell>
          <cell r="J3616" t="str">
            <v>CTC</v>
          </cell>
          <cell r="K3616" t="str">
            <v>YES</v>
          </cell>
        </row>
        <row r="3617">
          <cell r="I3617" t="str">
            <v>V26499</v>
          </cell>
          <cell r="J3617" t="str">
            <v>CTC</v>
          </cell>
          <cell r="K3617" t="str">
            <v>YES</v>
          </cell>
        </row>
        <row r="3618">
          <cell r="I3618" t="str">
            <v>V43555</v>
          </cell>
          <cell r="J3618" t="str">
            <v>CTC</v>
          </cell>
          <cell r="K3618" t="str">
            <v>YES</v>
          </cell>
        </row>
        <row r="3619">
          <cell r="I3619" t="str">
            <v>V42918</v>
          </cell>
          <cell r="J3619" t="str">
            <v>CTC</v>
          </cell>
          <cell r="K3619" t="str">
            <v>YES</v>
          </cell>
        </row>
        <row r="3620">
          <cell r="I3620" t="str">
            <v>V43598</v>
          </cell>
          <cell r="J3620" t="str">
            <v>CTC</v>
          </cell>
          <cell r="K3620" t="str">
            <v>YES</v>
          </cell>
        </row>
        <row r="3621">
          <cell r="I3621" t="str">
            <v>V33149</v>
          </cell>
          <cell r="J3621" t="str">
            <v>CTC</v>
          </cell>
          <cell r="K3621" t="str">
            <v>YES</v>
          </cell>
        </row>
        <row r="3622">
          <cell r="I3622" t="str">
            <v>V48884</v>
          </cell>
          <cell r="J3622" t="str">
            <v>CTC</v>
          </cell>
          <cell r="K3622" t="str">
            <v>YES</v>
          </cell>
        </row>
        <row r="3623">
          <cell r="I3623" t="str">
            <v>V40733</v>
          </cell>
          <cell r="J3623" t="str">
            <v>CTC</v>
          </cell>
          <cell r="K3623" t="str">
            <v>YES</v>
          </cell>
        </row>
        <row r="3624">
          <cell r="I3624" t="str">
            <v>V40412</v>
          </cell>
          <cell r="J3624" t="str">
            <v>CTC</v>
          </cell>
          <cell r="K3624" t="str">
            <v>YES</v>
          </cell>
        </row>
        <row r="3625">
          <cell r="I3625" t="str">
            <v>V40493</v>
          </cell>
          <cell r="J3625" t="str">
            <v>CTC</v>
          </cell>
          <cell r="K3625" t="str">
            <v>YES</v>
          </cell>
        </row>
        <row r="3626">
          <cell r="I3626" t="str">
            <v>V40585</v>
          </cell>
          <cell r="J3626" t="str">
            <v>CTC</v>
          </cell>
          <cell r="K3626" t="str">
            <v>YES</v>
          </cell>
        </row>
        <row r="3627">
          <cell r="I3627" t="str">
            <v>V40664</v>
          </cell>
          <cell r="J3627" t="str">
            <v>CTC</v>
          </cell>
          <cell r="K3627" t="str">
            <v>YES</v>
          </cell>
        </row>
        <row r="3628">
          <cell r="I3628" t="str">
            <v>V40689</v>
          </cell>
          <cell r="J3628" t="str">
            <v>CTC</v>
          </cell>
          <cell r="K3628" t="str">
            <v>YES</v>
          </cell>
        </row>
        <row r="3629">
          <cell r="I3629" t="str">
            <v>V40690</v>
          </cell>
          <cell r="J3629" t="str">
            <v>CTC</v>
          </cell>
          <cell r="K3629" t="str">
            <v>YES</v>
          </cell>
        </row>
        <row r="3630">
          <cell r="I3630" t="str">
            <v>V40691</v>
          </cell>
          <cell r="J3630" t="str">
            <v>CTC</v>
          </cell>
          <cell r="K3630" t="str">
            <v>YES</v>
          </cell>
        </row>
        <row r="3631">
          <cell r="I3631" t="str">
            <v>V40816</v>
          </cell>
          <cell r="J3631" t="str">
            <v>CTC</v>
          </cell>
          <cell r="K3631" t="str">
            <v>YES</v>
          </cell>
        </row>
        <row r="3632">
          <cell r="I3632" t="str">
            <v>V40817</v>
          </cell>
          <cell r="J3632" t="str">
            <v>CTC</v>
          </cell>
          <cell r="K3632" t="str">
            <v>YES</v>
          </cell>
        </row>
        <row r="3633">
          <cell r="I3633" t="str">
            <v>V41189</v>
          </cell>
          <cell r="J3633" t="str">
            <v>CTC</v>
          </cell>
          <cell r="K3633" t="str">
            <v>YES</v>
          </cell>
        </row>
        <row r="3634">
          <cell r="I3634" t="str">
            <v>V41191</v>
          </cell>
          <cell r="J3634" t="str">
            <v>CTC</v>
          </cell>
          <cell r="K3634" t="str">
            <v>YES</v>
          </cell>
        </row>
        <row r="3635">
          <cell r="I3635" t="str">
            <v>V41345</v>
          </cell>
          <cell r="J3635" t="str">
            <v>CTC</v>
          </cell>
          <cell r="K3635" t="str">
            <v>YES</v>
          </cell>
        </row>
        <row r="3636">
          <cell r="I3636" t="str">
            <v>V41850</v>
          </cell>
          <cell r="J3636" t="str">
            <v>CTC</v>
          </cell>
          <cell r="K3636" t="str">
            <v>YES</v>
          </cell>
        </row>
        <row r="3637">
          <cell r="I3637" t="str">
            <v>V41870</v>
          </cell>
          <cell r="J3637" t="str">
            <v>CTC</v>
          </cell>
          <cell r="K3637" t="str">
            <v>YES</v>
          </cell>
        </row>
        <row r="3638">
          <cell r="I3638" t="str">
            <v>V45686</v>
          </cell>
          <cell r="J3638" t="str">
            <v>CTC</v>
          </cell>
          <cell r="K3638" t="str">
            <v>YES</v>
          </cell>
        </row>
        <row r="3639">
          <cell r="I3639" t="str">
            <v>V24200</v>
          </cell>
          <cell r="J3639" t="str">
            <v>CTC</v>
          </cell>
          <cell r="K3639" t="str">
            <v>YES</v>
          </cell>
        </row>
        <row r="3640">
          <cell r="I3640" t="str">
            <v>V25438</v>
          </cell>
          <cell r="J3640" t="str">
            <v>CTC</v>
          </cell>
          <cell r="K3640" t="str">
            <v>YES</v>
          </cell>
        </row>
        <row r="3641">
          <cell r="I3641" t="str">
            <v>V34529</v>
          </cell>
          <cell r="J3641" t="str">
            <v>CTC</v>
          </cell>
          <cell r="K3641" t="str">
            <v>YES</v>
          </cell>
        </row>
        <row r="3642">
          <cell r="I3642" t="str">
            <v>V43602</v>
          </cell>
          <cell r="J3642" t="str">
            <v>CTC</v>
          </cell>
          <cell r="K3642" t="str">
            <v>YES</v>
          </cell>
        </row>
        <row r="3643">
          <cell r="I3643" t="str">
            <v>V43084</v>
          </cell>
          <cell r="J3643" t="str">
            <v>CTC</v>
          </cell>
          <cell r="K3643" t="str">
            <v>YES</v>
          </cell>
        </row>
        <row r="3644">
          <cell r="I3644" t="str">
            <v>V34298</v>
          </cell>
          <cell r="J3644" t="str">
            <v>CTC</v>
          </cell>
          <cell r="K3644" t="str">
            <v>YES</v>
          </cell>
        </row>
        <row r="3645">
          <cell r="I3645" t="str">
            <v>V26699</v>
          </cell>
          <cell r="J3645" t="str">
            <v>CTC</v>
          </cell>
          <cell r="K3645" t="str">
            <v>YES</v>
          </cell>
        </row>
        <row r="3646">
          <cell r="I3646" t="str">
            <v>V43496</v>
          </cell>
          <cell r="J3646" t="str">
            <v>CTC</v>
          </cell>
          <cell r="K3646" t="str">
            <v>YES</v>
          </cell>
        </row>
        <row r="3647">
          <cell r="I3647" t="str">
            <v>V20573</v>
          </cell>
          <cell r="J3647" t="str">
            <v>CTC</v>
          </cell>
          <cell r="K3647" t="str">
            <v>YES</v>
          </cell>
        </row>
        <row r="3648">
          <cell r="I3648" t="str">
            <v>V45667</v>
          </cell>
          <cell r="J3648" t="str">
            <v>CTC</v>
          </cell>
          <cell r="K3648" t="str">
            <v>YES</v>
          </cell>
        </row>
        <row r="3649">
          <cell r="I3649" t="str">
            <v>V36772</v>
          </cell>
          <cell r="J3649" t="str">
            <v>CTC</v>
          </cell>
          <cell r="K3649" t="str">
            <v>YES</v>
          </cell>
        </row>
        <row r="3650">
          <cell r="I3650" t="str">
            <v>V37315</v>
          </cell>
          <cell r="J3650" t="str">
            <v>CTC</v>
          </cell>
          <cell r="K3650" t="str">
            <v>YES</v>
          </cell>
        </row>
        <row r="3651">
          <cell r="I3651" t="str">
            <v>V38777</v>
          </cell>
          <cell r="J3651" t="str">
            <v>CTC</v>
          </cell>
          <cell r="K3651" t="str">
            <v>YES</v>
          </cell>
        </row>
        <row r="3652">
          <cell r="I3652" t="str">
            <v>V39273</v>
          </cell>
          <cell r="J3652" t="str">
            <v>CTC</v>
          </cell>
          <cell r="K3652" t="str">
            <v>YES</v>
          </cell>
        </row>
        <row r="3653">
          <cell r="I3653" t="str">
            <v>V39286</v>
          </cell>
          <cell r="J3653" t="str">
            <v>CTC</v>
          </cell>
          <cell r="K3653" t="str">
            <v>YES</v>
          </cell>
        </row>
        <row r="3654">
          <cell r="I3654" t="str">
            <v>V39973</v>
          </cell>
          <cell r="J3654" t="str">
            <v>CTC</v>
          </cell>
          <cell r="K3654" t="str">
            <v>YES</v>
          </cell>
        </row>
        <row r="3655">
          <cell r="I3655" t="str">
            <v>V40132</v>
          </cell>
          <cell r="J3655" t="str">
            <v>CTC</v>
          </cell>
          <cell r="K3655" t="str">
            <v>YES</v>
          </cell>
        </row>
        <row r="3656">
          <cell r="I3656" t="str">
            <v>V40244</v>
          </cell>
          <cell r="J3656" t="str">
            <v>CTC</v>
          </cell>
          <cell r="K3656" t="str">
            <v>YES</v>
          </cell>
        </row>
        <row r="3657">
          <cell r="I3657" t="str">
            <v>V40270</v>
          </cell>
          <cell r="J3657" t="str">
            <v>CTC</v>
          </cell>
          <cell r="K3657" t="str">
            <v>YES</v>
          </cell>
        </row>
        <row r="3658">
          <cell r="I3658" t="str">
            <v>V40472</v>
          </cell>
          <cell r="J3658" t="str">
            <v>CTC</v>
          </cell>
          <cell r="K3658" t="str">
            <v>YES</v>
          </cell>
        </row>
        <row r="3659">
          <cell r="I3659" t="str">
            <v>V40477</v>
          </cell>
          <cell r="J3659" t="str">
            <v>CTC</v>
          </cell>
          <cell r="K3659" t="str">
            <v>YES</v>
          </cell>
        </row>
        <row r="3660">
          <cell r="I3660" t="str">
            <v>V41915</v>
          </cell>
          <cell r="J3660" t="str">
            <v>CTC</v>
          </cell>
          <cell r="K3660" t="str">
            <v>YES</v>
          </cell>
        </row>
        <row r="3661">
          <cell r="I3661" t="str">
            <v>V41511</v>
          </cell>
          <cell r="J3661" t="str">
            <v>CTC</v>
          </cell>
          <cell r="K3661" t="str">
            <v>YES</v>
          </cell>
        </row>
        <row r="3662">
          <cell r="I3662" t="str">
            <v>V38060</v>
          </cell>
          <cell r="J3662" t="str">
            <v>CTC</v>
          </cell>
          <cell r="K3662" t="str">
            <v>YES</v>
          </cell>
        </row>
        <row r="3663">
          <cell r="I3663" t="str">
            <v>V24087</v>
          </cell>
          <cell r="J3663" t="str">
            <v>CTC</v>
          </cell>
          <cell r="K3663" t="str">
            <v>YES</v>
          </cell>
        </row>
        <row r="3664">
          <cell r="I3664" t="str">
            <v>V39213</v>
          </cell>
          <cell r="J3664" t="str">
            <v>CTC</v>
          </cell>
          <cell r="K3664" t="str">
            <v>YES</v>
          </cell>
        </row>
        <row r="3665">
          <cell r="I3665" t="str">
            <v>V43101</v>
          </cell>
          <cell r="J3665" t="str">
            <v>CTC</v>
          </cell>
          <cell r="K3665" t="str">
            <v>YES</v>
          </cell>
        </row>
        <row r="3666">
          <cell r="I3666" t="str">
            <v>V29276</v>
          </cell>
          <cell r="J3666" t="str">
            <v>CTC</v>
          </cell>
          <cell r="K3666" t="str">
            <v>YES</v>
          </cell>
        </row>
        <row r="3667">
          <cell r="I3667" t="str">
            <v>V30033</v>
          </cell>
          <cell r="J3667" t="str">
            <v>CTC</v>
          </cell>
          <cell r="K3667" t="str">
            <v>YES</v>
          </cell>
        </row>
        <row r="3668">
          <cell r="I3668" t="str">
            <v>V32293</v>
          </cell>
          <cell r="J3668" t="str">
            <v>CTC</v>
          </cell>
          <cell r="K3668" t="str">
            <v>YES</v>
          </cell>
        </row>
        <row r="3669">
          <cell r="I3669" t="str">
            <v>V33293</v>
          </cell>
          <cell r="J3669" t="str">
            <v>CTC</v>
          </cell>
          <cell r="K3669" t="str">
            <v>YES</v>
          </cell>
        </row>
        <row r="3670">
          <cell r="I3670" t="str">
            <v>V33296</v>
          </cell>
          <cell r="J3670" t="str">
            <v>CTC</v>
          </cell>
          <cell r="K3670" t="str">
            <v>YES</v>
          </cell>
        </row>
        <row r="3671">
          <cell r="I3671" t="str">
            <v>V33499</v>
          </cell>
          <cell r="J3671" t="str">
            <v>CTC</v>
          </cell>
          <cell r="K3671" t="str">
            <v>YES</v>
          </cell>
        </row>
        <row r="3672">
          <cell r="I3672" t="str">
            <v>V33726</v>
          </cell>
          <cell r="J3672" t="str">
            <v>CTC</v>
          </cell>
          <cell r="K3672" t="str">
            <v>YES</v>
          </cell>
        </row>
        <row r="3673">
          <cell r="I3673" t="str">
            <v>V35296</v>
          </cell>
          <cell r="J3673" t="str">
            <v>CTC</v>
          </cell>
          <cell r="K3673" t="str">
            <v>YES</v>
          </cell>
        </row>
        <row r="3674">
          <cell r="I3674" t="str">
            <v>V35431</v>
          </cell>
          <cell r="J3674" t="str">
            <v>CTC</v>
          </cell>
          <cell r="K3674" t="str">
            <v>YES</v>
          </cell>
        </row>
        <row r="3675">
          <cell r="I3675" t="str">
            <v>V35512</v>
          </cell>
          <cell r="J3675" t="str">
            <v>CTC</v>
          </cell>
          <cell r="K3675" t="str">
            <v>YES</v>
          </cell>
        </row>
        <row r="3676">
          <cell r="I3676" t="str">
            <v>V36564</v>
          </cell>
          <cell r="J3676" t="str">
            <v>CTC</v>
          </cell>
          <cell r="K3676" t="str">
            <v>YES</v>
          </cell>
        </row>
        <row r="3677">
          <cell r="I3677" t="str">
            <v>V22834</v>
          </cell>
          <cell r="J3677" t="str">
            <v>CTC</v>
          </cell>
          <cell r="K3677" t="str">
            <v>YES</v>
          </cell>
        </row>
        <row r="3678">
          <cell r="I3678" t="str">
            <v>V44949</v>
          </cell>
          <cell r="J3678" t="str">
            <v>CTC</v>
          </cell>
          <cell r="K3678" t="str">
            <v>YES</v>
          </cell>
        </row>
        <row r="3679">
          <cell r="I3679" t="str">
            <v>V32239</v>
          </cell>
          <cell r="J3679" t="str">
            <v>CTC</v>
          </cell>
          <cell r="K3679" t="str">
            <v>YES</v>
          </cell>
        </row>
        <row r="3680">
          <cell r="I3680" t="str">
            <v>V49475</v>
          </cell>
          <cell r="J3680" t="str">
            <v>CTC</v>
          </cell>
          <cell r="K3680" t="str">
            <v>YES</v>
          </cell>
        </row>
        <row r="3681">
          <cell r="I3681" t="str">
            <v>V22203</v>
          </cell>
          <cell r="J3681" t="str">
            <v>CTC</v>
          </cell>
          <cell r="K3681" t="str">
            <v>YES</v>
          </cell>
        </row>
        <row r="3682">
          <cell r="I3682" t="str">
            <v>V41264</v>
          </cell>
          <cell r="J3682" t="str">
            <v>CTC</v>
          </cell>
          <cell r="K3682" t="str">
            <v>YES</v>
          </cell>
        </row>
        <row r="3683">
          <cell r="I3683" t="str">
            <v>V34662</v>
          </cell>
          <cell r="J3683" t="str">
            <v>CTC</v>
          </cell>
          <cell r="K3683" t="str">
            <v>YES</v>
          </cell>
        </row>
        <row r="3684">
          <cell r="I3684" t="str">
            <v>V35725</v>
          </cell>
          <cell r="J3684" t="str">
            <v>CTC</v>
          </cell>
          <cell r="K3684" t="str">
            <v>YES</v>
          </cell>
        </row>
        <row r="3685">
          <cell r="I3685" t="str">
            <v>V41185</v>
          </cell>
          <cell r="J3685" t="str">
            <v>CTC</v>
          </cell>
          <cell r="K3685" t="str">
            <v>YES</v>
          </cell>
        </row>
        <row r="3686">
          <cell r="I3686" t="str">
            <v>V41842</v>
          </cell>
          <cell r="J3686" t="str">
            <v>CTC</v>
          </cell>
          <cell r="K3686" t="str">
            <v>YES</v>
          </cell>
        </row>
        <row r="3687">
          <cell r="I3687" t="str">
            <v>V41843</v>
          </cell>
          <cell r="J3687" t="str">
            <v>CTC</v>
          </cell>
          <cell r="K3687" t="str">
            <v>YES</v>
          </cell>
        </row>
        <row r="3688">
          <cell r="I3688" t="str">
            <v>V41889</v>
          </cell>
          <cell r="J3688" t="str">
            <v>CTC</v>
          </cell>
          <cell r="K3688" t="str">
            <v>YES</v>
          </cell>
        </row>
        <row r="3689">
          <cell r="I3689" t="str">
            <v>V20356</v>
          </cell>
          <cell r="J3689" t="str">
            <v>CTC</v>
          </cell>
          <cell r="K3689" t="str">
            <v>YES</v>
          </cell>
        </row>
        <row r="3690">
          <cell r="I3690" t="str">
            <v>V20365</v>
          </cell>
          <cell r="J3690" t="str">
            <v>CTC</v>
          </cell>
          <cell r="K3690" t="str">
            <v>YES</v>
          </cell>
        </row>
        <row r="3691">
          <cell r="I3691" t="str">
            <v>V18671</v>
          </cell>
          <cell r="J3691" t="str">
            <v>CTC</v>
          </cell>
          <cell r="K3691" t="str">
            <v>YES</v>
          </cell>
        </row>
        <row r="3692">
          <cell r="I3692" t="str">
            <v>V24650</v>
          </cell>
          <cell r="J3692" t="str">
            <v>CTC</v>
          </cell>
          <cell r="K3692" t="str">
            <v>YES</v>
          </cell>
        </row>
        <row r="3693">
          <cell r="I3693" t="str">
            <v>V35676</v>
          </cell>
          <cell r="J3693" t="str">
            <v>CTC</v>
          </cell>
          <cell r="K3693" t="str">
            <v>YES</v>
          </cell>
        </row>
        <row r="3694">
          <cell r="I3694" t="str">
            <v>V41150</v>
          </cell>
          <cell r="J3694" t="str">
            <v>CTC</v>
          </cell>
          <cell r="K3694" t="str">
            <v>YES</v>
          </cell>
        </row>
        <row r="3695">
          <cell r="I3695" t="str">
            <v>V41247</v>
          </cell>
          <cell r="J3695" t="str">
            <v>CTC</v>
          </cell>
          <cell r="K3695" t="str">
            <v>YES</v>
          </cell>
        </row>
        <row r="3696">
          <cell r="I3696" t="str">
            <v>V41248</v>
          </cell>
          <cell r="J3696" t="str">
            <v>CTC</v>
          </cell>
          <cell r="K3696" t="str">
            <v>YES</v>
          </cell>
        </row>
        <row r="3697">
          <cell r="I3697" t="str">
            <v>V41451</v>
          </cell>
          <cell r="J3697" t="str">
            <v>CTC</v>
          </cell>
          <cell r="K3697" t="str">
            <v>YES</v>
          </cell>
        </row>
        <row r="3698">
          <cell r="I3698" t="str">
            <v>V41457</v>
          </cell>
          <cell r="J3698" t="str">
            <v>CTC</v>
          </cell>
          <cell r="K3698" t="str">
            <v>YES</v>
          </cell>
        </row>
        <row r="3699">
          <cell r="I3699" t="str">
            <v>V41539</v>
          </cell>
          <cell r="J3699" t="str">
            <v>CTC</v>
          </cell>
          <cell r="K3699" t="str">
            <v>YES</v>
          </cell>
        </row>
        <row r="3700">
          <cell r="I3700" t="str">
            <v>V41588</v>
          </cell>
          <cell r="J3700" t="str">
            <v>CTC</v>
          </cell>
          <cell r="K3700" t="str">
            <v>YES</v>
          </cell>
        </row>
        <row r="3701">
          <cell r="I3701" t="str">
            <v>V41673</v>
          </cell>
          <cell r="J3701" t="str">
            <v>CTC</v>
          </cell>
          <cell r="K3701" t="str">
            <v>YES</v>
          </cell>
        </row>
        <row r="3702">
          <cell r="I3702" t="str">
            <v>V42015</v>
          </cell>
          <cell r="J3702" t="str">
            <v>CTC</v>
          </cell>
          <cell r="K3702" t="str">
            <v>YES</v>
          </cell>
        </row>
        <row r="3703">
          <cell r="I3703" t="str">
            <v>V42144</v>
          </cell>
          <cell r="J3703" t="str">
            <v>CTC</v>
          </cell>
          <cell r="K3703" t="str">
            <v>YES</v>
          </cell>
        </row>
        <row r="3704">
          <cell r="I3704" t="str">
            <v>V42416</v>
          </cell>
          <cell r="J3704" t="str">
            <v>CTC</v>
          </cell>
          <cell r="K3704" t="str">
            <v>YES</v>
          </cell>
        </row>
        <row r="3705">
          <cell r="I3705" t="str">
            <v>V26201</v>
          </cell>
          <cell r="J3705" t="str">
            <v>CTC</v>
          </cell>
          <cell r="K3705" t="str">
            <v>YES</v>
          </cell>
        </row>
        <row r="3706">
          <cell r="I3706" t="str">
            <v>V43404</v>
          </cell>
          <cell r="J3706" t="str">
            <v>CTC</v>
          </cell>
          <cell r="K3706" t="str">
            <v>YES</v>
          </cell>
        </row>
        <row r="3707">
          <cell r="I3707" t="str">
            <v>V32241</v>
          </cell>
          <cell r="J3707" t="str">
            <v>CTC</v>
          </cell>
          <cell r="K3707" t="str">
            <v>YES</v>
          </cell>
        </row>
        <row r="3708">
          <cell r="I3708" t="str">
            <v>V25289</v>
          </cell>
          <cell r="J3708" t="str">
            <v>CTC</v>
          </cell>
          <cell r="K3708" t="str">
            <v>YES</v>
          </cell>
        </row>
        <row r="3709">
          <cell r="I3709" t="str">
            <v>V43179</v>
          </cell>
          <cell r="J3709" t="str">
            <v>CTC</v>
          </cell>
          <cell r="K3709" t="str">
            <v>YES</v>
          </cell>
        </row>
        <row r="3710">
          <cell r="I3710" t="str">
            <v>V35241</v>
          </cell>
          <cell r="J3710" t="str">
            <v>CTC</v>
          </cell>
          <cell r="K3710" t="str">
            <v>YES</v>
          </cell>
        </row>
        <row r="3711">
          <cell r="I3711" t="str">
            <v>V30557</v>
          </cell>
          <cell r="J3711" t="str">
            <v>CTC</v>
          </cell>
          <cell r="K3711" t="str">
            <v>YES</v>
          </cell>
        </row>
        <row r="3712">
          <cell r="I3712" t="str">
            <v>V23639</v>
          </cell>
          <cell r="J3712" t="str">
            <v>CTC</v>
          </cell>
          <cell r="K3712" t="str">
            <v>YES</v>
          </cell>
        </row>
        <row r="3713">
          <cell r="I3713" t="str">
            <v>V41027</v>
          </cell>
          <cell r="J3713" t="str">
            <v>CTC</v>
          </cell>
          <cell r="K3713" t="str">
            <v>YES</v>
          </cell>
        </row>
        <row r="3714">
          <cell r="I3714" t="str">
            <v>V45689</v>
          </cell>
          <cell r="J3714" t="str">
            <v>CTC</v>
          </cell>
          <cell r="K3714" t="str">
            <v>YES</v>
          </cell>
        </row>
        <row r="3715">
          <cell r="I3715" t="str">
            <v>V43093</v>
          </cell>
          <cell r="J3715" t="str">
            <v>CTC</v>
          </cell>
          <cell r="K3715" t="str">
            <v>YES</v>
          </cell>
        </row>
        <row r="3716">
          <cell r="I3716" t="str">
            <v>V40675</v>
          </cell>
          <cell r="J3716" t="str">
            <v>CTC</v>
          </cell>
          <cell r="K3716" t="str">
            <v>YES</v>
          </cell>
        </row>
        <row r="3717">
          <cell r="I3717" t="str">
            <v>V36598</v>
          </cell>
          <cell r="J3717" t="str">
            <v>CTC</v>
          </cell>
          <cell r="K3717" t="str">
            <v>YES</v>
          </cell>
        </row>
        <row r="3718">
          <cell r="I3718" t="str">
            <v>V37656</v>
          </cell>
          <cell r="J3718" t="str">
            <v>CTC</v>
          </cell>
          <cell r="K3718" t="str">
            <v>YES</v>
          </cell>
        </row>
        <row r="3719">
          <cell r="I3719" t="str">
            <v>V29003</v>
          </cell>
          <cell r="J3719" t="str">
            <v>CTC</v>
          </cell>
          <cell r="K3719" t="str">
            <v>YES</v>
          </cell>
        </row>
        <row r="3720">
          <cell r="I3720" t="str">
            <v>V42927</v>
          </cell>
          <cell r="J3720" t="str">
            <v>CTC</v>
          </cell>
          <cell r="K3720" t="str">
            <v>YES</v>
          </cell>
        </row>
        <row r="3721">
          <cell r="I3721" t="str">
            <v>V43028</v>
          </cell>
          <cell r="J3721" t="str">
            <v>CTC</v>
          </cell>
          <cell r="K3721" t="str">
            <v>YES</v>
          </cell>
        </row>
        <row r="3722">
          <cell r="I3722" t="str">
            <v>V42592</v>
          </cell>
          <cell r="J3722" t="str">
            <v>CTC</v>
          </cell>
          <cell r="K3722" t="str">
            <v>YES</v>
          </cell>
        </row>
        <row r="3723">
          <cell r="I3723" t="str">
            <v>V44856</v>
          </cell>
          <cell r="J3723" t="str">
            <v>CTC</v>
          </cell>
          <cell r="K3723" t="str">
            <v>YES</v>
          </cell>
        </row>
        <row r="3724">
          <cell r="I3724" t="str">
            <v>V43732</v>
          </cell>
          <cell r="J3724" t="str">
            <v>CTC</v>
          </cell>
          <cell r="K3724" t="str">
            <v>YES</v>
          </cell>
        </row>
        <row r="3725">
          <cell r="I3725" t="str">
            <v>V40743</v>
          </cell>
          <cell r="J3725" t="str">
            <v>CTC</v>
          </cell>
          <cell r="K3725" t="str">
            <v>YES</v>
          </cell>
        </row>
        <row r="3726">
          <cell r="I3726" t="str">
            <v>V18539</v>
          </cell>
          <cell r="J3726" t="str">
            <v>CTC</v>
          </cell>
          <cell r="K3726" t="str">
            <v>YES</v>
          </cell>
        </row>
        <row r="3727">
          <cell r="I3727" t="str">
            <v>V43082</v>
          </cell>
          <cell r="J3727" t="str">
            <v>CTC</v>
          </cell>
          <cell r="K3727" t="str">
            <v>YES</v>
          </cell>
        </row>
        <row r="3728">
          <cell r="I3728" t="str">
            <v>V35173</v>
          </cell>
          <cell r="J3728" t="str">
            <v>CTC</v>
          </cell>
          <cell r="K3728" t="str">
            <v>YES</v>
          </cell>
        </row>
        <row r="3729">
          <cell r="I3729" t="str">
            <v>V29297</v>
          </cell>
          <cell r="J3729" t="str">
            <v>CTC</v>
          </cell>
          <cell r="K3729" t="str">
            <v>YES</v>
          </cell>
        </row>
        <row r="3730">
          <cell r="I3730" t="str">
            <v>V40043</v>
          </cell>
          <cell r="J3730" t="str">
            <v>CTC</v>
          </cell>
          <cell r="K3730" t="str">
            <v>YES</v>
          </cell>
        </row>
        <row r="3731">
          <cell r="I3731" t="str">
            <v>V26308</v>
          </cell>
          <cell r="J3731" t="str">
            <v>CTC</v>
          </cell>
          <cell r="K3731" t="str">
            <v>YES</v>
          </cell>
        </row>
        <row r="3732">
          <cell r="I3732" t="str">
            <v>V37865</v>
          </cell>
          <cell r="J3732" t="str">
            <v>CTC</v>
          </cell>
          <cell r="K3732" t="str">
            <v>YES</v>
          </cell>
        </row>
        <row r="3733">
          <cell r="I3733" t="str">
            <v>V38420</v>
          </cell>
          <cell r="J3733" t="str">
            <v>CTC</v>
          </cell>
          <cell r="K3733" t="str">
            <v>YES</v>
          </cell>
        </row>
        <row r="3734">
          <cell r="I3734" t="str">
            <v>V39031</v>
          </cell>
          <cell r="J3734" t="str">
            <v>CTC</v>
          </cell>
          <cell r="K3734" t="str">
            <v>YES</v>
          </cell>
        </row>
        <row r="3735">
          <cell r="I3735" t="str">
            <v>V39404</v>
          </cell>
          <cell r="J3735" t="str">
            <v>CTC</v>
          </cell>
          <cell r="K3735" t="str">
            <v>YES</v>
          </cell>
        </row>
        <row r="3736">
          <cell r="I3736" t="str">
            <v>V39408</v>
          </cell>
          <cell r="J3736" t="str">
            <v>CTC</v>
          </cell>
          <cell r="K3736" t="str">
            <v>YES</v>
          </cell>
        </row>
        <row r="3737">
          <cell r="I3737" t="str">
            <v>V39427</v>
          </cell>
          <cell r="J3737" t="str">
            <v>CTC</v>
          </cell>
          <cell r="K3737" t="str">
            <v>YES</v>
          </cell>
        </row>
        <row r="3738">
          <cell r="I3738" t="str">
            <v>V39430</v>
          </cell>
          <cell r="J3738" t="str">
            <v>CTC</v>
          </cell>
          <cell r="K3738" t="str">
            <v>YES</v>
          </cell>
        </row>
        <row r="3739">
          <cell r="I3739" t="str">
            <v>V39664</v>
          </cell>
          <cell r="J3739" t="str">
            <v>CTC</v>
          </cell>
          <cell r="K3739" t="str">
            <v>YES</v>
          </cell>
        </row>
        <row r="3740">
          <cell r="I3740" t="str">
            <v>V39666</v>
          </cell>
          <cell r="J3740" t="str">
            <v>CTC</v>
          </cell>
          <cell r="K3740" t="str">
            <v>YES</v>
          </cell>
        </row>
        <row r="3741">
          <cell r="I3741" t="str">
            <v>V39669</v>
          </cell>
          <cell r="J3741" t="str">
            <v>CTC</v>
          </cell>
          <cell r="K3741" t="str">
            <v>YES</v>
          </cell>
        </row>
        <row r="3742">
          <cell r="I3742" t="str">
            <v>V39673</v>
          </cell>
          <cell r="J3742" t="str">
            <v>CTC</v>
          </cell>
          <cell r="K3742" t="str">
            <v>YES</v>
          </cell>
        </row>
        <row r="3743">
          <cell r="I3743" t="str">
            <v>V39676</v>
          </cell>
          <cell r="J3743" t="str">
            <v>CTC</v>
          </cell>
          <cell r="K3743" t="str">
            <v>YES</v>
          </cell>
        </row>
        <row r="3744">
          <cell r="I3744" t="str">
            <v>V39680</v>
          </cell>
          <cell r="J3744" t="str">
            <v>CTC</v>
          </cell>
          <cell r="K3744" t="str">
            <v>YES</v>
          </cell>
        </row>
        <row r="3745">
          <cell r="I3745" t="str">
            <v>V39770</v>
          </cell>
          <cell r="J3745" t="str">
            <v>CTC</v>
          </cell>
          <cell r="K3745" t="str">
            <v>YES</v>
          </cell>
        </row>
        <row r="3746">
          <cell r="I3746" t="str">
            <v>V39836</v>
          </cell>
          <cell r="J3746" t="str">
            <v>CTC</v>
          </cell>
          <cell r="K3746" t="str">
            <v>YES</v>
          </cell>
        </row>
        <row r="3747">
          <cell r="I3747" t="str">
            <v>V40182</v>
          </cell>
          <cell r="J3747" t="str">
            <v>CTC</v>
          </cell>
          <cell r="K3747" t="str">
            <v>YES</v>
          </cell>
        </row>
        <row r="3748">
          <cell r="I3748" t="str">
            <v>V40183</v>
          </cell>
          <cell r="J3748" t="str">
            <v>CTC</v>
          </cell>
          <cell r="K3748" t="str">
            <v>YES</v>
          </cell>
        </row>
        <row r="3749">
          <cell r="I3749" t="str">
            <v>V40993</v>
          </cell>
          <cell r="J3749" t="str">
            <v>CTC</v>
          </cell>
          <cell r="K3749" t="str">
            <v>YES</v>
          </cell>
        </row>
        <row r="3750">
          <cell r="I3750" t="str">
            <v>V41080</v>
          </cell>
          <cell r="J3750" t="str">
            <v>CTC</v>
          </cell>
          <cell r="K3750" t="str">
            <v>YES</v>
          </cell>
        </row>
        <row r="3751">
          <cell r="I3751" t="str">
            <v>V41323</v>
          </cell>
          <cell r="J3751" t="str">
            <v>CTC</v>
          </cell>
          <cell r="K3751" t="str">
            <v>YES</v>
          </cell>
        </row>
        <row r="3752">
          <cell r="I3752" t="str">
            <v>V41352</v>
          </cell>
          <cell r="J3752" t="str">
            <v>CTC</v>
          </cell>
          <cell r="K3752" t="str">
            <v>YES</v>
          </cell>
        </row>
        <row r="3753">
          <cell r="I3753" t="str">
            <v>V41501</v>
          </cell>
          <cell r="J3753" t="str">
            <v>CTC</v>
          </cell>
          <cell r="K3753" t="str">
            <v>YES</v>
          </cell>
        </row>
        <row r="3754">
          <cell r="I3754" t="str">
            <v>V41506</v>
          </cell>
          <cell r="J3754" t="str">
            <v>CTC</v>
          </cell>
          <cell r="K3754" t="str">
            <v>YES</v>
          </cell>
        </row>
        <row r="3755">
          <cell r="I3755" t="str">
            <v>V41550</v>
          </cell>
          <cell r="J3755" t="str">
            <v>CTC</v>
          </cell>
          <cell r="K3755" t="str">
            <v>YES</v>
          </cell>
        </row>
        <row r="3756">
          <cell r="I3756" t="str">
            <v>V41762</v>
          </cell>
          <cell r="J3756" t="str">
            <v>CTC</v>
          </cell>
          <cell r="K3756" t="str">
            <v>YES</v>
          </cell>
        </row>
        <row r="3757">
          <cell r="I3757" t="str">
            <v>V41875</v>
          </cell>
          <cell r="J3757" t="str">
            <v>CTC</v>
          </cell>
          <cell r="K3757" t="str">
            <v>YES</v>
          </cell>
        </row>
        <row r="3758">
          <cell r="I3758" t="str">
            <v>V41880</v>
          </cell>
          <cell r="J3758" t="str">
            <v>CTC</v>
          </cell>
          <cell r="K3758" t="str">
            <v>YES</v>
          </cell>
        </row>
        <row r="3759">
          <cell r="I3759" t="str">
            <v>V41942</v>
          </cell>
          <cell r="J3759" t="str">
            <v>CTC</v>
          </cell>
          <cell r="K3759" t="str">
            <v>YES</v>
          </cell>
        </row>
        <row r="3760">
          <cell r="I3760" t="str">
            <v>V42072</v>
          </cell>
          <cell r="J3760" t="str">
            <v>CTC</v>
          </cell>
          <cell r="K3760" t="str">
            <v>YES</v>
          </cell>
        </row>
        <row r="3761">
          <cell r="I3761" t="str">
            <v>V42245</v>
          </cell>
          <cell r="J3761" t="str">
            <v>CTC</v>
          </cell>
          <cell r="K3761" t="str">
            <v>YES</v>
          </cell>
        </row>
        <row r="3762">
          <cell r="I3762" t="str">
            <v>V42247</v>
          </cell>
          <cell r="J3762" t="str">
            <v>CTC</v>
          </cell>
          <cell r="K3762" t="str">
            <v>YES</v>
          </cell>
        </row>
        <row r="3763">
          <cell r="I3763" t="str">
            <v>V42299</v>
          </cell>
          <cell r="J3763" t="str">
            <v>CTC</v>
          </cell>
          <cell r="K3763" t="str">
            <v>YES</v>
          </cell>
        </row>
        <row r="3764">
          <cell r="I3764" t="str">
            <v>V42301</v>
          </cell>
          <cell r="J3764" t="str">
            <v>CTC</v>
          </cell>
          <cell r="K3764" t="str">
            <v>YES</v>
          </cell>
        </row>
        <row r="3765">
          <cell r="I3765" t="str">
            <v>V20390</v>
          </cell>
          <cell r="J3765" t="str">
            <v>CTC</v>
          </cell>
          <cell r="K3765" t="str">
            <v>YES</v>
          </cell>
        </row>
        <row r="3766">
          <cell r="I3766" t="str">
            <v>V40766</v>
          </cell>
          <cell r="J3766" t="str">
            <v>CTC</v>
          </cell>
          <cell r="K3766" t="str">
            <v>YES</v>
          </cell>
        </row>
        <row r="3767">
          <cell r="I3767" t="str">
            <v>V37170</v>
          </cell>
          <cell r="J3767" t="str">
            <v>CTC</v>
          </cell>
          <cell r="K3767" t="str">
            <v>YES</v>
          </cell>
        </row>
        <row r="3768">
          <cell r="I3768" t="str">
            <v>V37399</v>
          </cell>
          <cell r="J3768" t="str">
            <v>CTC</v>
          </cell>
          <cell r="K3768" t="str">
            <v>YES</v>
          </cell>
        </row>
        <row r="3769">
          <cell r="I3769" t="str">
            <v>V39955</v>
          </cell>
          <cell r="J3769" t="str">
            <v>CTC</v>
          </cell>
          <cell r="K3769" t="str">
            <v>YES</v>
          </cell>
        </row>
        <row r="3770">
          <cell r="I3770" t="str">
            <v>V37713</v>
          </cell>
          <cell r="J3770" t="str">
            <v>CTC</v>
          </cell>
          <cell r="K3770" t="str">
            <v>YES</v>
          </cell>
        </row>
        <row r="3771">
          <cell r="I3771" t="str">
            <v>V25725</v>
          </cell>
          <cell r="J3771" t="str">
            <v>CTC</v>
          </cell>
          <cell r="K3771" t="str">
            <v>YES</v>
          </cell>
        </row>
        <row r="3772">
          <cell r="I3772" t="str">
            <v>V27012</v>
          </cell>
          <cell r="J3772" t="str">
            <v>CTC</v>
          </cell>
          <cell r="K3772" t="str">
            <v>YES</v>
          </cell>
        </row>
        <row r="3773">
          <cell r="I3773" t="str">
            <v>V50405</v>
          </cell>
          <cell r="J3773" t="str">
            <v>CTC</v>
          </cell>
          <cell r="K3773" t="str">
            <v>YES</v>
          </cell>
        </row>
        <row r="3774">
          <cell r="I3774" t="str">
            <v>V42998</v>
          </cell>
          <cell r="J3774" t="str">
            <v>CTC</v>
          </cell>
          <cell r="K3774" t="str">
            <v>YES</v>
          </cell>
        </row>
        <row r="3775">
          <cell r="I3775" t="str">
            <v>V41815</v>
          </cell>
          <cell r="J3775" t="str">
            <v>CTC</v>
          </cell>
          <cell r="K3775" t="str">
            <v>YES</v>
          </cell>
        </row>
        <row r="3776">
          <cell r="I3776" t="str">
            <v>V39956</v>
          </cell>
          <cell r="J3776" t="str">
            <v>CTC</v>
          </cell>
          <cell r="K3776" t="str">
            <v>YES</v>
          </cell>
        </row>
        <row r="3777">
          <cell r="I3777" t="str">
            <v>V18851</v>
          </cell>
          <cell r="J3777" t="str">
            <v>CTC</v>
          </cell>
          <cell r="K3777" t="str">
            <v>YES</v>
          </cell>
        </row>
        <row r="3778">
          <cell r="I3778" t="str">
            <v>V43085</v>
          </cell>
          <cell r="J3778" t="str">
            <v>CTC</v>
          </cell>
          <cell r="K3778" t="str">
            <v>YES</v>
          </cell>
        </row>
        <row r="3779">
          <cell r="I3779" t="str">
            <v>V39209</v>
          </cell>
          <cell r="J3779" t="str">
            <v>CTC</v>
          </cell>
          <cell r="K3779" t="str">
            <v>YES</v>
          </cell>
        </row>
        <row r="3780">
          <cell r="I3780" t="str">
            <v>V38040</v>
          </cell>
          <cell r="J3780" t="str">
            <v>CTC</v>
          </cell>
          <cell r="K3780" t="str">
            <v>YES</v>
          </cell>
        </row>
        <row r="3781">
          <cell r="I3781" t="str">
            <v>V44812</v>
          </cell>
          <cell r="J3781" t="str">
            <v>CTC</v>
          </cell>
          <cell r="K3781" t="str">
            <v>YES</v>
          </cell>
        </row>
        <row r="3782">
          <cell r="I3782" t="str">
            <v>V43928</v>
          </cell>
          <cell r="J3782" t="str">
            <v>CTC</v>
          </cell>
          <cell r="K3782" t="str">
            <v>YES</v>
          </cell>
        </row>
        <row r="3783">
          <cell r="I3783" t="str">
            <v>V21977</v>
          </cell>
          <cell r="J3783" t="str">
            <v>CTC</v>
          </cell>
          <cell r="K3783" t="str">
            <v>YES</v>
          </cell>
        </row>
        <row r="3784">
          <cell r="I3784" t="str">
            <v>V43608</v>
          </cell>
          <cell r="J3784" t="str">
            <v>CTC</v>
          </cell>
          <cell r="K3784" t="str">
            <v>YES</v>
          </cell>
        </row>
        <row r="3785">
          <cell r="I3785" t="str">
            <v>V22448</v>
          </cell>
          <cell r="J3785" t="str">
            <v>CTC</v>
          </cell>
          <cell r="K3785" t="str">
            <v>YES</v>
          </cell>
        </row>
        <row r="3786">
          <cell r="I3786" t="str">
            <v>V45538</v>
          </cell>
          <cell r="J3786" t="str">
            <v>CTC</v>
          </cell>
          <cell r="K3786" t="str">
            <v>YES</v>
          </cell>
        </row>
        <row r="3787">
          <cell r="I3787" t="str">
            <v>V32035</v>
          </cell>
          <cell r="J3787" t="str">
            <v>CTC</v>
          </cell>
          <cell r="K3787" t="str">
            <v>YES</v>
          </cell>
        </row>
        <row r="3788">
          <cell r="I3788" t="str">
            <v>V34836</v>
          </cell>
          <cell r="J3788" t="str">
            <v>CTC</v>
          </cell>
          <cell r="K3788" t="str">
            <v>YES</v>
          </cell>
        </row>
        <row r="3789">
          <cell r="I3789" t="str">
            <v>V43083</v>
          </cell>
          <cell r="J3789" t="str">
            <v>CTC</v>
          </cell>
          <cell r="K3789" t="str">
            <v>YES</v>
          </cell>
        </row>
        <row r="3790">
          <cell r="I3790" t="str">
            <v>V22922</v>
          </cell>
          <cell r="J3790" t="str">
            <v>CTC</v>
          </cell>
          <cell r="K3790" t="str">
            <v>YES</v>
          </cell>
        </row>
        <row r="3791">
          <cell r="I3791" t="str">
            <v>V22925</v>
          </cell>
          <cell r="J3791" t="str">
            <v>CTC</v>
          </cell>
          <cell r="K3791" t="str">
            <v>YES</v>
          </cell>
        </row>
        <row r="3792">
          <cell r="I3792" t="str">
            <v>V22936</v>
          </cell>
          <cell r="J3792" t="str">
            <v>CTC</v>
          </cell>
          <cell r="K3792" t="str">
            <v>YES</v>
          </cell>
        </row>
        <row r="3793">
          <cell r="I3793" t="str">
            <v>V22937</v>
          </cell>
          <cell r="J3793" t="str">
            <v>CTC</v>
          </cell>
          <cell r="K3793" t="str">
            <v>YES</v>
          </cell>
        </row>
        <row r="3794">
          <cell r="I3794" t="str">
            <v>V22946</v>
          </cell>
          <cell r="J3794" t="str">
            <v>CTC</v>
          </cell>
          <cell r="K3794" t="str">
            <v>YES</v>
          </cell>
        </row>
        <row r="3795">
          <cell r="I3795" t="str">
            <v>V23109</v>
          </cell>
          <cell r="J3795" t="str">
            <v>CTC</v>
          </cell>
          <cell r="K3795" t="str">
            <v>YES</v>
          </cell>
        </row>
        <row r="3796">
          <cell r="I3796" t="str">
            <v>V23213</v>
          </cell>
          <cell r="J3796" t="str">
            <v>CTC</v>
          </cell>
          <cell r="K3796" t="str">
            <v>YES</v>
          </cell>
        </row>
        <row r="3797">
          <cell r="I3797" t="str">
            <v>V23227</v>
          </cell>
          <cell r="J3797" t="str">
            <v>CTC</v>
          </cell>
          <cell r="K3797" t="str">
            <v>YES</v>
          </cell>
        </row>
        <row r="3798">
          <cell r="I3798" t="str">
            <v>V23282</v>
          </cell>
          <cell r="J3798" t="str">
            <v>CTC</v>
          </cell>
          <cell r="K3798" t="str">
            <v>YES</v>
          </cell>
        </row>
        <row r="3799">
          <cell r="I3799" t="str">
            <v>V23324</v>
          </cell>
          <cell r="J3799" t="str">
            <v>CTC</v>
          </cell>
          <cell r="K3799" t="str">
            <v>YES</v>
          </cell>
        </row>
        <row r="3800">
          <cell r="I3800" t="str">
            <v>V23343</v>
          </cell>
          <cell r="J3800" t="str">
            <v>CTC</v>
          </cell>
          <cell r="K3800" t="str">
            <v>YES</v>
          </cell>
        </row>
        <row r="3801">
          <cell r="I3801" t="str">
            <v>V23402</v>
          </cell>
          <cell r="J3801" t="str">
            <v>CTC</v>
          </cell>
          <cell r="K3801" t="str">
            <v>YES</v>
          </cell>
        </row>
        <row r="3802">
          <cell r="I3802" t="str">
            <v>V23446</v>
          </cell>
          <cell r="J3802" t="str">
            <v>CTC</v>
          </cell>
          <cell r="K3802" t="str">
            <v>YES</v>
          </cell>
        </row>
        <row r="3803">
          <cell r="I3803" t="str">
            <v>V23453</v>
          </cell>
          <cell r="J3803" t="str">
            <v>CTC</v>
          </cell>
          <cell r="K3803" t="str">
            <v>YES</v>
          </cell>
        </row>
        <row r="3804">
          <cell r="I3804" t="str">
            <v>V23464</v>
          </cell>
          <cell r="J3804" t="str">
            <v>CTC</v>
          </cell>
          <cell r="K3804" t="str">
            <v>YES</v>
          </cell>
        </row>
        <row r="3805">
          <cell r="I3805" t="str">
            <v>V23557</v>
          </cell>
          <cell r="J3805" t="str">
            <v>CTC</v>
          </cell>
          <cell r="K3805" t="str">
            <v>YES</v>
          </cell>
        </row>
        <row r="3806">
          <cell r="I3806" t="str">
            <v>V23640</v>
          </cell>
          <cell r="J3806" t="str">
            <v>CTC</v>
          </cell>
          <cell r="K3806" t="str">
            <v>YES</v>
          </cell>
        </row>
        <row r="3807">
          <cell r="I3807" t="str">
            <v>V23658</v>
          </cell>
          <cell r="J3807" t="str">
            <v>CTC</v>
          </cell>
          <cell r="K3807" t="str">
            <v>YES</v>
          </cell>
        </row>
        <row r="3808">
          <cell r="I3808" t="str">
            <v>V23750</v>
          </cell>
          <cell r="J3808" t="str">
            <v>CTC</v>
          </cell>
          <cell r="K3808" t="str">
            <v>YES</v>
          </cell>
        </row>
        <row r="3809">
          <cell r="I3809" t="str">
            <v>V23823</v>
          </cell>
          <cell r="J3809" t="str">
            <v>CTC</v>
          </cell>
          <cell r="K3809" t="str">
            <v>YES</v>
          </cell>
        </row>
        <row r="3810">
          <cell r="I3810" t="str">
            <v>V24047</v>
          </cell>
          <cell r="J3810" t="str">
            <v>CTC</v>
          </cell>
          <cell r="K3810" t="str">
            <v>YES</v>
          </cell>
        </row>
        <row r="3811">
          <cell r="I3811" t="str">
            <v>V24059</v>
          </cell>
          <cell r="J3811" t="str">
            <v>CTC</v>
          </cell>
          <cell r="K3811" t="str">
            <v>YES</v>
          </cell>
        </row>
        <row r="3812">
          <cell r="I3812" t="str">
            <v>V24133</v>
          </cell>
          <cell r="J3812" t="str">
            <v>CTC</v>
          </cell>
          <cell r="K3812" t="str">
            <v>YES</v>
          </cell>
        </row>
        <row r="3813">
          <cell r="I3813" t="str">
            <v>V24174</v>
          </cell>
          <cell r="J3813" t="str">
            <v>CTC</v>
          </cell>
          <cell r="K3813" t="str">
            <v>YES</v>
          </cell>
        </row>
        <row r="3814">
          <cell r="I3814" t="str">
            <v>V24176</v>
          </cell>
          <cell r="J3814" t="str">
            <v>CTC</v>
          </cell>
          <cell r="K3814" t="str">
            <v>YES</v>
          </cell>
        </row>
        <row r="3815">
          <cell r="I3815" t="str">
            <v>V24215</v>
          </cell>
          <cell r="J3815" t="str">
            <v>CTC</v>
          </cell>
          <cell r="K3815" t="str">
            <v>YES</v>
          </cell>
        </row>
        <row r="3816">
          <cell r="I3816" t="str">
            <v>V24237</v>
          </cell>
          <cell r="J3816" t="str">
            <v>CTC</v>
          </cell>
          <cell r="K3816" t="str">
            <v>YES</v>
          </cell>
        </row>
        <row r="3817">
          <cell r="I3817" t="str">
            <v>V24253</v>
          </cell>
          <cell r="J3817" t="str">
            <v>CTC</v>
          </cell>
          <cell r="K3817" t="str">
            <v>YES</v>
          </cell>
        </row>
        <row r="3818">
          <cell r="I3818" t="str">
            <v>V24313</v>
          </cell>
          <cell r="J3818" t="str">
            <v>CTC</v>
          </cell>
          <cell r="K3818" t="str">
            <v>YES</v>
          </cell>
        </row>
        <row r="3819">
          <cell r="I3819" t="str">
            <v>V24315</v>
          </cell>
          <cell r="J3819" t="str">
            <v>CTC</v>
          </cell>
          <cell r="K3819" t="str">
            <v>YES</v>
          </cell>
        </row>
        <row r="3820">
          <cell r="I3820" t="str">
            <v>V24317</v>
          </cell>
          <cell r="J3820" t="str">
            <v>CTC</v>
          </cell>
          <cell r="K3820" t="str">
            <v>YES</v>
          </cell>
        </row>
        <row r="3821">
          <cell r="I3821" t="str">
            <v>V24426</v>
          </cell>
          <cell r="J3821" t="str">
            <v>CTC</v>
          </cell>
          <cell r="K3821" t="str">
            <v>YES</v>
          </cell>
        </row>
        <row r="3822">
          <cell r="I3822" t="str">
            <v>V24443</v>
          </cell>
          <cell r="J3822" t="str">
            <v>CTC</v>
          </cell>
          <cell r="K3822" t="str">
            <v>YES</v>
          </cell>
        </row>
        <row r="3823">
          <cell r="I3823" t="str">
            <v>V24457</v>
          </cell>
          <cell r="J3823" t="str">
            <v>CTC</v>
          </cell>
          <cell r="K3823" t="str">
            <v>YES</v>
          </cell>
        </row>
        <row r="3824">
          <cell r="I3824" t="str">
            <v>V24608</v>
          </cell>
          <cell r="J3824" t="str">
            <v>CTC</v>
          </cell>
          <cell r="K3824" t="str">
            <v>YES</v>
          </cell>
        </row>
        <row r="3825">
          <cell r="I3825" t="str">
            <v>V24668</v>
          </cell>
          <cell r="J3825" t="str">
            <v>CTC</v>
          </cell>
          <cell r="K3825" t="str">
            <v>YES</v>
          </cell>
        </row>
        <row r="3826">
          <cell r="I3826" t="str">
            <v>V24750</v>
          </cell>
          <cell r="J3826" t="str">
            <v>CTC</v>
          </cell>
          <cell r="K3826" t="str">
            <v>YES</v>
          </cell>
        </row>
        <row r="3827">
          <cell r="I3827" t="str">
            <v>V24751</v>
          </cell>
          <cell r="J3827" t="str">
            <v>CTC</v>
          </cell>
          <cell r="K3827" t="str">
            <v>YES</v>
          </cell>
        </row>
        <row r="3828">
          <cell r="I3828" t="str">
            <v>V24754</v>
          </cell>
          <cell r="J3828" t="str">
            <v>CTC</v>
          </cell>
          <cell r="K3828" t="str">
            <v>YES</v>
          </cell>
        </row>
        <row r="3829">
          <cell r="I3829" t="str">
            <v>V24790</v>
          </cell>
          <cell r="J3829" t="str">
            <v>CTC</v>
          </cell>
          <cell r="K3829" t="str">
            <v>YES</v>
          </cell>
        </row>
        <row r="3830">
          <cell r="I3830" t="str">
            <v>V24814</v>
          </cell>
          <cell r="J3830" t="str">
            <v>CTC</v>
          </cell>
          <cell r="K3830" t="str">
            <v>YES</v>
          </cell>
        </row>
        <row r="3831">
          <cell r="I3831" t="str">
            <v>V24829</v>
          </cell>
          <cell r="J3831" t="str">
            <v>CTC</v>
          </cell>
          <cell r="K3831" t="str">
            <v>YES</v>
          </cell>
        </row>
        <row r="3832">
          <cell r="I3832" t="str">
            <v>V24831</v>
          </cell>
          <cell r="J3832" t="str">
            <v>CTC</v>
          </cell>
          <cell r="K3832" t="str">
            <v>YES</v>
          </cell>
        </row>
        <row r="3833">
          <cell r="I3833" t="str">
            <v>V24867</v>
          </cell>
          <cell r="J3833" t="str">
            <v>CTC</v>
          </cell>
          <cell r="K3833" t="str">
            <v>YES</v>
          </cell>
        </row>
        <row r="3834">
          <cell r="I3834" t="str">
            <v>V24914</v>
          </cell>
          <cell r="J3834" t="str">
            <v>CTC</v>
          </cell>
          <cell r="K3834" t="str">
            <v>YES</v>
          </cell>
        </row>
        <row r="3835">
          <cell r="I3835" t="str">
            <v>V24932</v>
          </cell>
          <cell r="J3835" t="str">
            <v>CTC</v>
          </cell>
          <cell r="K3835" t="str">
            <v>YES</v>
          </cell>
        </row>
        <row r="3836">
          <cell r="I3836" t="str">
            <v>V24971</v>
          </cell>
          <cell r="J3836" t="str">
            <v>CTC</v>
          </cell>
          <cell r="K3836" t="str">
            <v>YES</v>
          </cell>
        </row>
        <row r="3837">
          <cell r="I3837" t="str">
            <v>V25032</v>
          </cell>
          <cell r="J3837" t="str">
            <v>CTC</v>
          </cell>
          <cell r="K3837" t="str">
            <v>YES</v>
          </cell>
        </row>
        <row r="3838">
          <cell r="I3838" t="str">
            <v>V22933</v>
          </cell>
          <cell r="J3838" t="str">
            <v>CTC</v>
          </cell>
          <cell r="K3838" t="str">
            <v>YES</v>
          </cell>
        </row>
        <row r="3839">
          <cell r="I3839" t="str">
            <v>V23790</v>
          </cell>
          <cell r="J3839" t="str">
            <v>CTC</v>
          </cell>
          <cell r="K3839" t="str">
            <v>YES</v>
          </cell>
        </row>
        <row r="3840">
          <cell r="I3840" t="str">
            <v>V23847</v>
          </cell>
          <cell r="J3840" t="str">
            <v>CTC</v>
          </cell>
          <cell r="K3840" t="str">
            <v>YES</v>
          </cell>
        </row>
        <row r="3841">
          <cell r="I3841" t="str">
            <v>V24044</v>
          </cell>
          <cell r="J3841" t="str">
            <v>CTC</v>
          </cell>
          <cell r="K3841" t="str">
            <v>YES</v>
          </cell>
        </row>
        <row r="3842">
          <cell r="I3842" t="str">
            <v>V24045</v>
          </cell>
          <cell r="J3842" t="str">
            <v>CTC</v>
          </cell>
          <cell r="K3842" t="str">
            <v>YES</v>
          </cell>
        </row>
        <row r="3843">
          <cell r="I3843" t="str">
            <v>V24061</v>
          </cell>
          <cell r="J3843" t="str">
            <v>CTC</v>
          </cell>
          <cell r="K3843" t="str">
            <v>YES</v>
          </cell>
        </row>
        <row r="3844">
          <cell r="I3844" t="str">
            <v>V24320</v>
          </cell>
          <cell r="J3844" t="str">
            <v>CTC</v>
          </cell>
          <cell r="K3844" t="str">
            <v>YES</v>
          </cell>
        </row>
        <row r="3845">
          <cell r="I3845" t="str">
            <v>V25176</v>
          </cell>
          <cell r="J3845" t="str">
            <v>CTC</v>
          </cell>
          <cell r="K3845" t="str">
            <v>YES</v>
          </cell>
        </row>
        <row r="3846">
          <cell r="I3846" t="str">
            <v>V25177</v>
          </cell>
          <cell r="J3846" t="str">
            <v>CTC</v>
          </cell>
          <cell r="K3846" t="str">
            <v>YES</v>
          </cell>
        </row>
        <row r="3847">
          <cell r="I3847" t="str">
            <v>V25180</v>
          </cell>
          <cell r="J3847" t="str">
            <v>CTC</v>
          </cell>
          <cell r="K3847" t="str">
            <v>YES</v>
          </cell>
        </row>
        <row r="3848">
          <cell r="I3848" t="str">
            <v>V34435</v>
          </cell>
          <cell r="J3848" t="str">
            <v>CTC</v>
          </cell>
          <cell r="K3848" t="str">
            <v>YES</v>
          </cell>
        </row>
        <row r="3849">
          <cell r="I3849" t="str">
            <v>V23933</v>
          </cell>
          <cell r="J3849" t="str">
            <v>CTC</v>
          </cell>
          <cell r="K3849" t="str">
            <v>YES</v>
          </cell>
        </row>
        <row r="3850">
          <cell r="I3850" t="str">
            <v>V24086</v>
          </cell>
          <cell r="J3850" t="str">
            <v>CTC</v>
          </cell>
          <cell r="K3850" t="str">
            <v>YES</v>
          </cell>
        </row>
        <row r="3851">
          <cell r="I3851" t="str">
            <v>V24089</v>
          </cell>
          <cell r="J3851" t="str">
            <v>CTC</v>
          </cell>
          <cell r="K3851" t="str">
            <v>YES</v>
          </cell>
        </row>
        <row r="3852">
          <cell r="I3852" t="str">
            <v>V24104</v>
          </cell>
          <cell r="J3852" t="str">
            <v>CTC</v>
          </cell>
          <cell r="K3852" t="str">
            <v>YES</v>
          </cell>
        </row>
        <row r="3853">
          <cell r="I3853" t="str">
            <v>V24312</v>
          </cell>
          <cell r="J3853" t="str">
            <v>CTC</v>
          </cell>
          <cell r="K3853" t="str">
            <v>YES</v>
          </cell>
        </row>
        <row r="3854">
          <cell r="I3854" t="str">
            <v>V24413</v>
          </cell>
          <cell r="J3854" t="str">
            <v>CTC</v>
          </cell>
          <cell r="K3854" t="str">
            <v>YES</v>
          </cell>
        </row>
        <row r="3855">
          <cell r="I3855" t="str">
            <v>V24473</v>
          </cell>
          <cell r="J3855" t="str">
            <v>CTC</v>
          </cell>
          <cell r="K3855" t="str">
            <v>YES</v>
          </cell>
        </row>
        <row r="3856">
          <cell r="I3856" t="str">
            <v>V24596</v>
          </cell>
          <cell r="J3856" t="str">
            <v>CTC</v>
          </cell>
          <cell r="K3856" t="str">
            <v>YES</v>
          </cell>
        </row>
        <row r="3857">
          <cell r="I3857" t="str">
            <v>V24633</v>
          </cell>
          <cell r="J3857" t="str">
            <v>CTC</v>
          </cell>
          <cell r="K3857" t="str">
            <v>YES</v>
          </cell>
        </row>
        <row r="3858">
          <cell r="I3858" t="str">
            <v>V24634</v>
          </cell>
          <cell r="J3858" t="str">
            <v>CTC</v>
          </cell>
          <cell r="K3858" t="str">
            <v>YES</v>
          </cell>
        </row>
        <row r="3859">
          <cell r="I3859" t="str">
            <v>V24964</v>
          </cell>
          <cell r="J3859" t="str">
            <v>CTC</v>
          </cell>
          <cell r="K3859" t="str">
            <v>YES</v>
          </cell>
        </row>
        <row r="3860">
          <cell r="I3860" t="str">
            <v>V25045</v>
          </cell>
          <cell r="J3860" t="str">
            <v>CTC</v>
          </cell>
          <cell r="K3860" t="str">
            <v>YES</v>
          </cell>
        </row>
        <row r="3861">
          <cell r="I3861" t="str">
            <v>V25247</v>
          </cell>
          <cell r="J3861" t="str">
            <v>CTC</v>
          </cell>
          <cell r="K3861" t="str">
            <v>YES</v>
          </cell>
        </row>
        <row r="3862">
          <cell r="I3862" t="str">
            <v>V25284</v>
          </cell>
          <cell r="J3862" t="str">
            <v>CTC</v>
          </cell>
          <cell r="K3862" t="str">
            <v>YES</v>
          </cell>
        </row>
        <row r="3863">
          <cell r="I3863" t="str">
            <v>V25295</v>
          </cell>
          <cell r="J3863" t="str">
            <v>CTC</v>
          </cell>
          <cell r="K3863" t="str">
            <v>YES</v>
          </cell>
        </row>
        <row r="3864">
          <cell r="I3864" t="str">
            <v>V25296</v>
          </cell>
          <cell r="J3864" t="str">
            <v>CTC</v>
          </cell>
          <cell r="K3864" t="str">
            <v>YES</v>
          </cell>
        </row>
        <row r="3865">
          <cell r="I3865" t="str">
            <v>V25349</v>
          </cell>
          <cell r="J3865" t="str">
            <v>CTC</v>
          </cell>
          <cell r="K3865" t="str">
            <v>YES</v>
          </cell>
        </row>
        <row r="3866">
          <cell r="I3866" t="str">
            <v>V25418</v>
          </cell>
          <cell r="J3866" t="str">
            <v>CTC</v>
          </cell>
          <cell r="K3866" t="str">
            <v>YES</v>
          </cell>
        </row>
        <row r="3867">
          <cell r="I3867" t="str">
            <v>V47856</v>
          </cell>
          <cell r="J3867" t="str">
            <v>CTC</v>
          </cell>
          <cell r="K3867" t="str">
            <v>YES</v>
          </cell>
        </row>
        <row r="3868">
          <cell r="I3868" t="str">
            <v>V41944</v>
          </cell>
          <cell r="J3868" t="str">
            <v>CTC</v>
          </cell>
          <cell r="K3868" t="str">
            <v>YES</v>
          </cell>
        </row>
        <row r="3869">
          <cell r="I3869" t="str">
            <v>V28920</v>
          </cell>
          <cell r="J3869" t="str">
            <v>CTC</v>
          </cell>
          <cell r="K3869" t="str">
            <v>YES</v>
          </cell>
        </row>
        <row r="3870">
          <cell r="I3870" t="str">
            <v>V28932</v>
          </cell>
          <cell r="J3870" t="str">
            <v>CTC</v>
          </cell>
          <cell r="K3870" t="str">
            <v>YES</v>
          </cell>
        </row>
        <row r="3871">
          <cell r="I3871" t="str">
            <v>V28938</v>
          </cell>
          <cell r="J3871" t="str">
            <v>CTC</v>
          </cell>
          <cell r="K3871" t="str">
            <v>YES</v>
          </cell>
        </row>
        <row r="3872">
          <cell r="I3872" t="str">
            <v>V28940</v>
          </cell>
          <cell r="J3872" t="str">
            <v>CTC</v>
          </cell>
          <cell r="K3872" t="str">
            <v>YES</v>
          </cell>
        </row>
        <row r="3873">
          <cell r="I3873" t="str">
            <v>V28981</v>
          </cell>
          <cell r="J3873" t="str">
            <v>CTC</v>
          </cell>
          <cell r="K3873" t="str">
            <v>YES</v>
          </cell>
        </row>
        <row r="3874">
          <cell r="I3874" t="str">
            <v>V28983</v>
          </cell>
          <cell r="J3874" t="str">
            <v>CTC</v>
          </cell>
          <cell r="K3874" t="str">
            <v>YES</v>
          </cell>
        </row>
        <row r="3875">
          <cell r="I3875" t="str">
            <v>V29000</v>
          </cell>
          <cell r="J3875" t="str">
            <v>CTC</v>
          </cell>
          <cell r="K3875" t="str">
            <v>YES</v>
          </cell>
        </row>
        <row r="3876">
          <cell r="I3876" t="str">
            <v>V29001</v>
          </cell>
          <cell r="J3876" t="str">
            <v>CTC</v>
          </cell>
          <cell r="K3876" t="str">
            <v>YES</v>
          </cell>
        </row>
        <row r="3877">
          <cell r="I3877" t="str">
            <v>V29400</v>
          </cell>
          <cell r="J3877" t="str">
            <v>CTC</v>
          </cell>
          <cell r="K3877" t="str">
            <v>YES</v>
          </cell>
        </row>
        <row r="3878">
          <cell r="I3878" t="str">
            <v>V29405</v>
          </cell>
          <cell r="J3878" t="str">
            <v>CTC</v>
          </cell>
          <cell r="K3878" t="str">
            <v>YES</v>
          </cell>
        </row>
        <row r="3879">
          <cell r="I3879" t="str">
            <v>V29406</v>
          </cell>
          <cell r="J3879" t="str">
            <v>CTC</v>
          </cell>
          <cell r="K3879" t="str">
            <v>YES</v>
          </cell>
        </row>
        <row r="3880">
          <cell r="I3880" t="str">
            <v>V29453</v>
          </cell>
          <cell r="J3880" t="str">
            <v>CTC</v>
          </cell>
          <cell r="K3880" t="str">
            <v>YES</v>
          </cell>
        </row>
        <row r="3881">
          <cell r="I3881" t="str">
            <v>V29470</v>
          </cell>
          <cell r="J3881" t="str">
            <v>CTC</v>
          </cell>
          <cell r="K3881" t="str">
            <v>YES</v>
          </cell>
        </row>
        <row r="3882">
          <cell r="I3882" t="str">
            <v>V29471</v>
          </cell>
          <cell r="J3882" t="str">
            <v>CTC</v>
          </cell>
          <cell r="K3882" t="str">
            <v>YES</v>
          </cell>
        </row>
        <row r="3883">
          <cell r="I3883" t="str">
            <v>V29472</v>
          </cell>
          <cell r="J3883" t="str">
            <v>CTC</v>
          </cell>
          <cell r="K3883" t="str">
            <v>YES</v>
          </cell>
        </row>
        <row r="3884">
          <cell r="I3884" t="str">
            <v>V29487</v>
          </cell>
          <cell r="J3884" t="str">
            <v>CTC</v>
          </cell>
          <cell r="K3884" t="str">
            <v>YES</v>
          </cell>
        </row>
        <row r="3885">
          <cell r="I3885" t="str">
            <v>V29583</v>
          </cell>
          <cell r="J3885" t="str">
            <v>CTC</v>
          </cell>
          <cell r="K3885" t="str">
            <v>YES</v>
          </cell>
        </row>
        <row r="3886">
          <cell r="I3886" t="str">
            <v>V29624</v>
          </cell>
          <cell r="J3886" t="str">
            <v>CTC</v>
          </cell>
          <cell r="K3886" t="str">
            <v>YES</v>
          </cell>
        </row>
        <row r="3887">
          <cell r="I3887" t="str">
            <v>V29626</v>
          </cell>
          <cell r="J3887" t="str">
            <v>CTC</v>
          </cell>
          <cell r="K3887" t="str">
            <v>YES</v>
          </cell>
        </row>
        <row r="3888">
          <cell r="I3888" t="str">
            <v>V29649</v>
          </cell>
          <cell r="J3888" t="str">
            <v>CTC</v>
          </cell>
          <cell r="K3888" t="str">
            <v>YES</v>
          </cell>
        </row>
        <row r="3889">
          <cell r="I3889" t="str">
            <v>V29653</v>
          </cell>
          <cell r="J3889" t="str">
            <v>CTC</v>
          </cell>
          <cell r="K3889" t="str">
            <v>YES</v>
          </cell>
        </row>
        <row r="3890">
          <cell r="I3890" t="str">
            <v>V29654</v>
          </cell>
          <cell r="J3890" t="str">
            <v>CTC</v>
          </cell>
          <cell r="K3890" t="str">
            <v>YES</v>
          </cell>
        </row>
        <row r="3891">
          <cell r="I3891" t="str">
            <v>V29656</v>
          </cell>
          <cell r="J3891" t="str">
            <v>CTC</v>
          </cell>
          <cell r="K3891" t="str">
            <v>YES</v>
          </cell>
        </row>
        <row r="3892">
          <cell r="I3892" t="str">
            <v>V29657</v>
          </cell>
          <cell r="J3892" t="str">
            <v>CTC</v>
          </cell>
          <cell r="K3892" t="str">
            <v>YES</v>
          </cell>
        </row>
        <row r="3893">
          <cell r="I3893" t="str">
            <v>V29960</v>
          </cell>
          <cell r="J3893" t="str">
            <v>CTC</v>
          </cell>
          <cell r="K3893" t="str">
            <v>YES</v>
          </cell>
        </row>
        <row r="3894">
          <cell r="I3894" t="str">
            <v>V30045</v>
          </cell>
          <cell r="J3894" t="str">
            <v>CTC</v>
          </cell>
          <cell r="K3894" t="str">
            <v>YES</v>
          </cell>
        </row>
        <row r="3895">
          <cell r="I3895" t="str">
            <v>V30380</v>
          </cell>
          <cell r="J3895" t="str">
            <v>CTC</v>
          </cell>
          <cell r="K3895" t="str">
            <v>YES</v>
          </cell>
        </row>
        <row r="3896">
          <cell r="I3896" t="str">
            <v>V30751</v>
          </cell>
          <cell r="J3896" t="str">
            <v>CTC</v>
          </cell>
          <cell r="K3896" t="str">
            <v>YES</v>
          </cell>
        </row>
        <row r="3897">
          <cell r="I3897" t="str">
            <v>V30755</v>
          </cell>
          <cell r="J3897" t="str">
            <v>CTC</v>
          </cell>
          <cell r="K3897" t="str">
            <v>YES</v>
          </cell>
        </row>
        <row r="3898">
          <cell r="I3898" t="str">
            <v>V30768</v>
          </cell>
          <cell r="J3898" t="str">
            <v>CTC</v>
          </cell>
          <cell r="K3898" t="str">
            <v>YES</v>
          </cell>
        </row>
        <row r="3899">
          <cell r="I3899" t="str">
            <v>V30773</v>
          </cell>
          <cell r="J3899" t="str">
            <v>CTC</v>
          </cell>
          <cell r="K3899" t="str">
            <v>YES</v>
          </cell>
        </row>
        <row r="3900">
          <cell r="I3900" t="str">
            <v>V30778</v>
          </cell>
          <cell r="J3900" t="str">
            <v>CTC</v>
          </cell>
          <cell r="K3900" t="str">
            <v>YES</v>
          </cell>
        </row>
        <row r="3901">
          <cell r="I3901" t="str">
            <v>V30791</v>
          </cell>
          <cell r="J3901" t="str">
            <v>CTC</v>
          </cell>
          <cell r="K3901" t="str">
            <v>YES</v>
          </cell>
        </row>
        <row r="3902">
          <cell r="I3902" t="str">
            <v>V31020</v>
          </cell>
          <cell r="J3902" t="str">
            <v>CTC</v>
          </cell>
          <cell r="K3902" t="str">
            <v>YES</v>
          </cell>
        </row>
        <row r="3903">
          <cell r="I3903" t="str">
            <v>V31034</v>
          </cell>
          <cell r="J3903" t="str">
            <v>CTC</v>
          </cell>
          <cell r="K3903" t="str">
            <v>YES</v>
          </cell>
        </row>
        <row r="3904">
          <cell r="I3904" t="str">
            <v>V31038</v>
          </cell>
          <cell r="J3904" t="str">
            <v>CTC</v>
          </cell>
          <cell r="K3904" t="str">
            <v>YES</v>
          </cell>
        </row>
        <row r="3905">
          <cell r="I3905" t="str">
            <v>V31215</v>
          </cell>
          <cell r="J3905" t="str">
            <v>CTC</v>
          </cell>
          <cell r="K3905" t="str">
            <v>YES</v>
          </cell>
        </row>
        <row r="3906">
          <cell r="I3906" t="str">
            <v>V31221</v>
          </cell>
          <cell r="J3906" t="str">
            <v>CTC</v>
          </cell>
          <cell r="K3906" t="str">
            <v>YES</v>
          </cell>
        </row>
        <row r="3907">
          <cell r="I3907" t="str">
            <v>V31327</v>
          </cell>
          <cell r="J3907" t="str">
            <v>CTC</v>
          </cell>
          <cell r="K3907" t="str">
            <v>YES</v>
          </cell>
        </row>
        <row r="3908">
          <cell r="I3908" t="str">
            <v>V31438</v>
          </cell>
          <cell r="J3908" t="str">
            <v>CTC</v>
          </cell>
          <cell r="K3908" t="str">
            <v>YES</v>
          </cell>
        </row>
        <row r="3909">
          <cell r="I3909" t="str">
            <v>V31605</v>
          </cell>
          <cell r="J3909" t="str">
            <v>CTC</v>
          </cell>
          <cell r="K3909" t="str">
            <v>YES</v>
          </cell>
        </row>
        <row r="3910">
          <cell r="I3910" t="str">
            <v>V31813</v>
          </cell>
          <cell r="J3910" t="str">
            <v>CTC</v>
          </cell>
          <cell r="K3910" t="str">
            <v>YES</v>
          </cell>
        </row>
        <row r="3911">
          <cell r="I3911" t="str">
            <v>V31839</v>
          </cell>
          <cell r="J3911" t="str">
            <v>CTC</v>
          </cell>
          <cell r="K3911" t="str">
            <v>YES</v>
          </cell>
        </row>
        <row r="3912">
          <cell r="I3912" t="str">
            <v>V31846</v>
          </cell>
          <cell r="J3912" t="str">
            <v>CTC</v>
          </cell>
          <cell r="K3912" t="str">
            <v>YES</v>
          </cell>
        </row>
        <row r="3913">
          <cell r="I3913" t="str">
            <v>V32856</v>
          </cell>
          <cell r="J3913" t="str">
            <v>CTC</v>
          </cell>
          <cell r="K3913" t="str">
            <v>YES</v>
          </cell>
        </row>
        <row r="3914">
          <cell r="I3914" t="str">
            <v>V33166</v>
          </cell>
          <cell r="J3914" t="str">
            <v>CTC</v>
          </cell>
          <cell r="K3914" t="str">
            <v>YES</v>
          </cell>
        </row>
        <row r="3915">
          <cell r="I3915" t="str">
            <v>V34179</v>
          </cell>
          <cell r="J3915" t="str">
            <v>CTC</v>
          </cell>
          <cell r="K3915" t="str">
            <v>YES</v>
          </cell>
        </row>
        <row r="3916">
          <cell r="I3916" t="str">
            <v>V34180</v>
          </cell>
          <cell r="J3916" t="str">
            <v>CTC</v>
          </cell>
          <cell r="K3916" t="str">
            <v>YES</v>
          </cell>
        </row>
        <row r="3917">
          <cell r="I3917" t="str">
            <v>V35089</v>
          </cell>
          <cell r="J3917" t="str">
            <v>CTC</v>
          </cell>
          <cell r="K3917" t="str">
            <v>YES</v>
          </cell>
        </row>
        <row r="3918">
          <cell r="I3918" t="str">
            <v>V35235</v>
          </cell>
          <cell r="J3918" t="str">
            <v>CTC</v>
          </cell>
          <cell r="K3918" t="str">
            <v>YES</v>
          </cell>
        </row>
        <row r="3919">
          <cell r="I3919" t="str">
            <v>V35327</v>
          </cell>
          <cell r="J3919" t="str">
            <v>CTC</v>
          </cell>
          <cell r="K3919" t="str">
            <v>YES</v>
          </cell>
        </row>
        <row r="3920">
          <cell r="I3920" t="str">
            <v>V35527</v>
          </cell>
          <cell r="J3920" t="str">
            <v>CTC</v>
          </cell>
          <cell r="K3920" t="str">
            <v>YES</v>
          </cell>
        </row>
        <row r="3921">
          <cell r="I3921" t="str">
            <v>V35816</v>
          </cell>
          <cell r="J3921" t="str">
            <v>CTC</v>
          </cell>
          <cell r="K3921" t="str">
            <v>YES</v>
          </cell>
        </row>
        <row r="3922">
          <cell r="I3922" t="str">
            <v>V35844</v>
          </cell>
          <cell r="J3922" t="str">
            <v>CTC</v>
          </cell>
          <cell r="K3922" t="str">
            <v>YES</v>
          </cell>
        </row>
        <row r="3923">
          <cell r="I3923" t="str">
            <v>V35851</v>
          </cell>
          <cell r="J3923" t="str">
            <v>CTC</v>
          </cell>
          <cell r="K3923" t="str">
            <v>YES</v>
          </cell>
        </row>
        <row r="3924">
          <cell r="I3924" t="str">
            <v>V35893</v>
          </cell>
          <cell r="J3924" t="str">
            <v>CTC</v>
          </cell>
          <cell r="K3924" t="str">
            <v>YES</v>
          </cell>
        </row>
        <row r="3925">
          <cell r="I3925" t="str">
            <v>V35940</v>
          </cell>
          <cell r="J3925" t="str">
            <v>CTC</v>
          </cell>
          <cell r="K3925" t="str">
            <v>YES</v>
          </cell>
        </row>
        <row r="3926">
          <cell r="I3926" t="str">
            <v>V36142</v>
          </cell>
          <cell r="J3926" t="str">
            <v>CTC</v>
          </cell>
          <cell r="K3926" t="str">
            <v>YES</v>
          </cell>
        </row>
        <row r="3927">
          <cell r="I3927" t="str">
            <v>V36302</v>
          </cell>
          <cell r="J3927" t="str">
            <v>CTC</v>
          </cell>
          <cell r="K3927" t="str">
            <v>YES</v>
          </cell>
        </row>
        <row r="3928">
          <cell r="I3928" t="str">
            <v>V40496</v>
          </cell>
          <cell r="J3928" t="str">
            <v>CTC</v>
          </cell>
          <cell r="K3928" t="str">
            <v>YES</v>
          </cell>
        </row>
        <row r="3929">
          <cell r="I3929" t="str">
            <v>V19641</v>
          </cell>
          <cell r="J3929" t="str">
            <v>CTC</v>
          </cell>
          <cell r="K3929" t="str">
            <v>YES</v>
          </cell>
        </row>
        <row r="3930">
          <cell r="I3930" t="str">
            <v>V43256</v>
          </cell>
          <cell r="J3930" t="str">
            <v>CTC</v>
          </cell>
          <cell r="K3930" t="str">
            <v>YES</v>
          </cell>
        </row>
        <row r="3931">
          <cell r="I3931" t="str">
            <v>V42795</v>
          </cell>
          <cell r="J3931" t="str">
            <v>CTC</v>
          </cell>
          <cell r="K3931" t="str">
            <v>YES</v>
          </cell>
        </row>
        <row r="3932">
          <cell r="I3932" t="str">
            <v>V41472</v>
          </cell>
          <cell r="J3932" t="str">
            <v>CTC</v>
          </cell>
          <cell r="K3932" t="str">
            <v>YES</v>
          </cell>
        </row>
        <row r="3933">
          <cell r="I3933" t="str">
            <v>V44295</v>
          </cell>
          <cell r="J3933" t="str">
            <v>CTC</v>
          </cell>
          <cell r="K3933" t="str">
            <v>YES</v>
          </cell>
        </row>
        <row r="3934">
          <cell r="I3934" t="str">
            <v>V46835</v>
          </cell>
          <cell r="J3934" t="str">
            <v>CTC</v>
          </cell>
          <cell r="K3934" t="str">
            <v>YES</v>
          </cell>
        </row>
        <row r="3935">
          <cell r="I3935" t="str">
            <v>V43714</v>
          </cell>
          <cell r="J3935" t="str">
            <v>CTC</v>
          </cell>
          <cell r="K3935" t="str">
            <v>YES</v>
          </cell>
        </row>
        <row r="3936">
          <cell r="I3936" t="str">
            <v>V25976</v>
          </cell>
          <cell r="J3936" t="str">
            <v>CTC</v>
          </cell>
          <cell r="K3936" t="str">
            <v>YES</v>
          </cell>
        </row>
        <row r="3937">
          <cell r="I3937" t="str">
            <v>V23686</v>
          </cell>
          <cell r="J3937" t="str">
            <v>CTC</v>
          </cell>
          <cell r="K3937" t="str">
            <v>YES</v>
          </cell>
        </row>
        <row r="3938">
          <cell r="I3938" t="str">
            <v>V29182</v>
          </cell>
          <cell r="J3938" t="str">
            <v>CTC</v>
          </cell>
          <cell r="K3938" t="str">
            <v>YES</v>
          </cell>
        </row>
        <row r="3939">
          <cell r="I3939" t="str">
            <v>V33982</v>
          </cell>
          <cell r="J3939" t="str">
            <v>CTC</v>
          </cell>
          <cell r="K3939" t="str">
            <v>YES</v>
          </cell>
        </row>
        <row r="3940">
          <cell r="I3940" t="str">
            <v>V34177</v>
          </cell>
          <cell r="J3940" t="str">
            <v>CTC</v>
          </cell>
          <cell r="K3940" t="str">
            <v>YES</v>
          </cell>
        </row>
        <row r="3941">
          <cell r="I3941" t="str">
            <v>V34220</v>
          </cell>
          <cell r="J3941" t="str">
            <v>CTC</v>
          </cell>
          <cell r="K3941" t="str">
            <v>YES</v>
          </cell>
        </row>
        <row r="3942">
          <cell r="I3942" t="str">
            <v>V34222</v>
          </cell>
          <cell r="J3942" t="str">
            <v>CTC</v>
          </cell>
          <cell r="K3942" t="str">
            <v>YES</v>
          </cell>
        </row>
        <row r="3943">
          <cell r="I3943" t="str">
            <v>V34223</v>
          </cell>
          <cell r="J3943" t="str">
            <v>CTC</v>
          </cell>
          <cell r="K3943" t="str">
            <v>YES</v>
          </cell>
        </row>
        <row r="3944">
          <cell r="I3944" t="str">
            <v>V34224</v>
          </cell>
          <cell r="J3944" t="str">
            <v>CTC</v>
          </cell>
          <cell r="K3944" t="str">
            <v>YES</v>
          </cell>
        </row>
        <row r="3945">
          <cell r="I3945" t="str">
            <v>V34225</v>
          </cell>
          <cell r="J3945" t="str">
            <v>CTC</v>
          </cell>
          <cell r="K3945" t="str">
            <v>YES</v>
          </cell>
        </row>
        <row r="3946">
          <cell r="I3946" t="str">
            <v>V34273</v>
          </cell>
          <cell r="J3946" t="str">
            <v>CTC</v>
          </cell>
          <cell r="K3946" t="str">
            <v>YES</v>
          </cell>
        </row>
        <row r="3947">
          <cell r="I3947" t="str">
            <v>V34376</v>
          </cell>
          <cell r="J3947" t="str">
            <v>CTC</v>
          </cell>
          <cell r="K3947" t="str">
            <v>YES</v>
          </cell>
        </row>
        <row r="3948">
          <cell r="I3948" t="str">
            <v>V34439</v>
          </cell>
          <cell r="J3948" t="str">
            <v>CTC</v>
          </cell>
          <cell r="K3948" t="str">
            <v>YES</v>
          </cell>
        </row>
        <row r="3949">
          <cell r="I3949" t="str">
            <v>V34440</v>
          </cell>
          <cell r="J3949" t="str">
            <v>CTC</v>
          </cell>
          <cell r="K3949" t="str">
            <v>YES</v>
          </cell>
        </row>
        <row r="3950">
          <cell r="I3950" t="str">
            <v>V34471</v>
          </cell>
          <cell r="J3950" t="str">
            <v>CTC</v>
          </cell>
          <cell r="K3950" t="str">
            <v>YES</v>
          </cell>
        </row>
        <row r="3951">
          <cell r="I3951" t="str">
            <v>V34670</v>
          </cell>
          <cell r="J3951" t="str">
            <v>CTC</v>
          </cell>
          <cell r="K3951" t="str">
            <v>YES</v>
          </cell>
        </row>
        <row r="3952">
          <cell r="I3952" t="str">
            <v>V34678</v>
          </cell>
          <cell r="J3952" t="str">
            <v>CTC</v>
          </cell>
          <cell r="K3952" t="str">
            <v>YES</v>
          </cell>
        </row>
        <row r="3953">
          <cell r="I3953" t="str">
            <v>V34830</v>
          </cell>
          <cell r="J3953" t="str">
            <v>CTC</v>
          </cell>
          <cell r="K3953" t="str">
            <v>YES</v>
          </cell>
        </row>
        <row r="3954">
          <cell r="I3954" t="str">
            <v>V34842</v>
          </cell>
          <cell r="J3954" t="str">
            <v>CTC</v>
          </cell>
          <cell r="K3954" t="str">
            <v>YES</v>
          </cell>
        </row>
        <row r="3955">
          <cell r="I3955" t="str">
            <v>V35040</v>
          </cell>
          <cell r="J3955" t="str">
            <v>CTC</v>
          </cell>
          <cell r="K3955" t="str">
            <v>YES</v>
          </cell>
        </row>
        <row r="3956">
          <cell r="I3956" t="str">
            <v>V35140</v>
          </cell>
          <cell r="J3956" t="str">
            <v>CTC</v>
          </cell>
          <cell r="K3956" t="str">
            <v>YES</v>
          </cell>
        </row>
        <row r="3957">
          <cell r="I3957" t="str">
            <v>V35143</v>
          </cell>
          <cell r="J3957" t="str">
            <v>CTC</v>
          </cell>
          <cell r="K3957" t="str">
            <v>YES</v>
          </cell>
        </row>
        <row r="3958">
          <cell r="I3958" t="str">
            <v>V35146</v>
          </cell>
          <cell r="J3958" t="str">
            <v>CTC</v>
          </cell>
          <cell r="K3958" t="str">
            <v>YES</v>
          </cell>
        </row>
        <row r="3959">
          <cell r="I3959" t="str">
            <v>V35149</v>
          </cell>
          <cell r="J3959" t="str">
            <v>CTC</v>
          </cell>
          <cell r="K3959" t="str">
            <v>YES</v>
          </cell>
        </row>
        <row r="3960">
          <cell r="I3960" t="str">
            <v>V35150</v>
          </cell>
          <cell r="J3960" t="str">
            <v>CTC</v>
          </cell>
          <cell r="K3960" t="str">
            <v>YES</v>
          </cell>
        </row>
        <row r="3961">
          <cell r="I3961" t="str">
            <v>V35153</v>
          </cell>
          <cell r="J3961" t="str">
            <v>CTC</v>
          </cell>
          <cell r="K3961" t="str">
            <v>YES</v>
          </cell>
        </row>
        <row r="3962">
          <cell r="I3962" t="str">
            <v>V35311</v>
          </cell>
          <cell r="J3962" t="str">
            <v>CTC</v>
          </cell>
          <cell r="K3962" t="str">
            <v>YES</v>
          </cell>
        </row>
        <row r="3963">
          <cell r="I3963" t="str">
            <v>V35315</v>
          </cell>
          <cell r="J3963" t="str">
            <v>CTC</v>
          </cell>
          <cell r="K3963" t="str">
            <v>YES</v>
          </cell>
        </row>
        <row r="3964">
          <cell r="I3964" t="str">
            <v>V35318</v>
          </cell>
          <cell r="J3964" t="str">
            <v>CTC</v>
          </cell>
          <cell r="K3964" t="str">
            <v>YES</v>
          </cell>
        </row>
        <row r="3965">
          <cell r="I3965" t="str">
            <v>V35329</v>
          </cell>
          <cell r="J3965" t="str">
            <v>CTC</v>
          </cell>
          <cell r="K3965" t="str">
            <v>YES</v>
          </cell>
        </row>
        <row r="3966">
          <cell r="I3966" t="str">
            <v>V35593</v>
          </cell>
          <cell r="J3966" t="str">
            <v>CTC</v>
          </cell>
          <cell r="K3966" t="str">
            <v>YES</v>
          </cell>
        </row>
        <row r="3967">
          <cell r="I3967" t="str">
            <v>V35596</v>
          </cell>
          <cell r="J3967" t="str">
            <v>CTC</v>
          </cell>
          <cell r="K3967" t="str">
            <v>YES</v>
          </cell>
        </row>
        <row r="3968">
          <cell r="I3968" t="str">
            <v>V35610</v>
          </cell>
          <cell r="J3968" t="str">
            <v>CTC</v>
          </cell>
          <cell r="K3968" t="str">
            <v>YES</v>
          </cell>
        </row>
        <row r="3969">
          <cell r="I3969" t="str">
            <v>V35779</v>
          </cell>
          <cell r="J3969" t="str">
            <v>CTC</v>
          </cell>
          <cell r="K3969" t="str">
            <v>YES</v>
          </cell>
        </row>
        <row r="3970">
          <cell r="I3970" t="str">
            <v>V35818</v>
          </cell>
          <cell r="J3970" t="str">
            <v>CTC</v>
          </cell>
          <cell r="K3970" t="str">
            <v>YES</v>
          </cell>
        </row>
        <row r="3971">
          <cell r="I3971" t="str">
            <v>V43588</v>
          </cell>
          <cell r="J3971" t="str">
            <v>CTC</v>
          </cell>
          <cell r="K3971" t="str">
            <v>YES</v>
          </cell>
        </row>
        <row r="3972">
          <cell r="I3972" t="str">
            <v>V43593</v>
          </cell>
          <cell r="J3972" t="str">
            <v>CTC</v>
          </cell>
          <cell r="K3972" t="str">
            <v>YES</v>
          </cell>
        </row>
        <row r="3973">
          <cell r="I3973" t="str">
            <v>V07562</v>
          </cell>
          <cell r="J3973" t="str">
            <v>CTC</v>
          </cell>
          <cell r="K3973" t="str">
            <v>YES</v>
          </cell>
        </row>
        <row r="3974">
          <cell r="I3974" t="str">
            <v>V34198</v>
          </cell>
          <cell r="J3974" t="str">
            <v>CTC</v>
          </cell>
          <cell r="K3974" t="str">
            <v>YES</v>
          </cell>
        </row>
        <row r="3975">
          <cell r="I3975" t="str">
            <v>V35090</v>
          </cell>
          <cell r="J3975" t="str">
            <v>CTC</v>
          </cell>
          <cell r="K3975" t="str">
            <v>YES</v>
          </cell>
        </row>
        <row r="3976">
          <cell r="I3976" t="str">
            <v>V34543</v>
          </cell>
          <cell r="J3976" t="str">
            <v>CTC</v>
          </cell>
          <cell r="K3976" t="str">
            <v>YES</v>
          </cell>
        </row>
        <row r="3977">
          <cell r="I3977" t="str">
            <v>V38463</v>
          </cell>
          <cell r="J3977" t="str">
            <v>CTC</v>
          </cell>
          <cell r="K3977" t="str">
            <v>YES</v>
          </cell>
        </row>
        <row r="3978">
          <cell r="I3978" t="str">
            <v>V43100</v>
          </cell>
          <cell r="J3978" t="str">
            <v>CTC</v>
          </cell>
          <cell r="K3978" t="str">
            <v>YES</v>
          </cell>
        </row>
        <row r="3979">
          <cell r="I3979" t="str">
            <v>V48128</v>
          </cell>
          <cell r="J3979" t="str">
            <v>CTC</v>
          </cell>
          <cell r="K3979" t="str">
            <v>YES</v>
          </cell>
        </row>
        <row r="3980">
          <cell r="I3980" t="str">
            <v>V41243</v>
          </cell>
          <cell r="J3980" t="str">
            <v>CTC</v>
          </cell>
          <cell r="K3980" t="str">
            <v>YES</v>
          </cell>
        </row>
        <row r="3981">
          <cell r="I3981" t="str">
            <v>V41244</v>
          </cell>
          <cell r="J3981" t="str">
            <v>CTC</v>
          </cell>
          <cell r="K3981" t="str">
            <v>YES</v>
          </cell>
        </row>
        <row r="3982">
          <cell r="I3982" t="str">
            <v>V38626</v>
          </cell>
          <cell r="J3982" t="str">
            <v>CTC</v>
          </cell>
          <cell r="K3982" t="str">
            <v>YES</v>
          </cell>
        </row>
        <row r="3983">
          <cell r="I3983" t="str">
            <v>V38388</v>
          </cell>
          <cell r="J3983" t="str">
            <v>CTC</v>
          </cell>
          <cell r="K3983" t="str">
            <v>YES</v>
          </cell>
        </row>
        <row r="3984">
          <cell r="I3984" t="str">
            <v>V36735</v>
          </cell>
          <cell r="J3984" t="str">
            <v>CTC</v>
          </cell>
          <cell r="K3984" t="str">
            <v>YES</v>
          </cell>
        </row>
        <row r="3985">
          <cell r="I3985" t="str">
            <v>V36241</v>
          </cell>
          <cell r="J3985" t="str">
            <v>CTC</v>
          </cell>
          <cell r="K3985" t="str">
            <v>YES</v>
          </cell>
        </row>
        <row r="3986">
          <cell r="I3986" t="str">
            <v>V36284</v>
          </cell>
          <cell r="J3986" t="str">
            <v>CTC</v>
          </cell>
          <cell r="K3986" t="str">
            <v>YES</v>
          </cell>
        </row>
        <row r="3987">
          <cell r="I3987" t="str">
            <v>V36296</v>
          </cell>
          <cell r="J3987" t="str">
            <v>CTC</v>
          </cell>
          <cell r="K3987" t="str">
            <v>YES</v>
          </cell>
        </row>
        <row r="3988">
          <cell r="I3988" t="str">
            <v>V36309</v>
          </cell>
          <cell r="J3988" t="str">
            <v>CTC</v>
          </cell>
          <cell r="K3988" t="str">
            <v>YES</v>
          </cell>
        </row>
        <row r="3989">
          <cell r="I3989" t="str">
            <v>V36412</v>
          </cell>
          <cell r="J3989" t="str">
            <v>CTC</v>
          </cell>
          <cell r="K3989" t="str">
            <v>YES</v>
          </cell>
        </row>
        <row r="3990">
          <cell r="I3990" t="str">
            <v>V36418</v>
          </cell>
          <cell r="J3990" t="str">
            <v>CTC</v>
          </cell>
          <cell r="K3990" t="str">
            <v>YES</v>
          </cell>
        </row>
        <row r="3991">
          <cell r="I3991" t="str">
            <v>V36419</v>
          </cell>
          <cell r="J3991" t="str">
            <v>CTC</v>
          </cell>
          <cell r="K3991" t="str">
            <v>YES</v>
          </cell>
        </row>
        <row r="3992">
          <cell r="I3992" t="str">
            <v>V36622</v>
          </cell>
          <cell r="J3992" t="str">
            <v>CTC</v>
          </cell>
          <cell r="K3992" t="str">
            <v>YES</v>
          </cell>
        </row>
        <row r="3993">
          <cell r="I3993" t="str">
            <v>V36802</v>
          </cell>
          <cell r="J3993" t="str">
            <v>CTC</v>
          </cell>
          <cell r="K3993" t="str">
            <v>YES</v>
          </cell>
        </row>
        <row r="3994">
          <cell r="I3994" t="str">
            <v>V36944</v>
          </cell>
          <cell r="J3994" t="str">
            <v>CTC</v>
          </cell>
          <cell r="K3994" t="str">
            <v>YES</v>
          </cell>
        </row>
        <row r="3995">
          <cell r="I3995" t="str">
            <v>V37003</v>
          </cell>
          <cell r="J3995" t="str">
            <v>CTC</v>
          </cell>
          <cell r="K3995" t="str">
            <v>YES</v>
          </cell>
        </row>
        <row r="3996">
          <cell r="I3996" t="str">
            <v>V37204</v>
          </cell>
          <cell r="J3996" t="str">
            <v>CTC</v>
          </cell>
          <cell r="K3996" t="str">
            <v>YES</v>
          </cell>
        </row>
        <row r="3997">
          <cell r="I3997" t="str">
            <v>V37207</v>
          </cell>
          <cell r="J3997" t="str">
            <v>CTC</v>
          </cell>
          <cell r="K3997" t="str">
            <v>YES</v>
          </cell>
        </row>
        <row r="3998">
          <cell r="I3998" t="str">
            <v>V37212</v>
          </cell>
          <cell r="J3998" t="str">
            <v>CTC</v>
          </cell>
          <cell r="K3998" t="str">
            <v>YES</v>
          </cell>
        </row>
        <row r="3999">
          <cell r="I3999" t="str">
            <v>V37509</v>
          </cell>
          <cell r="J3999" t="str">
            <v>CTC</v>
          </cell>
          <cell r="K3999" t="str">
            <v>YES</v>
          </cell>
        </row>
        <row r="4000">
          <cell r="I4000" t="str">
            <v>V37728</v>
          </cell>
          <cell r="J4000" t="str">
            <v>CTC</v>
          </cell>
          <cell r="K4000" t="str">
            <v>YES</v>
          </cell>
        </row>
        <row r="4001">
          <cell r="I4001" t="str">
            <v>V38757</v>
          </cell>
          <cell r="J4001" t="str">
            <v>CTC</v>
          </cell>
          <cell r="K4001" t="str">
            <v>YES</v>
          </cell>
        </row>
        <row r="4002">
          <cell r="I4002" t="str">
            <v>V38912</v>
          </cell>
          <cell r="J4002" t="str">
            <v>CTC</v>
          </cell>
          <cell r="K4002" t="str">
            <v>YES</v>
          </cell>
        </row>
        <row r="4003">
          <cell r="I4003" t="str">
            <v>V39197</v>
          </cell>
          <cell r="J4003" t="str">
            <v>CTC</v>
          </cell>
          <cell r="K4003" t="str">
            <v>YES</v>
          </cell>
        </row>
        <row r="4004">
          <cell r="I4004" t="str">
            <v>V39270</v>
          </cell>
          <cell r="J4004" t="str">
            <v>CTC</v>
          </cell>
          <cell r="K4004" t="str">
            <v>YES</v>
          </cell>
        </row>
        <row r="4005">
          <cell r="I4005" t="str">
            <v>V39294</v>
          </cell>
          <cell r="J4005" t="str">
            <v>CTC</v>
          </cell>
          <cell r="K4005" t="str">
            <v>YES</v>
          </cell>
        </row>
        <row r="4006">
          <cell r="I4006" t="str">
            <v>V39481</v>
          </cell>
          <cell r="J4006" t="str">
            <v>CTC</v>
          </cell>
          <cell r="K4006" t="str">
            <v>YES</v>
          </cell>
        </row>
        <row r="4007">
          <cell r="I4007" t="str">
            <v>V39543</v>
          </cell>
          <cell r="J4007" t="str">
            <v>CTC</v>
          </cell>
          <cell r="K4007" t="str">
            <v>YES</v>
          </cell>
        </row>
        <row r="4008">
          <cell r="I4008" t="str">
            <v>V39559</v>
          </cell>
          <cell r="J4008" t="str">
            <v>CTC</v>
          </cell>
          <cell r="K4008" t="str">
            <v>YES</v>
          </cell>
        </row>
        <row r="4009">
          <cell r="I4009" t="str">
            <v>V39564</v>
          </cell>
          <cell r="J4009" t="str">
            <v>CTC</v>
          </cell>
          <cell r="K4009" t="str">
            <v>YES</v>
          </cell>
        </row>
        <row r="4010">
          <cell r="I4010" t="str">
            <v>V39607</v>
          </cell>
          <cell r="J4010" t="str">
            <v>CTC</v>
          </cell>
          <cell r="K4010" t="str">
            <v>YES</v>
          </cell>
        </row>
        <row r="4011">
          <cell r="I4011" t="str">
            <v>V39803</v>
          </cell>
          <cell r="J4011" t="str">
            <v>CTC</v>
          </cell>
          <cell r="K4011" t="str">
            <v>YES</v>
          </cell>
        </row>
        <row r="4012">
          <cell r="I4012" t="str">
            <v>V39806</v>
          </cell>
          <cell r="J4012" t="str">
            <v>CTC</v>
          </cell>
          <cell r="K4012" t="str">
            <v>YES</v>
          </cell>
        </row>
        <row r="4013">
          <cell r="I4013" t="str">
            <v>V39845</v>
          </cell>
          <cell r="J4013" t="str">
            <v>CTC</v>
          </cell>
          <cell r="K4013" t="str">
            <v>YES</v>
          </cell>
        </row>
        <row r="4014">
          <cell r="I4014" t="str">
            <v>V39877</v>
          </cell>
          <cell r="J4014" t="str">
            <v>CTC</v>
          </cell>
          <cell r="K4014" t="str">
            <v>YES</v>
          </cell>
        </row>
        <row r="4015">
          <cell r="I4015" t="str">
            <v>V40542</v>
          </cell>
          <cell r="J4015" t="str">
            <v>CTC</v>
          </cell>
          <cell r="K4015" t="str">
            <v>YES</v>
          </cell>
        </row>
        <row r="4016">
          <cell r="I4016" t="str">
            <v>V40545</v>
          </cell>
          <cell r="J4016" t="str">
            <v>CTC</v>
          </cell>
          <cell r="K4016" t="str">
            <v>YES</v>
          </cell>
        </row>
        <row r="4017">
          <cell r="I4017" t="str">
            <v>V41242</v>
          </cell>
          <cell r="J4017" t="str">
            <v>CTC</v>
          </cell>
          <cell r="K4017" t="str">
            <v>YES</v>
          </cell>
        </row>
        <row r="4018">
          <cell r="I4018" t="str">
            <v>V41753</v>
          </cell>
          <cell r="J4018" t="str">
            <v>CTC</v>
          </cell>
          <cell r="K4018" t="str">
            <v>YES</v>
          </cell>
        </row>
        <row r="4019">
          <cell r="I4019" t="str">
            <v>V41997</v>
          </cell>
          <cell r="J4019" t="str">
            <v>CTC</v>
          </cell>
          <cell r="K4019" t="str">
            <v>YES</v>
          </cell>
        </row>
        <row r="4020">
          <cell r="I4020" t="str">
            <v>V41308</v>
          </cell>
          <cell r="J4020" t="str">
            <v>CTC</v>
          </cell>
          <cell r="K4020" t="str">
            <v>YES</v>
          </cell>
        </row>
        <row r="4021">
          <cell r="I4021" t="str">
            <v>V43466</v>
          </cell>
          <cell r="J4021" t="str">
            <v>CTC</v>
          </cell>
          <cell r="K4021" t="str">
            <v>YES</v>
          </cell>
        </row>
        <row r="4022">
          <cell r="I4022" t="str">
            <v>V43765</v>
          </cell>
          <cell r="J4022" t="str">
            <v>CTC</v>
          </cell>
          <cell r="K4022" t="str">
            <v>YES</v>
          </cell>
        </row>
        <row r="4023">
          <cell r="I4023" t="str">
            <v>V44194</v>
          </cell>
          <cell r="J4023" t="str">
            <v>CTC</v>
          </cell>
          <cell r="K4023" t="str">
            <v>YES</v>
          </cell>
        </row>
        <row r="4024">
          <cell r="I4024" t="str">
            <v>V33295</v>
          </cell>
          <cell r="J4024" t="str">
            <v>CTC</v>
          </cell>
          <cell r="K4024" t="str">
            <v>YES</v>
          </cell>
        </row>
        <row r="4025">
          <cell r="I4025" t="str">
            <v>V45575</v>
          </cell>
          <cell r="J4025" t="str">
            <v>CTC</v>
          </cell>
          <cell r="K4025" t="str">
            <v>YES</v>
          </cell>
        </row>
        <row r="4026">
          <cell r="I4026" t="str">
            <v>V42581</v>
          </cell>
          <cell r="J4026" t="str">
            <v>CTC</v>
          </cell>
          <cell r="K4026" t="str">
            <v>YES</v>
          </cell>
        </row>
        <row r="4027">
          <cell r="I4027" t="str">
            <v>V43144</v>
          </cell>
          <cell r="J4027" t="str">
            <v>CTC</v>
          </cell>
          <cell r="K4027" t="str">
            <v>YES</v>
          </cell>
        </row>
        <row r="4028">
          <cell r="I4028" t="str">
            <v>V43145</v>
          </cell>
          <cell r="J4028" t="str">
            <v>CTC</v>
          </cell>
          <cell r="K4028" t="str">
            <v>YES</v>
          </cell>
        </row>
        <row r="4029">
          <cell r="I4029" t="str">
            <v>V43146</v>
          </cell>
          <cell r="J4029" t="str">
            <v>CTC</v>
          </cell>
          <cell r="K4029" t="str">
            <v>YES</v>
          </cell>
        </row>
        <row r="4030">
          <cell r="I4030" t="str">
            <v>V39874</v>
          </cell>
          <cell r="J4030" t="str">
            <v>CTC</v>
          </cell>
          <cell r="K4030" t="str">
            <v>YES</v>
          </cell>
        </row>
        <row r="4031">
          <cell r="I4031" t="str">
            <v>V26590</v>
          </cell>
          <cell r="J4031" t="str">
            <v>CTC</v>
          </cell>
          <cell r="K4031" t="str">
            <v>YES</v>
          </cell>
        </row>
        <row r="4032">
          <cell r="I4032" t="str">
            <v>V21718</v>
          </cell>
          <cell r="J4032" t="str">
            <v>CTC</v>
          </cell>
          <cell r="K4032" t="str">
            <v>YES</v>
          </cell>
        </row>
        <row r="4033">
          <cell r="I4033" t="str">
            <v>V44284</v>
          </cell>
          <cell r="J4033" t="str">
            <v>CTC</v>
          </cell>
          <cell r="K4033" t="str">
            <v>YES</v>
          </cell>
        </row>
        <row r="4034">
          <cell r="I4034" t="str">
            <v>V43198</v>
          </cell>
          <cell r="J4034" t="str">
            <v>CTC</v>
          </cell>
          <cell r="K4034" t="str">
            <v>YES</v>
          </cell>
        </row>
        <row r="4035">
          <cell r="I4035" t="str">
            <v>V29072</v>
          </cell>
          <cell r="J4035" t="str">
            <v>CTC</v>
          </cell>
          <cell r="K4035" t="str">
            <v>YES</v>
          </cell>
        </row>
        <row r="4036">
          <cell r="I4036" t="str">
            <v>V39665</v>
          </cell>
          <cell r="J4036" t="str">
            <v>CTC</v>
          </cell>
          <cell r="K4036" t="str">
            <v>YES</v>
          </cell>
        </row>
        <row r="4037">
          <cell r="I4037" t="str">
            <v>V42583</v>
          </cell>
          <cell r="J4037" t="str">
            <v>CTC</v>
          </cell>
          <cell r="K4037" t="str">
            <v>YES</v>
          </cell>
        </row>
        <row r="4038">
          <cell r="I4038" t="str">
            <v>V42582</v>
          </cell>
          <cell r="J4038" t="str">
            <v>CTC</v>
          </cell>
          <cell r="K4038" t="str">
            <v>YES</v>
          </cell>
        </row>
        <row r="4039">
          <cell r="I4039" t="str">
            <v>V41887</v>
          </cell>
          <cell r="J4039" t="str">
            <v>CTC</v>
          </cell>
          <cell r="K4039" t="str">
            <v>YES</v>
          </cell>
        </row>
        <row r="4040">
          <cell r="I4040" t="str">
            <v>V31926</v>
          </cell>
          <cell r="J4040" t="str">
            <v>CTC</v>
          </cell>
          <cell r="K4040" t="str">
            <v>YES</v>
          </cell>
        </row>
        <row r="4041">
          <cell r="I4041" t="str">
            <v>V36235</v>
          </cell>
          <cell r="J4041" t="str">
            <v>CTC</v>
          </cell>
          <cell r="K4041" t="str">
            <v>YES</v>
          </cell>
        </row>
        <row r="4042">
          <cell r="I4042" t="str">
            <v>V36301</v>
          </cell>
          <cell r="J4042" t="str">
            <v>CTC</v>
          </cell>
          <cell r="K4042" t="str">
            <v>YES</v>
          </cell>
        </row>
        <row r="4043">
          <cell r="I4043" t="str">
            <v>V36391</v>
          </cell>
          <cell r="J4043" t="str">
            <v>CTC</v>
          </cell>
          <cell r="K4043" t="str">
            <v>YES</v>
          </cell>
        </row>
        <row r="4044">
          <cell r="I4044" t="str">
            <v>V36694</v>
          </cell>
          <cell r="J4044" t="str">
            <v>CTC</v>
          </cell>
          <cell r="K4044" t="str">
            <v>YES</v>
          </cell>
        </row>
        <row r="4045">
          <cell r="I4045" t="str">
            <v>V36942</v>
          </cell>
          <cell r="J4045" t="str">
            <v>CTC</v>
          </cell>
          <cell r="K4045" t="str">
            <v>YES</v>
          </cell>
        </row>
        <row r="4046">
          <cell r="I4046" t="str">
            <v>V37348</v>
          </cell>
          <cell r="J4046" t="str">
            <v>CTC</v>
          </cell>
          <cell r="K4046" t="str">
            <v>YES</v>
          </cell>
        </row>
        <row r="4047">
          <cell r="I4047" t="str">
            <v>V37735</v>
          </cell>
          <cell r="J4047" t="str">
            <v>CTC</v>
          </cell>
          <cell r="K4047" t="str">
            <v>YES</v>
          </cell>
        </row>
        <row r="4048">
          <cell r="I4048" t="str">
            <v>V37749</v>
          </cell>
          <cell r="J4048" t="str">
            <v>CTC</v>
          </cell>
          <cell r="K4048" t="str">
            <v>YES</v>
          </cell>
        </row>
        <row r="4049">
          <cell r="I4049" t="str">
            <v>V38001</v>
          </cell>
          <cell r="J4049" t="str">
            <v>CTC</v>
          </cell>
          <cell r="K4049" t="str">
            <v>YES</v>
          </cell>
        </row>
        <row r="4050">
          <cell r="I4050" t="str">
            <v>V38845</v>
          </cell>
          <cell r="J4050" t="str">
            <v>CTC</v>
          </cell>
          <cell r="K4050" t="str">
            <v>YES</v>
          </cell>
        </row>
        <row r="4051">
          <cell r="I4051" t="str">
            <v>V38971</v>
          </cell>
          <cell r="J4051" t="str">
            <v>CTC</v>
          </cell>
          <cell r="K4051" t="str">
            <v>YES</v>
          </cell>
        </row>
        <row r="4052">
          <cell r="I4052" t="str">
            <v>V39172</v>
          </cell>
          <cell r="J4052" t="str">
            <v>CTC</v>
          </cell>
          <cell r="K4052" t="str">
            <v>YES</v>
          </cell>
        </row>
        <row r="4053">
          <cell r="I4053" t="str">
            <v>V39178</v>
          </cell>
          <cell r="J4053" t="str">
            <v>CTC</v>
          </cell>
          <cell r="K4053" t="str">
            <v>YES</v>
          </cell>
        </row>
        <row r="4054">
          <cell r="I4054" t="str">
            <v>V39356</v>
          </cell>
          <cell r="J4054" t="str">
            <v>CTC</v>
          </cell>
          <cell r="K4054" t="str">
            <v>YES</v>
          </cell>
        </row>
        <row r="4055">
          <cell r="I4055" t="str">
            <v>V39529</v>
          </cell>
          <cell r="J4055" t="str">
            <v>CTC</v>
          </cell>
          <cell r="K4055" t="str">
            <v>YES</v>
          </cell>
        </row>
        <row r="4056">
          <cell r="I4056" t="str">
            <v>V39562</v>
          </cell>
          <cell r="J4056" t="str">
            <v>CTC</v>
          </cell>
          <cell r="K4056" t="str">
            <v>YES</v>
          </cell>
        </row>
        <row r="4057">
          <cell r="I4057" t="str">
            <v>V40246</v>
          </cell>
          <cell r="J4057" t="str">
            <v>CTC</v>
          </cell>
          <cell r="K4057" t="str">
            <v>YES</v>
          </cell>
        </row>
        <row r="4058">
          <cell r="I4058" t="str">
            <v>V41581</v>
          </cell>
          <cell r="J4058" t="str">
            <v>CTC</v>
          </cell>
          <cell r="K4058" t="str">
            <v>YES</v>
          </cell>
        </row>
        <row r="4059">
          <cell r="I4059" t="str">
            <v>V41899</v>
          </cell>
          <cell r="J4059" t="str">
            <v>CTC</v>
          </cell>
          <cell r="K4059" t="str">
            <v>YES</v>
          </cell>
        </row>
        <row r="4060">
          <cell r="I4060" t="str">
            <v>V41900</v>
          </cell>
          <cell r="J4060" t="str">
            <v>CTC</v>
          </cell>
          <cell r="K4060" t="str">
            <v>YES</v>
          </cell>
        </row>
        <row r="4061">
          <cell r="I4061" t="str">
            <v>V41901</v>
          </cell>
          <cell r="J4061" t="str">
            <v>CTC</v>
          </cell>
          <cell r="K4061" t="str">
            <v>YES</v>
          </cell>
        </row>
        <row r="4062">
          <cell r="I4062" t="str">
            <v>V42003</v>
          </cell>
          <cell r="J4062" t="str">
            <v>CTC</v>
          </cell>
          <cell r="K4062" t="str">
            <v>YES</v>
          </cell>
        </row>
        <row r="4063">
          <cell r="I4063" t="str">
            <v>V42020</v>
          </cell>
          <cell r="J4063" t="str">
            <v>CTC</v>
          </cell>
          <cell r="K4063" t="str">
            <v>YES</v>
          </cell>
        </row>
        <row r="4064">
          <cell r="I4064" t="str">
            <v>V42219</v>
          </cell>
          <cell r="J4064" t="str">
            <v>CTC</v>
          </cell>
          <cell r="K4064" t="str">
            <v>YES</v>
          </cell>
        </row>
        <row r="4065">
          <cell r="I4065" t="str">
            <v>V42369</v>
          </cell>
          <cell r="J4065" t="str">
            <v>CTC</v>
          </cell>
          <cell r="K4065" t="str">
            <v>YES</v>
          </cell>
        </row>
        <row r="4066">
          <cell r="I4066" t="str">
            <v>V42380</v>
          </cell>
          <cell r="J4066" t="str">
            <v>CTC</v>
          </cell>
          <cell r="K4066" t="str">
            <v>YES</v>
          </cell>
        </row>
        <row r="4067">
          <cell r="I4067" t="str">
            <v>V42382</v>
          </cell>
          <cell r="J4067" t="str">
            <v>CTC</v>
          </cell>
          <cell r="K4067" t="str">
            <v>YES</v>
          </cell>
        </row>
        <row r="4068">
          <cell r="I4068" t="str">
            <v>V42386</v>
          </cell>
          <cell r="J4068" t="str">
            <v>CTC</v>
          </cell>
          <cell r="K4068" t="str">
            <v>YES</v>
          </cell>
        </row>
        <row r="4069">
          <cell r="I4069" t="str">
            <v>V42396</v>
          </cell>
          <cell r="J4069" t="str">
            <v>CTC</v>
          </cell>
          <cell r="K4069" t="str">
            <v>YES</v>
          </cell>
        </row>
        <row r="4070">
          <cell r="I4070" t="str">
            <v>V42399</v>
          </cell>
          <cell r="J4070" t="str">
            <v>CTC</v>
          </cell>
          <cell r="K4070" t="str">
            <v>YES</v>
          </cell>
        </row>
        <row r="4071">
          <cell r="I4071" t="str">
            <v>V42421</v>
          </cell>
          <cell r="J4071" t="str">
            <v>CTC</v>
          </cell>
          <cell r="K4071" t="str">
            <v>YES</v>
          </cell>
        </row>
        <row r="4072">
          <cell r="I4072" t="str">
            <v>V42455</v>
          </cell>
          <cell r="J4072" t="str">
            <v>CTC</v>
          </cell>
          <cell r="K4072" t="str">
            <v>YES</v>
          </cell>
        </row>
        <row r="4073">
          <cell r="I4073" t="str">
            <v>V39292</v>
          </cell>
          <cell r="J4073" t="str">
            <v>CTC</v>
          </cell>
          <cell r="K4073" t="str">
            <v>YES</v>
          </cell>
        </row>
        <row r="4074">
          <cell r="I4074" t="str">
            <v>V34321</v>
          </cell>
          <cell r="J4074" t="str">
            <v>CTC</v>
          </cell>
          <cell r="K4074" t="str">
            <v>YES</v>
          </cell>
        </row>
        <row r="4075">
          <cell r="I4075" t="str">
            <v>V34512</v>
          </cell>
          <cell r="J4075" t="str">
            <v>CTC</v>
          </cell>
          <cell r="K4075" t="str">
            <v>YES</v>
          </cell>
        </row>
        <row r="4076">
          <cell r="I4076" t="str">
            <v>V41332</v>
          </cell>
          <cell r="J4076" t="str">
            <v>CTC</v>
          </cell>
          <cell r="K4076" t="str">
            <v>YES</v>
          </cell>
        </row>
        <row r="4077">
          <cell r="I4077" t="str">
            <v>V41333</v>
          </cell>
          <cell r="J4077" t="str">
            <v>CTC</v>
          </cell>
          <cell r="K4077" t="str">
            <v>YES</v>
          </cell>
        </row>
        <row r="4078">
          <cell r="I4078" t="str">
            <v>V41337</v>
          </cell>
          <cell r="J4078" t="str">
            <v>CTC</v>
          </cell>
          <cell r="K4078" t="str">
            <v>YES</v>
          </cell>
        </row>
        <row r="4079">
          <cell r="I4079" t="str">
            <v>V44125</v>
          </cell>
          <cell r="J4079" t="str">
            <v>CTC</v>
          </cell>
          <cell r="K4079" t="str">
            <v>YES</v>
          </cell>
        </row>
        <row r="4080">
          <cell r="I4080" t="str">
            <v>V43957</v>
          </cell>
          <cell r="J4080" t="str">
            <v>CTC</v>
          </cell>
          <cell r="K4080" t="str">
            <v>YES</v>
          </cell>
        </row>
        <row r="4081">
          <cell r="I4081" t="str">
            <v>V33089</v>
          </cell>
          <cell r="J4081" t="str">
            <v>CTC</v>
          </cell>
          <cell r="K4081" t="str">
            <v>YES</v>
          </cell>
        </row>
        <row r="4082">
          <cell r="I4082" t="str">
            <v>V36413</v>
          </cell>
          <cell r="J4082" t="str">
            <v>CTC</v>
          </cell>
          <cell r="K4082" t="str">
            <v>YES</v>
          </cell>
        </row>
        <row r="4083">
          <cell r="I4083" t="str">
            <v>V43923</v>
          </cell>
          <cell r="J4083" t="str">
            <v>CTC</v>
          </cell>
          <cell r="K4083" t="str">
            <v>YES</v>
          </cell>
        </row>
        <row r="4084">
          <cell r="I4084" t="str">
            <v>V42273</v>
          </cell>
          <cell r="J4084" t="str">
            <v>CTC</v>
          </cell>
          <cell r="K4084" t="str">
            <v>YES</v>
          </cell>
        </row>
        <row r="4085">
          <cell r="I4085" t="str">
            <v>V43989</v>
          </cell>
          <cell r="J4085" t="str">
            <v>CTC</v>
          </cell>
          <cell r="K4085" t="str">
            <v>YES</v>
          </cell>
        </row>
        <row r="4086">
          <cell r="I4086" t="str">
            <v>V34695</v>
          </cell>
          <cell r="J4086" t="str">
            <v>CTC</v>
          </cell>
          <cell r="K4086" t="str">
            <v>YES</v>
          </cell>
        </row>
        <row r="4087">
          <cell r="I4087" t="str">
            <v>V39539</v>
          </cell>
          <cell r="J4087" t="str">
            <v>CTC</v>
          </cell>
          <cell r="K4087" t="str">
            <v>YES</v>
          </cell>
        </row>
        <row r="4088">
          <cell r="I4088" t="str">
            <v>V39655</v>
          </cell>
          <cell r="J4088" t="str">
            <v>CTC</v>
          </cell>
          <cell r="K4088" t="str">
            <v>YES</v>
          </cell>
        </row>
        <row r="4089">
          <cell r="I4089" t="str">
            <v>V34886</v>
          </cell>
          <cell r="J4089" t="str">
            <v>CTC</v>
          </cell>
          <cell r="K4089" t="str">
            <v>YES</v>
          </cell>
        </row>
        <row r="4090">
          <cell r="I4090" t="str">
            <v>V30719</v>
          </cell>
          <cell r="J4090" t="str">
            <v>CTC</v>
          </cell>
          <cell r="K4090" t="str">
            <v>YES</v>
          </cell>
        </row>
        <row r="4091">
          <cell r="I4091" t="str">
            <v>V31970</v>
          </cell>
          <cell r="J4091" t="str">
            <v>CTC</v>
          </cell>
          <cell r="K4091" t="str">
            <v>YES</v>
          </cell>
        </row>
        <row r="4092">
          <cell r="I4092" t="str">
            <v>V31980</v>
          </cell>
          <cell r="J4092" t="str">
            <v>CTC</v>
          </cell>
          <cell r="K4092" t="str">
            <v>YES</v>
          </cell>
        </row>
        <row r="4093">
          <cell r="I4093" t="str">
            <v>V34214</v>
          </cell>
          <cell r="J4093" t="str">
            <v>CTC</v>
          </cell>
          <cell r="K4093" t="str">
            <v>YES</v>
          </cell>
        </row>
        <row r="4094">
          <cell r="I4094" t="str">
            <v>V34764</v>
          </cell>
          <cell r="J4094" t="str">
            <v>CTC</v>
          </cell>
          <cell r="K4094" t="str">
            <v>YES</v>
          </cell>
        </row>
        <row r="4095">
          <cell r="I4095" t="str">
            <v>V42367</v>
          </cell>
          <cell r="J4095" t="str">
            <v>CTC</v>
          </cell>
          <cell r="K4095" t="str">
            <v>YES</v>
          </cell>
        </row>
        <row r="4096">
          <cell r="I4096" t="str">
            <v>V48552</v>
          </cell>
          <cell r="J4096" t="str">
            <v>CTC</v>
          </cell>
          <cell r="K4096" t="str">
            <v>YES</v>
          </cell>
        </row>
        <row r="4097">
          <cell r="I4097" t="str">
            <v>V34055</v>
          </cell>
          <cell r="J4097" t="str">
            <v>CTC</v>
          </cell>
          <cell r="K4097" t="str">
            <v>YES</v>
          </cell>
        </row>
        <row r="4098">
          <cell r="I4098" t="str">
            <v>V34144</v>
          </cell>
          <cell r="J4098" t="str">
            <v>CTC</v>
          </cell>
          <cell r="K4098" t="str">
            <v>YES</v>
          </cell>
        </row>
        <row r="4099">
          <cell r="I4099" t="str">
            <v>V34945</v>
          </cell>
          <cell r="J4099" t="str">
            <v>CTC</v>
          </cell>
          <cell r="K4099" t="str">
            <v>YES</v>
          </cell>
        </row>
        <row r="4100">
          <cell r="I4100" t="str">
            <v>V35817</v>
          </cell>
          <cell r="J4100" t="str">
            <v>CTC</v>
          </cell>
          <cell r="K4100" t="str">
            <v>YES</v>
          </cell>
        </row>
        <row r="4101">
          <cell r="I4101" t="str">
            <v>V35890</v>
          </cell>
          <cell r="J4101" t="str">
            <v>CTC</v>
          </cell>
          <cell r="K4101" t="str">
            <v>YES</v>
          </cell>
        </row>
        <row r="4102">
          <cell r="I4102" t="str">
            <v>V38910</v>
          </cell>
          <cell r="J4102" t="str">
            <v>CTC</v>
          </cell>
          <cell r="K4102" t="str">
            <v>YES</v>
          </cell>
        </row>
        <row r="4103">
          <cell r="I4103" t="str">
            <v>V44249</v>
          </cell>
          <cell r="J4103" t="str">
            <v>CTC</v>
          </cell>
          <cell r="K4103" t="str">
            <v>YES</v>
          </cell>
        </row>
        <row r="4104">
          <cell r="I4104" t="str">
            <v>V43096</v>
          </cell>
          <cell r="J4104" t="str">
            <v>CTC</v>
          </cell>
          <cell r="K4104" t="str">
            <v>YES</v>
          </cell>
        </row>
        <row r="4105">
          <cell r="I4105" t="str">
            <v>V21310</v>
          </cell>
          <cell r="J4105" t="str">
            <v>CTC</v>
          </cell>
          <cell r="K4105" t="str">
            <v>YES</v>
          </cell>
        </row>
        <row r="4106">
          <cell r="I4106" t="str">
            <v>V21311</v>
          </cell>
          <cell r="J4106" t="str">
            <v>CTC</v>
          </cell>
          <cell r="K4106" t="str">
            <v>YES</v>
          </cell>
        </row>
        <row r="4107">
          <cell r="I4107" t="str">
            <v>V22707</v>
          </cell>
          <cell r="J4107" t="str">
            <v>CTC</v>
          </cell>
          <cell r="K4107" t="str">
            <v>YES</v>
          </cell>
        </row>
        <row r="4108">
          <cell r="I4108" t="str">
            <v>V41460</v>
          </cell>
          <cell r="J4108" t="str">
            <v>CTC</v>
          </cell>
          <cell r="K4108" t="str">
            <v>YES</v>
          </cell>
        </row>
        <row r="4109">
          <cell r="I4109" t="str">
            <v>V42904</v>
          </cell>
          <cell r="J4109" t="str">
            <v>CTC</v>
          </cell>
          <cell r="K4109" t="str">
            <v>YES</v>
          </cell>
        </row>
        <row r="4110">
          <cell r="I4110" t="str">
            <v>V38748</v>
          </cell>
          <cell r="J4110" t="str">
            <v>CTC</v>
          </cell>
          <cell r="K4110" t="str">
            <v>YES</v>
          </cell>
        </row>
        <row r="4111">
          <cell r="I4111" t="str">
            <v>V34585</v>
          </cell>
          <cell r="J4111" t="str">
            <v>CTC</v>
          </cell>
          <cell r="K4111" t="str">
            <v>YES</v>
          </cell>
        </row>
        <row r="4112">
          <cell r="I4112" t="str">
            <v>V38913</v>
          </cell>
          <cell r="J4112" t="str">
            <v>CTC</v>
          </cell>
          <cell r="K4112" t="str">
            <v>YES</v>
          </cell>
        </row>
        <row r="4113">
          <cell r="I4113" t="str">
            <v>V42953</v>
          </cell>
          <cell r="J4113" t="str">
            <v>CTC</v>
          </cell>
          <cell r="K4113" t="str">
            <v>YES</v>
          </cell>
        </row>
        <row r="4114">
          <cell r="I4114" t="str">
            <v>V43116</v>
          </cell>
          <cell r="J4114" t="str">
            <v>CTC</v>
          </cell>
          <cell r="K4114" t="str">
            <v>YES</v>
          </cell>
        </row>
        <row r="4115">
          <cell r="I4115" t="str">
            <v>V35930</v>
          </cell>
          <cell r="J4115" t="str">
            <v>CTC</v>
          </cell>
          <cell r="K4115" t="str">
            <v>YES</v>
          </cell>
        </row>
        <row r="4116">
          <cell r="I4116" t="str">
            <v>V44040</v>
          </cell>
          <cell r="J4116" t="str">
            <v>CTC</v>
          </cell>
          <cell r="K4116" t="str">
            <v>YES</v>
          </cell>
        </row>
        <row r="4117">
          <cell r="I4117" t="str">
            <v>V36310</v>
          </cell>
          <cell r="J4117" t="str">
            <v>CTC</v>
          </cell>
          <cell r="K4117" t="str">
            <v>YES</v>
          </cell>
        </row>
        <row r="4118">
          <cell r="I4118" t="str">
            <v>V50438</v>
          </cell>
          <cell r="J4118" t="str">
            <v>CTC</v>
          </cell>
          <cell r="K4118" t="str">
            <v>YES</v>
          </cell>
        </row>
        <row r="4119">
          <cell r="I4119" t="str">
            <v>V45624</v>
          </cell>
          <cell r="J4119" t="str">
            <v>CTC</v>
          </cell>
          <cell r="K4119" t="str">
            <v>YES</v>
          </cell>
        </row>
        <row r="4120">
          <cell r="I4120" t="str">
            <v>V39025</v>
          </cell>
          <cell r="J4120" t="str">
            <v>CTC</v>
          </cell>
          <cell r="K4120" t="str">
            <v>YES</v>
          </cell>
        </row>
        <row r="4121">
          <cell r="I4121" t="str">
            <v>V41616</v>
          </cell>
          <cell r="J4121" t="str">
            <v>CTC</v>
          </cell>
          <cell r="K4121" t="str">
            <v>YES</v>
          </cell>
        </row>
        <row r="4122">
          <cell r="I4122" t="str">
            <v>V41340</v>
          </cell>
          <cell r="J4122" t="str">
            <v>CTC</v>
          </cell>
          <cell r="K4122" t="str">
            <v>YES</v>
          </cell>
        </row>
        <row r="4123">
          <cell r="I4123" t="str">
            <v>V31845</v>
          </cell>
          <cell r="J4123" t="str">
            <v>CTC</v>
          </cell>
          <cell r="K4123" t="str">
            <v>YES</v>
          </cell>
        </row>
        <row r="4124">
          <cell r="I4124" t="str">
            <v>V42934</v>
          </cell>
          <cell r="J4124" t="str">
            <v>CTC</v>
          </cell>
          <cell r="K4124" t="str">
            <v>YES</v>
          </cell>
        </row>
        <row r="4125">
          <cell r="I4125" t="str">
            <v>V46108</v>
          </cell>
          <cell r="J4125" t="str">
            <v>CTC</v>
          </cell>
          <cell r="K4125" t="str">
            <v>YES</v>
          </cell>
        </row>
        <row r="4126">
          <cell r="I4126" t="str">
            <v>V42585</v>
          </cell>
          <cell r="J4126" t="str">
            <v>CTC</v>
          </cell>
          <cell r="K4126" t="str">
            <v>YES</v>
          </cell>
        </row>
        <row r="4127">
          <cell r="I4127" t="str">
            <v>V42586</v>
          </cell>
          <cell r="J4127" t="str">
            <v>CTC</v>
          </cell>
          <cell r="K4127" t="str">
            <v>YES</v>
          </cell>
        </row>
        <row r="4128">
          <cell r="I4128" t="str">
            <v>V27217</v>
          </cell>
          <cell r="J4128" t="str">
            <v>CTC</v>
          </cell>
          <cell r="K4128" t="str">
            <v>YES</v>
          </cell>
        </row>
        <row r="4129">
          <cell r="I4129" t="str">
            <v>V31101</v>
          </cell>
          <cell r="J4129" t="str">
            <v>CTC</v>
          </cell>
          <cell r="K4129" t="str">
            <v>YES</v>
          </cell>
        </row>
        <row r="4130">
          <cell r="I4130" t="str">
            <v>V44587</v>
          </cell>
          <cell r="J4130" t="str">
            <v>CTC</v>
          </cell>
          <cell r="K4130" t="str">
            <v>YES</v>
          </cell>
        </row>
        <row r="4131">
          <cell r="I4131" t="str">
            <v>V43847</v>
          </cell>
          <cell r="J4131" t="str">
            <v>CTC</v>
          </cell>
          <cell r="K4131" t="str">
            <v>YES</v>
          </cell>
        </row>
        <row r="4132">
          <cell r="I4132" t="str">
            <v>V31979</v>
          </cell>
          <cell r="J4132" t="str">
            <v>CTC</v>
          </cell>
          <cell r="K4132" t="str">
            <v>YES</v>
          </cell>
        </row>
        <row r="4133">
          <cell r="I4133" t="str">
            <v>V42467</v>
          </cell>
          <cell r="J4133" t="str">
            <v>CTC</v>
          </cell>
          <cell r="K4133" t="str">
            <v>YES</v>
          </cell>
        </row>
        <row r="4134">
          <cell r="I4134" t="str">
            <v>V42095</v>
          </cell>
          <cell r="J4134" t="str">
            <v>CTC</v>
          </cell>
          <cell r="K4134" t="str">
            <v>YES</v>
          </cell>
        </row>
        <row r="4135">
          <cell r="I4135" t="str">
            <v>V49468</v>
          </cell>
          <cell r="J4135" t="str">
            <v>CTC</v>
          </cell>
          <cell r="K4135" t="str">
            <v>YES</v>
          </cell>
        </row>
        <row r="4136">
          <cell r="I4136" t="str">
            <v>V46821</v>
          </cell>
          <cell r="J4136" t="str">
            <v>CTC</v>
          </cell>
          <cell r="K4136" t="str">
            <v>YES</v>
          </cell>
        </row>
        <row r="4137">
          <cell r="I4137" t="str">
            <v>V43192</v>
          </cell>
          <cell r="J4137" t="str">
            <v>CTC</v>
          </cell>
          <cell r="K4137" t="str">
            <v>YES</v>
          </cell>
        </row>
        <row r="4138">
          <cell r="I4138" t="str">
            <v>V41498</v>
          </cell>
          <cell r="J4138" t="str">
            <v>CTC</v>
          </cell>
          <cell r="K4138" t="str">
            <v>YES</v>
          </cell>
        </row>
        <row r="4139">
          <cell r="I4139" t="str">
            <v>V35927</v>
          </cell>
          <cell r="J4139" t="str">
            <v>CTC</v>
          </cell>
          <cell r="K4139" t="str">
            <v>YES</v>
          </cell>
        </row>
        <row r="4140">
          <cell r="I4140" t="str">
            <v>V42840</v>
          </cell>
          <cell r="J4140" t="str">
            <v>CTC</v>
          </cell>
          <cell r="K4140" t="str">
            <v>YES</v>
          </cell>
        </row>
        <row r="4141">
          <cell r="I4141" t="str">
            <v>V42642</v>
          </cell>
          <cell r="J4141" t="str">
            <v>CTC</v>
          </cell>
          <cell r="K4141" t="str">
            <v>YES</v>
          </cell>
        </row>
        <row r="4142">
          <cell r="I4142" t="str">
            <v>V42744</v>
          </cell>
          <cell r="J4142" t="str">
            <v>CTC</v>
          </cell>
          <cell r="K4142" t="str">
            <v>YES</v>
          </cell>
        </row>
        <row r="4143">
          <cell r="I4143" t="str">
            <v>V26859</v>
          </cell>
          <cell r="J4143" t="str">
            <v>CTC</v>
          </cell>
          <cell r="K4143" t="str">
            <v>YES</v>
          </cell>
        </row>
        <row r="4144">
          <cell r="I4144" t="str">
            <v>V41334</v>
          </cell>
          <cell r="J4144" t="str">
            <v>CTC</v>
          </cell>
          <cell r="K4144" t="str">
            <v>YES</v>
          </cell>
        </row>
        <row r="4145">
          <cell r="I4145" t="str">
            <v>V39769</v>
          </cell>
          <cell r="J4145" t="str">
            <v>CTC</v>
          </cell>
          <cell r="K4145" t="str">
            <v>YES</v>
          </cell>
        </row>
        <row r="4146">
          <cell r="I4146" t="str">
            <v>V38963</v>
          </cell>
          <cell r="J4146" t="str">
            <v>CTC</v>
          </cell>
          <cell r="K4146" t="str">
            <v>YES</v>
          </cell>
        </row>
        <row r="4147">
          <cell r="I4147" t="str">
            <v>V38973</v>
          </cell>
          <cell r="J4147" t="str">
            <v>CTC</v>
          </cell>
          <cell r="K4147" t="str">
            <v>YES</v>
          </cell>
        </row>
        <row r="4148">
          <cell r="I4148" t="str">
            <v>V39079</v>
          </cell>
          <cell r="J4148" t="str">
            <v>CTC</v>
          </cell>
          <cell r="K4148" t="str">
            <v>YES</v>
          </cell>
        </row>
        <row r="4149">
          <cell r="I4149" t="str">
            <v>V41577</v>
          </cell>
          <cell r="J4149" t="str">
            <v>CTC</v>
          </cell>
          <cell r="K4149" t="str">
            <v>YES</v>
          </cell>
        </row>
        <row r="4150">
          <cell r="I4150" t="str">
            <v>V42401</v>
          </cell>
          <cell r="J4150" t="str">
            <v>CTC</v>
          </cell>
          <cell r="K4150" t="str">
            <v>YES</v>
          </cell>
        </row>
        <row r="4151">
          <cell r="I4151" t="str">
            <v>V45632</v>
          </cell>
          <cell r="J4151" t="str">
            <v>CTC</v>
          </cell>
          <cell r="K4151" t="str">
            <v>YES</v>
          </cell>
        </row>
        <row r="4152">
          <cell r="I4152" t="str">
            <v>V29447</v>
          </cell>
          <cell r="J4152" t="str">
            <v>CTC</v>
          </cell>
          <cell r="K4152" t="str">
            <v>YES</v>
          </cell>
        </row>
        <row r="4153">
          <cell r="I4153" t="str">
            <v>V44073</v>
          </cell>
          <cell r="J4153" t="str">
            <v>CTC</v>
          </cell>
          <cell r="K4153" t="str">
            <v>YES</v>
          </cell>
        </row>
        <row r="4154">
          <cell r="I4154" t="str">
            <v>V41958</v>
          </cell>
          <cell r="J4154" t="str">
            <v>CTC</v>
          </cell>
          <cell r="K4154" t="str">
            <v>YES</v>
          </cell>
        </row>
        <row r="4155">
          <cell r="I4155" t="str">
            <v>V42683</v>
          </cell>
          <cell r="J4155" t="str">
            <v>CTC</v>
          </cell>
          <cell r="K4155" t="str">
            <v>YES</v>
          </cell>
        </row>
        <row r="4156">
          <cell r="I4156" t="str">
            <v>V42743</v>
          </cell>
          <cell r="J4156" t="str">
            <v>CTC</v>
          </cell>
          <cell r="K4156" t="str">
            <v>YES</v>
          </cell>
        </row>
        <row r="4157">
          <cell r="I4157" t="str">
            <v>V42682</v>
          </cell>
          <cell r="J4157" t="str">
            <v>CTC</v>
          </cell>
          <cell r="K4157" t="str">
            <v>YES</v>
          </cell>
        </row>
        <row r="4158">
          <cell r="I4158" t="str">
            <v>V28496</v>
          </cell>
          <cell r="J4158" t="str">
            <v>CTC</v>
          </cell>
          <cell r="K4158" t="str">
            <v>YES</v>
          </cell>
        </row>
        <row r="4159">
          <cell r="I4159" t="str">
            <v>V24664</v>
          </cell>
          <cell r="J4159" t="str">
            <v>CTC</v>
          </cell>
          <cell r="K4159" t="str">
            <v>YES</v>
          </cell>
        </row>
        <row r="4160">
          <cell r="I4160" t="str">
            <v>V49627</v>
          </cell>
          <cell r="J4160" t="str">
            <v>CTC</v>
          </cell>
          <cell r="K4160" t="str">
            <v>YES</v>
          </cell>
        </row>
        <row r="4161">
          <cell r="I4161" t="str">
            <v>V34598</v>
          </cell>
          <cell r="J4161" t="str">
            <v>CTC</v>
          </cell>
          <cell r="K4161" t="str">
            <v>YES</v>
          </cell>
        </row>
        <row r="4162">
          <cell r="I4162" t="str">
            <v>V34280</v>
          </cell>
          <cell r="J4162" t="str">
            <v>CTC</v>
          </cell>
          <cell r="K4162" t="str">
            <v>YES</v>
          </cell>
        </row>
        <row r="4163">
          <cell r="I4163" t="str">
            <v>V49469</v>
          </cell>
          <cell r="J4163" t="str">
            <v>CTC</v>
          </cell>
          <cell r="K4163" t="str">
            <v>YES</v>
          </cell>
        </row>
        <row r="4164">
          <cell r="I4164" t="str">
            <v>V40190</v>
          </cell>
          <cell r="J4164" t="str">
            <v>CTC</v>
          </cell>
          <cell r="K4164" t="str">
            <v>YES</v>
          </cell>
        </row>
        <row r="4165">
          <cell r="I4165" t="str">
            <v>V25967</v>
          </cell>
          <cell r="J4165" t="str">
            <v>CTC</v>
          </cell>
          <cell r="K4165" t="str">
            <v>YES</v>
          </cell>
        </row>
        <row r="4166">
          <cell r="I4166" t="str">
            <v>V26324</v>
          </cell>
          <cell r="J4166" t="str">
            <v>CTC</v>
          </cell>
          <cell r="K4166" t="str">
            <v>YES</v>
          </cell>
        </row>
        <row r="4167">
          <cell r="I4167" t="str">
            <v>V26490</v>
          </cell>
          <cell r="J4167" t="str">
            <v>CTC</v>
          </cell>
          <cell r="K4167" t="str">
            <v>YES</v>
          </cell>
        </row>
        <row r="4168">
          <cell r="I4168" t="str">
            <v>V28335</v>
          </cell>
          <cell r="J4168" t="str">
            <v>CTC</v>
          </cell>
          <cell r="K4168" t="str">
            <v>YES</v>
          </cell>
        </row>
        <row r="4169">
          <cell r="I4169" t="str">
            <v>V28369</v>
          </cell>
          <cell r="J4169" t="str">
            <v>CTC</v>
          </cell>
          <cell r="K4169" t="str">
            <v>YES</v>
          </cell>
        </row>
        <row r="4170">
          <cell r="I4170" t="str">
            <v>V28370</v>
          </cell>
          <cell r="J4170" t="str">
            <v>CTC</v>
          </cell>
          <cell r="K4170" t="str">
            <v>YES</v>
          </cell>
        </row>
        <row r="4171">
          <cell r="I4171" t="str">
            <v>V28723</v>
          </cell>
          <cell r="J4171" t="str">
            <v>CTC</v>
          </cell>
          <cell r="K4171" t="str">
            <v>YES</v>
          </cell>
        </row>
        <row r="4172">
          <cell r="I4172" t="str">
            <v>V41816</v>
          </cell>
          <cell r="J4172" t="str">
            <v>CTC</v>
          </cell>
          <cell r="K4172" t="str">
            <v>YES</v>
          </cell>
        </row>
        <row r="4173">
          <cell r="I4173" t="str">
            <v>V41830</v>
          </cell>
          <cell r="J4173" t="str">
            <v>CTC</v>
          </cell>
          <cell r="K4173" t="str">
            <v>YES</v>
          </cell>
        </row>
        <row r="4174">
          <cell r="I4174" t="str">
            <v>V44231</v>
          </cell>
          <cell r="J4174" t="str">
            <v>CTC</v>
          </cell>
          <cell r="K4174" t="str">
            <v>YES</v>
          </cell>
        </row>
        <row r="4175">
          <cell r="I4175" t="str">
            <v>V29841</v>
          </cell>
          <cell r="J4175" t="str">
            <v>CTC</v>
          </cell>
          <cell r="K4175" t="str">
            <v>YES</v>
          </cell>
        </row>
        <row r="4176">
          <cell r="I4176" t="str">
            <v>V34863</v>
          </cell>
          <cell r="J4176" t="str">
            <v>CTC</v>
          </cell>
          <cell r="K4176" t="str">
            <v>YES</v>
          </cell>
        </row>
        <row r="4177">
          <cell r="I4177" t="str">
            <v>V39787</v>
          </cell>
          <cell r="J4177" t="str">
            <v>CTC</v>
          </cell>
          <cell r="K4177" t="str">
            <v>YES</v>
          </cell>
        </row>
        <row r="4178">
          <cell r="I4178" t="str">
            <v>V43895</v>
          </cell>
          <cell r="J4178" t="str">
            <v>CTC</v>
          </cell>
          <cell r="K4178" t="str">
            <v>YES</v>
          </cell>
        </row>
        <row r="4179">
          <cell r="I4179" t="str">
            <v>V39078</v>
          </cell>
          <cell r="J4179" t="str">
            <v>CTC</v>
          </cell>
          <cell r="K4179" t="str">
            <v>YES</v>
          </cell>
        </row>
        <row r="4180">
          <cell r="I4180" t="str">
            <v>V31712</v>
          </cell>
          <cell r="J4180" t="str">
            <v>CTC</v>
          </cell>
          <cell r="K4180" t="str">
            <v>YES</v>
          </cell>
        </row>
        <row r="4181">
          <cell r="I4181" t="str">
            <v>V40848</v>
          </cell>
          <cell r="J4181" t="str">
            <v>CTC</v>
          </cell>
          <cell r="K4181" t="str">
            <v>YES</v>
          </cell>
        </row>
        <row r="4182">
          <cell r="I4182" t="str">
            <v>V39225</v>
          </cell>
          <cell r="J4182" t="str">
            <v>CTC</v>
          </cell>
          <cell r="K4182" t="str">
            <v>YES</v>
          </cell>
        </row>
        <row r="4183">
          <cell r="I4183" t="str">
            <v>V44205</v>
          </cell>
          <cell r="J4183" t="str">
            <v>CTC</v>
          </cell>
          <cell r="K4183" t="str">
            <v>YES</v>
          </cell>
        </row>
        <row r="4184">
          <cell r="I4184" t="str">
            <v>V25745</v>
          </cell>
          <cell r="J4184" t="str">
            <v>CTC</v>
          </cell>
          <cell r="K4184" t="str">
            <v>YES</v>
          </cell>
        </row>
        <row r="4185">
          <cell r="I4185" t="str">
            <v>V25752</v>
          </cell>
          <cell r="J4185" t="str">
            <v>CTC</v>
          </cell>
          <cell r="K4185" t="str">
            <v>YES</v>
          </cell>
        </row>
        <row r="4186">
          <cell r="I4186" t="str">
            <v>V25765</v>
          </cell>
          <cell r="J4186" t="str">
            <v>CTC</v>
          </cell>
          <cell r="K4186" t="str">
            <v>YES</v>
          </cell>
        </row>
        <row r="4187">
          <cell r="I4187" t="str">
            <v>V25826</v>
          </cell>
          <cell r="J4187" t="str">
            <v>CTC</v>
          </cell>
          <cell r="K4187" t="str">
            <v>YES</v>
          </cell>
        </row>
        <row r="4188">
          <cell r="I4188" t="str">
            <v>V25966</v>
          </cell>
          <cell r="J4188" t="str">
            <v>CTC</v>
          </cell>
          <cell r="K4188" t="str">
            <v>YES</v>
          </cell>
        </row>
        <row r="4189">
          <cell r="I4189" t="str">
            <v>V25996</v>
          </cell>
          <cell r="J4189" t="str">
            <v>CTC</v>
          </cell>
          <cell r="K4189" t="str">
            <v>YES</v>
          </cell>
        </row>
        <row r="4190">
          <cell r="I4190" t="str">
            <v>V26062</v>
          </cell>
          <cell r="J4190" t="str">
            <v>CTC</v>
          </cell>
          <cell r="K4190" t="str">
            <v>YES</v>
          </cell>
        </row>
        <row r="4191">
          <cell r="I4191" t="str">
            <v>V26119</v>
          </cell>
          <cell r="J4191" t="str">
            <v>CTC</v>
          </cell>
          <cell r="K4191" t="str">
            <v>YES</v>
          </cell>
        </row>
        <row r="4192">
          <cell r="I4192" t="str">
            <v>V26124</v>
          </cell>
          <cell r="J4192" t="str">
            <v>CTC</v>
          </cell>
          <cell r="K4192" t="str">
            <v>YES</v>
          </cell>
        </row>
        <row r="4193">
          <cell r="I4193" t="str">
            <v>V26157</v>
          </cell>
          <cell r="J4193" t="str">
            <v>CTC</v>
          </cell>
          <cell r="K4193" t="str">
            <v>YES</v>
          </cell>
        </row>
        <row r="4194">
          <cell r="I4194" t="str">
            <v>V26175</v>
          </cell>
          <cell r="J4194" t="str">
            <v>CTC</v>
          </cell>
          <cell r="K4194" t="str">
            <v>YES</v>
          </cell>
        </row>
        <row r="4195">
          <cell r="I4195" t="str">
            <v>V26242</v>
          </cell>
          <cell r="J4195" t="str">
            <v>CTC</v>
          </cell>
          <cell r="K4195" t="str">
            <v>YES</v>
          </cell>
        </row>
        <row r="4196">
          <cell r="I4196" t="str">
            <v>V26252</v>
          </cell>
          <cell r="J4196" t="str">
            <v>CTC</v>
          </cell>
          <cell r="K4196" t="str">
            <v>YES</v>
          </cell>
        </row>
        <row r="4197">
          <cell r="I4197" t="str">
            <v>V26297</v>
          </cell>
          <cell r="J4197" t="str">
            <v>CTC</v>
          </cell>
          <cell r="K4197" t="str">
            <v>YES</v>
          </cell>
        </row>
        <row r="4198">
          <cell r="I4198" t="str">
            <v>V26356</v>
          </cell>
          <cell r="J4198" t="str">
            <v>CTC</v>
          </cell>
          <cell r="K4198" t="str">
            <v>YES</v>
          </cell>
        </row>
        <row r="4199">
          <cell r="I4199" t="str">
            <v>V26808</v>
          </cell>
          <cell r="J4199" t="str">
            <v>CTC</v>
          </cell>
          <cell r="K4199" t="str">
            <v>YES</v>
          </cell>
        </row>
        <row r="4200">
          <cell r="I4200" t="str">
            <v>V26822</v>
          </cell>
          <cell r="J4200" t="str">
            <v>CTC</v>
          </cell>
          <cell r="K4200" t="str">
            <v>YES</v>
          </cell>
        </row>
        <row r="4201">
          <cell r="I4201" t="str">
            <v>V27018</v>
          </cell>
          <cell r="J4201" t="str">
            <v>CTC</v>
          </cell>
          <cell r="K4201" t="str">
            <v>YES</v>
          </cell>
        </row>
        <row r="4202">
          <cell r="I4202" t="str">
            <v>V27206</v>
          </cell>
          <cell r="J4202" t="str">
            <v>CTC</v>
          </cell>
          <cell r="K4202" t="str">
            <v>YES</v>
          </cell>
        </row>
        <row r="4203">
          <cell r="I4203" t="str">
            <v>V27212</v>
          </cell>
          <cell r="J4203" t="str">
            <v>CTC</v>
          </cell>
          <cell r="K4203" t="str">
            <v>YES</v>
          </cell>
        </row>
        <row r="4204">
          <cell r="I4204" t="str">
            <v>V27348</v>
          </cell>
          <cell r="J4204" t="str">
            <v>CTC</v>
          </cell>
          <cell r="K4204" t="str">
            <v>YES</v>
          </cell>
        </row>
        <row r="4205">
          <cell r="I4205" t="str">
            <v>V27361</v>
          </cell>
          <cell r="J4205" t="str">
            <v>CTC</v>
          </cell>
          <cell r="K4205" t="str">
            <v>YES</v>
          </cell>
        </row>
        <row r="4206">
          <cell r="I4206" t="str">
            <v>V27507</v>
          </cell>
          <cell r="J4206" t="str">
            <v>CTC</v>
          </cell>
          <cell r="K4206" t="str">
            <v>YES</v>
          </cell>
        </row>
        <row r="4207">
          <cell r="I4207" t="str">
            <v>V27522</v>
          </cell>
          <cell r="J4207" t="str">
            <v>CTC</v>
          </cell>
          <cell r="K4207" t="str">
            <v>YES</v>
          </cell>
        </row>
        <row r="4208">
          <cell r="I4208" t="str">
            <v>V27526</v>
          </cell>
          <cell r="J4208" t="str">
            <v>CTC</v>
          </cell>
          <cell r="K4208" t="str">
            <v>YES</v>
          </cell>
        </row>
        <row r="4209">
          <cell r="I4209" t="str">
            <v>V27531</v>
          </cell>
          <cell r="J4209" t="str">
            <v>CTC</v>
          </cell>
          <cell r="K4209" t="str">
            <v>YES</v>
          </cell>
        </row>
        <row r="4210">
          <cell r="I4210" t="str">
            <v>V27538</v>
          </cell>
          <cell r="J4210" t="str">
            <v>CTC</v>
          </cell>
          <cell r="K4210" t="str">
            <v>YES</v>
          </cell>
        </row>
        <row r="4211">
          <cell r="I4211" t="str">
            <v>V27593</v>
          </cell>
          <cell r="J4211" t="str">
            <v>CTC</v>
          </cell>
          <cell r="K4211" t="str">
            <v>YES</v>
          </cell>
        </row>
        <row r="4212">
          <cell r="I4212" t="str">
            <v>V27596</v>
          </cell>
          <cell r="J4212" t="str">
            <v>CTC</v>
          </cell>
          <cell r="K4212" t="str">
            <v>YES</v>
          </cell>
        </row>
        <row r="4213">
          <cell r="I4213" t="str">
            <v>V27603</v>
          </cell>
          <cell r="J4213" t="str">
            <v>CTC</v>
          </cell>
          <cell r="K4213" t="str">
            <v>YES</v>
          </cell>
        </row>
        <row r="4214">
          <cell r="I4214" t="str">
            <v>V27642</v>
          </cell>
          <cell r="J4214" t="str">
            <v>CTC</v>
          </cell>
          <cell r="K4214" t="str">
            <v>YES</v>
          </cell>
        </row>
        <row r="4215">
          <cell r="I4215" t="str">
            <v>V27667</v>
          </cell>
          <cell r="J4215" t="str">
            <v>CTC</v>
          </cell>
          <cell r="K4215" t="str">
            <v>YES</v>
          </cell>
        </row>
        <row r="4216">
          <cell r="I4216" t="str">
            <v>V27669</v>
          </cell>
          <cell r="J4216" t="str">
            <v>CTC</v>
          </cell>
          <cell r="K4216" t="str">
            <v>YES</v>
          </cell>
        </row>
        <row r="4217">
          <cell r="I4217" t="str">
            <v>V27734</v>
          </cell>
          <cell r="J4217" t="str">
            <v>CTC</v>
          </cell>
          <cell r="K4217" t="str">
            <v>YES</v>
          </cell>
        </row>
        <row r="4218">
          <cell r="I4218" t="str">
            <v>V27745</v>
          </cell>
          <cell r="J4218" t="str">
            <v>CTC</v>
          </cell>
          <cell r="K4218" t="str">
            <v>YES</v>
          </cell>
        </row>
        <row r="4219">
          <cell r="I4219" t="str">
            <v>V27833</v>
          </cell>
          <cell r="J4219" t="str">
            <v>CTC</v>
          </cell>
          <cell r="K4219" t="str">
            <v>YES</v>
          </cell>
        </row>
        <row r="4220">
          <cell r="I4220" t="str">
            <v>V27838</v>
          </cell>
          <cell r="J4220" t="str">
            <v>CTC</v>
          </cell>
          <cell r="K4220" t="str">
            <v>YES</v>
          </cell>
        </row>
        <row r="4221">
          <cell r="I4221" t="str">
            <v>V27854</v>
          </cell>
          <cell r="J4221" t="str">
            <v>CTC</v>
          </cell>
          <cell r="K4221" t="str">
            <v>YES</v>
          </cell>
        </row>
        <row r="4222">
          <cell r="I4222" t="str">
            <v>V27865</v>
          </cell>
          <cell r="J4222" t="str">
            <v>CTC</v>
          </cell>
          <cell r="K4222" t="str">
            <v>YES</v>
          </cell>
        </row>
        <row r="4223">
          <cell r="I4223" t="str">
            <v>V27870</v>
          </cell>
          <cell r="J4223" t="str">
            <v>CTC</v>
          </cell>
          <cell r="K4223" t="str">
            <v>YES</v>
          </cell>
        </row>
        <row r="4224">
          <cell r="I4224" t="str">
            <v>V27893</v>
          </cell>
          <cell r="J4224" t="str">
            <v>CTC</v>
          </cell>
          <cell r="K4224" t="str">
            <v>YES</v>
          </cell>
        </row>
        <row r="4225">
          <cell r="I4225" t="str">
            <v>V27896</v>
          </cell>
          <cell r="J4225" t="str">
            <v>CTC</v>
          </cell>
          <cell r="K4225" t="str">
            <v>YES</v>
          </cell>
        </row>
        <row r="4226">
          <cell r="I4226" t="str">
            <v>V27902</v>
          </cell>
          <cell r="J4226" t="str">
            <v>CTC</v>
          </cell>
          <cell r="K4226" t="str">
            <v>YES</v>
          </cell>
        </row>
        <row r="4227">
          <cell r="I4227" t="str">
            <v>V27915</v>
          </cell>
          <cell r="J4227" t="str">
            <v>CTC</v>
          </cell>
          <cell r="K4227" t="str">
            <v>YES</v>
          </cell>
        </row>
        <row r="4228">
          <cell r="I4228" t="str">
            <v>V27957</v>
          </cell>
          <cell r="J4228" t="str">
            <v>CTC</v>
          </cell>
          <cell r="K4228" t="str">
            <v>YES</v>
          </cell>
        </row>
        <row r="4229">
          <cell r="I4229" t="str">
            <v>V27958</v>
          </cell>
          <cell r="J4229" t="str">
            <v>CTC</v>
          </cell>
          <cell r="K4229" t="str">
            <v>YES</v>
          </cell>
        </row>
        <row r="4230">
          <cell r="I4230" t="str">
            <v>V27973</v>
          </cell>
          <cell r="J4230" t="str">
            <v>CTC</v>
          </cell>
          <cell r="K4230" t="str">
            <v>YES</v>
          </cell>
        </row>
        <row r="4231">
          <cell r="I4231" t="str">
            <v>V27974</v>
          </cell>
          <cell r="J4231" t="str">
            <v>CTC</v>
          </cell>
          <cell r="K4231" t="str">
            <v>YES</v>
          </cell>
        </row>
        <row r="4232">
          <cell r="I4232" t="str">
            <v>V28045</v>
          </cell>
          <cell r="J4232" t="str">
            <v>CTC</v>
          </cell>
          <cell r="K4232" t="str">
            <v>YES</v>
          </cell>
        </row>
        <row r="4233">
          <cell r="I4233" t="str">
            <v>V28110</v>
          </cell>
          <cell r="J4233" t="str">
            <v>CTC</v>
          </cell>
          <cell r="K4233" t="str">
            <v>YES</v>
          </cell>
        </row>
        <row r="4234">
          <cell r="I4234" t="str">
            <v>V28112</v>
          </cell>
          <cell r="J4234" t="str">
            <v>CTC</v>
          </cell>
          <cell r="K4234" t="str">
            <v>YES</v>
          </cell>
        </row>
        <row r="4235">
          <cell r="I4235" t="str">
            <v>V28174</v>
          </cell>
          <cell r="J4235" t="str">
            <v>CTC</v>
          </cell>
          <cell r="K4235" t="str">
            <v>YES</v>
          </cell>
        </row>
        <row r="4236">
          <cell r="I4236" t="str">
            <v>V28190</v>
          </cell>
          <cell r="J4236" t="str">
            <v>CTC</v>
          </cell>
          <cell r="K4236" t="str">
            <v>YES</v>
          </cell>
        </row>
        <row r="4237">
          <cell r="I4237" t="str">
            <v>V28265</v>
          </cell>
          <cell r="J4237" t="str">
            <v>CTC</v>
          </cell>
          <cell r="K4237" t="str">
            <v>YES</v>
          </cell>
        </row>
        <row r="4238">
          <cell r="I4238" t="str">
            <v>V28291</v>
          </cell>
          <cell r="J4238" t="str">
            <v>CTC</v>
          </cell>
          <cell r="K4238" t="str">
            <v>YES</v>
          </cell>
        </row>
        <row r="4239">
          <cell r="I4239" t="str">
            <v>V28301</v>
          </cell>
          <cell r="J4239" t="str">
            <v>CTC</v>
          </cell>
          <cell r="K4239" t="str">
            <v>YES</v>
          </cell>
        </row>
        <row r="4240">
          <cell r="I4240" t="str">
            <v>V28408</v>
          </cell>
          <cell r="J4240" t="str">
            <v>CTC</v>
          </cell>
          <cell r="K4240" t="str">
            <v>YES</v>
          </cell>
        </row>
        <row r="4241">
          <cell r="I4241" t="str">
            <v>V28423</v>
          </cell>
          <cell r="J4241" t="str">
            <v>CTC</v>
          </cell>
          <cell r="K4241" t="str">
            <v>YES</v>
          </cell>
        </row>
        <row r="4242">
          <cell r="I4242" t="str">
            <v>V28547</v>
          </cell>
          <cell r="J4242" t="str">
            <v>CTC</v>
          </cell>
          <cell r="K4242" t="str">
            <v>YES</v>
          </cell>
        </row>
        <row r="4243">
          <cell r="I4243" t="str">
            <v>V28720</v>
          </cell>
          <cell r="J4243" t="str">
            <v>CTC</v>
          </cell>
          <cell r="K4243" t="str">
            <v>YES</v>
          </cell>
        </row>
        <row r="4244">
          <cell r="I4244" t="str">
            <v>V28780</v>
          </cell>
          <cell r="J4244" t="str">
            <v>CTC</v>
          </cell>
          <cell r="K4244" t="str">
            <v>YES</v>
          </cell>
        </row>
        <row r="4245">
          <cell r="I4245" t="str">
            <v>V28844</v>
          </cell>
          <cell r="J4245" t="str">
            <v>CTC</v>
          </cell>
          <cell r="K4245" t="str">
            <v>YES</v>
          </cell>
        </row>
        <row r="4246">
          <cell r="I4246" t="str">
            <v>V28847</v>
          </cell>
          <cell r="J4246" t="str">
            <v>CTC</v>
          </cell>
          <cell r="K4246" t="str">
            <v>YES</v>
          </cell>
        </row>
        <row r="4247">
          <cell r="I4247" t="str">
            <v>V24289</v>
          </cell>
          <cell r="J4247" t="str">
            <v>CTC</v>
          </cell>
          <cell r="K4247" t="str">
            <v>YES</v>
          </cell>
        </row>
        <row r="4248">
          <cell r="I4248" t="str">
            <v>V49497</v>
          </cell>
          <cell r="J4248" t="str">
            <v>CTC</v>
          </cell>
          <cell r="K4248" t="str">
            <v>YES</v>
          </cell>
        </row>
        <row r="4249">
          <cell r="I4249" t="str">
            <v>V49504</v>
          </cell>
          <cell r="J4249" t="str">
            <v>CTC</v>
          </cell>
          <cell r="K4249" t="str">
            <v>YES</v>
          </cell>
        </row>
        <row r="4250">
          <cell r="I4250" t="str">
            <v>V45665</v>
          </cell>
          <cell r="J4250" t="str">
            <v>CTC</v>
          </cell>
          <cell r="K4250" t="str">
            <v>YES</v>
          </cell>
        </row>
        <row r="4251">
          <cell r="I4251" t="str">
            <v>V44155</v>
          </cell>
          <cell r="J4251" t="str">
            <v>CTC</v>
          </cell>
          <cell r="K4251" t="str">
            <v>YES</v>
          </cell>
        </row>
        <row r="4252">
          <cell r="I4252" t="str">
            <v>V44659</v>
          </cell>
          <cell r="J4252" t="str">
            <v>CTC</v>
          </cell>
          <cell r="K4252" t="str">
            <v>YES</v>
          </cell>
        </row>
        <row r="4253">
          <cell r="I4253" t="str">
            <v>V25482</v>
          </cell>
          <cell r="J4253" t="str">
            <v>CTC</v>
          </cell>
          <cell r="K4253" t="str">
            <v>YES</v>
          </cell>
        </row>
        <row r="4254">
          <cell r="I4254" t="str">
            <v>V26051</v>
          </cell>
          <cell r="J4254" t="str">
            <v>CTC</v>
          </cell>
          <cell r="K4254" t="str">
            <v>YES</v>
          </cell>
        </row>
        <row r="4255">
          <cell r="I4255" t="str">
            <v>V26068</v>
          </cell>
          <cell r="J4255" t="str">
            <v>CTC</v>
          </cell>
          <cell r="K4255" t="str">
            <v>YES</v>
          </cell>
        </row>
        <row r="4256">
          <cell r="I4256" t="str">
            <v>V26082</v>
          </cell>
          <cell r="J4256" t="str">
            <v>CTC</v>
          </cell>
          <cell r="K4256" t="str">
            <v>YES</v>
          </cell>
        </row>
        <row r="4257">
          <cell r="I4257" t="str">
            <v>V26092</v>
          </cell>
          <cell r="J4257" t="str">
            <v>CTC</v>
          </cell>
          <cell r="K4257" t="str">
            <v>YES</v>
          </cell>
        </row>
        <row r="4258">
          <cell r="I4258" t="str">
            <v>V26125</v>
          </cell>
          <cell r="J4258" t="str">
            <v>CTC</v>
          </cell>
          <cell r="K4258" t="str">
            <v>YES</v>
          </cell>
        </row>
        <row r="4259">
          <cell r="I4259" t="str">
            <v>V26216</v>
          </cell>
          <cell r="J4259" t="str">
            <v>CTC</v>
          </cell>
          <cell r="K4259" t="str">
            <v>YES</v>
          </cell>
        </row>
        <row r="4260">
          <cell r="I4260" t="str">
            <v>V26676</v>
          </cell>
          <cell r="J4260" t="str">
            <v>CTC</v>
          </cell>
          <cell r="K4260" t="str">
            <v>YES</v>
          </cell>
        </row>
        <row r="4261">
          <cell r="I4261" t="str">
            <v>V26925</v>
          </cell>
          <cell r="J4261" t="str">
            <v>CTC</v>
          </cell>
          <cell r="K4261" t="str">
            <v>YES</v>
          </cell>
        </row>
        <row r="4262">
          <cell r="I4262" t="str">
            <v>V26932</v>
          </cell>
          <cell r="J4262" t="str">
            <v>CTC</v>
          </cell>
          <cell r="K4262" t="str">
            <v>YES</v>
          </cell>
        </row>
        <row r="4263">
          <cell r="I4263" t="str">
            <v>V27139</v>
          </cell>
          <cell r="J4263" t="str">
            <v>CTC</v>
          </cell>
          <cell r="K4263" t="str">
            <v>YES</v>
          </cell>
        </row>
        <row r="4264">
          <cell r="I4264" t="str">
            <v>V27157</v>
          </cell>
          <cell r="J4264" t="str">
            <v>CTC</v>
          </cell>
          <cell r="K4264" t="str">
            <v>YES</v>
          </cell>
        </row>
        <row r="4265">
          <cell r="I4265" t="str">
            <v>V27530</v>
          </cell>
          <cell r="J4265" t="str">
            <v>CTC</v>
          </cell>
          <cell r="K4265" t="str">
            <v>YES</v>
          </cell>
        </row>
        <row r="4266">
          <cell r="I4266" t="str">
            <v>V27592</v>
          </cell>
          <cell r="J4266" t="str">
            <v>CTC</v>
          </cell>
          <cell r="K4266" t="str">
            <v>YES</v>
          </cell>
        </row>
        <row r="4267">
          <cell r="I4267" t="str">
            <v>V27788</v>
          </cell>
          <cell r="J4267" t="str">
            <v>CTC</v>
          </cell>
          <cell r="K4267" t="str">
            <v>YES</v>
          </cell>
        </row>
        <row r="4268">
          <cell r="I4268" t="str">
            <v>V28060</v>
          </cell>
          <cell r="J4268" t="str">
            <v>CTC</v>
          </cell>
          <cell r="K4268" t="str">
            <v>YES</v>
          </cell>
        </row>
        <row r="4269">
          <cell r="I4269" t="str">
            <v>V40835</v>
          </cell>
          <cell r="J4269" t="str">
            <v>CTC</v>
          </cell>
          <cell r="K4269" t="str">
            <v>YES</v>
          </cell>
        </row>
        <row r="4270">
          <cell r="I4270" t="str">
            <v>V42578</v>
          </cell>
          <cell r="J4270" t="str">
            <v>CTC</v>
          </cell>
          <cell r="K4270" t="str">
            <v>YES</v>
          </cell>
        </row>
        <row r="4271">
          <cell r="I4271" t="str">
            <v>V41576</v>
          </cell>
          <cell r="J4271" t="str">
            <v>CTC</v>
          </cell>
          <cell r="K4271" t="str">
            <v>YES</v>
          </cell>
        </row>
        <row r="4272">
          <cell r="I4272" t="str">
            <v>V19632</v>
          </cell>
          <cell r="J4272" t="str">
            <v>CTC</v>
          </cell>
          <cell r="K4272" t="str">
            <v>YES</v>
          </cell>
        </row>
        <row r="4273">
          <cell r="I4273" t="str">
            <v>V36758</v>
          </cell>
          <cell r="J4273" t="str">
            <v>CTC</v>
          </cell>
          <cell r="K4273" t="str">
            <v>YES</v>
          </cell>
        </row>
        <row r="4274">
          <cell r="I4274" t="str">
            <v>V39567</v>
          </cell>
          <cell r="J4274" t="str">
            <v>CTC</v>
          </cell>
          <cell r="K4274" t="str">
            <v>YES</v>
          </cell>
        </row>
        <row r="4275">
          <cell r="I4275" t="str">
            <v>V46120</v>
          </cell>
          <cell r="J4275" t="str">
            <v>CTC</v>
          </cell>
          <cell r="K4275" t="str">
            <v>YES</v>
          </cell>
        </row>
        <row r="4276">
          <cell r="I4276" t="str">
            <v>V44010</v>
          </cell>
          <cell r="J4276" t="str">
            <v>CTC</v>
          </cell>
          <cell r="K4276" t="str">
            <v>YES</v>
          </cell>
        </row>
        <row r="4277">
          <cell r="I4277" t="str">
            <v>V28413</v>
          </cell>
          <cell r="J4277" t="str">
            <v>CTC</v>
          </cell>
          <cell r="K4277" t="str">
            <v>YES</v>
          </cell>
        </row>
        <row r="4278">
          <cell r="I4278" t="str">
            <v>V44900</v>
          </cell>
          <cell r="J4278" t="str">
            <v>CTC</v>
          </cell>
          <cell r="K4278" t="str">
            <v>YES</v>
          </cell>
        </row>
        <row r="4279">
          <cell r="I4279" t="str">
            <v>V39434</v>
          </cell>
          <cell r="J4279" t="str">
            <v>CTC</v>
          </cell>
          <cell r="K4279" t="str">
            <v>YES</v>
          </cell>
        </row>
        <row r="4280">
          <cell r="I4280" t="str">
            <v>V31222</v>
          </cell>
          <cell r="J4280" t="str">
            <v>CTC</v>
          </cell>
          <cell r="K4280" t="str">
            <v>YES</v>
          </cell>
        </row>
        <row r="4281">
          <cell r="I4281" t="str">
            <v>V31277</v>
          </cell>
          <cell r="J4281" t="str">
            <v>CTC</v>
          </cell>
          <cell r="K4281" t="str">
            <v>YES</v>
          </cell>
        </row>
        <row r="4282">
          <cell r="I4282" t="str">
            <v>V31296</v>
          </cell>
          <cell r="J4282" t="str">
            <v>CTC</v>
          </cell>
          <cell r="K4282" t="str">
            <v>YES</v>
          </cell>
        </row>
        <row r="4283">
          <cell r="I4283" t="str">
            <v>V31487</v>
          </cell>
          <cell r="J4283" t="str">
            <v>CTC</v>
          </cell>
          <cell r="K4283" t="str">
            <v>YES</v>
          </cell>
        </row>
        <row r="4284">
          <cell r="I4284" t="str">
            <v>V31630</v>
          </cell>
          <cell r="J4284" t="str">
            <v>CTC</v>
          </cell>
          <cell r="K4284" t="str">
            <v>YES</v>
          </cell>
        </row>
        <row r="4285">
          <cell r="I4285" t="str">
            <v>V36080</v>
          </cell>
          <cell r="J4285" t="str">
            <v>CTC</v>
          </cell>
          <cell r="K4285" t="str">
            <v>YES</v>
          </cell>
        </row>
        <row r="4286">
          <cell r="I4286" t="str">
            <v>V36081</v>
          </cell>
          <cell r="J4286" t="str">
            <v>CTC</v>
          </cell>
          <cell r="K4286" t="str">
            <v>YES</v>
          </cell>
        </row>
        <row r="4287">
          <cell r="I4287" t="str">
            <v>V34745</v>
          </cell>
          <cell r="J4287" t="str">
            <v>CTC</v>
          </cell>
          <cell r="K4287" t="str">
            <v>YES</v>
          </cell>
        </row>
        <row r="4288">
          <cell r="I4288" t="str">
            <v>V44849</v>
          </cell>
          <cell r="J4288" t="str">
            <v>CTC</v>
          </cell>
          <cell r="K4288" t="str">
            <v>YES</v>
          </cell>
        </row>
        <row r="4289">
          <cell r="I4289" t="str">
            <v>V43660</v>
          </cell>
          <cell r="J4289" t="str">
            <v>CTC</v>
          </cell>
          <cell r="K4289" t="str">
            <v>YES</v>
          </cell>
        </row>
        <row r="4290">
          <cell r="I4290" t="str">
            <v>V37746</v>
          </cell>
          <cell r="J4290" t="str">
            <v>CTC</v>
          </cell>
          <cell r="K4290" t="str">
            <v>YES</v>
          </cell>
        </row>
        <row r="4291">
          <cell r="I4291" t="str">
            <v>V29865</v>
          </cell>
          <cell r="J4291" t="str">
            <v>CTC</v>
          </cell>
          <cell r="K4291" t="str">
            <v>YES</v>
          </cell>
        </row>
        <row r="4292">
          <cell r="I4292" t="str">
            <v>V27534</v>
          </cell>
          <cell r="J4292" t="str">
            <v>CTC</v>
          </cell>
          <cell r="K4292" t="str">
            <v>YES</v>
          </cell>
        </row>
        <row r="4293">
          <cell r="I4293" t="str">
            <v>V33609</v>
          </cell>
          <cell r="J4293" t="str">
            <v>CTC</v>
          </cell>
          <cell r="K4293" t="str">
            <v>YES</v>
          </cell>
        </row>
        <row r="4294">
          <cell r="I4294" t="str">
            <v>V44135</v>
          </cell>
          <cell r="J4294" t="str">
            <v>CTC</v>
          </cell>
          <cell r="K4294" t="str">
            <v>YES</v>
          </cell>
        </row>
        <row r="4295">
          <cell r="I4295" t="str">
            <v>V42457</v>
          </cell>
          <cell r="J4295" t="str">
            <v>CTC</v>
          </cell>
          <cell r="K4295" t="str">
            <v>YES</v>
          </cell>
        </row>
        <row r="4296">
          <cell r="I4296" t="str">
            <v>V48330</v>
          </cell>
          <cell r="J4296" t="str">
            <v>CTC</v>
          </cell>
          <cell r="K4296" t="str">
            <v>YES</v>
          </cell>
        </row>
        <row r="4297">
          <cell r="I4297" t="str">
            <v>V46746</v>
          </cell>
          <cell r="J4297" t="str">
            <v>CTC</v>
          </cell>
          <cell r="K4297" t="str">
            <v>YES</v>
          </cell>
        </row>
        <row r="4298">
          <cell r="I4298" t="str">
            <v>V31568</v>
          </cell>
          <cell r="J4298" t="str">
            <v>CTC</v>
          </cell>
          <cell r="K4298" t="str">
            <v>YES</v>
          </cell>
        </row>
        <row r="4299">
          <cell r="I4299" t="str">
            <v>V35582</v>
          </cell>
          <cell r="J4299" t="str">
            <v>CTC</v>
          </cell>
          <cell r="K4299" t="str">
            <v>YES</v>
          </cell>
        </row>
        <row r="4300">
          <cell r="I4300" t="str">
            <v>V43170</v>
          </cell>
          <cell r="J4300" t="str">
            <v>CTC</v>
          </cell>
          <cell r="K4300" t="str">
            <v>YES</v>
          </cell>
        </row>
        <row r="4301">
          <cell r="I4301" t="str">
            <v>V43237</v>
          </cell>
          <cell r="J4301" t="str">
            <v>CTC</v>
          </cell>
          <cell r="K4301" t="str">
            <v>YES</v>
          </cell>
        </row>
        <row r="4302">
          <cell r="I4302" t="str">
            <v>V29834</v>
          </cell>
          <cell r="J4302" t="str">
            <v>CTC</v>
          </cell>
          <cell r="K4302" t="str">
            <v>YES</v>
          </cell>
        </row>
        <row r="4303">
          <cell r="I4303" t="str">
            <v>V24273</v>
          </cell>
          <cell r="J4303" t="str">
            <v>CTC</v>
          </cell>
          <cell r="K4303" t="str">
            <v>YES</v>
          </cell>
        </row>
        <row r="4304">
          <cell r="I4304" t="str">
            <v>V24276</v>
          </cell>
          <cell r="J4304" t="str">
            <v>CTC</v>
          </cell>
          <cell r="K4304" t="str">
            <v>YES</v>
          </cell>
        </row>
        <row r="4305">
          <cell r="I4305" t="str">
            <v>V24297</v>
          </cell>
          <cell r="J4305" t="str">
            <v>CTC</v>
          </cell>
          <cell r="K4305" t="str">
            <v>YES</v>
          </cell>
        </row>
        <row r="4306">
          <cell r="I4306" t="str">
            <v>V24299</v>
          </cell>
          <cell r="J4306" t="str">
            <v>CTC</v>
          </cell>
          <cell r="K4306" t="str">
            <v>YES</v>
          </cell>
        </row>
        <row r="4307">
          <cell r="I4307" t="str">
            <v>V24618</v>
          </cell>
          <cell r="J4307" t="str">
            <v>CTC</v>
          </cell>
          <cell r="K4307" t="str">
            <v>YES</v>
          </cell>
        </row>
        <row r="4308">
          <cell r="I4308" t="str">
            <v>V24917</v>
          </cell>
          <cell r="J4308" t="str">
            <v>CTC</v>
          </cell>
          <cell r="K4308" t="str">
            <v>YES</v>
          </cell>
        </row>
        <row r="4309">
          <cell r="I4309" t="str">
            <v>V25133</v>
          </cell>
          <cell r="J4309" t="str">
            <v>CTC</v>
          </cell>
          <cell r="K4309" t="str">
            <v>YES</v>
          </cell>
        </row>
        <row r="4310">
          <cell r="I4310" t="str">
            <v>V25447</v>
          </cell>
          <cell r="J4310" t="str">
            <v>CTC</v>
          </cell>
          <cell r="K4310" t="str">
            <v>YES</v>
          </cell>
        </row>
        <row r="4311">
          <cell r="I4311" t="str">
            <v>V25468</v>
          </cell>
          <cell r="J4311" t="str">
            <v>CTC</v>
          </cell>
          <cell r="K4311" t="str">
            <v>YES</v>
          </cell>
        </row>
        <row r="4312">
          <cell r="I4312" t="str">
            <v>V25469</v>
          </cell>
          <cell r="J4312" t="str">
            <v>CTC</v>
          </cell>
          <cell r="K4312" t="str">
            <v>YES</v>
          </cell>
        </row>
        <row r="4313">
          <cell r="I4313" t="str">
            <v>V29481</v>
          </cell>
          <cell r="J4313" t="str">
            <v>CTC</v>
          </cell>
          <cell r="K4313" t="str">
            <v>YES</v>
          </cell>
        </row>
        <row r="4314">
          <cell r="I4314" t="str">
            <v>V29616</v>
          </cell>
          <cell r="J4314" t="str">
            <v>CTC</v>
          </cell>
          <cell r="K4314" t="str">
            <v>YES</v>
          </cell>
        </row>
        <row r="4315">
          <cell r="I4315" t="str">
            <v>V29731</v>
          </cell>
          <cell r="J4315" t="str">
            <v>CTC</v>
          </cell>
          <cell r="K4315" t="str">
            <v>YES</v>
          </cell>
        </row>
        <row r="4316">
          <cell r="I4316" t="str">
            <v>V29756</v>
          </cell>
          <cell r="J4316" t="str">
            <v>CTC</v>
          </cell>
          <cell r="K4316" t="str">
            <v>YES</v>
          </cell>
        </row>
        <row r="4317">
          <cell r="I4317" t="str">
            <v>V29762</v>
          </cell>
          <cell r="J4317" t="str">
            <v>CTC</v>
          </cell>
          <cell r="K4317" t="str">
            <v>YES</v>
          </cell>
        </row>
        <row r="4318">
          <cell r="I4318" t="str">
            <v>V29939</v>
          </cell>
          <cell r="J4318" t="str">
            <v>CTC</v>
          </cell>
          <cell r="K4318" t="str">
            <v>YES</v>
          </cell>
        </row>
        <row r="4319">
          <cell r="I4319" t="str">
            <v>V29940</v>
          </cell>
          <cell r="J4319" t="str">
            <v>CTC</v>
          </cell>
          <cell r="K4319" t="str">
            <v>YES</v>
          </cell>
        </row>
        <row r="4320">
          <cell r="I4320" t="str">
            <v>V30155</v>
          </cell>
          <cell r="J4320" t="str">
            <v>CTC</v>
          </cell>
          <cell r="K4320" t="str">
            <v>YES</v>
          </cell>
        </row>
        <row r="4321">
          <cell r="I4321" t="str">
            <v>V30173</v>
          </cell>
          <cell r="J4321" t="str">
            <v>CTC</v>
          </cell>
          <cell r="K4321" t="str">
            <v>YES</v>
          </cell>
        </row>
        <row r="4322">
          <cell r="I4322" t="str">
            <v>V30431</v>
          </cell>
          <cell r="J4322" t="str">
            <v>CTC</v>
          </cell>
          <cell r="K4322" t="str">
            <v>YES</v>
          </cell>
        </row>
        <row r="4323">
          <cell r="I4323" t="str">
            <v>V30582</v>
          </cell>
          <cell r="J4323" t="str">
            <v>CTC</v>
          </cell>
          <cell r="K4323" t="str">
            <v>YES</v>
          </cell>
        </row>
        <row r="4324">
          <cell r="I4324" t="str">
            <v>V31086</v>
          </cell>
          <cell r="J4324" t="str">
            <v>CTC</v>
          </cell>
          <cell r="K4324" t="str">
            <v>YES</v>
          </cell>
        </row>
        <row r="4325">
          <cell r="I4325" t="str">
            <v>V31303</v>
          </cell>
          <cell r="J4325" t="str">
            <v>CTC</v>
          </cell>
          <cell r="K4325" t="str">
            <v>YES</v>
          </cell>
        </row>
        <row r="4326">
          <cell r="I4326" t="str">
            <v>V31427</v>
          </cell>
          <cell r="J4326" t="str">
            <v>CTC</v>
          </cell>
          <cell r="K4326" t="str">
            <v>YES</v>
          </cell>
        </row>
        <row r="4327">
          <cell r="I4327" t="str">
            <v>V31583</v>
          </cell>
          <cell r="J4327" t="str">
            <v>CTC</v>
          </cell>
          <cell r="K4327" t="str">
            <v>YES</v>
          </cell>
        </row>
        <row r="4328">
          <cell r="I4328" t="str">
            <v>V31794</v>
          </cell>
          <cell r="J4328" t="str">
            <v>CTC</v>
          </cell>
          <cell r="K4328" t="str">
            <v>YES</v>
          </cell>
        </row>
        <row r="4329">
          <cell r="I4329" t="str">
            <v>V32061</v>
          </cell>
          <cell r="J4329" t="str">
            <v>CTC</v>
          </cell>
          <cell r="K4329" t="str">
            <v>YES</v>
          </cell>
        </row>
        <row r="4330">
          <cell r="I4330" t="str">
            <v>V32109</v>
          </cell>
          <cell r="J4330" t="str">
            <v>CTC</v>
          </cell>
          <cell r="K4330" t="str">
            <v>YES</v>
          </cell>
        </row>
        <row r="4331">
          <cell r="I4331" t="str">
            <v>V32272</v>
          </cell>
          <cell r="J4331" t="str">
            <v>CTC</v>
          </cell>
          <cell r="K4331" t="str">
            <v>YES</v>
          </cell>
        </row>
        <row r="4332">
          <cell r="I4332" t="str">
            <v>V32273</v>
          </cell>
          <cell r="J4332" t="str">
            <v>CTC</v>
          </cell>
          <cell r="K4332" t="str">
            <v>YES</v>
          </cell>
        </row>
        <row r="4333">
          <cell r="I4333" t="str">
            <v>V32372</v>
          </cell>
          <cell r="J4333" t="str">
            <v>CTC</v>
          </cell>
          <cell r="K4333" t="str">
            <v>YES</v>
          </cell>
        </row>
        <row r="4334">
          <cell r="I4334" t="str">
            <v>V32692</v>
          </cell>
          <cell r="J4334" t="str">
            <v>CTC</v>
          </cell>
          <cell r="K4334" t="str">
            <v>YES</v>
          </cell>
        </row>
        <row r="4335">
          <cell r="I4335" t="str">
            <v>V32854</v>
          </cell>
          <cell r="J4335" t="str">
            <v>CTC</v>
          </cell>
          <cell r="K4335" t="str">
            <v>YES</v>
          </cell>
        </row>
        <row r="4336">
          <cell r="I4336" t="str">
            <v>V32875</v>
          </cell>
          <cell r="J4336" t="str">
            <v>CTC</v>
          </cell>
          <cell r="K4336" t="str">
            <v>YES</v>
          </cell>
        </row>
        <row r="4337">
          <cell r="I4337" t="str">
            <v>V32941</v>
          </cell>
          <cell r="J4337" t="str">
            <v>CTC</v>
          </cell>
          <cell r="K4337" t="str">
            <v>YES</v>
          </cell>
        </row>
        <row r="4338">
          <cell r="I4338" t="str">
            <v>V33011</v>
          </cell>
          <cell r="J4338" t="str">
            <v>CTC</v>
          </cell>
          <cell r="K4338" t="str">
            <v>YES</v>
          </cell>
        </row>
        <row r="4339">
          <cell r="I4339" t="str">
            <v>V33299</v>
          </cell>
          <cell r="J4339" t="str">
            <v>CTC</v>
          </cell>
          <cell r="K4339" t="str">
            <v>YES</v>
          </cell>
        </row>
        <row r="4340">
          <cell r="I4340" t="str">
            <v>V33582</v>
          </cell>
          <cell r="J4340" t="str">
            <v>CTC</v>
          </cell>
          <cell r="K4340" t="str">
            <v>YES</v>
          </cell>
        </row>
        <row r="4341">
          <cell r="I4341" t="str">
            <v>V33828</v>
          </cell>
          <cell r="J4341" t="str">
            <v>CTC</v>
          </cell>
          <cell r="K4341" t="str">
            <v>YES</v>
          </cell>
        </row>
        <row r="4342">
          <cell r="I4342" t="str">
            <v>V33911</v>
          </cell>
          <cell r="J4342" t="str">
            <v>CTC</v>
          </cell>
          <cell r="K4342" t="str">
            <v>YES</v>
          </cell>
        </row>
        <row r="4343">
          <cell r="I4343" t="str">
            <v>V34234</v>
          </cell>
          <cell r="J4343" t="str">
            <v>CTC</v>
          </cell>
          <cell r="K4343" t="str">
            <v>YES</v>
          </cell>
        </row>
        <row r="4344">
          <cell r="I4344" t="str">
            <v>V34312</v>
          </cell>
          <cell r="J4344" t="str">
            <v>CTC</v>
          </cell>
          <cell r="K4344" t="str">
            <v>YES</v>
          </cell>
        </row>
        <row r="4345">
          <cell r="I4345" t="str">
            <v>V34421</v>
          </cell>
          <cell r="J4345" t="str">
            <v>CTC</v>
          </cell>
          <cell r="K4345" t="str">
            <v>YES</v>
          </cell>
        </row>
        <row r="4346">
          <cell r="I4346" t="str">
            <v>V34422</v>
          </cell>
          <cell r="J4346" t="str">
            <v>CTC</v>
          </cell>
          <cell r="K4346" t="str">
            <v>YES</v>
          </cell>
        </row>
        <row r="4347">
          <cell r="I4347" t="str">
            <v>V34437</v>
          </cell>
          <cell r="J4347" t="str">
            <v>CTC</v>
          </cell>
          <cell r="K4347" t="str">
            <v>YES</v>
          </cell>
        </row>
        <row r="4348">
          <cell r="I4348" t="str">
            <v>V34517</v>
          </cell>
          <cell r="J4348" t="str">
            <v>CTC</v>
          </cell>
          <cell r="K4348" t="str">
            <v>YES</v>
          </cell>
        </row>
        <row r="4349">
          <cell r="I4349" t="str">
            <v>V35159</v>
          </cell>
          <cell r="J4349" t="str">
            <v>CTC</v>
          </cell>
          <cell r="K4349" t="str">
            <v>YES</v>
          </cell>
        </row>
        <row r="4350">
          <cell r="I4350" t="str">
            <v>V47169</v>
          </cell>
          <cell r="J4350" t="str">
            <v>CTC</v>
          </cell>
          <cell r="K4350" t="str">
            <v>YES</v>
          </cell>
        </row>
        <row r="4351">
          <cell r="I4351" t="str">
            <v>V43709</v>
          </cell>
          <cell r="J4351" t="str">
            <v>CTC</v>
          </cell>
          <cell r="K4351" t="str">
            <v>YES</v>
          </cell>
        </row>
        <row r="4352">
          <cell r="I4352" t="str">
            <v>V40386</v>
          </cell>
          <cell r="J4352" t="str">
            <v>CTC</v>
          </cell>
          <cell r="K4352" t="str">
            <v>YES</v>
          </cell>
        </row>
        <row r="4353">
          <cell r="I4353" t="str">
            <v>V24785</v>
          </cell>
          <cell r="J4353" t="str">
            <v>CTC</v>
          </cell>
          <cell r="K4353" t="str">
            <v>YES</v>
          </cell>
        </row>
        <row r="4354">
          <cell r="I4354" t="str">
            <v>V32836</v>
          </cell>
          <cell r="J4354" t="str">
            <v>CTC</v>
          </cell>
          <cell r="K4354" t="str">
            <v>YES</v>
          </cell>
        </row>
        <row r="4355">
          <cell r="I4355" t="str">
            <v>V36431</v>
          </cell>
          <cell r="J4355" t="str">
            <v>CTC</v>
          </cell>
          <cell r="K4355" t="str">
            <v>YES</v>
          </cell>
        </row>
        <row r="4356">
          <cell r="I4356" t="str">
            <v>V35931</v>
          </cell>
          <cell r="J4356" t="str">
            <v>CTC</v>
          </cell>
          <cell r="K4356" t="str">
            <v>YES</v>
          </cell>
        </row>
        <row r="4357">
          <cell r="I4357" t="str">
            <v>V37010</v>
          </cell>
          <cell r="J4357" t="str">
            <v>CTC</v>
          </cell>
          <cell r="K4357" t="str">
            <v>YES</v>
          </cell>
        </row>
        <row r="4358">
          <cell r="I4358" t="str">
            <v>V37320</v>
          </cell>
          <cell r="J4358" t="str">
            <v>CTC</v>
          </cell>
          <cell r="K4358" t="str">
            <v>YES</v>
          </cell>
        </row>
        <row r="4359">
          <cell r="I4359" t="str">
            <v>V37805</v>
          </cell>
          <cell r="J4359" t="str">
            <v>CTC</v>
          </cell>
          <cell r="K4359" t="str">
            <v>YES</v>
          </cell>
        </row>
        <row r="4360">
          <cell r="I4360" t="str">
            <v>V38051</v>
          </cell>
          <cell r="J4360" t="str">
            <v>CTC</v>
          </cell>
          <cell r="K4360" t="str">
            <v>YES</v>
          </cell>
        </row>
        <row r="4361">
          <cell r="I4361" t="str">
            <v>V38394</v>
          </cell>
          <cell r="J4361" t="str">
            <v>CTC</v>
          </cell>
          <cell r="K4361" t="str">
            <v>YES</v>
          </cell>
        </row>
        <row r="4362">
          <cell r="I4362" t="str">
            <v>V39032</v>
          </cell>
          <cell r="J4362" t="str">
            <v>CTC</v>
          </cell>
          <cell r="K4362" t="str">
            <v>YES</v>
          </cell>
        </row>
        <row r="4363">
          <cell r="I4363" t="str">
            <v>V39613</v>
          </cell>
          <cell r="J4363" t="str">
            <v>CTC</v>
          </cell>
          <cell r="K4363" t="str">
            <v>YES</v>
          </cell>
        </row>
        <row r="4364">
          <cell r="I4364" t="str">
            <v>V39648</v>
          </cell>
          <cell r="J4364" t="str">
            <v>CTC</v>
          </cell>
          <cell r="K4364" t="str">
            <v>YES</v>
          </cell>
        </row>
        <row r="4365">
          <cell r="I4365" t="str">
            <v>V39774</v>
          </cell>
          <cell r="J4365" t="str">
            <v>CTC</v>
          </cell>
          <cell r="K4365" t="str">
            <v>YES</v>
          </cell>
        </row>
        <row r="4366">
          <cell r="I4366" t="str">
            <v>V41441</v>
          </cell>
          <cell r="J4366" t="str">
            <v>CTC</v>
          </cell>
          <cell r="K4366" t="str">
            <v>YES</v>
          </cell>
        </row>
        <row r="4367">
          <cell r="I4367" t="str">
            <v>V42400</v>
          </cell>
          <cell r="J4367" t="str">
            <v>CTC</v>
          </cell>
          <cell r="K4367" t="str">
            <v>YES</v>
          </cell>
        </row>
        <row r="4368">
          <cell r="I4368" t="str">
            <v>V31143</v>
          </cell>
          <cell r="J4368" t="str">
            <v>CTC</v>
          </cell>
          <cell r="K4368" t="str">
            <v>YES</v>
          </cell>
        </row>
        <row r="4369">
          <cell r="I4369" t="str">
            <v>V31235</v>
          </cell>
          <cell r="J4369" t="str">
            <v>CTC</v>
          </cell>
          <cell r="K4369" t="str">
            <v>YES</v>
          </cell>
        </row>
        <row r="4370">
          <cell r="I4370" t="str">
            <v>V37818</v>
          </cell>
          <cell r="J4370" t="str">
            <v>CTC</v>
          </cell>
          <cell r="K4370" t="str">
            <v>YES</v>
          </cell>
        </row>
        <row r="4371">
          <cell r="I4371" t="str">
            <v>V37819</v>
          </cell>
          <cell r="J4371" t="str">
            <v>CTC</v>
          </cell>
          <cell r="K4371" t="str">
            <v>YES</v>
          </cell>
        </row>
        <row r="4372">
          <cell r="I4372" t="str">
            <v>V37821</v>
          </cell>
          <cell r="J4372" t="str">
            <v>CTC</v>
          </cell>
          <cell r="K4372" t="str">
            <v>YES</v>
          </cell>
        </row>
        <row r="4373">
          <cell r="I4373" t="str">
            <v>V37841</v>
          </cell>
          <cell r="J4373" t="str">
            <v>CTC</v>
          </cell>
          <cell r="K4373" t="str">
            <v>YES</v>
          </cell>
        </row>
        <row r="4374">
          <cell r="I4374" t="str">
            <v>V37857</v>
          </cell>
          <cell r="J4374" t="str">
            <v>CTC</v>
          </cell>
          <cell r="K4374" t="str">
            <v>YES</v>
          </cell>
        </row>
        <row r="4375">
          <cell r="I4375" t="str">
            <v>V37910</v>
          </cell>
          <cell r="J4375" t="str">
            <v>CTC</v>
          </cell>
          <cell r="K4375" t="str">
            <v>YES</v>
          </cell>
        </row>
        <row r="4376">
          <cell r="I4376" t="str">
            <v>V37915</v>
          </cell>
          <cell r="J4376" t="str">
            <v>CTC</v>
          </cell>
          <cell r="K4376" t="str">
            <v>YES</v>
          </cell>
        </row>
        <row r="4377">
          <cell r="I4377" t="str">
            <v>V38406</v>
          </cell>
          <cell r="J4377" t="str">
            <v>CTC</v>
          </cell>
          <cell r="K4377" t="str">
            <v>YES</v>
          </cell>
        </row>
        <row r="4378">
          <cell r="I4378" t="str">
            <v>V38561</v>
          </cell>
          <cell r="J4378" t="str">
            <v>CTC</v>
          </cell>
          <cell r="K4378" t="str">
            <v>YES</v>
          </cell>
        </row>
        <row r="4379">
          <cell r="I4379" t="str">
            <v>V38577</v>
          </cell>
          <cell r="J4379" t="str">
            <v>CTC</v>
          </cell>
          <cell r="K4379" t="str">
            <v>YES</v>
          </cell>
        </row>
        <row r="4380">
          <cell r="I4380" t="str">
            <v>V39502</v>
          </cell>
          <cell r="J4380" t="str">
            <v>CTC</v>
          </cell>
          <cell r="K4380" t="str">
            <v>YES</v>
          </cell>
        </row>
        <row r="4381">
          <cell r="I4381" t="str">
            <v>V39515</v>
          </cell>
          <cell r="J4381" t="str">
            <v>CTC</v>
          </cell>
          <cell r="K4381" t="str">
            <v>YES</v>
          </cell>
        </row>
        <row r="4382">
          <cell r="I4382" t="str">
            <v>V39517</v>
          </cell>
          <cell r="J4382" t="str">
            <v>CTC</v>
          </cell>
          <cell r="K4382" t="str">
            <v>YES</v>
          </cell>
        </row>
        <row r="4383">
          <cell r="I4383" t="str">
            <v>V39600</v>
          </cell>
          <cell r="J4383" t="str">
            <v>CTC</v>
          </cell>
          <cell r="K4383" t="str">
            <v>YES</v>
          </cell>
        </row>
        <row r="4384">
          <cell r="I4384" t="str">
            <v>V40858</v>
          </cell>
          <cell r="J4384" t="str">
            <v>CTC</v>
          </cell>
          <cell r="K4384" t="str">
            <v>YES</v>
          </cell>
        </row>
        <row r="4385">
          <cell r="I4385" t="str">
            <v>V38462</v>
          </cell>
          <cell r="J4385" t="str">
            <v>CTC</v>
          </cell>
          <cell r="K4385" t="str">
            <v>YES</v>
          </cell>
        </row>
        <row r="4386">
          <cell r="I4386" t="str">
            <v>V43089</v>
          </cell>
          <cell r="J4386" t="str">
            <v>CTC</v>
          </cell>
          <cell r="K4386" t="str">
            <v>YES</v>
          </cell>
        </row>
        <row r="4387">
          <cell r="I4387" t="str">
            <v>V38829</v>
          </cell>
          <cell r="J4387" t="str">
            <v>CTC</v>
          </cell>
          <cell r="K4387" t="str">
            <v>YES</v>
          </cell>
        </row>
        <row r="4388">
          <cell r="I4388" t="str">
            <v>V33891</v>
          </cell>
          <cell r="J4388" t="str">
            <v>CTC</v>
          </cell>
          <cell r="K4388" t="str">
            <v>YES</v>
          </cell>
        </row>
        <row r="4389">
          <cell r="I4389" t="str">
            <v>V43172</v>
          </cell>
          <cell r="J4389" t="str">
            <v>CTC</v>
          </cell>
          <cell r="K4389" t="str">
            <v>YES</v>
          </cell>
        </row>
        <row r="4390">
          <cell r="I4390" t="str">
            <v>V33083</v>
          </cell>
          <cell r="J4390" t="str">
            <v>CTC</v>
          </cell>
          <cell r="K4390" t="str">
            <v>YES</v>
          </cell>
        </row>
        <row r="4391">
          <cell r="I4391" t="str">
            <v>V28898</v>
          </cell>
          <cell r="J4391" t="str">
            <v>CTC</v>
          </cell>
          <cell r="K4391" t="str">
            <v>YES</v>
          </cell>
        </row>
        <row r="4392">
          <cell r="I4392" t="str">
            <v>V29060</v>
          </cell>
          <cell r="J4392" t="str">
            <v>CTC</v>
          </cell>
          <cell r="K4392" t="str">
            <v>YES</v>
          </cell>
        </row>
        <row r="4393">
          <cell r="I4393" t="str">
            <v>V29465</v>
          </cell>
          <cell r="J4393" t="str">
            <v>CTC</v>
          </cell>
          <cell r="K4393" t="str">
            <v>YES</v>
          </cell>
        </row>
        <row r="4394">
          <cell r="I4394" t="str">
            <v>V29725</v>
          </cell>
          <cell r="J4394" t="str">
            <v>CTC</v>
          </cell>
          <cell r="K4394" t="str">
            <v>YES</v>
          </cell>
        </row>
        <row r="4395">
          <cell r="I4395" t="str">
            <v>V29904</v>
          </cell>
          <cell r="J4395" t="str">
            <v>CTC</v>
          </cell>
          <cell r="K4395" t="str">
            <v>YES</v>
          </cell>
        </row>
        <row r="4396">
          <cell r="I4396" t="str">
            <v>V29905</v>
          </cell>
          <cell r="J4396" t="str">
            <v>CTC</v>
          </cell>
          <cell r="K4396" t="str">
            <v>YES</v>
          </cell>
        </row>
        <row r="4397">
          <cell r="I4397" t="str">
            <v>V29907</v>
          </cell>
          <cell r="J4397" t="str">
            <v>CTC</v>
          </cell>
          <cell r="K4397" t="str">
            <v>YES</v>
          </cell>
        </row>
        <row r="4398">
          <cell r="I4398" t="str">
            <v>V29994</v>
          </cell>
          <cell r="J4398" t="str">
            <v>CTC</v>
          </cell>
          <cell r="K4398" t="str">
            <v>YES</v>
          </cell>
        </row>
        <row r="4399">
          <cell r="I4399" t="str">
            <v>V30030</v>
          </cell>
          <cell r="J4399" t="str">
            <v>CTC</v>
          </cell>
          <cell r="K4399" t="str">
            <v>YES</v>
          </cell>
        </row>
        <row r="4400">
          <cell r="I4400" t="str">
            <v>V30035</v>
          </cell>
          <cell r="J4400" t="str">
            <v>CTC</v>
          </cell>
          <cell r="K4400" t="str">
            <v>YES</v>
          </cell>
        </row>
        <row r="4401">
          <cell r="I4401" t="str">
            <v>V30036</v>
          </cell>
          <cell r="J4401" t="str">
            <v>CTC</v>
          </cell>
          <cell r="K4401" t="str">
            <v>YES</v>
          </cell>
        </row>
        <row r="4402">
          <cell r="I4402" t="str">
            <v>V30059</v>
          </cell>
          <cell r="J4402" t="str">
            <v>CTC</v>
          </cell>
          <cell r="K4402" t="str">
            <v>YES</v>
          </cell>
        </row>
        <row r="4403">
          <cell r="I4403" t="str">
            <v>V30061</v>
          </cell>
          <cell r="J4403" t="str">
            <v>CTC</v>
          </cell>
          <cell r="K4403" t="str">
            <v>YES</v>
          </cell>
        </row>
        <row r="4404">
          <cell r="I4404" t="str">
            <v>V30067</v>
          </cell>
          <cell r="J4404" t="str">
            <v>CTC</v>
          </cell>
          <cell r="K4404" t="str">
            <v>YES</v>
          </cell>
        </row>
        <row r="4405">
          <cell r="I4405" t="str">
            <v>V30069</v>
          </cell>
          <cell r="J4405" t="str">
            <v>CTC</v>
          </cell>
          <cell r="K4405" t="str">
            <v>YES</v>
          </cell>
        </row>
        <row r="4406">
          <cell r="I4406" t="str">
            <v>V30121</v>
          </cell>
          <cell r="J4406" t="str">
            <v>CTC</v>
          </cell>
          <cell r="K4406" t="str">
            <v>YES</v>
          </cell>
        </row>
        <row r="4407">
          <cell r="I4407" t="str">
            <v>V30128</v>
          </cell>
          <cell r="J4407" t="str">
            <v>CTC</v>
          </cell>
          <cell r="K4407" t="str">
            <v>YES</v>
          </cell>
        </row>
        <row r="4408">
          <cell r="I4408" t="str">
            <v>V30132</v>
          </cell>
          <cell r="J4408" t="str">
            <v>CTC</v>
          </cell>
          <cell r="K4408" t="str">
            <v>YES</v>
          </cell>
        </row>
        <row r="4409">
          <cell r="I4409" t="str">
            <v>V30135</v>
          </cell>
          <cell r="J4409" t="str">
            <v>CTC</v>
          </cell>
          <cell r="K4409" t="str">
            <v>YES</v>
          </cell>
        </row>
        <row r="4410">
          <cell r="I4410" t="str">
            <v>V30172</v>
          </cell>
          <cell r="J4410" t="str">
            <v>CTC</v>
          </cell>
          <cell r="K4410" t="str">
            <v>YES</v>
          </cell>
        </row>
        <row r="4411">
          <cell r="I4411" t="str">
            <v>V30336</v>
          </cell>
          <cell r="J4411" t="str">
            <v>CTC</v>
          </cell>
          <cell r="K4411" t="str">
            <v>YES</v>
          </cell>
        </row>
        <row r="4412">
          <cell r="I4412" t="str">
            <v>V30662</v>
          </cell>
          <cell r="J4412" t="str">
            <v>CTC</v>
          </cell>
          <cell r="K4412" t="str">
            <v>YES</v>
          </cell>
        </row>
        <row r="4413">
          <cell r="I4413" t="str">
            <v>V30683</v>
          </cell>
          <cell r="J4413" t="str">
            <v>CTC</v>
          </cell>
          <cell r="K4413" t="str">
            <v>YES</v>
          </cell>
        </row>
        <row r="4414">
          <cell r="I4414" t="str">
            <v>V31390</v>
          </cell>
          <cell r="J4414" t="str">
            <v>CTC</v>
          </cell>
          <cell r="K4414" t="str">
            <v>YES</v>
          </cell>
        </row>
        <row r="4415">
          <cell r="I4415" t="str">
            <v>V31442</v>
          </cell>
          <cell r="J4415" t="str">
            <v>CTC</v>
          </cell>
          <cell r="K4415" t="str">
            <v>YES</v>
          </cell>
        </row>
        <row r="4416">
          <cell r="I4416" t="str">
            <v>V31502</v>
          </cell>
          <cell r="J4416" t="str">
            <v>CTC</v>
          </cell>
          <cell r="K4416" t="str">
            <v>YES</v>
          </cell>
        </row>
        <row r="4417">
          <cell r="I4417" t="str">
            <v>V31667</v>
          </cell>
          <cell r="J4417" t="str">
            <v>CTC</v>
          </cell>
          <cell r="K4417" t="str">
            <v>YES</v>
          </cell>
        </row>
        <row r="4418">
          <cell r="I4418" t="str">
            <v>V31682</v>
          </cell>
          <cell r="J4418" t="str">
            <v>CTC</v>
          </cell>
          <cell r="K4418" t="str">
            <v>YES</v>
          </cell>
        </row>
        <row r="4419">
          <cell r="I4419" t="str">
            <v>V31704</v>
          </cell>
          <cell r="J4419" t="str">
            <v>CTC</v>
          </cell>
          <cell r="K4419" t="str">
            <v>YES</v>
          </cell>
        </row>
        <row r="4420">
          <cell r="I4420" t="str">
            <v>V31754</v>
          </cell>
          <cell r="J4420" t="str">
            <v>CTC</v>
          </cell>
          <cell r="K4420" t="str">
            <v>YES</v>
          </cell>
        </row>
        <row r="4421">
          <cell r="I4421" t="str">
            <v>V31849</v>
          </cell>
          <cell r="J4421" t="str">
            <v>CTC</v>
          </cell>
          <cell r="K4421" t="str">
            <v>YES</v>
          </cell>
        </row>
        <row r="4422">
          <cell r="I4422" t="str">
            <v>V31860</v>
          </cell>
          <cell r="J4422" t="str">
            <v>CTC</v>
          </cell>
          <cell r="K4422" t="str">
            <v>YES</v>
          </cell>
        </row>
        <row r="4423">
          <cell r="I4423" t="str">
            <v>V31877</v>
          </cell>
          <cell r="J4423" t="str">
            <v>CTC</v>
          </cell>
          <cell r="K4423" t="str">
            <v>YES</v>
          </cell>
        </row>
        <row r="4424">
          <cell r="I4424" t="str">
            <v>V31946</v>
          </cell>
          <cell r="J4424" t="str">
            <v>CTC</v>
          </cell>
          <cell r="K4424" t="str">
            <v>YES</v>
          </cell>
        </row>
        <row r="4425">
          <cell r="I4425" t="str">
            <v>V31948</v>
          </cell>
          <cell r="J4425" t="str">
            <v>CTC</v>
          </cell>
          <cell r="K4425" t="str">
            <v>YES</v>
          </cell>
        </row>
        <row r="4426">
          <cell r="I4426" t="str">
            <v>V32054</v>
          </cell>
          <cell r="J4426" t="str">
            <v>CTC</v>
          </cell>
          <cell r="K4426" t="str">
            <v>YES</v>
          </cell>
        </row>
        <row r="4427">
          <cell r="I4427" t="str">
            <v>V32183</v>
          </cell>
          <cell r="J4427" t="str">
            <v>CTC</v>
          </cell>
          <cell r="K4427" t="str">
            <v>YES</v>
          </cell>
        </row>
        <row r="4428">
          <cell r="I4428" t="str">
            <v>V32237</v>
          </cell>
          <cell r="J4428" t="str">
            <v>CTC</v>
          </cell>
          <cell r="K4428" t="str">
            <v>YES</v>
          </cell>
        </row>
        <row r="4429">
          <cell r="I4429" t="str">
            <v>V32240</v>
          </cell>
          <cell r="J4429" t="str">
            <v>CTC</v>
          </cell>
          <cell r="K4429" t="str">
            <v>YES</v>
          </cell>
        </row>
        <row r="4430">
          <cell r="I4430" t="str">
            <v>V32283</v>
          </cell>
          <cell r="J4430" t="str">
            <v>CTC</v>
          </cell>
          <cell r="K4430" t="str">
            <v>YES</v>
          </cell>
        </row>
        <row r="4431">
          <cell r="I4431" t="str">
            <v>V32292</v>
          </cell>
          <cell r="J4431" t="str">
            <v>CTC</v>
          </cell>
          <cell r="K4431" t="str">
            <v>YES</v>
          </cell>
        </row>
        <row r="4432">
          <cell r="I4432" t="str">
            <v>V32317</v>
          </cell>
          <cell r="J4432" t="str">
            <v>CTC</v>
          </cell>
          <cell r="K4432" t="str">
            <v>YES</v>
          </cell>
        </row>
        <row r="4433">
          <cell r="I4433" t="str">
            <v>V32348</v>
          </cell>
          <cell r="J4433" t="str">
            <v>CTC</v>
          </cell>
          <cell r="K4433" t="str">
            <v>YES</v>
          </cell>
        </row>
        <row r="4434">
          <cell r="I4434" t="str">
            <v>V32363</v>
          </cell>
          <cell r="J4434" t="str">
            <v>CTC</v>
          </cell>
          <cell r="K4434" t="str">
            <v>YES</v>
          </cell>
        </row>
        <row r="4435">
          <cell r="I4435" t="str">
            <v>V32391</v>
          </cell>
          <cell r="J4435" t="str">
            <v>CTC</v>
          </cell>
          <cell r="K4435" t="str">
            <v>YES</v>
          </cell>
        </row>
        <row r="4436">
          <cell r="I4436" t="str">
            <v>V32596</v>
          </cell>
          <cell r="J4436" t="str">
            <v>CTC</v>
          </cell>
          <cell r="K4436" t="str">
            <v>YES</v>
          </cell>
        </row>
        <row r="4437">
          <cell r="I4437" t="str">
            <v>V32790</v>
          </cell>
          <cell r="J4437" t="str">
            <v>CTC</v>
          </cell>
          <cell r="K4437" t="str">
            <v>YES</v>
          </cell>
        </row>
        <row r="4438">
          <cell r="I4438" t="str">
            <v>V32824</v>
          </cell>
          <cell r="J4438" t="str">
            <v>CTC</v>
          </cell>
          <cell r="K4438" t="str">
            <v>YES</v>
          </cell>
        </row>
        <row r="4439">
          <cell r="I4439" t="str">
            <v>V32842</v>
          </cell>
          <cell r="J4439" t="str">
            <v>CTC</v>
          </cell>
          <cell r="K4439" t="str">
            <v>YES</v>
          </cell>
        </row>
        <row r="4440">
          <cell r="I4440" t="str">
            <v>V32843</v>
          </cell>
          <cell r="J4440" t="str">
            <v>CTC</v>
          </cell>
          <cell r="K4440" t="str">
            <v>YES</v>
          </cell>
        </row>
        <row r="4441">
          <cell r="I4441" t="str">
            <v>V32890</v>
          </cell>
          <cell r="J4441" t="str">
            <v>CTC</v>
          </cell>
          <cell r="K4441" t="str">
            <v>YES</v>
          </cell>
        </row>
        <row r="4442">
          <cell r="I4442" t="str">
            <v>V32896</v>
          </cell>
          <cell r="J4442" t="str">
            <v>CTC</v>
          </cell>
          <cell r="K4442" t="str">
            <v>YES</v>
          </cell>
        </row>
        <row r="4443">
          <cell r="I4443" t="str">
            <v>V33121</v>
          </cell>
          <cell r="J4443" t="str">
            <v>CTC</v>
          </cell>
          <cell r="K4443" t="str">
            <v>YES</v>
          </cell>
        </row>
        <row r="4444">
          <cell r="I4444" t="str">
            <v>V33124</v>
          </cell>
          <cell r="J4444" t="str">
            <v>CTC</v>
          </cell>
          <cell r="K4444" t="str">
            <v>YES</v>
          </cell>
        </row>
        <row r="4445">
          <cell r="I4445" t="str">
            <v>V33139</v>
          </cell>
          <cell r="J4445" t="str">
            <v>CTC</v>
          </cell>
          <cell r="K4445" t="str">
            <v>YES</v>
          </cell>
        </row>
        <row r="4446">
          <cell r="I4446" t="str">
            <v>V33140</v>
          </cell>
          <cell r="J4446" t="str">
            <v>CTC</v>
          </cell>
          <cell r="K4446" t="str">
            <v>YES</v>
          </cell>
        </row>
        <row r="4447">
          <cell r="I4447" t="str">
            <v>V33230</v>
          </cell>
          <cell r="J4447" t="str">
            <v>CTC</v>
          </cell>
          <cell r="K4447" t="str">
            <v>YES</v>
          </cell>
        </row>
        <row r="4448">
          <cell r="I4448" t="str">
            <v>V33551</v>
          </cell>
          <cell r="J4448" t="str">
            <v>CTC</v>
          </cell>
          <cell r="K4448" t="str">
            <v>YES</v>
          </cell>
        </row>
        <row r="4449">
          <cell r="I4449" t="str">
            <v>V33892</v>
          </cell>
          <cell r="J4449" t="str">
            <v>CTC</v>
          </cell>
          <cell r="K4449" t="str">
            <v>YES</v>
          </cell>
        </row>
        <row r="4450">
          <cell r="I4450" t="str">
            <v>V34052</v>
          </cell>
          <cell r="J4450" t="str">
            <v>CTC</v>
          </cell>
          <cell r="K4450" t="str">
            <v>YES</v>
          </cell>
        </row>
        <row r="4451">
          <cell r="I4451" t="str">
            <v>V34513</v>
          </cell>
          <cell r="J4451" t="str">
            <v>CTC</v>
          </cell>
          <cell r="K4451" t="str">
            <v>YES</v>
          </cell>
        </row>
        <row r="4452">
          <cell r="I4452" t="str">
            <v>V34536</v>
          </cell>
          <cell r="J4452" t="str">
            <v>CTC</v>
          </cell>
          <cell r="K4452" t="str">
            <v>YES</v>
          </cell>
        </row>
        <row r="4453">
          <cell r="I4453" t="str">
            <v>V34539</v>
          </cell>
          <cell r="J4453" t="str">
            <v>CTC</v>
          </cell>
          <cell r="K4453" t="str">
            <v>YES</v>
          </cell>
        </row>
        <row r="4454">
          <cell r="I4454" t="str">
            <v>V34824</v>
          </cell>
          <cell r="J4454" t="str">
            <v>CTC</v>
          </cell>
          <cell r="K4454" t="str">
            <v>YES</v>
          </cell>
        </row>
        <row r="4455">
          <cell r="I4455" t="str">
            <v>V34855</v>
          </cell>
          <cell r="J4455" t="str">
            <v>CTC</v>
          </cell>
          <cell r="K4455" t="str">
            <v>YES</v>
          </cell>
        </row>
        <row r="4456">
          <cell r="I4456" t="str">
            <v>V25605</v>
          </cell>
          <cell r="J4456" t="str">
            <v>CTC</v>
          </cell>
          <cell r="K4456" t="str">
            <v>YES</v>
          </cell>
        </row>
        <row r="4457">
          <cell r="I4457" t="str">
            <v>V26482</v>
          </cell>
          <cell r="J4457" t="str">
            <v>CTC</v>
          </cell>
          <cell r="K4457" t="str">
            <v>YES</v>
          </cell>
        </row>
        <row r="4458">
          <cell r="I4458" t="str">
            <v>V26573</v>
          </cell>
          <cell r="J4458" t="str">
            <v>CTC</v>
          </cell>
          <cell r="K4458" t="str">
            <v>YES</v>
          </cell>
        </row>
        <row r="4459">
          <cell r="I4459" t="str">
            <v>V28086</v>
          </cell>
          <cell r="J4459" t="str">
            <v>CTC</v>
          </cell>
          <cell r="K4459" t="str">
            <v>YES</v>
          </cell>
        </row>
        <row r="4460">
          <cell r="I4460" t="str">
            <v>V28108</v>
          </cell>
          <cell r="J4460" t="str">
            <v>CTC</v>
          </cell>
          <cell r="K4460" t="str">
            <v>YES</v>
          </cell>
        </row>
        <row r="4461">
          <cell r="I4461" t="str">
            <v>V27735</v>
          </cell>
          <cell r="J4461" t="str">
            <v>CTC</v>
          </cell>
          <cell r="K4461" t="str">
            <v>YES</v>
          </cell>
        </row>
        <row r="4462">
          <cell r="I4462" t="str">
            <v>V29051</v>
          </cell>
          <cell r="J4462" t="str">
            <v>CTC</v>
          </cell>
          <cell r="K4462" t="str">
            <v>YES</v>
          </cell>
        </row>
        <row r="4463">
          <cell r="I4463" t="str">
            <v>V29052</v>
          </cell>
          <cell r="J4463" t="str">
            <v>CTC</v>
          </cell>
          <cell r="K4463" t="str">
            <v>YES</v>
          </cell>
        </row>
        <row r="4464">
          <cell r="I4464" t="str">
            <v>V29055</v>
          </cell>
          <cell r="J4464" t="str">
            <v>CTC</v>
          </cell>
          <cell r="K4464" t="str">
            <v>YES</v>
          </cell>
        </row>
        <row r="4465">
          <cell r="I4465" t="str">
            <v>V29064</v>
          </cell>
          <cell r="J4465" t="str">
            <v>CTC</v>
          </cell>
          <cell r="K4465" t="str">
            <v>YES</v>
          </cell>
        </row>
        <row r="4466">
          <cell r="I4466" t="str">
            <v>V29122</v>
          </cell>
          <cell r="J4466" t="str">
            <v>CTC</v>
          </cell>
          <cell r="K4466" t="str">
            <v>YES</v>
          </cell>
        </row>
        <row r="4467">
          <cell r="I4467" t="str">
            <v>V29138</v>
          </cell>
          <cell r="J4467" t="str">
            <v>CTC</v>
          </cell>
          <cell r="K4467" t="str">
            <v>YES</v>
          </cell>
        </row>
        <row r="4468">
          <cell r="I4468" t="str">
            <v>V29516</v>
          </cell>
          <cell r="J4468" t="str">
            <v>CTC</v>
          </cell>
          <cell r="K4468" t="str">
            <v>YES</v>
          </cell>
        </row>
        <row r="4469">
          <cell r="I4469" t="str">
            <v>V29543</v>
          </cell>
          <cell r="J4469" t="str">
            <v>CTC</v>
          </cell>
          <cell r="K4469" t="str">
            <v>YES</v>
          </cell>
        </row>
        <row r="4470">
          <cell r="I4470" t="str">
            <v>V29548</v>
          </cell>
          <cell r="J4470" t="str">
            <v>CTC</v>
          </cell>
          <cell r="K4470" t="str">
            <v>YES</v>
          </cell>
        </row>
        <row r="4471">
          <cell r="I4471" t="str">
            <v>V29570</v>
          </cell>
          <cell r="J4471" t="str">
            <v>CTC</v>
          </cell>
          <cell r="K4471" t="str">
            <v>YES</v>
          </cell>
        </row>
        <row r="4472">
          <cell r="I4472" t="str">
            <v>V29584</v>
          </cell>
          <cell r="J4472" t="str">
            <v>CTC</v>
          </cell>
          <cell r="K4472" t="str">
            <v>YES</v>
          </cell>
        </row>
        <row r="4473">
          <cell r="I4473" t="str">
            <v>V29597</v>
          </cell>
          <cell r="J4473" t="str">
            <v>CTC</v>
          </cell>
          <cell r="K4473" t="str">
            <v>YES</v>
          </cell>
        </row>
        <row r="4474">
          <cell r="I4474" t="str">
            <v>V29842</v>
          </cell>
          <cell r="J4474" t="str">
            <v>CTC</v>
          </cell>
          <cell r="K4474" t="str">
            <v>YES</v>
          </cell>
        </row>
        <row r="4475">
          <cell r="I4475" t="str">
            <v>V29992</v>
          </cell>
          <cell r="J4475" t="str">
            <v>CTC</v>
          </cell>
          <cell r="K4475" t="str">
            <v>YES</v>
          </cell>
        </row>
        <row r="4476">
          <cell r="I4476" t="str">
            <v>V30017</v>
          </cell>
          <cell r="J4476" t="str">
            <v>CTC</v>
          </cell>
          <cell r="K4476" t="str">
            <v>YES</v>
          </cell>
        </row>
        <row r="4477">
          <cell r="I4477" t="str">
            <v>V30404</v>
          </cell>
          <cell r="J4477" t="str">
            <v>CTC</v>
          </cell>
          <cell r="K4477" t="str">
            <v>YES</v>
          </cell>
        </row>
        <row r="4478">
          <cell r="I4478" t="str">
            <v>V30835</v>
          </cell>
          <cell r="J4478" t="str">
            <v>CTC</v>
          </cell>
          <cell r="K4478" t="str">
            <v>YES</v>
          </cell>
        </row>
        <row r="4479">
          <cell r="I4479" t="str">
            <v>V30851</v>
          </cell>
          <cell r="J4479" t="str">
            <v>CTC</v>
          </cell>
          <cell r="K4479" t="str">
            <v>YES</v>
          </cell>
        </row>
        <row r="4480">
          <cell r="I4480" t="str">
            <v>V30924</v>
          </cell>
          <cell r="J4480" t="str">
            <v>CTC</v>
          </cell>
          <cell r="K4480" t="str">
            <v>YES</v>
          </cell>
        </row>
        <row r="4481">
          <cell r="I4481" t="str">
            <v>V30930</v>
          </cell>
          <cell r="J4481" t="str">
            <v>CTC</v>
          </cell>
          <cell r="K4481" t="str">
            <v>YES</v>
          </cell>
        </row>
        <row r="4482">
          <cell r="I4482" t="str">
            <v>V31096</v>
          </cell>
          <cell r="J4482" t="str">
            <v>CTC</v>
          </cell>
          <cell r="K4482" t="str">
            <v>YES</v>
          </cell>
        </row>
        <row r="4483">
          <cell r="I4483" t="str">
            <v>V31099</v>
          </cell>
          <cell r="J4483" t="str">
            <v>CTC</v>
          </cell>
          <cell r="K4483" t="str">
            <v>YES</v>
          </cell>
        </row>
        <row r="4484">
          <cell r="I4484" t="str">
            <v>V31149</v>
          </cell>
          <cell r="J4484" t="str">
            <v>CTC</v>
          </cell>
          <cell r="K4484" t="str">
            <v>YES</v>
          </cell>
        </row>
        <row r="4485">
          <cell r="I4485" t="str">
            <v>V31358</v>
          </cell>
          <cell r="J4485" t="str">
            <v>CTC</v>
          </cell>
          <cell r="K4485" t="str">
            <v>YES</v>
          </cell>
        </row>
        <row r="4486">
          <cell r="I4486" t="str">
            <v>V31446</v>
          </cell>
          <cell r="J4486" t="str">
            <v>CTC</v>
          </cell>
          <cell r="K4486" t="str">
            <v>YES</v>
          </cell>
        </row>
        <row r="4487">
          <cell r="I4487" t="str">
            <v>V31450</v>
          </cell>
          <cell r="J4487" t="str">
            <v>CTC</v>
          </cell>
          <cell r="K4487" t="str">
            <v>YES</v>
          </cell>
        </row>
        <row r="4488">
          <cell r="I4488" t="str">
            <v>V31556</v>
          </cell>
          <cell r="J4488" t="str">
            <v>CTC</v>
          </cell>
          <cell r="K4488" t="str">
            <v>YES</v>
          </cell>
        </row>
        <row r="4489">
          <cell r="I4489" t="str">
            <v>V31649</v>
          </cell>
          <cell r="J4489" t="str">
            <v>CTC</v>
          </cell>
          <cell r="K4489" t="str">
            <v>YES</v>
          </cell>
        </row>
        <row r="4490">
          <cell r="I4490" t="str">
            <v>V31923</v>
          </cell>
          <cell r="J4490" t="str">
            <v>CTC</v>
          </cell>
          <cell r="K4490" t="str">
            <v>YES</v>
          </cell>
        </row>
        <row r="4491">
          <cell r="I4491" t="str">
            <v>V31933</v>
          </cell>
          <cell r="J4491" t="str">
            <v>CTC</v>
          </cell>
          <cell r="K4491" t="str">
            <v>YES</v>
          </cell>
        </row>
        <row r="4492">
          <cell r="I4492" t="str">
            <v>V31965</v>
          </cell>
          <cell r="J4492" t="str">
            <v>CTC</v>
          </cell>
          <cell r="K4492" t="str">
            <v>YES</v>
          </cell>
        </row>
        <row r="4493">
          <cell r="I4493" t="str">
            <v>V31971</v>
          </cell>
          <cell r="J4493" t="str">
            <v>CTC</v>
          </cell>
          <cell r="K4493" t="str">
            <v>YES</v>
          </cell>
        </row>
        <row r="4494">
          <cell r="I4494" t="str">
            <v>V31991</v>
          </cell>
          <cell r="J4494" t="str">
            <v>CTC</v>
          </cell>
          <cell r="K4494" t="str">
            <v>YES</v>
          </cell>
        </row>
        <row r="4495">
          <cell r="I4495" t="str">
            <v>V32155</v>
          </cell>
          <cell r="J4495" t="str">
            <v>CTC</v>
          </cell>
          <cell r="K4495" t="str">
            <v>YES</v>
          </cell>
        </row>
        <row r="4496">
          <cell r="I4496" t="str">
            <v>V32157</v>
          </cell>
          <cell r="J4496" t="str">
            <v>CTC</v>
          </cell>
          <cell r="K4496" t="str">
            <v>YES</v>
          </cell>
        </row>
        <row r="4497">
          <cell r="I4497" t="str">
            <v>V32180</v>
          </cell>
          <cell r="J4497" t="str">
            <v>CTC</v>
          </cell>
          <cell r="K4497" t="str">
            <v>YES</v>
          </cell>
        </row>
        <row r="4498">
          <cell r="I4498" t="str">
            <v>V32285</v>
          </cell>
          <cell r="J4498" t="str">
            <v>CTC</v>
          </cell>
          <cell r="K4498" t="str">
            <v>YES</v>
          </cell>
        </row>
        <row r="4499">
          <cell r="I4499" t="str">
            <v>V32346</v>
          </cell>
          <cell r="J4499" t="str">
            <v>CTC</v>
          </cell>
          <cell r="K4499" t="str">
            <v>YES</v>
          </cell>
        </row>
        <row r="4500">
          <cell r="I4500" t="str">
            <v>V32357</v>
          </cell>
          <cell r="J4500" t="str">
            <v>CTC</v>
          </cell>
          <cell r="K4500" t="str">
            <v>YES</v>
          </cell>
        </row>
        <row r="4501">
          <cell r="I4501" t="str">
            <v>V32368</v>
          </cell>
          <cell r="J4501" t="str">
            <v>CTC</v>
          </cell>
          <cell r="K4501" t="str">
            <v>YES</v>
          </cell>
        </row>
        <row r="4502">
          <cell r="I4502" t="str">
            <v>V32383</v>
          </cell>
          <cell r="J4502" t="str">
            <v>CTC</v>
          </cell>
          <cell r="K4502" t="str">
            <v>YES</v>
          </cell>
        </row>
        <row r="4503">
          <cell r="I4503" t="str">
            <v>V32387</v>
          </cell>
          <cell r="J4503" t="str">
            <v>CTC</v>
          </cell>
          <cell r="K4503" t="str">
            <v>YES</v>
          </cell>
        </row>
        <row r="4504">
          <cell r="I4504" t="str">
            <v>V32392</v>
          </cell>
          <cell r="J4504" t="str">
            <v>CTC</v>
          </cell>
          <cell r="K4504" t="str">
            <v>YES</v>
          </cell>
        </row>
        <row r="4505">
          <cell r="I4505" t="str">
            <v>V32395</v>
          </cell>
          <cell r="J4505" t="str">
            <v>CTC</v>
          </cell>
          <cell r="K4505" t="str">
            <v>YES</v>
          </cell>
        </row>
        <row r="4506">
          <cell r="I4506" t="str">
            <v>V32403</v>
          </cell>
          <cell r="J4506" t="str">
            <v>CTC</v>
          </cell>
          <cell r="K4506" t="str">
            <v>YES</v>
          </cell>
        </row>
        <row r="4507">
          <cell r="I4507" t="str">
            <v>V32404</v>
          </cell>
          <cell r="J4507" t="str">
            <v>CTC</v>
          </cell>
          <cell r="K4507" t="str">
            <v>YES</v>
          </cell>
        </row>
        <row r="4508">
          <cell r="I4508" t="str">
            <v>V32405</v>
          </cell>
          <cell r="J4508" t="str">
            <v>CTC</v>
          </cell>
          <cell r="K4508" t="str">
            <v>YES</v>
          </cell>
        </row>
        <row r="4509">
          <cell r="I4509" t="str">
            <v>V32406</v>
          </cell>
          <cell r="J4509" t="str">
            <v>CTC</v>
          </cell>
          <cell r="K4509" t="str">
            <v>YES</v>
          </cell>
        </row>
        <row r="4510">
          <cell r="I4510" t="str">
            <v>V32407</v>
          </cell>
          <cell r="J4510" t="str">
            <v>CTC</v>
          </cell>
          <cell r="K4510" t="str">
            <v>YES</v>
          </cell>
        </row>
        <row r="4511">
          <cell r="I4511" t="str">
            <v>V32408</v>
          </cell>
          <cell r="J4511" t="str">
            <v>CTC</v>
          </cell>
          <cell r="K4511" t="str">
            <v>YES</v>
          </cell>
        </row>
        <row r="4512">
          <cell r="I4512" t="str">
            <v>V32410</v>
          </cell>
          <cell r="J4512" t="str">
            <v>CTC</v>
          </cell>
          <cell r="K4512" t="str">
            <v>YES</v>
          </cell>
        </row>
        <row r="4513">
          <cell r="I4513" t="str">
            <v>V32418</v>
          </cell>
          <cell r="J4513" t="str">
            <v>CTC</v>
          </cell>
          <cell r="K4513" t="str">
            <v>YES</v>
          </cell>
        </row>
        <row r="4514">
          <cell r="I4514" t="str">
            <v>V32426</v>
          </cell>
          <cell r="J4514" t="str">
            <v>CTC</v>
          </cell>
          <cell r="K4514" t="str">
            <v>YES</v>
          </cell>
        </row>
        <row r="4515">
          <cell r="I4515" t="str">
            <v>V32433</v>
          </cell>
          <cell r="J4515" t="str">
            <v>CTC</v>
          </cell>
          <cell r="K4515" t="str">
            <v>YES</v>
          </cell>
        </row>
        <row r="4516">
          <cell r="I4516" t="str">
            <v>V32438</v>
          </cell>
          <cell r="J4516" t="str">
            <v>CTC</v>
          </cell>
          <cell r="K4516" t="str">
            <v>YES</v>
          </cell>
        </row>
        <row r="4517">
          <cell r="I4517" t="str">
            <v>V32443</v>
          </cell>
          <cell r="J4517" t="str">
            <v>CTC</v>
          </cell>
          <cell r="K4517" t="str">
            <v>YES</v>
          </cell>
        </row>
        <row r="4518">
          <cell r="I4518" t="str">
            <v>V32468</v>
          </cell>
          <cell r="J4518" t="str">
            <v>CTC</v>
          </cell>
          <cell r="K4518" t="str">
            <v>YES</v>
          </cell>
        </row>
        <row r="4519">
          <cell r="I4519" t="str">
            <v>V32522</v>
          </cell>
          <cell r="J4519" t="str">
            <v>CTC</v>
          </cell>
          <cell r="K4519" t="str">
            <v>YES</v>
          </cell>
        </row>
        <row r="4520">
          <cell r="I4520" t="str">
            <v>V32530</v>
          </cell>
          <cell r="J4520" t="str">
            <v>CTC</v>
          </cell>
          <cell r="K4520" t="str">
            <v>YES</v>
          </cell>
        </row>
        <row r="4521">
          <cell r="I4521" t="str">
            <v>V32564</v>
          </cell>
          <cell r="J4521" t="str">
            <v>CTC</v>
          </cell>
          <cell r="K4521" t="str">
            <v>YES</v>
          </cell>
        </row>
        <row r="4522">
          <cell r="I4522" t="str">
            <v>V32570</v>
          </cell>
          <cell r="J4522" t="str">
            <v>CTC</v>
          </cell>
          <cell r="K4522" t="str">
            <v>YES</v>
          </cell>
        </row>
        <row r="4523">
          <cell r="I4523" t="str">
            <v>V32581</v>
          </cell>
          <cell r="J4523" t="str">
            <v>CTC</v>
          </cell>
          <cell r="K4523" t="str">
            <v>YES</v>
          </cell>
        </row>
        <row r="4524">
          <cell r="I4524" t="str">
            <v>V32582</v>
          </cell>
          <cell r="J4524" t="str">
            <v>CTC</v>
          </cell>
          <cell r="K4524" t="str">
            <v>YES</v>
          </cell>
        </row>
        <row r="4525">
          <cell r="I4525" t="str">
            <v>V32592</v>
          </cell>
          <cell r="J4525" t="str">
            <v>CTC</v>
          </cell>
          <cell r="K4525" t="str">
            <v>YES</v>
          </cell>
        </row>
        <row r="4526">
          <cell r="I4526" t="str">
            <v>V32595</v>
          </cell>
          <cell r="J4526" t="str">
            <v>CTC</v>
          </cell>
          <cell r="K4526" t="str">
            <v>YES</v>
          </cell>
        </row>
        <row r="4527">
          <cell r="I4527" t="str">
            <v>V32599</v>
          </cell>
          <cell r="J4527" t="str">
            <v>CTC</v>
          </cell>
          <cell r="K4527" t="str">
            <v>YES</v>
          </cell>
        </row>
        <row r="4528">
          <cell r="I4528" t="str">
            <v>V32613</v>
          </cell>
          <cell r="J4528" t="str">
            <v>CTC</v>
          </cell>
          <cell r="K4528" t="str">
            <v>YES</v>
          </cell>
        </row>
        <row r="4529">
          <cell r="I4529" t="str">
            <v>V32635</v>
          </cell>
          <cell r="J4529" t="str">
            <v>CTC</v>
          </cell>
          <cell r="K4529" t="str">
            <v>YES</v>
          </cell>
        </row>
        <row r="4530">
          <cell r="I4530" t="str">
            <v>V32642</v>
          </cell>
          <cell r="J4530" t="str">
            <v>CTC</v>
          </cell>
          <cell r="K4530" t="str">
            <v>YES</v>
          </cell>
        </row>
        <row r="4531">
          <cell r="I4531" t="str">
            <v>V32651</v>
          </cell>
          <cell r="J4531" t="str">
            <v>CTC</v>
          </cell>
          <cell r="K4531" t="str">
            <v>YES</v>
          </cell>
        </row>
        <row r="4532">
          <cell r="I4532" t="str">
            <v>V32655</v>
          </cell>
          <cell r="J4532" t="str">
            <v>CTC</v>
          </cell>
          <cell r="K4532" t="str">
            <v>YES</v>
          </cell>
        </row>
        <row r="4533">
          <cell r="I4533" t="str">
            <v>V32685</v>
          </cell>
          <cell r="J4533" t="str">
            <v>CTC</v>
          </cell>
          <cell r="K4533" t="str">
            <v>YES</v>
          </cell>
        </row>
        <row r="4534">
          <cell r="I4534" t="str">
            <v>V32823</v>
          </cell>
          <cell r="J4534" t="str">
            <v>CTC</v>
          </cell>
          <cell r="K4534" t="str">
            <v>YES</v>
          </cell>
        </row>
        <row r="4535">
          <cell r="I4535" t="str">
            <v>V32826</v>
          </cell>
          <cell r="J4535" t="str">
            <v>CTC</v>
          </cell>
          <cell r="K4535" t="str">
            <v>YES</v>
          </cell>
        </row>
        <row r="4536">
          <cell r="I4536" t="str">
            <v>V32828</v>
          </cell>
          <cell r="J4536" t="str">
            <v>CTC</v>
          </cell>
          <cell r="K4536" t="str">
            <v>YES</v>
          </cell>
        </row>
        <row r="4537">
          <cell r="I4537" t="str">
            <v>V32950</v>
          </cell>
          <cell r="J4537" t="str">
            <v>CTC</v>
          </cell>
          <cell r="K4537" t="str">
            <v>YES</v>
          </cell>
        </row>
        <row r="4538">
          <cell r="I4538" t="str">
            <v>V32957</v>
          </cell>
          <cell r="J4538" t="str">
            <v>CTC</v>
          </cell>
          <cell r="K4538" t="str">
            <v>YES</v>
          </cell>
        </row>
        <row r="4539">
          <cell r="I4539" t="str">
            <v>V32961</v>
          </cell>
          <cell r="J4539" t="str">
            <v>CTC</v>
          </cell>
          <cell r="K4539" t="str">
            <v>YES</v>
          </cell>
        </row>
        <row r="4540">
          <cell r="I4540" t="str">
            <v>V33055</v>
          </cell>
          <cell r="J4540" t="str">
            <v>CTC</v>
          </cell>
          <cell r="K4540" t="str">
            <v>YES</v>
          </cell>
        </row>
        <row r="4541">
          <cell r="I4541" t="str">
            <v>V33070</v>
          </cell>
          <cell r="J4541" t="str">
            <v>CTC</v>
          </cell>
          <cell r="K4541" t="str">
            <v>YES</v>
          </cell>
        </row>
        <row r="4542">
          <cell r="I4542" t="str">
            <v>V33092</v>
          </cell>
          <cell r="J4542" t="str">
            <v>CTC</v>
          </cell>
          <cell r="K4542" t="str">
            <v>YES</v>
          </cell>
        </row>
        <row r="4543">
          <cell r="I4543" t="str">
            <v>V33113</v>
          </cell>
          <cell r="J4543" t="str">
            <v>CTC</v>
          </cell>
          <cell r="K4543" t="str">
            <v>YES</v>
          </cell>
        </row>
        <row r="4544">
          <cell r="I4544" t="str">
            <v>V33114</v>
          </cell>
          <cell r="J4544" t="str">
            <v>CTC</v>
          </cell>
          <cell r="K4544" t="str">
            <v>YES</v>
          </cell>
        </row>
        <row r="4545">
          <cell r="I4545" t="str">
            <v>V33161</v>
          </cell>
          <cell r="J4545" t="str">
            <v>CTC</v>
          </cell>
          <cell r="K4545" t="str">
            <v>YES</v>
          </cell>
        </row>
        <row r="4546">
          <cell r="I4546" t="str">
            <v>V33162</v>
          </cell>
          <cell r="J4546" t="str">
            <v>CTC</v>
          </cell>
          <cell r="K4546" t="str">
            <v>YES</v>
          </cell>
        </row>
        <row r="4547">
          <cell r="I4547" t="str">
            <v>V33165</v>
          </cell>
          <cell r="J4547" t="str">
            <v>CTC</v>
          </cell>
          <cell r="K4547" t="str">
            <v>YES</v>
          </cell>
        </row>
        <row r="4548">
          <cell r="I4548" t="str">
            <v>V33178</v>
          </cell>
          <cell r="J4548" t="str">
            <v>CTC</v>
          </cell>
          <cell r="K4548" t="str">
            <v>YES</v>
          </cell>
        </row>
        <row r="4549">
          <cell r="I4549" t="str">
            <v>V33218</v>
          </cell>
          <cell r="J4549" t="str">
            <v>CTC</v>
          </cell>
          <cell r="K4549" t="str">
            <v>YES</v>
          </cell>
        </row>
        <row r="4550">
          <cell r="I4550" t="str">
            <v>V33463</v>
          </cell>
          <cell r="J4550" t="str">
            <v>CTC</v>
          </cell>
          <cell r="K4550" t="str">
            <v>YES</v>
          </cell>
        </row>
        <row r="4551">
          <cell r="I4551" t="str">
            <v>V33758</v>
          </cell>
          <cell r="J4551" t="str">
            <v>CTC</v>
          </cell>
          <cell r="K4551" t="str">
            <v>YES</v>
          </cell>
        </row>
        <row r="4552">
          <cell r="I4552" t="str">
            <v>V33813</v>
          </cell>
          <cell r="J4552" t="str">
            <v>CTC</v>
          </cell>
          <cell r="K4552" t="str">
            <v>YES</v>
          </cell>
        </row>
        <row r="4553">
          <cell r="I4553" t="str">
            <v>V33943</v>
          </cell>
          <cell r="J4553" t="str">
            <v>CTC</v>
          </cell>
          <cell r="K4553" t="str">
            <v>YES</v>
          </cell>
        </row>
        <row r="4554">
          <cell r="I4554" t="str">
            <v>V33962</v>
          </cell>
          <cell r="J4554" t="str">
            <v>CTC</v>
          </cell>
          <cell r="K4554" t="str">
            <v>YES</v>
          </cell>
        </row>
        <row r="4555">
          <cell r="I4555" t="str">
            <v>V34128</v>
          </cell>
          <cell r="J4555" t="str">
            <v>CTC</v>
          </cell>
          <cell r="K4555" t="str">
            <v>YES</v>
          </cell>
        </row>
        <row r="4556">
          <cell r="I4556" t="str">
            <v>V34152</v>
          </cell>
          <cell r="J4556" t="str">
            <v>CTC</v>
          </cell>
          <cell r="K4556" t="str">
            <v>YES</v>
          </cell>
        </row>
        <row r="4557">
          <cell r="I4557" t="str">
            <v>V34182</v>
          </cell>
          <cell r="J4557" t="str">
            <v>CTC</v>
          </cell>
          <cell r="K4557" t="str">
            <v>YES</v>
          </cell>
        </row>
        <row r="4558">
          <cell r="I4558" t="str">
            <v>V34283</v>
          </cell>
          <cell r="J4558" t="str">
            <v>CTC</v>
          </cell>
          <cell r="K4558" t="str">
            <v>YES</v>
          </cell>
        </row>
        <row r="4559">
          <cell r="I4559" t="str">
            <v>V34457</v>
          </cell>
          <cell r="J4559" t="str">
            <v>CTC</v>
          </cell>
          <cell r="K4559" t="str">
            <v>YES</v>
          </cell>
        </row>
        <row r="4560">
          <cell r="I4560" t="str">
            <v>V34583</v>
          </cell>
          <cell r="J4560" t="str">
            <v>CTC</v>
          </cell>
          <cell r="K4560" t="str">
            <v>YES</v>
          </cell>
        </row>
        <row r="4561">
          <cell r="I4561" t="str">
            <v>V34758</v>
          </cell>
          <cell r="J4561" t="str">
            <v>CTC</v>
          </cell>
          <cell r="K4561" t="str">
            <v>YES</v>
          </cell>
        </row>
        <row r="4562">
          <cell r="I4562" t="str">
            <v>V35445</v>
          </cell>
          <cell r="J4562" t="str">
            <v>CTC</v>
          </cell>
          <cell r="K4562" t="str">
            <v>YES</v>
          </cell>
        </row>
        <row r="4563">
          <cell r="I4563" t="str">
            <v>V31511</v>
          </cell>
          <cell r="J4563" t="str">
            <v>CTC</v>
          </cell>
          <cell r="K4563" t="str">
            <v>YES</v>
          </cell>
        </row>
        <row r="4564">
          <cell r="I4564" t="str">
            <v>V41986</v>
          </cell>
          <cell r="J4564" t="str">
            <v>CTC</v>
          </cell>
          <cell r="K4564" t="str">
            <v>YES</v>
          </cell>
        </row>
        <row r="4565">
          <cell r="I4565" t="str">
            <v>V42449</v>
          </cell>
          <cell r="J4565" t="str">
            <v>CTC</v>
          </cell>
          <cell r="K4565" t="str">
            <v>YES</v>
          </cell>
        </row>
        <row r="4566">
          <cell r="I4566" t="str">
            <v>V42528</v>
          </cell>
          <cell r="J4566" t="str">
            <v>CTC</v>
          </cell>
          <cell r="K4566" t="str">
            <v>YES</v>
          </cell>
        </row>
        <row r="4567">
          <cell r="I4567" t="str">
            <v>V40085</v>
          </cell>
          <cell r="J4567" t="str">
            <v>CTC</v>
          </cell>
          <cell r="K4567" t="str">
            <v>YES</v>
          </cell>
        </row>
        <row r="4568">
          <cell r="I4568" t="str">
            <v>V38579</v>
          </cell>
          <cell r="J4568" t="str">
            <v>CTC</v>
          </cell>
          <cell r="K4568" t="str">
            <v>YES</v>
          </cell>
        </row>
        <row r="4569">
          <cell r="I4569" t="str">
            <v>V37129</v>
          </cell>
          <cell r="J4569" t="str">
            <v>CTC</v>
          </cell>
          <cell r="K4569" t="str">
            <v>YES</v>
          </cell>
        </row>
        <row r="4570">
          <cell r="I4570" t="str">
            <v>V21795</v>
          </cell>
          <cell r="J4570" t="str">
            <v>CTC</v>
          </cell>
          <cell r="K4570" t="str">
            <v>YES</v>
          </cell>
        </row>
        <row r="4571">
          <cell r="I4571" t="str">
            <v>V41330</v>
          </cell>
          <cell r="J4571" t="str">
            <v>CTC</v>
          </cell>
          <cell r="K4571" t="str">
            <v>YES</v>
          </cell>
        </row>
        <row r="4572">
          <cell r="I4572" t="str">
            <v>V44294</v>
          </cell>
          <cell r="J4572" t="str">
            <v>CTC</v>
          </cell>
          <cell r="K4572" t="str">
            <v>YES</v>
          </cell>
        </row>
        <row r="4573">
          <cell r="I4573" t="str">
            <v>V38435</v>
          </cell>
          <cell r="J4573" t="str">
            <v>CTC</v>
          </cell>
          <cell r="K4573" t="str">
            <v>YES</v>
          </cell>
        </row>
        <row r="4574">
          <cell r="I4574" t="str">
            <v>V21288</v>
          </cell>
          <cell r="J4574" t="str">
            <v>CTC</v>
          </cell>
          <cell r="K4574" t="str">
            <v>YES</v>
          </cell>
        </row>
        <row r="4575">
          <cell r="I4575" t="str">
            <v>V43176</v>
          </cell>
          <cell r="J4575" t="str">
            <v>CTC</v>
          </cell>
          <cell r="K4575" t="str">
            <v>YES</v>
          </cell>
        </row>
        <row r="4576">
          <cell r="I4576" t="str">
            <v>V42547</v>
          </cell>
          <cell r="J4576" t="str">
            <v>CTC</v>
          </cell>
          <cell r="K4576" t="str">
            <v>YES</v>
          </cell>
        </row>
        <row r="4577">
          <cell r="I4577" t="str">
            <v>V37952</v>
          </cell>
          <cell r="J4577" t="str">
            <v>CTC</v>
          </cell>
          <cell r="K4577" t="str">
            <v>YES</v>
          </cell>
        </row>
        <row r="4578">
          <cell r="I4578" t="str">
            <v>V30621</v>
          </cell>
          <cell r="J4578" t="str">
            <v>CTC</v>
          </cell>
          <cell r="K4578" t="str">
            <v>YES</v>
          </cell>
        </row>
        <row r="4579">
          <cell r="I4579" t="str">
            <v>V33714</v>
          </cell>
          <cell r="J4579" t="str">
            <v>CTC</v>
          </cell>
          <cell r="K4579" t="str">
            <v>YES</v>
          </cell>
        </row>
        <row r="4580">
          <cell r="I4580" t="str">
            <v>V41058</v>
          </cell>
          <cell r="J4580" t="str">
            <v>CTC</v>
          </cell>
          <cell r="K4580" t="str">
            <v>YES</v>
          </cell>
        </row>
        <row r="4581">
          <cell r="I4581" t="str">
            <v>V34406</v>
          </cell>
          <cell r="J4581" t="str">
            <v>CTC</v>
          </cell>
          <cell r="K4581" t="str">
            <v>YES</v>
          </cell>
        </row>
        <row r="4582">
          <cell r="I4582" t="str">
            <v>V44875</v>
          </cell>
          <cell r="J4582" t="str">
            <v>CTC</v>
          </cell>
          <cell r="K4582" t="str">
            <v>YES</v>
          </cell>
        </row>
        <row r="4583">
          <cell r="I4583" t="str">
            <v>V32091</v>
          </cell>
          <cell r="J4583" t="str">
            <v>CTC</v>
          </cell>
          <cell r="K4583" t="str">
            <v>YES</v>
          </cell>
        </row>
        <row r="4584">
          <cell r="I4584" t="str">
            <v>V32102</v>
          </cell>
          <cell r="J4584" t="str">
            <v>CTC</v>
          </cell>
          <cell r="K4584" t="str">
            <v>YES</v>
          </cell>
        </row>
        <row r="4585">
          <cell r="I4585" t="str">
            <v>V32933</v>
          </cell>
          <cell r="J4585" t="str">
            <v>CTC</v>
          </cell>
          <cell r="K4585" t="str">
            <v>YES</v>
          </cell>
        </row>
        <row r="4586">
          <cell r="I4586" t="str">
            <v>V34420</v>
          </cell>
          <cell r="J4586" t="str">
            <v>CTC</v>
          </cell>
          <cell r="K4586" t="str">
            <v>YES</v>
          </cell>
        </row>
        <row r="4587">
          <cell r="I4587" t="str">
            <v>V27314</v>
          </cell>
          <cell r="J4587" t="str">
            <v>CTC</v>
          </cell>
          <cell r="K4587" t="str">
            <v>YES</v>
          </cell>
        </row>
        <row r="4588">
          <cell r="I4588" t="str">
            <v>V34827</v>
          </cell>
          <cell r="J4588" t="str">
            <v>CTC</v>
          </cell>
          <cell r="K4588" t="str">
            <v>YES</v>
          </cell>
        </row>
        <row r="4589">
          <cell r="I4589" t="str">
            <v>V41060</v>
          </cell>
          <cell r="J4589" t="str">
            <v>CTC</v>
          </cell>
          <cell r="K4589" t="str">
            <v>YES</v>
          </cell>
        </row>
        <row r="4590">
          <cell r="I4590" t="str">
            <v>V47806</v>
          </cell>
          <cell r="J4590" t="str">
            <v>CTC</v>
          </cell>
          <cell r="K4590" t="str">
            <v>YES</v>
          </cell>
        </row>
        <row r="4591">
          <cell r="I4591" t="str">
            <v>V37864</v>
          </cell>
          <cell r="J4591" t="str">
            <v>CTC</v>
          </cell>
          <cell r="K4591" t="str">
            <v>YES</v>
          </cell>
        </row>
        <row r="4592">
          <cell r="I4592" t="str">
            <v>V42701</v>
          </cell>
          <cell r="J4592" t="str">
            <v>CTC</v>
          </cell>
          <cell r="K4592" t="str">
            <v>YES</v>
          </cell>
        </row>
        <row r="4593">
          <cell r="I4593" t="str">
            <v>V34581</v>
          </cell>
          <cell r="J4593" t="str">
            <v>CTC</v>
          </cell>
          <cell r="K4593" t="str">
            <v>YES</v>
          </cell>
        </row>
        <row r="4594">
          <cell r="I4594" t="str">
            <v>V30186</v>
          </cell>
          <cell r="J4594" t="str">
            <v>CTC</v>
          </cell>
          <cell r="K4594" t="str">
            <v>YES</v>
          </cell>
        </row>
        <row r="4595">
          <cell r="I4595" t="str">
            <v>V39084</v>
          </cell>
          <cell r="J4595" t="str">
            <v>CTC</v>
          </cell>
          <cell r="K4595" t="str">
            <v>YES</v>
          </cell>
        </row>
        <row r="4596">
          <cell r="I4596" t="str">
            <v>V32728</v>
          </cell>
          <cell r="J4596" t="str">
            <v>CTC</v>
          </cell>
          <cell r="K4596" t="str">
            <v>YES</v>
          </cell>
        </row>
        <row r="4597">
          <cell r="I4597" t="str">
            <v>V36380</v>
          </cell>
          <cell r="J4597" t="str">
            <v>CTC</v>
          </cell>
          <cell r="K4597" t="str">
            <v>YES</v>
          </cell>
        </row>
        <row r="4598">
          <cell r="I4598" t="str">
            <v>V37222</v>
          </cell>
          <cell r="J4598" t="str">
            <v>CTC</v>
          </cell>
          <cell r="K4598" t="str">
            <v>YES</v>
          </cell>
        </row>
        <row r="4599">
          <cell r="I4599" t="str">
            <v>V37223</v>
          </cell>
          <cell r="J4599" t="str">
            <v>CTC</v>
          </cell>
          <cell r="K4599" t="str">
            <v>YES</v>
          </cell>
        </row>
        <row r="4600">
          <cell r="I4600" t="str">
            <v>V37342</v>
          </cell>
          <cell r="J4600" t="str">
            <v>CTC</v>
          </cell>
          <cell r="K4600" t="str">
            <v>YES</v>
          </cell>
        </row>
        <row r="4601">
          <cell r="I4601" t="str">
            <v>V37367</v>
          </cell>
          <cell r="J4601" t="str">
            <v>CTC</v>
          </cell>
          <cell r="K4601" t="str">
            <v>YES</v>
          </cell>
        </row>
        <row r="4602">
          <cell r="I4602" t="str">
            <v>V38004</v>
          </cell>
          <cell r="J4602" t="str">
            <v>CTC</v>
          </cell>
          <cell r="K4602" t="str">
            <v>YES</v>
          </cell>
        </row>
        <row r="4603">
          <cell r="I4603" t="str">
            <v>V38013</v>
          </cell>
          <cell r="J4603" t="str">
            <v>CTC</v>
          </cell>
          <cell r="K4603" t="str">
            <v>YES</v>
          </cell>
        </row>
        <row r="4604">
          <cell r="I4604" t="str">
            <v>V41578</v>
          </cell>
          <cell r="J4604" t="str">
            <v>CTC</v>
          </cell>
          <cell r="K4604" t="str">
            <v>YES</v>
          </cell>
        </row>
        <row r="4605">
          <cell r="I4605" t="str">
            <v>V41646</v>
          </cell>
          <cell r="J4605" t="str">
            <v>CTC</v>
          </cell>
          <cell r="K4605" t="str">
            <v>YES</v>
          </cell>
        </row>
        <row r="4606">
          <cell r="I4606" t="str">
            <v>V41925</v>
          </cell>
          <cell r="J4606" t="str">
            <v>CTC</v>
          </cell>
          <cell r="K4606" t="str">
            <v>YES</v>
          </cell>
        </row>
        <row r="4607">
          <cell r="I4607" t="str">
            <v>V42033</v>
          </cell>
          <cell r="J4607" t="str">
            <v>CTC</v>
          </cell>
          <cell r="K4607" t="str">
            <v>YES</v>
          </cell>
        </row>
        <row r="4608">
          <cell r="I4608" t="str">
            <v>V42319</v>
          </cell>
          <cell r="J4608" t="str">
            <v>CTC</v>
          </cell>
          <cell r="K4608" t="str">
            <v>YES</v>
          </cell>
        </row>
        <row r="4609">
          <cell r="I4609" t="str">
            <v>V33954</v>
          </cell>
          <cell r="J4609" t="str">
            <v>CTC</v>
          </cell>
          <cell r="K4609" t="str">
            <v>YES</v>
          </cell>
        </row>
        <row r="4610">
          <cell r="I4610" t="str">
            <v>V38419</v>
          </cell>
          <cell r="J4610" t="str">
            <v>CTC</v>
          </cell>
          <cell r="K4610" t="str">
            <v>YES</v>
          </cell>
        </row>
        <row r="4611">
          <cell r="I4611" t="str">
            <v>V38922</v>
          </cell>
          <cell r="J4611" t="str">
            <v>CTC</v>
          </cell>
          <cell r="K4611" t="str">
            <v>YES</v>
          </cell>
        </row>
        <row r="4612">
          <cell r="I4612" t="str">
            <v>V39748</v>
          </cell>
          <cell r="J4612" t="str">
            <v>CTC</v>
          </cell>
          <cell r="K4612" t="str">
            <v>YES</v>
          </cell>
        </row>
        <row r="4613">
          <cell r="I4613" t="str">
            <v>V42321</v>
          </cell>
          <cell r="J4613" t="str">
            <v>CTC</v>
          </cell>
          <cell r="K4613" t="str">
            <v>YES</v>
          </cell>
        </row>
        <row r="4614">
          <cell r="I4614" t="str">
            <v>V36268</v>
          </cell>
          <cell r="J4614" t="str">
            <v>CTC</v>
          </cell>
          <cell r="K4614" t="str">
            <v>YES</v>
          </cell>
        </row>
        <row r="4615">
          <cell r="I4615" t="str">
            <v>V36395</v>
          </cell>
          <cell r="J4615" t="str">
            <v>CTC</v>
          </cell>
          <cell r="K4615" t="str">
            <v>YES</v>
          </cell>
        </row>
        <row r="4616">
          <cell r="I4616" t="str">
            <v>V37193</v>
          </cell>
          <cell r="J4616" t="str">
            <v>CTC</v>
          </cell>
          <cell r="K4616" t="str">
            <v>YES</v>
          </cell>
        </row>
        <row r="4617">
          <cell r="I4617" t="str">
            <v>V37475</v>
          </cell>
          <cell r="J4617" t="str">
            <v>CTC</v>
          </cell>
          <cell r="K4617" t="str">
            <v>YES</v>
          </cell>
        </row>
        <row r="4618">
          <cell r="I4618" t="str">
            <v>V41683</v>
          </cell>
          <cell r="J4618" t="str">
            <v>CTC</v>
          </cell>
          <cell r="K4618" t="str">
            <v>YES</v>
          </cell>
        </row>
        <row r="4619">
          <cell r="I4619" t="str">
            <v>V35171</v>
          </cell>
          <cell r="J4619" t="str">
            <v>CTC</v>
          </cell>
          <cell r="K4619" t="str">
            <v>YES</v>
          </cell>
        </row>
        <row r="4620">
          <cell r="I4620" t="str">
            <v>V44008</v>
          </cell>
          <cell r="J4620" t="str">
            <v>CTC</v>
          </cell>
          <cell r="K4620" t="str">
            <v>YES</v>
          </cell>
        </row>
        <row r="4621">
          <cell r="I4621" t="str">
            <v>V45210</v>
          </cell>
          <cell r="J4621" t="str">
            <v>CTC</v>
          </cell>
          <cell r="K4621" t="str">
            <v>YES</v>
          </cell>
        </row>
        <row r="4622">
          <cell r="I4622" t="str">
            <v>V42556</v>
          </cell>
          <cell r="J4622" t="str">
            <v>CTC</v>
          </cell>
          <cell r="K4622" t="str">
            <v>YES</v>
          </cell>
        </row>
        <row r="4623">
          <cell r="I4623" t="str">
            <v>V24647</v>
          </cell>
          <cell r="J4623" t="str">
            <v>CTC</v>
          </cell>
          <cell r="K4623" t="str">
            <v>YES</v>
          </cell>
        </row>
        <row r="4624">
          <cell r="I4624" t="str">
            <v>V24960</v>
          </cell>
          <cell r="J4624" t="str">
            <v>CTC</v>
          </cell>
          <cell r="K4624" t="str">
            <v>YES</v>
          </cell>
        </row>
        <row r="4625">
          <cell r="I4625" t="str">
            <v>V25081</v>
          </cell>
          <cell r="J4625" t="str">
            <v>CTC</v>
          </cell>
          <cell r="K4625" t="str">
            <v>YES</v>
          </cell>
        </row>
        <row r="4626">
          <cell r="I4626" t="str">
            <v>V25082</v>
          </cell>
          <cell r="J4626" t="str">
            <v>CTC</v>
          </cell>
          <cell r="K4626" t="str">
            <v>YES</v>
          </cell>
        </row>
        <row r="4627">
          <cell r="I4627" t="str">
            <v>V45804</v>
          </cell>
          <cell r="J4627" t="str">
            <v>CTC</v>
          </cell>
          <cell r="K4627" t="str">
            <v>YES</v>
          </cell>
        </row>
        <row r="4628">
          <cell r="I4628" t="str">
            <v>V28839</v>
          </cell>
          <cell r="J4628" t="str">
            <v>CTC</v>
          </cell>
          <cell r="K4628" t="str">
            <v>YES</v>
          </cell>
        </row>
        <row r="4629">
          <cell r="I4629" t="str">
            <v>V44198</v>
          </cell>
          <cell r="J4629" t="str">
            <v>CTC</v>
          </cell>
          <cell r="K4629" t="str">
            <v>YES</v>
          </cell>
        </row>
        <row r="4630">
          <cell r="I4630" t="str">
            <v>V38974</v>
          </cell>
          <cell r="J4630" t="str">
            <v>CTC</v>
          </cell>
          <cell r="K4630" t="str">
            <v>YES</v>
          </cell>
        </row>
        <row r="4631">
          <cell r="I4631" t="str">
            <v>V42709</v>
          </cell>
          <cell r="J4631" t="str">
            <v>CTC</v>
          </cell>
          <cell r="K4631" t="str">
            <v>YES</v>
          </cell>
        </row>
        <row r="4632">
          <cell r="I4632" t="str">
            <v>V34577</v>
          </cell>
          <cell r="J4632" t="str">
            <v>CTC</v>
          </cell>
          <cell r="K4632" t="str">
            <v>YES</v>
          </cell>
        </row>
        <row r="4633">
          <cell r="I4633" t="str">
            <v>V27424</v>
          </cell>
          <cell r="J4633" t="str">
            <v>CTC</v>
          </cell>
          <cell r="K4633" t="str">
            <v>YES</v>
          </cell>
        </row>
        <row r="4634">
          <cell r="I4634" t="str">
            <v>V45095</v>
          </cell>
          <cell r="J4634" t="str">
            <v>CTC</v>
          </cell>
          <cell r="K4634" t="str">
            <v>YES</v>
          </cell>
        </row>
        <row r="4635">
          <cell r="I4635" t="str">
            <v>V43276</v>
          </cell>
          <cell r="J4635" t="str">
            <v>CTC</v>
          </cell>
          <cell r="K4635" t="str">
            <v>YES</v>
          </cell>
        </row>
        <row r="4636">
          <cell r="I4636" t="str">
            <v>V45581</v>
          </cell>
          <cell r="J4636" t="str">
            <v>CTC</v>
          </cell>
          <cell r="K4636" t="str">
            <v>YES</v>
          </cell>
        </row>
        <row r="4637">
          <cell r="I4637" t="str">
            <v>V24096</v>
          </cell>
          <cell r="J4637" t="str">
            <v>CTC</v>
          </cell>
          <cell r="K4637" t="str">
            <v>YES</v>
          </cell>
        </row>
        <row r="4638">
          <cell r="I4638" t="str">
            <v>V42183</v>
          </cell>
          <cell r="J4638" t="str">
            <v>CTC</v>
          </cell>
          <cell r="K4638" t="str">
            <v>YES</v>
          </cell>
        </row>
        <row r="4639">
          <cell r="I4639" t="str">
            <v>V35515</v>
          </cell>
          <cell r="J4639" t="str">
            <v>CTC</v>
          </cell>
          <cell r="K4639" t="str">
            <v>YES</v>
          </cell>
        </row>
        <row r="4640">
          <cell r="I4640" t="str">
            <v>V33314</v>
          </cell>
          <cell r="J4640" t="str">
            <v>CTC</v>
          </cell>
          <cell r="K4640" t="str">
            <v>YES</v>
          </cell>
        </row>
        <row r="4641">
          <cell r="I4641" t="str">
            <v>V35396</v>
          </cell>
          <cell r="J4641" t="str">
            <v>CTC</v>
          </cell>
          <cell r="K4641" t="str">
            <v>YES</v>
          </cell>
        </row>
        <row r="4642">
          <cell r="I4642" t="str">
            <v>V32621</v>
          </cell>
          <cell r="J4642" t="str">
            <v>CTC</v>
          </cell>
          <cell r="K4642" t="str">
            <v>YES</v>
          </cell>
        </row>
        <row r="4643">
          <cell r="I4643" t="str">
            <v>V34085</v>
          </cell>
          <cell r="J4643" t="str">
            <v>CTC</v>
          </cell>
          <cell r="K4643" t="str">
            <v>YES</v>
          </cell>
        </row>
        <row r="4644">
          <cell r="I4644" t="str">
            <v>V43249</v>
          </cell>
          <cell r="J4644" t="str">
            <v>CTC</v>
          </cell>
          <cell r="K4644" t="str">
            <v>YES</v>
          </cell>
        </row>
        <row r="4645">
          <cell r="I4645" t="str">
            <v>V32099</v>
          </cell>
          <cell r="J4645" t="str">
            <v>CTC</v>
          </cell>
          <cell r="K4645" t="str">
            <v>YES</v>
          </cell>
        </row>
        <row r="4646">
          <cell r="I4646" t="str">
            <v>V34126</v>
          </cell>
          <cell r="J4646" t="str">
            <v>CTC</v>
          </cell>
          <cell r="K4646" t="str">
            <v>YES</v>
          </cell>
        </row>
        <row r="4647">
          <cell r="I4647" t="str">
            <v>V29620</v>
          </cell>
          <cell r="J4647" t="str">
            <v>CTC</v>
          </cell>
          <cell r="K4647" t="str">
            <v>YES</v>
          </cell>
        </row>
        <row r="4648">
          <cell r="I4648" t="str">
            <v>V42580</v>
          </cell>
          <cell r="J4648" t="str">
            <v>CTC</v>
          </cell>
          <cell r="K4648" t="str">
            <v>YES</v>
          </cell>
        </row>
        <row r="4649">
          <cell r="I4649" t="str">
            <v>V38630</v>
          </cell>
          <cell r="J4649" t="str">
            <v>CTC</v>
          </cell>
          <cell r="K4649" t="str">
            <v>YES</v>
          </cell>
        </row>
        <row r="4650">
          <cell r="I4650" t="str">
            <v>V16035</v>
          </cell>
          <cell r="J4650" t="str">
            <v>CTC</v>
          </cell>
          <cell r="K4650" t="str">
            <v>YES</v>
          </cell>
        </row>
        <row r="4651">
          <cell r="I4651" t="str">
            <v>V21013</v>
          </cell>
          <cell r="J4651" t="str">
            <v>CTC</v>
          </cell>
          <cell r="K4651" t="str">
            <v>YES</v>
          </cell>
        </row>
        <row r="4652">
          <cell r="I4652" t="str">
            <v>V40577</v>
          </cell>
          <cell r="J4652" t="str">
            <v>CTC</v>
          </cell>
          <cell r="K4652" t="str">
            <v>YES</v>
          </cell>
        </row>
        <row r="4653">
          <cell r="I4653" t="str">
            <v>V44540</v>
          </cell>
          <cell r="J4653" t="str">
            <v>CTC</v>
          </cell>
          <cell r="K4653" t="str">
            <v>YES</v>
          </cell>
        </row>
        <row r="4654">
          <cell r="I4654" t="str">
            <v>V22449</v>
          </cell>
          <cell r="J4654" t="str">
            <v>CTC</v>
          </cell>
          <cell r="K4654" t="str">
            <v>YES</v>
          </cell>
        </row>
        <row r="4655">
          <cell r="I4655" t="str">
            <v>V37987</v>
          </cell>
          <cell r="J4655" t="str">
            <v>CTC</v>
          </cell>
          <cell r="K4655" t="str">
            <v>YES</v>
          </cell>
        </row>
        <row r="4656">
          <cell r="I4656" t="str">
            <v>V39145</v>
          </cell>
          <cell r="J4656" t="str">
            <v>CTC</v>
          </cell>
          <cell r="K4656" t="str">
            <v>YES</v>
          </cell>
        </row>
        <row r="4657">
          <cell r="I4657" t="str">
            <v>V39453</v>
          </cell>
          <cell r="J4657" t="str">
            <v>CTC</v>
          </cell>
          <cell r="K4657" t="str">
            <v>YES</v>
          </cell>
        </row>
        <row r="4658">
          <cell r="I4658" t="str">
            <v>V39989</v>
          </cell>
          <cell r="J4658" t="str">
            <v>CTC</v>
          </cell>
          <cell r="K4658" t="str">
            <v>YES</v>
          </cell>
        </row>
        <row r="4659">
          <cell r="I4659" t="str">
            <v>V41349</v>
          </cell>
          <cell r="J4659" t="str">
            <v>CTC</v>
          </cell>
          <cell r="K4659" t="str">
            <v>YES</v>
          </cell>
        </row>
        <row r="4660">
          <cell r="I4660" t="str">
            <v>V42350</v>
          </cell>
          <cell r="J4660" t="str">
            <v>CTC</v>
          </cell>
          <cell r="K4660" t="str">
            <v>YES</v>
          </cell>
        </row>
        <row r="4661">
          <cell r="I4661" t="str">
            <v>V36363</v>
          </cell>
          <cell r="J4661" t="str">
            <v>CTC</v>
          </cell>
          <cell r="K4661" t="str">
            <v>YES</v>
          </cell>
        </row>
        <row r="4662">
          <cell r="I4662" t="str">
            <v>V36561</v>
          </cell>
          <cell r="J4662" t="str">
            <v>CTC</v>
          </cell>
          <cell r="K4662" t="str">
            <v>YES</v>
          </cell>
        </row>
        <row r="4663">
          <cell r="I4663" t="str">
            <v>V37029</v>
          </cell>
          <cell r="J4663" t="str">
            <v>CTC</v>
          </cell>
          <cell r="K4663" t="str">
            <v>YES</v>
          </cell>
        </row>
        <row r="4664">
          <cell r="I4664" t="str">
            <v>V38790</v>
          </cell>
          <cell r="J4664" t="str">
            <v>CTC</v>
          </cell>
          <cell r="K4664" t="str">
            <v>YES</v>
          </cell>
        </row>
        <row r="4665">
          <cell r="I4665" t="str">
            <v>V38832</v>
          </cell>
          <cell r="J4665" t="str">
            <v>CTC</v>
          </cell>
          <cell r="K4665" t="str">
            <v>YES</v>
          </cell>
        </row>
        <row r="4666">
          <cell r="I4666" t="str">
            <v>V39150</v>
          </cell>
          <cell r="J4666" t="str">
            <v>CTC</v>
          </cell>
          <cell r="K4666" t="str">
            <v>YES</v>
          </cell>
        </row>
        <row r="4667">
          <cell r="I4667" t="str">
            <v>V39242</v>
          </cell>
          <cell r="J4667" t="str">
            <v>CTC</v>
          </cell>
          <cell r="K4667" t="str">
            <v>YES</v>
          </cell>
        </row>
        <row r="4668">
          <cell r="I4668" t="str">
            <v>V39940</v>
          </cell>
          <cell r="J4668" t="str">
            <v>CTC</v>
          </cell>
          <cell r="K4668" t="str">
            <v>YES</v>
          </cell>
        </row>
        <row r="4669">
          <cell r="I4669" t="str">
            <v>V40063</v>
          </cell>
          <cell r="J4669" t="str">
            <v>CTC</v>
          </cell>
          <cell r="K4669" t="str">
            <v>YES</v>
          </cell>
        </row>
        <row r="4670">
          <cell r="I4670" t="str">
            <v>V40865</v>
          </cell>
          <cell r="J4670" t="str">
            <v>CTC</v>
          </cell>
          <cell r="K4670" t="str">
            <v>YES</v>
          </cell>
        </row>
        <row r="4671">
          <cell r="I4671" t="str">
            <v>V40872</v>
          </cell>
          <cell r="J4671" t="str">
            <v>CTC</v>
          </cell>
          <cell r="K4671" t="str">
            <v>YES</v>
          </cell>
        </row>
        <row r="4672">
          <cell r="I4672" t="str">
            <v>V40877</v>
          </cell>
          <cell r="J4672" t="str">
            <v>CTC</v>
          </cell>
          <cell r="K4672" t="str">
            <v>YES</v>
          </cell>
        </row>
        <row r="4673">
          <cell r="I4673" t="str">
            <v>V40929</v>
          </cell>
          <cell r="J4673" t="str">
            <v>CTC</v>
          </cell>
          <cell r="K4673" t="str">
            <v>YES</v>
          </cell>
        </row>
        <row r="4674">
          <cell r="I4674" t="str">
            <v>V40974</v>
          </cell>
          <cell r="J4674" t="str">
            <v>CTC</v>
          </cell>
          <cell r="K4674" t="str">
            <v>YES</v>
          </cell>
        </row>
        <row r="4675">
          <cell r="I4675" t="str">
            <v>V40984</v>
          </cell>
          <cell r="J4675" t="str">
            <v>CTC</v>
          </cell>
          <cell r="K4675" t="str">
            <v>YES</v>
          </cell>
        </row>
        <row r="4676">
          <cell r="I4676" t="str">
            <v>V41034</v>
          </cell>
          <cell r="J4676" t="str">
            <v>CTC</v>
          </cell>
          <cell r="K4676" t="str">
            <v>YES</v>
          </cell>
        </row>
        <row r="4677">
          <cell r="I4677" t="str">
            <v>V41113</v>
          </cell>
          <cell r="J4677" t="str">
            <v>CTC</v>
          </cell>
          <cell r="K4677" t="str">
            <v>YES</v>
          </cell>
        </row>
        <row r="4678">
          <cell r="I4678" t="str">
            <v>V41121</v>
          </cell>
          <cell r="J4678" t="str">
            <v>CTC</v>
          </cell>
          <cell r="K4678" t="str">
            <v>YES</v>
          </cell>
        </row>
        <row r="4679">
          <cell r="I4679" t="str">
            <v>V42340</v>
          </cell>
          <cell r="J4679" t="str">
            <v>CTC</v>
          </cell>
          <cell r="K4679" t="str">
            <v>YES</v>
          </cell>
        </row>
        <row r="4680">
          <cell r="I4680" t="str">
            <v>V42766</v>
          </cell>
          <cell r="J4680" t="str">
            <v>CTC</v>
          </cell>
          <cell r="K4680" t="str">
            <v>YES</v>
          </cell>
        </row>
        <row r="4681">
          <cell r="I4681" t="str">
            <v>V45776</v>
          </cell>
          <cell r="J4681" t="str">
            <v>CTC</v>
          </cell>
          <cell r="K4681" t="str">
            <v>YES</v>
          </cell>
        </row>
        <row r="4682">
          <cell r="I4682" t="str">
            <v>V46839</v>
          </cell>
          <cell r="J4682" t="str">
            <v>CTC</v>
          </cell>
          <cell r="K4682" t="str">
            <v>YES</v>
          </cell>
        </row>
        <row r="4683">
          <cell r="I4683" t="str">
            <v>V44105</v>
          </cell>
          <cell r="J4683" t="str">
            <v>CTC</v>
          </cell>
          <cell r="K4683" t="str">
            <v>YES</v>
          </cell>
        </row>
        <row r="4684">
          <cell r="I4684" t="str">
            <v>V44184</v>
          </cell>
          <cell r="J4684" t="str">
            <v>CTC</v>
          </cell>
          <cell r="K4684" t="str">
            <v>YES</v>
          </cell>
        </row>
        <row r="4685">
          <cell r="I4685" t="str">
            <v>V38621</v>
          </cell>
          <cell r="J4685" t="str">
            <v>CTC</v>
          </cell>
          <cell r="K4685" t="str">
            <v>YES</v>
          </cell>
        </row>
        <row r="4686">
          <cell r="I4686" t="str">
            <v>V38622</v>
          </cell>
          <cell r="J4686" t="str">
            <v>CTC</v>
          </cell>
          <cell r="K4686" t="str">
            <v>YES</v>
          </cell>
        </row>
        <row r="4687">
          <cell r="I4687" t="str">
            <v>V38629</v>
          </cell>
          <cell r="J4687" t="str">
            <v>CTC</v>
          </cell>
          <cell r="K4687" t="str">
            <v>YES</v>
          </cell>
        </row>
        <row r="4688">
          <cell r="I4688" t="str">
            <v>V43175</v>
          </cell>
          <cell r="J4688" t="str">
            <v>CTC</v>
          </cell>
          <cell r="K4688" t="str">
            <v>YES</v>
          </cell>
        </row>
        <row r="4689">
          <cell r="I4689" t="str">
            <v>V43381</v>
          </cell>
          <cell r="J4689" t="str">
            <v>CTC</v>
          </cell>
          <cell r="K4689" t="str">
            <v>YES</v>
          </cell>
        </row>
        <row r="4690">
          <cell r="I4690" t="str">
            <v>V44056</v>
          </cell>
          <cell r="J4690" t="str">
            <v>CTC</v>
          </cell>
          <cell r="K4690" t="str">
            <v>YES</v>
          </cell>
        </row>
        <row r="4691">
          <cell r="I4691" t="str">
            <v>V30548</v>
          </cell>
          <cell r="J4691" t="str">
            <v>CTC</v>
          </cell>
          <cell r="K4691" t="str">
            <v>YES</v>
          </cell>
        </row>
        <row r="4692">
          <cell r="I4692" t="str">
            <v>V30549</v>
          </cell>
          <cell r="J4692" t="str">
            <v>CTC</v>
          </cell>
          <cell r="K4692" t="str">
            <v>YES</v>
          </cell>
        </row>
        <row r="4693">
          <cell r="I4693" t="str">
            <v>V35306</v>
          </cell>
          <cell r="J4693" t="str">
            <v>CTC</v>
          </cell>
          <cell r="K4693" t="str">
            <v>YES</v>
          </cell>
        </row>
        <row r="4694">
          <cell r="I4694" t="str">
            <v>V35811</v>
          </cell>
          <cell r="J4694" t="str">
            <v>CTC</v>
          </cell>
          <cell r="K4694" t="str">
            <v>YES</v>
          </cell>
        </row>
        <row r="4695">
          <cell r="I4695" t="str">
            <v>V39301</v>
          </cell>
          <cell r="J4695" t="str">
            <v>CTC</v>
          </cell>
          <cell r="K4695" t="str">
            <v>YES</v>
          </cell>
        </row>
        <row r="4696">
          <cell r="I4696" t="str">
            <v>V36423</v>
          </cell>
          <cell r="J4696" t="str">
            <v>CTC</v>
          </cell>
          <cell r="K4696" t="str">
            <v>YES</v>
          </cell>
        </row>
        <row r="4697">
          <cell r="I4697" t="str">
            <v>V36757</v>
          </cell>
          <cell r="J4697" t="str">
            <v>CTC</v>
          </cell>
          <cell r="K4697" t="str">
            <v>YES</v>
          </cell>
        </row>
        <row r="4698">
          <cell r="I4698" t="str">
            <v>V37358</v>
          </cell>
          <cell r="J4698" t="str">
            <v>CTC</v>
          </cell>
          <cell r="K4698" t="str">
            <v>YES</v>
          </cell>
        </row>
        <row r="4699">
          <cell r="I4699" t="str">
            <v>V37376</v>
          </cell>
          <cell r="J4699" t="str">
            <v>CTC</v>
          </cell>
          <cell r="K4699" t="str">
            <v>YES</v>
          </cell>
        </row>
        <row r="4700">
          <cell r="I4700" t="str">
            <v>V37420</v>
          </cell>
          <cell r="J4700" t="str">
            <v>CTC</v>
          </cell>
          <cell r="K4700" t="str">
            <v>YES</v>
          </cell>
        </row>
        <row r="4701">
          <cell r="I4701" t="str">
            <v>V37427</v>
          </cell>
          <cell r="J4701" t="str">
            <v>CTC</v>
          </cell>
          <cell r="K4701" t="str">
            <v>YES</v>
          </cell>
        </row>
        <row r="4702">
          <cell r="I4702" t="str">
            <v>V37428</v>
          </cell>
          <cell r="J4702" t="str">
            <v>CTC</v>
          </cell>
          <cell r="K4702" t="str">
            <v>YES</v>
          </cell>
        </row>
        <row r="4703">
          <cell r="I4703" t="str">
            <v>V37468</v>
          </cell>
          <cell r="J4703" t="str">
            <v>CTC</v>
          </cell>
          <cell r="K4703" t="str">
            <v>YES</v>
          </cell>
        </row>
        <row r="4704">
          <cell r="I4704" t="str">
            <v>V37483</v>
          </cell>
          <cell r="J4704" t="str">
            <v>CTC</v>
          </cell>
          <cell r="K4704" t="str">
            <v>YES</v>
          </cell>
        </row>
        <row r="4705">
          <cell r="I4705" t="str">
            <v>V37485</v>
          </cell>
          <cell r="J4705" t="str">
            <v>CTC</v>
          </cell>
          <cell r="K4705" t="str">
            <v>YES</v>
          </cell>
        </row>
        <row r="4706">
          <cell r="I4706" t="str">
            <v>V37497</v>
          </cell>
          <cell r="J4706" t="str">
            <v>CTC</v>
          </cell>
          <cell r="K4706" t="str">
            <v>YES</v>
          </cell>
        </row>
        <row r="4707">
          <cell r="I4707" t="str">
            <v>V37553</v>
          </cell>
          <cell r="J4707" t="str">
            <v>CTC</v>
          </cell>
          <cell r="K4707" t="str">
            <v>YES</v>
          </cell>
        </row>
        <row r="4708">
          <cell r="I4708" t="str">
            <v>V37797</v>
          </cell>
          <cell r="J4708" t="str">
            <v>CTC</v>
          </cell>
          <cell r="K4708" t="str">
            <v>YES</v>
          </cell>
        </row>
        <row r="4709">
          <cell r="I4709" t="str">
            <v>V37798</v>
          </cell>
          <cell r="J4709" t="str">
            <v>CTC</v>
          </cell>
          <cell r="K4709" t="str">
            <v>YES</v>
          </cell>
        </row>
        <row r="4710">
          <cell r="I4710" t="str">
            <v>V37800</v>
          </cell>
          <cell r="J4710" t="str">
            <v>CTC</v>
          </cell>
          <cell r="K4710" t="str">
            <v>YES</v>
          </cell>
        </row>
        <row r="4711">
          <cell r="I4711" t="str">
            <v>V37801</v>
          </cell>
          <cell r="J4711" t="str">
            <v>CTC</v>
          </cell>
          <cell r="K4711" t="str">
            <v>YES</v>
          </cell>
        </row>
        <row r="4712">
          <cell r="I4712" t="str">
            <v>V37802</v>
          </cell>
          <cell r="J4712" t="str">
            <v>CTC</v>
          </cell>
          <cell r="K4712" t="str">
            <v>YES</v>
          </cell>
        </row>
        <row r="4713">
          <cell r="I4713" t="str">
            <v>V37803</v>
          </cell>
          <cell r="J4713" t="str">
            <v>CTC</v>
          </cell>
          <cell r="K4713" t="str">
            <v>YES</v>
          </cell>
        </row>
        <row r="4714">
          <cell r="I4714" t="str">
            <v>V37837</v>
          </cell>
          <cell r="J4714" t="str">
            <v>CTC</v>
          </cell>
          <cell r="K4714" t="str">
            <v>YES</v>
          </cell>
        </row>
        <row r="4715">
          <cell r="I4715" t="str">
            <v>V37851</v>
          </cell>
          <cell r="J4715" t="str">
            <v>CTC</v>
          </cell>
          <cell r="K4715" t="str">
            <v>YES</v>
          </cell>
        </row>
        <row r="4716">
          <cell r="I4716" t="str">
            <v>V37893</v>
          </cell>
          <cell r="J4716" t="str">
            <v>CTC</v>
          </cell>
          <cell r="K4716" t="str">
            <v>YES</v>
          </cell>
        </row>
        <row r="4717">
          <cell r="I4717" t="str">
            <v>V38490</v>
          </cell>
          <cell r="J4717" t="str">
            <v>CTC</v>
          </cell>
          <cell r="K4717" t="str">
            <v>YES</v>
          </cell>
        </row>
        <row r="4718">
          <cell r="I4718" t="str">
            <v>V38851</v>
          </cell>
          <cell r="J4718" t="str">
            <v>CTC</v>
          </cell>
          <cell r="K4718" t="str">
            <v>YES</v>
          </cell>
        </row>
        <row r="4719">
          <cell r="I4719" t="str">
            <v>V39340</v>
          </cell>
          <cell r="J4719" t="str">
            <v>CTC</v>
          </cell>
          <cell r="K4719" t="str">
            <v>YES</v>
          </cell>
        </row>
        <row r="4720">
          <cell r="I4720" t="str">
            <v>V39849</v>
          </cell>
          <cell r="J4720" t="str">
            <v>CTC</v>
          </cell>
          <cell r="K4720" t="str">
            <v>YES</v>
          </cell>
        </row>
        <row r="4721">
          <cell r="I4721" t="str">
            <v>V40150</v>
          </cell>
          <cell r="J4721" t="str">
            <v>CTC</v>
          </cell>
          <cell r="K4721" t="str">
            <v>YES</v>
          </cell>
        </row>
        <row r="4722">
          <cell r="I4722" t="str">
            <v>V40470</v>
          </cell>
          <cell r="J4722" t="str">
            <v>CTC</v>
          </cell>
          <cell r="K4722" t="str">
            <v>YES</v>
          </cell>
        </row>
        <row r="4723">
          <cell r="I4723" t="str">
            <v>V40471</v>
          </cell>
          <cell r="J4723" t="str">
            <v>CTC</v>
          </cell>
          <cell r="K4723" t="str">
            <v>YES</v>
          </cell>
        </row>
        <row r="4724">
          <cell r="I4724" t="str">
            <v>V40486</v>
          </cell>
          <cell r="J4724" t="str">
            <v>CTC</v>
          </cell>
          <cell r="K4724" t="str">
            <v>YES</v>
          </cell>
        </row>
        <row r="4725">
          <cell r="I4725" t="str">
            <v>V40494</v>
          </cell>
          <cell r="J4725" t="str">
            <v>CTC</v>
          </cell>
          <cell r="K4725" t="str">
            <v>YES</v>
          </cell>
        </row>
        <row r="4726">
          <cell r="I4726" t="str">
            <v>V40512</v>
          </cell>
          <cell r="J4726" t="str">
            <v>CTC</v>
          </cell>
          <cell r="K4726" t="str">
            <v>YES</v>
          </cell>
        </row>
        <row r="4727">
          <cell r="I4727" t="str">
            <v>V40516</v>
          </cell>
          <cell r="J4727" t="str">
            <v>CTC</v>
          </cell>
          <cell r="K4727" t="str">
            <v>YES</v>
          </cell>
        </row>
        <row r="4728">
          <cell r="I4728" t="str">
            <v>V40527</v>
          </cell>
          <cell r="J4728" t="str">
            <v>CTC</v>
          </cell>
          <cell r="K4728" t="str">
            <v>YES</v>
          </cell>
        </row>
        <row r="4729">
          <cell r="I4729" t="str">
            <v>V40528</v>
          </cell>
          <cell r="J4729" t="str">
            <v>CTC</v>
          </cell>
          <cell r="K4729" t="str">
            <v>YES</v>
          </cell>
        </row>
        <row r="4730">
          <cell r="I4730" t="str">
            <v>V40587</v>
          </cell>
          <cell r="J4730" t="str">
            <v>CTC</v>
          </cell>
          <cell r="K4730" t="str">
            <v>YES</v>
          </cell>
        </row>
        <row r="4731">
          <cell r="I4731" t="str">
            <v>V40590</v>
          </cell>
          <cell r="J4731" t="str">
            <v>CTC</v>
          </cell>
          <cell r="K4731" t="str">
            <v>YES</v>
          </cell>
        </row>
        <row r="4732">
          <cell r="I4732" t="str">
            <v>V40621</v>
          </cell>
          <cell r="J4732" t="str">
            <v>CTC</v>
          </cell>
          <cell r="K4732" t="str">
            <v>YES</v>
          </cell>
        </row>
        <row r="4733">
          <cell r="I4733" t="str">
            <v>V40636</v>
          </cell>
          <cell r="J4733" t="str">
            <v>CTC</v>
          </cell>
          <cell r="K4733" t="str">
            <v>YES</v>
          </cell>
        </row>
        <row r="4734">
          <cell r="I4734" t="str">
            <v>V40651</v>
          </cell>
          <cell r="J4734" t="str">
            <v>CTC</v>
          </cell>
          <cell r="K4734" t="str">
            <v>YES</v>
          </cell>
        </row>
        <row r="4735">
          <cell r="I4735" t="str">
            <v>V40672</v>
          </cell>
          <cell r="J4735" t="str">
            <v>CTC</v>
          </cell>
          <cell r="K4735" t="str">
            <v>YES</v>
          </cell>
        </row>
        <row r="4736">
          <cell r="I4736" t="str">
            <v>V40682</v>
          </cell>
          <cell r="J4736" t="str">
            <v>CTC</v>
          </cell>
          <cell r="K4736" t="str">
            <v>YES</v>
          </cell>
        </row>
        <row r="4737">
          <cell r="I4737" t="str">
            <v>V40684</v>
          </cell>
          <cell r="J4737" t="str">
            <v>CTC</v>
          </cell>
          <cell r="K4737" t="str">
            <v>YES</v>
          </cell>
        </row>
        <row r="4738">
          <cell r="I4738" t="str">
            <v>V40726</v>
          </cell>
          <cell r="J4738" t="str">
            <v>CTC</v>
          </cell>
          <cell r="K4738" t="str">
            <v>YES</v>
          </cell>
        </row>
        <row r="4739">
          <cell r="I4739" t="str">
            <v>V40739</v>
          </cell>
          <cell r="J4739" t="str">
            <v>CTC</v>
          </cell>
          <cell r="K4739" t="str">
            <v>YES</v>
          </cell>
        </row>
        <row r="4740">
          <cell r="I4740" t="str">
            <v>V40756</v>
          </cell>
          <cell r="J4740" t="str">
            <v>CTC</v>
          </cell>
          <cell r="K4740" t="str">
            <v>YES</v>
          </cell>
        </row>
        <row r="4741">
          <cell r="I4741" t="str">
            <v>V40757</v>
          </cell>
          <cell r="J4741" t="str">
            <v>CTC</v>
          </cell>
          <cell r="K4741" t="str">
            <v>YES</v>
          </cell>
        </row>
        <row r="4742">
          <cell r="I4742" t="str">
            <v>V40786</v>
          </cell>
          <cell r="J4742" t="str">
            <v>CTC</v>
          </cell>
          <cell r="K4742" t="str">
            <v>YES</v>
          </cell>
        </row>
        <row r="4743">
          <cell r="I4743" t="str">
            <v>V40787</v>
          </cell>
          <cell r="J4743" t="str">
            <v>CTC</v>
          </cell>
          <cell r="K4743" t="str">
            <v>YES</v>
          </cell>
        </row>
        <row r="4744">
          <cell r="I4744" t="str">
            <v>V40789</v>
          </cell>
          <cell r="J4744" t="str">
            <v>CTC</v>
          </cell>
          <cell r="K4744" t="str">
            <v>YES</v>
          </cell>
        </row>
        <row r="4745">
          <cell r="I4745" t="str">
            <v>V41164</v>
          </cell>
          <cell r="J4745" t="str">
            <v>CTC</v>
          </cell>
          <cell r="K4745" t="str">
            <v>YES</v>
          </cell>
        </row>
        <row r="4746">
          <cell r="I4746" t="str">
            <v>V41168</v>
          </cell>
          <cell r="J4746" t="str">
            <v>CTC</v>
          </cell>
          <cell r="K4746" t="str">
            <v>YES</v>
          </cell>
        </row>
        <row r="4747">
          <cell r="I4747" t="str">
            <v>V41224</v>
          </cell>
          <cell r="J4747" t="str">
            <v>CTC</v>
          </cell>
          <cell r="K4747" t="str">
            <v>YES</v>
          </cell>
        </row>
        <row r="4748">
          <cell r="I4748" t="str">
            <v>V41284</v>
          </cell>
          <cell r="J4748" t="str">
            <v>CTC</v>
          </cell>
          <cell r="K4748" t="str">
            <v>YES</v>
          </cell>
        </row>
        <row r="4749">
          <cell r="I4749" t="str">
            <v>V41322</v>
          </cell>
          <cell r="J4749" t="str">
            <v>CTC</v>
          </cell>
          <cell r="K4749" t="str">
            <v>YES</v>
          </cell>
        </row>
        <row r="4750">
          <cell r="I4750" t="str">
            <v>V41324</v>
          </cell>
          <cell r="J4750" t="str">
            <v>CTC</v>
          </cell>
          <cell r="K4750" t="str">
            <v>YES</v>
          </cell>
        </row>
        <row r="4751">
          <cell r="I4751" t="str">
            <v>V41325</v>
          </cell>
          <cell r="J4751" t="str">
            <v>CTC</v>
          </cell>
          <cell r="K4751" t="str">
            <v>YES</v>
          </cell>
        </row>
        <row r="4752">
          <cell r="I4752" t="str">
            <v>V41364</v>
          </cell>
          <cell r="J4752" t="str">
            <v>CTC</v>
          </cell>
          <cell r="K4752" t="str">
            <v>YES</v>
          </cell>
        </row>
        <row r="4753">
          <cell r="I4753" t="str">
            <v>V41445</v>
          </cell>
          <cell r="J4753" t="str">
            <v>CTC</v>
          </cell>
          <cell r="K4753" t="str">
            <v>YES</v>
          </cell>
        </row>
        <row r="4754">
          <cell r="I4754" t="str">
            <v>V41453</v>
          </cell>
          <cell r="J4754" t="str">
            <v>CTC</v>
          </cell>
          <cell r="K4754" t="str">
            <v>YES</v>
          </cell>
        </row>
        <row r="4755">
          <cell r="I4755" t="str">
            <v>V41610</v>
          </cell>
          <cell r="J4755" t="str">
            <v>CTC</v>
          </cell>
          <cell r="K4755" t="str">
            <v>YES</v>
          </cell>
        </row>
        <row r="4756">
          <cell r="I4756" t="str">
            <v>V41731</v>
          </cell>
          <cell r="J4756" t="str">
            <v>CTC</v>
          </cell>
          <cell r="K4756" t="str">
            <v>YES</v>
          </cell>
        </row>
        <row r="4757">
          <cell r="I4757" t="str">
            <v>V41922</v>
          </cell>
          <cell r="J4757" t="str">
            <v>CTC</v>
          </cell>
          <cell r="K4757" t="str">
            <v>YES</v>
          </cell>
        </row>
        <row r="4758">
          <cell r="I4758" t="str">
            <v>V42014</v>
          </cell>
          <cell r="J4758" t="str">
            <v>CTC</v>
          </cell>
          <cell r="K4758" t="str">
            <v>YES</v>
          </cell>
        </row>
        <row r="4759">
          <cell r="I4759" t="str">
            <v>V42082</v>
          </cell>
          <cell r="J4759" t="str">
            <v>CTC</v>
          </cell>
          <cell r="K4759" t="str">
            <v>YES</v>
          </cell>
        </row>
        <row r="4760">
          <cell r="I4760" t="str">
            <v>V42113</v>
          </cell>
          <cell r="J4760" t="str">
            <v>CTC</v>
          </cell>
          <cell r="K4760" t="str">
            <v>YES</v>
          </cell>
        </row>
        <row r="4761">
          <cell r="I4761" t="str">
            <v>V42703</v>
          </cell>
          <cell r="J4761" t="str">
            <v>CTC</v>
          </cell>
          <cell r="K4761" t="str">
            <v>YES</v>
          </cell>
        </row>
        <row r="4762">
          <cell r="I4762" t="str">
            <v>V34497</v>
          </cell>
          <cell r="J4762" t="str">
            <v>CTC</v>
          </cell>
          <cell r="K4762" t="str">
            <v>YES</v>
          </cell>
        </row>
        <row r="4763">
          <cell r="I4763" t="str">
            <v>V48896</v>
          </cell>
          <cell r="J4763" t="str">
            <v>CTC</v>
          </cell>
          <cell r="K4763" t="str">
            <v>YES</v>
          </cell>
        </row>
        <row r="4764">
          <cell r="I4764" t="str">
            <v>V35633</v>
          </cell>
          <cell r="J4764" t="str">
            <v>CTC</v>
          </cell>
          <cell r="K4764" t="str">
            <v>YES</v>
          </cell>
        </row>
        <row r="4765">
          <cell r="I4765" t="str">
            <v>V35635</v>
          </cell>
          <cell r="J4765" t="str">
            <v>CTC</v>
          </cell>
          <cell r="K4765" t="str">
            <v>YES</v>
          </cell>
        </row>
        <row r="4766">
          <cell r="I4766" t="str">
            <v>V35637</v>
          </cell>
          <cell r="J4766" t="str">
            <v>CTC</v>
          </cell>
          <cell r="K4766" t="str">
            <v>YES</v>
          </cell>
        </row>
        <row r="4767">
          <cell r="I4767" t="str">
            <v>V48141</v>
          </cell>
          <cell r="J4767" t="str">
            <v>CTC</v>
          </cell>
          <cell r="K4767" t="str">
            <v>YES</v>
          </cell>
        </row>
        <row r="4768">
          <cell r="I4768" t="str">
            <v>V44677</v>
          </cell>
          <cell r="J4768" t="str">
            <v>CTC</v>
          </cell>
          <cell r="K4768" t="str">
            <v>YES</v>
          </cell>
        </row>
        <row r="4769">
          <cell r="I4769" t="str">
            <v>V37163</v>
          </cell>
          <cell r="J4769" t="str">
            <v>CTC</v>
          </cell>
          <cell r="K4769" t="str">
            <v>YES</v>
          </cell>
        </row>
        <row r="4770">
          <cell r="I4770" t="str">
            <v>V37625</v>
          </cell>
          <cell r="J4770" t="str">
            <v>CTC</v>
          </cell>
          <cell r="K4770" t="str">
            <v>YES</v>
          </cell>
        </row>
        <row r="4771">
          <cell r="I4771" t="str">
            <v>V39785</v>
          </cell>
          <cell r="J4771" t="str">
            <v>CTC</v>
          </cell>
          <cell r="K4771" t="str">
            <v>YES</v>
          </cell>
        </row>
        <row r="4772">
          <cell r="I4772" t="str">
            <v>V40588</v>
          </cell>
          <cell r="J4772" t="str">
            <v>CTC</v>
          </cell>
          <cell r="K4772" t="str">
            <v>YES</v>
          </cell>
        </row>
        <row r="4773">
          <cell r="I4773" t="str">
            <v>V42605</v>
          </cell>
          <cell r="J4773" t="str">
            <v>CTC</v>
          </cell>
          <cell r="K4773" t="str">
            <v>YES</v>
          </cell>
        </row>
        <row r="4774">
          <cell r="I4774" t="str">
            <v>V42697</v>
          </cell>
          <cell r="J4774" t="str">
            <v>CTC</v>
          </cell>
          <cell r="K4774" t="str">
            <v>YES</v>
          </cell>
        </row>
        <row r="4775">
          <cell r="I4775" t="str">
            <v>V31240</v>
          </cell>
          <cell r="J4775" t="str">
            <v>CTC</v>
          </cell>
          <cell r="K4775" t="str">
            <v>YES</v>
          </cell>
        </row>
        <row r="4776">
          <cell r="I4776" t="str">
            <v>V27294</v>
          </cell>
          <cell r="J4776" t="str">
            <v>CTC</v>
          </cell>
          <cell r="K4776" t="str">
            <v>YES</v>
          </cell>
        </row>
        <row r="4777">
          <cell r="I4777" t="str">
            <v>V22760</v>
          </cell>
          <cell r="J4777" t="str">
            <v>CTC</v>
          </cell>
          <cell r="K4777" t="str">
            <v>YES</v>
          </cell>
        </row>
        <row r="4778">
          <cell r="I4778" t="str">
            <v>V44800</v>
          </cell>
          <cell r="J4778" t="str">
            <v>CTC</v>
          </cell>
          <cell r="K4778" t="str">
            <v>YES</v>
          </cell>
        </row>
        <row r="4779">
          <cell r="I4779" t="str">
            <v>V42812</v>
          </cell>
          <cell r="J4779" t="str">
            <v>CTC</v>
          </cell>
          <cell r="K4779" t="str">
            <v>YES</v>
          </cell>
        </row>
        <row r="4780">
          <cell r="I4780" t="str">
            <v>V30661</v>
          </cell>
          <cell r="J4780" t="str">
            <v>CTC</v>
          </cell>
          <cell r="K4780" t="str">
            <v>YES</v>
          </cell>
        </row>
        <row r="4781">
          <cell r="I4781" t="str">
            <v>V20330</v>
          </cell>
          <cell r="J4781" t="str">
            <v>CTC</v>
          </cell>
          <cell r="K4781" t="str">
            <v>YES</v>
          </cell>
        </row>
        <row r="4782">
          <cell r="I4782" t="str">
            <v>V40668</v>
          </cell>
          <cell r="J4782" t="str">
            <v>CTC</v>
          </cell>
          <cell r="K4782" t="str">
            <v>YES</v>
          </cell>
        </row>
        <row r="4783">
          <cell r="I4783" t="str">
            <v>V40727</v>
          </cell>
          <cell r="J4783" t="str">
            <v>CTC</v>
          </cell>
          <cell r="K4783" t="str">
            <v>YES</v>
          </cell>
        </row>
        <row r="4784">
          <cell r="I4784" t="str">
            <v>V30430</v>
          </cell>
          <cell r="J4784" t="str">
            <v>CTC</v>
          </cell>
          <cell r="K4784" t="str">
            <v>YES</v>
          </cell>
        </row>
        <row r="4785">
          <cell r="I4785" t="str">
            <v>V41952</v>
          </cell>
          <cell r="J4785" t="str">
            <v>CTC</v>
          </cell>
          <cell r="K4785" t="str">
            <v>YES</v>
          </cell>
        </row>
        <row r="4786">
          <cell r="I4786" t="str">
            <v>V40503</v>
          </cell>
          <cell r="J4786" t="str">
            <v>CTC</v>
          </cell>
          <cell r="K4786" t="str">
            <v>YES</v>
          </cell>
        </row>
        <row r="4787">
          <cell r="I4787" t="str">
            <v>V28570</v>
          </cell>
          <cell r="J4787" t="str">
            <v>CTC</v>
          </cell>
          <cell r="K4787" t="str">
            <v>YES</v>
          </cell>
        </row>
        <row r="4788">
          <cell r="I4788" t="str">
            <v>V26268</v>
          </cell>
          <cell r="J4788" t="str">
            <v>CTC</v>
          </cell>
          <cell r="K4788" t="str">
            <v>YES</v>
          </cell>
        </row>
        <row r="4789">
          <cell r="I4789" t="str">
            <v>V26281</v>
          </cell>
          <cell r="J4789" t="str">
            <v>CTC</v>
          </cell>
          <cell r="K4789" t="str">
            <v>YES</v>
          </cell>
        </row>
        <row r="4790">
          <cell r="I4790" t="str">
            <v>V26750</v>
          </cell>
          <cell r="J4790" t="str">
            <v>CTC</v>
          </cell>
          <cell r="K4790" t="str">
            <v>YES</v>
          </cell>
        </row>
        <row r="4791">
          <cell r="I4791" t="str">
            <v>V26754</v>
          </cell>
          <cell r="J4791" t="str">
            <v>CTC</v>
          </cell>
          <cell r="K4791" t="str">
            <v>YES</v>
          </cell>
        </row>
        <row r="4792">
          <cell r="I4792" t="str">
            <v>V26789</v>
          </cell>
          <cell r="J4792" t="str">
            <v>CTC</v>
          </cell>
          <cell r="K4792" t="str">
            <v>YES</v>
          </cell>
        </row>
        <row r="4793">
          <cell r="I4793" t="str">
            <v>V26794</v>
          </cell>
          <cell r="J4793" t="str">
            <v>CTC</v>
          </cell>
          <cell r="K4793" t="str">
            <v>YES</v>
          </cell>
        </row>
        <row r="4794">
          <cell r="I4794" t="str">
            <v>V26795</v>
          </cell>
          <cell r="J4794" t="str">
            <v>CTC</v>
          </cell>
          <cell r="K4794" t="str">
            <v>YES</v>
          </cell>
        </row>
        <row r="4795">
          <cell r="I4795" t="str">
            <v>V26796</v>
          </cell>
          <cell r="J4795" t="str">
            <v>CTC</v>
          </cell>
          <cell r="K4795" t="str">
            <v>YES</v>
          </cell>
        </row>
        <row r="4796">
          <cell r="I4796" t="str">
            <v>V26816</v>
          </cell>
          <cell r="J4796" t="str">
            <v>CTC</v>
          </cell>
          <cell r="K4796" t="str">
            <v>YES</v>
          </cell>
        </row>
        <row r="4797">
          <cell r="I4797" t="str">
            <v>V28428</v>
          </cell>
          <cell r="J4797" t="str">
            <v>CTC</v>
          </cell>
          <cell r="K4797" t="str">
            <v>YES</v>
          </cell>
        </row>
        <row r="4798">
          <cell r="I4798" t="str">
            <v>V28669</v>
          </cell>
          <cell r="J4798" t="str">
            <v>CTC</v>
          </cell>
          <cell r="K4798" t="str">
            <v>YES</v>
          </cell>
        </row>
        <row r="4799">
          <cell r="I4799" t="str">
            <v>V28710</v>
          </cell>
          <cell r="J4799" t="str">
            <v>CTC</v>
          </cell>
          <cell r="K4799" t="str">
            <v>YES</v>
          </cell>
        </row>
        <row r="4800">
          <cell r="I4800" t="str">
            <v>V49471</v>
          </cell>
          <cell r="J4800" t="str">
            <v>CTC</v>
          </cell>
          <cell r="K4800" t="str">
            <v>YES</v>
          </cell>
        </row>
        <row r="4801">
          <cell r="I4801" t="str">
            <v>V43653</v>
          </cell>
          <cell r="J4801" t="str">
            <v>CTC</v>
          </cell>
          <cell r="K4801" t="str">
            <v>YES</v>
          </cell>
        </row>
        <row r="4802">
          <cell r="I4802" t="str">
            <v>V25983</v>
          </cell>
          <cell r="J4802" t="str">
            <v>CTC</v>
          </cell>
          <cell r="K4802" t="str">
            <v>YES</v>
          </cell>
        </row>
        <row r="4803">
          <cell r="I4803" t="str">
            <v>V30681</v>
          </cell>
          <cell r="J4803" t="str">
            <v>CTC</v>
          </cell>
          <cell r="K4803" t="str">
            <v>YES</v>
          </cell>
        </row>
        <row r="4804">
          <cell r="I4804" t="str">
            <v>V36893</v>
          </cell>
          <cell r="J4804" t="str">
            <v>CTC</v>
          </cell>
          <cell r="K4804" t="str">
            <v>YES</v>
          </cell>
        </row>
        <row r="4805">
          <cell r="I4805" t="str">
            <v>V36982</v>
          </cell>
          <cell r="J4805" t="str">
            <v>CTC</v>
          </cell>
          <cell r="K4805" t="str">
            <v>YES</v>
          </cell>
        </row>
        <row r="4806">
          <cell r="I4806" t="str">
            <v>V37142</v>
          </cell>
          <cell r="J4806" t="str">
            <v>CTC</v>
          </cell>
          <cell r="K4806" t="str">
            <v>YES</v>
          </cell>
        </row>
        <row r="4807">
          <cell r="I4807" t="str">
            <v>V37145</v>
          </cell>
          <cell r="J4807" t="str">
            <v>CTC</v>
          </cell>
          <cell r="K4807" t="str">
            <v>YES</v>
          </cell>
        </row>
        <row r="4808">
          <cell r="I4808" t="str">
            <v>V39365</v>
          </cell>
          <cell r="J4808" t="str">
            <v>CTC</v>
          </cell>
          <cell r="K4808" t="str">
            <v>YES</v>
          </cell>
        </row>
        <row r="4809">
          <cell r="I4809" t="str">
            <v>V39368</v>
          </cell>
          <cell r="J4809" t="str">
            <v>CTC</v>
          </cell>
          <cell r="K4809" t="str">
            <v>YES</v>
          </cell>
        </row>
        <row r="4810">
          <cell r="I4810" t="str">
            <v>V39371</v>
          </cell>
          <cell r="J4810" t="str">
            <v>CTC</v>
          </cell>
          <cell r="K4810" t="str">
            <v>YES</v>
          </cell>
        </row>
        <row r="4811">
          <cell r="I4811" t="str">
            <v>V39397</v>
          </cell>
          <cell r="J4811" t="str">
            <v>CTC</v>
          </cell>
          <cell r="K4811" t="str">
            <v>YES</v>
          </cell>
        </row>
        <row r="4812">
          <cell r="I4812" t="str">
            <v>V39636</v>
          </cell>
          <cell r="J4812" t="str">
            <v>CTC</v>
          </cell>
          <cell r="K4812" t="str">
            <v>YES</v>
          </cell>
        </row>
        <row r="4813">
          <cell r="I4813" t="str">
            <v>V39949</v>
          </cell>
          <cell r="J4813" t="str">
            <v>CTC</v>
          </cell>
          <cell r="K4813" t="str">
            <v>YES</v>
          </cell>
        </row>
        <row r="4814">
          <cell r="I4814" t="str">
            <v>V39954</v>
          </cell>
          <cell r="J4814" t="str">
            <v>CTC</v>
          </cell>
          <cell r="K4814" t="str">
            <v>YES</v>
          </cell>
        </row>
        <row r="4815">
          <cell r="I4815" t="str">
            <v>V40159</v>
          </cell>
          <cell r="J4815" t="str">
            <v>CTC</v>
          </cell>
          <cell r="K4815" t="str">
            <v>YES</v>
          </cell>
        </row>
        <row r="4816">
          <cell r="I4816" t="str">
            <v>V42203</v>
          </cell>
          <cell r="J4816" t="str">
            <v>CTC</v>
          </cell>
          <cell r="K4816" t="str">
            <v>YES</v>
          </cell>
        </row>
        <row r="4817">
          <cell r="I4817" t="str">
            <v>V36283</v>
          </cell>
          <cell r="J4817" t="str">
            <v>CTC</v>
          </cell>
          <cell r="K4817" t="str">
            <v>YES</v>
          </cell>
        </row>
        <row r="4818">
          <cell r="I4818" t="str">
            <v>V36326</v>
          </cell>
          <cell r="J4818" t="str">
            <v>CTC</v>
          </cell>
          <cell r="K4818" t="str">
            <v>YES</v>
          </cell>
        </row>
        <row r="4819">
          <cell r="I4819" t="str">
            <v>V36525</v>
          </cell>
          <cell r="J4819" t="str">
            <v>CTC</v>
          </cell>
          <cell r="K4819" t="str">
            <v>YES</v>
          </cell>
        </row>
        <row r="4820">
          <cell r="I4820" t="str">
            <v>V36742</v>
          </cell>
          <cell r="J4820" t="str">
            <v>CTC</v>
          </cell>
          <cell r="K4820" t="str">
            <v>YES</v>
          </cell>
        </row>
        <row r="4821">
          <cell r="I4821" t="str">
            <v>V37007</v>
          </cell>
          <cell r="J4821" t="str">
            <v>CTC</v>
          </cell>
          <cell r="K4821" t="str">
            <v>YES</v>
          </cell>
        </row>
        <row r="4822">
          <cell r="I4822" t="str">
            <v>V37096</v>
          </cell>
          <cell r="J4822" t="str">
            <v>CTC</v>
          </cell>
          <cell r="K4822" t="str">
            <v>YES</v>
          </cell>
        </row>
        <row r="4823">
          <cell r="I4823" t="str">
            <v>V37098</v>
          </cell>
          <cell r="J4823" t="str">
            <v>CTC</v>
          </cell>
          <cell r="K4823" t="str">
            <v>YES</v>
          </cell>
        </row>
        <row r="4824">
          <cell r="I4824" t="str">
            <v>V37178</v>
          </cell>
          <cell r="J4824" t="str">
            <v>CTC</v>
          </cell>
          <cell r="K4824" t="str">
            <v>YES</v>
          </cell>
        </row>
        <row r="4825">
          <cell r="I4825" t="str">
            <v>V37530</v>
          </cell>
          <cell r="J4825" t="str">
            <v>CTC</v>
          </cell>
          <cell r="K4825" t="str">
            <v>YES</v>
          </cell>
        </row>
        <row r="4826">
          <cell r="I4826" t="str">
            <v>V37693</v>
          </cell>
          <cell r="J4826" t="str">
            <v>CTC</v>
          </cell>
          <cell r="K4826" t="str">
            <v>YES</v>
          </cell>
        </row>
        <row r="4827">
          <cell r="I4827" t="str">
            <v>V37718</v>
          </cell>
          <cell r="J4827" t="str">
            <v>CTC</v>
          </cell>
          <cell r="K4827" t="str">
            <v>YES</v>
          </cell>
        </row>
        <row r="4828">
          <cell r="I4828" t="str">
            <v>V37719</v>
          </cell>
          <cell r="J4828" t="str">
            <v>CTC</v>
          </cell>
          <cell r="K4828" t="str">
            <v>YES</v>
          </cell>
        </row>
        <row r="4829">
          <cell r="I4829" t="str">
            <v>V37754</v>
          </cell>
          <cell r="J4829" t="str">
            <v>CTC</v>
          </cell>
          <cell r="K4829" t="str">
            <v>YES</v>
          </cell>
        </row>
        <row r="4830">
          <cell r="I4830" t="str">
            <v>V38027</v>
          </cell>
          <cell r="J4830" t="str">
            <v>CTC</v>
          </cell>
          <cell r="K4830" t="str">
            <v>YES</v>
          </cell>
        </row>
        <row r="4831">
          <cell r="I4831" t="str">
            <v>V38377</v>
          </cell>
          <cell r="J4831" t="str">
            <v>CTC</v>
          </cell>
          <cell r="K4831" t="str">
            <v>YES</v>
          </cell>
        </row>
        <row r="4832">
          <cell r="I4832" t="str">
            <v>V40011</v>
          </cell>
          <cell r="J4832" t="str">
            <v>CTC</v>
          </cell>
          <cell r="K4832" t="str">
            <v>YES</v>
          </cell>
        </row>
        <row r="4833">
          <cell r="I4833" t="str">
            <v>V35203</v>
          </cell>
          <cell r="J4833" t="str">
            <v>CTC</v>
          </cell>
          <cell r="K4833" t="str">
            <v>YES</v>
          </cell>
        </row>
        <row r="4834">
          <cell r="I4834" t="str">
            <v>V35207</v>
          </cell>
          <cell r="J4834" t="str">
            <v>CTC</v>
          </cell>
          <cell r="K4834" t="str">
            <v>YES</v>
          </cell>
        </row>
        <row r="4835">
          <cell r="I4835" t="str">
            <v>V35961</v>
          </cell>
          <cell r="J4835" t="str">
            <v>CTC</v>
          </cell>
          <cell r="K4835" t="str">
            <v>YES</v>
          </cell>
        </row>
        <row r="4836">
          <cell r="I4836" t="str">
            <v>V35983</v>
          </cell>
          <cell r="J4836" t="str">
            <v>CTC</v>
          </cell>
          <cell r="K4836" t="str">
            <v>YES</v>
          </cell>
        </row>
        <row r="4837">
          <cell r="I4837" t="str">
            <v>V36005</v>
          </cell>
          <cell r="J4837" t="str">
            <v>CTC</v>
          </cell>
          <cell r="K4837" t="str">
            <v>YES</v>
          </cell>
        </row>
        <row r="4838">
          <cell r="I4838" t="str">
            <v>V36012</v>
          </cell>
          <cell r="J4838" t="str">
            <v>CTC</v>
          </cell>
          <cell r="K4838" t="str">
            <v>YES</v>
          </cell>
        </row>
        <row r="4839">
          <cell r="I4839" t="str">
            <v>V36056</v>
          </cell>
          <cell r="J4839" t="str">
            <v>CTC</v>
          </cell>
          <cell r="K4839" t="str">
            <v>YES</v>
          </cell>
        </row>
        <row r="4840">
          <cell r="I4840" t="str">
            <v>V26321</v>
          </cell>
          <cell r="J4840" t="str">
            <v>CTC</v>
          </cell>
          <cell r="K4840" t="str">
            <v>YES</v>
          </cell>
        </row>
        <row r="4841">
          <cell r="I4841" t="str">
            <v>V37792</v>
          </cell>
          <cell r="J4841" t="str">
            <v>CTC</v>
          </cell>
          <cell r="K4841" t="str">
            <v>YES</v>
          </cell>
        </row>
        <row r="4842">
          <cell r="I4842" t="str">
            <v>V28649</v>
          </cell>
          <cell r="J4842" t="str">
            <v>CTC</v>
          </cell>
          <cell r="K4842" t="str">
            <v>YES</v>
          </cell>
        </row>
        <row r="4843">
          <cell r="I4843" t="str">
            <v>V38097</v>
          </cell>
          <cell r="J4843" t="str">
            <v>CTC</v>
          </cell>
          <cell r="K4843" t="str">
            <v>YES</v>
          </cell>
        </row>
        <row r="4844">
          <cell r="I4844" t="str">
            <v>V44319</v>
          </cell>
          <cell r="J4844" t="str">
            <v>CTC</v>
          </cell>
          <cell r="K4844" t="str">
            <v>YES</v>
          </cell>
        </row>
        <row r="4845">
          <cell r="I4845" t="str">
            <v>V43180</v>
          </cell>
          <cell r="J4845" t="str">
            <v>CTC</v>
          </cell>
          <cell r="K4845" t="str">
            <v>YES</v>
          </cell>
        </row>
        <row r="4846">
          <cell r="I4846" t="str">
            <v>V44318</v>
          </cell>
          <cell r="J4846" t="str">
            <v>CTC</v>
          </cell>
          <cell r="K4846" t="str">
            <v>YES</v>
          </cell>
        </row>
        <row r="4847">
          <cell r="I4847" t="str">
            <v>V39473</v>
          </cell>
          <cell r="J4847" t="str">
            <v>CTC</v>
          </cell>
          <cell r="K4847" t="str">
            <v>YES</v>
          </cell>
        </row>
        <row r="4848">
          <cell r="I4848" t="str">
            <v>V42364</v>
          </cell>
          <cell r="J4848" t="str">
            <v>CTC</v>
          </cell>
          <cell r="K4848" t="str">
            <v>YES</v>
          </cell>
        </row>
        <row r="4849">
          <cell r="I4849" t="str">
            <v>V40683</v>
          </cell>
          <cell r="J4849" t="str">
            <v>CTC</v>
          </cell>
          <cell r="K4849" t="str">
            <v>YES</v>
          </cell>
        </row>
        <row r="4850">
          <cell r="I4850" t="str">
            <v>V40788</v>
          </cell>
          <cell r="J4850" t="str">
            <v>CTC</v>
          </cell>
          <cell r="K4850" t="str">
            <v>YES</v>
          </cell>
        </row>
        <row r="4851">
          <cell r="I4851" t="str">
            <v>V37111</v>
          </cell>
          <cell r="J4851" t="str">
            <v>CTC</v>
          </cell>
          <cell r="K4851" t="str">
            <v>YES</v>
          </cell>
        </row>
        <row r="4852">
          <cell r="I4852" t="str">
            <v>V26081</v>
          </cell>
          <cell r="J4852" t="str">
            <v>CTC</v>
          </cell>
          <cell r="K4852" t="str">
            <v>YES</v>
          </cell>
        </row>
        <row r="4853">
          <cell r="I4853" t="str">
            <v>V26479</v>
          </cell>
          <cell r="J4853" t="str">
            <v>CTC</v>
          </cell>
          <cell r="K4853" t="str">
            <v>YES</v>
          </cell>
        </row>
        <row r="4854">
          <cell r="I4854" t="str">
            <v>V43355</v>
          </cell>
          <cell r="J4854" t="str">
            <v>CTC</v>
          </cell>
          <cell r="K4854" t="str">
            <v>YES</v>
          </cell>
        </row>
        <row r="4855">
          <cell r="I4855" t="str">
            <v>V45640</v>
          </cell>
          <cell r="J4855" t="str">
            <v>CTC</v>
          </cell>
          <cell r="K4855" t="str">
            <v>YES</v>
          </cell>
        </row>
        <row r="4856">
          <cell r="I4856" t="str">
            <v>V37466</v>
          </cell>
          <cell r="J4856" t="str">
            <v>CTC</v>
          </cell>
          <cell r="K4856" t="str">
            <v>YES</v>
          </cell>
        </row>
        <row r="4857">
          <cell r="I4857" t="str">
            <v>V35176</v>
          </cell>
          <cell r="J4857" t="str">
            <v>CTC</v>
          </cell>
          <cell r="K4857" t="str">
            <v>YES</v>
          </cell>
        </row>
        <row r="4858">
          <cell r="I4858" t="str">
            <v>V33074</v>
          </cell>
          <cell r="J4858" t="str">
            <v>CTC</v>
          </cell>
          <cell r="K4858" t="str">
            <v>YES</v>
          </cell>
        </row>
        <row r="4859">
          <cell r="I4859" t="str">
            <v>V42860</v>
          </cell>
          <cell r="J4859" t="str">
            <v>CTC</v>
          </cell>
          <cell r="K4859" t="str">
            <v>YES</v>
          </cell>
        </row>
        <row r="4860">
          <cell r="I4860" t="str">
            <v>V42861</v>
          </cell>
          <cell r="J4860" t="str">
            <v>CTC</v>
          </cell>
          <cell r="K4860" t="str">
            <v>YES</v>
          </cell>
        </row>
        <row r="4861">
          <cell r="I4861" t="str">
            <v>V38351</v>
          </cell>
          <cell r="J4861" t="str">
            <v>CTC</v>
          </cell>
          <cell r="K4861" t="str">
            <v>YES</v>
          </cell>
        </row>
        <row r="4862">
          <cell r="I4862" t="str">
            <v>V47078</v>
          </cell>
          <cell r="J4862" t="str">
            <v>CTC</v>
          </cell>
          <cell r="K4862" t="str">
            <v>YES</v>
          </cell>
        </row>
        <row r="4863">
          <cell r="I4863" t="str">
            <v>V36191</v>
          </cell>
          <cell r="J4863" t="str">
            <v>CTC</v>
          </cell>
          <cell r="K4863" t="str">
            <v>YES</v>
          </cell>
        </row>
        <row r="4864">
          <cell r="I4864" t="str">
            <v>V36194</v>
          </cell>
          <cell r="J4864" t="str">
            <v>CTC</v>
          </cell>
          <cell r="K4864" t="str">
            <v>YES</v>
          </cell>
        </row>
        <row r="4865">
          <cell r="I4865" t="str">
            <v>V36196</v>
          </cell>
          <cell r="J4865" t="str">
            <v>CTC</v>
          </cell>
          <cell r="K4865" t="str">
            <v>YES</v>
          </cell>
        </row>
        <row r="4866">
          <cell r="I4866" t="str">
            <v>V33839</v>
          </cell>
          <cell r="J4866" t="str">
            <v>CTC</v>
          </cell>
          <cell r="K4866" t="str">
            <v>YES</v>
          </cell>
        </row>
        <row r="4867">
          <cell r="I4867" t="str">
            <v>V35707</v>
          </cell>
          <cell r="J4867" t="str">
            <v>CTC</v>
          </cell>
          <cell r="K4867" t="str">
            <v>YES</v>
          </cell>
        </row>
        <row r="4868">
          <cell r="I4868" t="str">
            <v>V42088</v>
          </cell>
          <cell r="J4868" t="str">
            <v>CTC</v>
          </cell>
          <cell r="K4868" t="str">
            <v>YES</v>
          </cell>
        </row>
        <row r="4869">
          <cell r="I4869" t="str">
            <v>V45056</v>
          </cell>
          <cell r="J4869" t="str">
            <v>CTC</v>
          </cell>
          <cell r="K4869" t="str">
            <v>YES</v>
          </cell>
        </row>
        <row r="4870">
          <cell r="I4870" t="str">
            <v>V37215</v>
          </cell>
          <cell r="J4870" t="str">
            <v>CTC</v>
          </cell>
          <cell r="K4870" t="str">
            <v>YES</v>
          </cell>
        </row>
        <row r="4871">
          <cell r="I4871" t="str">
            <v>V38583</v>
          </cell>
          <cell r="J4871" t="str">
            <v>CTC</v>
          </cell>
          <cell r="K4871" t="str">
            <v>YES</v>
          </cell>
        </row>
        <row r="4872">
          <cell r="I4872" t="str">
            <v>V36208</v>
          </cell>
          <cell r="J4872" t="str">
            <v>CTC</v>
          </cell>
          <cell r="K4872" t="str">
            <v>YES</v>
          </cell>
        </row>
        <row r="4873">
          <cell r="I4873" t="str">
            <v>V36253</v>
          </cell>
          <cell r="J4873" t="str">
            <v>CTC</v>
          </cell>
          <cell r="K4873" t="str">
            <v>YES</v>
          </cell>
        </row>
        <row r="4874">
          <cell r="I4874" t="str">
            <v>V36254</v>
          </cell>
          <cell r="J4874" t="str">
            <v>CTC</v>
          </cell>
          <cell r="K4874" t="str">
            <v>YES</v>
          </cell>
        </row>
        <row r="4875">
          <cell r="I4875" t="str">
            <v>V36432</v>
          </cell>
          <cell r="J4875" t="str">
            <v>CTC</v>
          </cell>
          <cell r="K4875" t="str">
            <v>YES</v>
          </cell>
        </row>
        <row r="4876">
          <cell r="I4876" t="str">
            <v>V36493</v>
          </cell>
          <cell r="J4876" t="str">
            <v>CTC</v>
          </cell>
          <cell r="K4876" t="str">
            <v>YES</v>
          </cell>
        </row>
        <row r="4877">
          <cell r="I4877" t="str">
            <v>V36500</v>
          </cell>
          <cell r="J4877" t="str">
            <v>CTC</v>
          </cell>
          <cell r="K4877" t="str">
            <v>YES</v>
          </cell>
        </row>
        <row r="4878">
          <cell r="I4878" t="str">
            <v>V36501</v>
          </cell>
          <cell r="J4878" t="str">
            <v>CTC</v>
          </cell>
          <cell r="K4878" t="str">
            <v>YES</v>
          </cell>
        </row>
        <row r="4879">
          <cell r="I4879" t="str">
            <v>V36597</v>
          </cell>
          <cell r="J4879" t="str">
            <v>CTC</v>
          </cell>
          <cell r="K4879" t="str">
            <v>YES</v>
          </cell>
        </row>
        <row r="4880">
          <cell r="I4880" t="str">
            <v>V36688</v>
          </cell>
          <cell r="J4880" t="str">
            <v>CTC</v>
          </cell>
          <cell r="K4880" t="str">
            <v>YES</v>
          </cell>
        </row>
        <row r="4881">
          <cell r="I4881" t="str">
            <v>V36702</v>
          </cell>
          <cell r="J4881" t="str">
            <v>CTC</v>
          </cell>
          <cell r="K4881" t="str">
            <v>YES</v>
          </cell>
        </row>
        <row r="4882">
          <cell r="I4882" t="str">
            <v>V36720</v>
          </cell>
          <cell r="J4882" t="str">
            <v>CTC</v>
          </cell>
          <cell r="K4882" t="str">
            <v>YES</v>
          </cell>
        </row>
        <row r="4883">
          <cell r="I4883" t="str">
            <v>V36743</v>
          </cell>
          <cell r="J4883" t="str">
            <v>CTC</v>
          </cell>
          <cell r="K4883" t="str">
            <v>YES</v>
          </cell>
        </row>
        <row r="4884">
          <cell r="I4884" t="str">
            <v>V36779</v>
          </cell>
          <cell r="J4884" t="str">
            <v>CTC</v>
          </cell>
          <cell r="K4884" t="str">
            <v>YES</v>
          </cell>
        </row>
        <row r="4885">
          <cell r="I4885" t="str">
            <v>V36891</v>
          </cell>
          <cell r="J4885" t="str">
            <v>CTC</v>
          </cell>
          <cell r="K4885" t="str">
            <v>YES</v>
          </cell>
        </row>
        <row r="4886">
          <cell r="I4886" t="str">
            <v>V36960</v>
          </cell>
          <cell r="J4886" t="str">
            <v>CTC</v>
          </cell>
          <cell r="K4886" t="str">
            <v>YES</v>
          </cell>
        </row>
        <row r="4887">
          <cell r="I4887" t="str">
            <v>V36967</v>
          </cell>
          <cell r="J4887" t="str">
            <v>CTC</v>
          </cell>
          <cell r="K4887" t="str">
            <v>YES</v>
          </cell>
        </row>
        <row r="4888">
          <cell r="I4888" t="str">
            <v>V36992</v>
          </cell>
          <cell r="J4888" t="str">
            <v>CTC</v>
          </cell>
          <cell r="K4888" t="str">
            <v>YES</v>
          </cell>
        </row>
        <row r="4889">
          <cell r="I4889" t="str">
            <v>V37058</v>
          </cell>
          <cell r="J4889" t="str">
            <v>CTC</v>
          </cell>
          <cell r="K4889" t="str">
            <v>YES</v>
          </cell>
        </row>
        <row r="4890">
          <cell r="I4890" t="str">
            <v>V37165</v>
          </cell>
          <cell r="J4890" t="str">
            <v>CTC</v>
          </cell>
          <cell r="K4890" t="str">
            <v>YES</v>
          </cell>
        </row>
        <row r="4891">
          <cell r="I4891" t="str">
            <v>V37275</v>
          </cell>
          <cell r="J4891" t="str">
            <v>CTC</v>
          </cell>
          <cell r="K4891" t="str">
            <v>YES</v>
          </cell>
        </row>
        <row r="4892">
          <cell r="I4892" t="str">
            <v>V37433</v>
          </cell>
          <cell r="J4892" t="str">
            <v>CTC</v>
          </cell>
          <cell r="K4892" t="str">
            <v>YES</v>
          </cell>
        </row>
        <row r="4893">
          <cell r="I4893" t="str">
            <v>V37477</v>
          </cell>
          <cell r="J4893" t="str">
            <v>CTC</v>
          </cell>
          <cell r="K4893" t="str">
            <v>YES</v>
          </cell>
        </row>
        <row r="4894">
          <cell r="I4894" t="str">
            <v>V37617</v>
          </cell>
          <cell r="J4894" t="str">
            <v>CTC</v>
          </cell>
          <cell r="K4894" t="str">
            <v>YES</v>
          </cell>
        </row>
        <row r="4895">
          <cell r="I4895" t="str">
            <v>V37618</v>
          </cell>
          <cell r="J4895" t="str">
            <v>CTC</v>
          </cell>
          <cell r="K4895" t="str">
            <v>YES</v>
          </cell>
        </row>
        <row r="4896">
          <cell r="I4896" t="str">
            <v>V38015</v>
          </cell>
          <cell r="J4896" t="str">
            <v>CTC</v>
          </cell>
          <cell r="K4896" t="str">
            <v>YES</v>
          </cell>
        </row>
        <row r="4897">
          <cell r="I4897" t="str">
            <v>V38623</v>
          </cell>
          <cell r="J4897" t="str">
            <v>CTC</v>
          </cell>
          <cell r="K4897" t="str">
            <v>YES</v>
          </cell>
        </row>
        <row r="4898">
          <cell r="I4898" t="str">
            <v>V40354</v>
          </cell>
          <cell r="J4898" t="str">
            <v>CTC</v>
          </cell>
          <cell r="K4898" t="str">
            <v>YES</v>
          </cell>
        </row>
        <row r="4899">
          <cell r="I4899" t="str">
            <v>V40631</v>
          </cell>
          <cell r="J4899" t="str">
            <v>CTC</v>
          </cell>
          <cell r="K4899" t="str">
            <v>YES</v>
          </cell>
        </row>
        <row r="4900">
          <cell r="I4900" t="str">
            <v>V42288</v>
          </cell>
          <cell r="J4900" t="str">
            <v>CTC</v>
          </cell>
          <cell r="K4900" t="str">
            <v>YES</v>
          </cell>
        </row>
        <row r="4901">
          <cell r="I4901" t="str">
            <v>V37603</v>
          </cell>
          <cell r="J4901" t="str">
            <v>CTC</v>
          </cell>
          <cell r="K4901" t="str">
            <v>YES</v>
          </cell>
        </row>
        <row r="4902">
          <cell r="I4902" t="str">
            <v>V37605</v>
          </cell>
          <cell r="J4902" t="str">
            <v>CTC</v>
          </cell>
          <cell r="K4902" t="str">
            <v>YES</v>
          </cell>
        </row>
        <row r="4903">
          <cell r="I4903" t="str">
            <v>V37606</v>
          </cell>
          <cell r="J4903" t="str">
            <v>CTC</v>
          </cell>
          <cell r="K4903" t="str">
            <v>YES</v>
          </cell>
        </row>
        <row r="4904">
          <cell r="I4904" t="str">
            <v>V37647</v>
          </cell>
          <cell r="J4904" t="str">
            <v>CTC</v>
          </cell>
          <cell r="K4904" t="str">
            <v>YES</v>
          </cell>
        </row>
        <row r="4905">
          <cell r="I4905" t="str">
            <v>V37655</v>
          </cell>
          <cell r="J4905" t="str">
            <v>CTC</v>
          </cell>
          <cell r="K4905" t="str">
            <v>YES</v>
          </cell>
        </row>
        <row r="4906">
          <cell r="I4906" t="str">
            <v>V44216</v>
          </cell>
          <cell r="J4906" t="str">
            <v>CTC</v>
          </cell>
          <cell r="K4906" t="str">
            <v>YES</v>
          </cell>
        </row>
        <row r="4907">
          <cell r="I4907" t="str">
            <v>V37132</v>
          </cell>
          <cell r="J4907" t="str">
            <v>CTC</v>
          </cell>
          <cell r="K4907" t="str">
            <v>YES</v>
          </cell>
        </row>
        <row r="4908">
          <cell r="I4908" t="str">
            <v>V27340</v>
          </cell>
          <cell r="J4908" t="str">
            <v>CTC</v>
          </cell>
          <cell r="K4908" t="str">
            <v>YES</v>
          </cell>
        </row>
        <row r="4909">
          <cell r="I4909" t="str">
            <v>V40730</v>
          </cell>
          <cell r="J4909" t="str">
            <v>CTC</v>
          </cell>
          <cell r="K4909" t="str">
            <v>YES</v>
          </cell>
        </row>
        <row r="4910">
          <cell r="I4910" t="str">
            <v>V36613</v>
          </cell>
          <cell r="J4910" t="str">
            <v>CTC</v>
          </cell>
          <cell r="K4910" t="str">
            <v>YES</v>
          </cell>
        </row>
        <row r="4911">
          <cell r="I4911" t="str">
            <v>V33435</v>
          </cell>
          <cell r="J4911" t="str">
            <v>CTC</v>
          </cell>
          <cell r="K4911" t="str">
            <v>YES</v>
          </cell>
        </row>
        <row r="4912">
          <cell r="I4912" t="str">
            <v>V33438</v>
          </cell>
          <cell r="J4912" t="str">
            <v>CTC</v>
          </cell>
          <cell r="K4912" t="str">
            <v>YES</v>
          </cell>
        </row>
        <row r="4913">
          <cell r="I4913" t="str">
            <v>V33501</v>
          </cell>
          <cell r="J4913" t="str">
            <v>CTC</v>
          </cell>
          <cell r="K4913" t="str">
            <v>YES</v>
          </cell>
        </row>
        <row r="4914">
          <cell r="I4914" t="str">
            <v>V33509</v>
          </cell>
          <cell r="J4914" t="str">
            <v>CTC</v>
          </cell>
          <cell r="K4914" t="str">
            <v>YES</v>
          </cell>
        </row>
        <row r="4915">
          <cell r="I4915" t="str">
            <v>V33860</v>
          </cell>
          <cell r="J4915" t="str">
            <v>CTC</v>
          </cell>
          <cell r="K4915" t="str">
            <v>YES</v>
          </cell>
        </row>
        <row r="4916">
          <cell r="I4916" t="str">
            <v>V33861</v>
          </cell>
          <cell r="J4916" t="str">
            <v>CTC</v>
          </cell>
          <cell r="K4916" t="str">
            <v>YES</v>
          </cell>
        </row>
        <row r="4917">
          <cell r="I4917" t="str">
            <v>V35709</v>
          </cell>
          <cell r="J4917" t="str">
            <v>CTC</v>
          </cell>
          <cell r="K4917" t="str">
            <v>YES</v>
          </cell>
        </row>
        <row r="4918">
          <cell r="I4918" t="str">
            <v>V35831</v>
          </cell>
          <cell r="J4918" t="str">
            <v>CTC</v>
          </cell>
          <cell r="K4918" t="str">
            <v>YES</v>
          </cell>
        </row>
        <row r="4919">
          <cell r="I4919" t="str">
            <v>V36025</v>
          </cell>
          <cell r="J4919" t="str">
            <v>CTC</v>
          </cell>
          <cell r="K4919" t="str">
            <v>YES</v>
          </cell>
        </row>
        <row r="4920">
          <cell r="I4920" t="str">
            <v>V36968</v>
          </cell>
          <cell r="J4920" t="str">
            <v>CTC</v>
          </cell>
          <cell r="K4920" t="str">
            <v>YES</v>
          </cell>
        </row>
        <row r="4921">
          <cell r="I4921" t="str">
            <v>V43785</v>
          </cell>
          <cell r="J4921" t="str">
            <v>CTC</v>
          </cell>
          <cell r="K4921" t="str">
            <v>YES</v>
          </cell>
        </row>
        <row r="4922">
          <cell r="I4922" t="str">
            <v>V44485</v>
          </cell>
          <cell r="J4922" t="str">
            <v>CTC</v>
          </cell>
          <cell r="K4922" t="str">
            <v>YES</v>
          </cell>
        </row>
        <row r="4923">
          <cell r="I4923" t="str">
            <v>V20044</v>
          </cell>
          <cell r="J4923" t="str">
            <v>CTC</v>
          </cell>
          <cell r="K4923" t="str">
            <v>YES</v>
          </cell>
        </row>
        <row r="4924">
          <cell r="I4924" t="str">
            <v>V45769</v>
          </cell>
          <cell r="J4924" t="str">
            <v>CTC</v>
          </cell>
          <cell r="K4924" t="str">
            <v>YES</v>
          </cell>
        </row>
        <row r="4925">
          <cell r="I4925" t="str">
            <v>V43514</v>
          </cell>
          <cell r="J4925" t="str">
            <v>CTC</v>
          </cell>
          <cell r="K4925" t="str">
            <v>YES</v>
          </cell>
        </row>
        <row r="4926">
          <cell r="I4926" t="str">
            <v>V41144</v>
          </cell>
          <cell r="J4926" t="str">
            <v>CTC</v>
          </cell>
          <cell r="K4926" t="str">
            <v>YES</v>
          </cell>
        </row>
        <row r="4927">
          <cell r="I4927" t="str">
            <v>V42218</v>
          </cell>
          <cell r="J4927" t="str">
            <v>CTC</v>
          </cell>
          <cell r="K4927" t="str">
            <v>YES</v>
          </cell>
        </row>
        <row r="4928">
          <cell r="I4928" t="str">
            <v>V38035</v>
          </cell>
          <cell r="J4928" t="str">
            <v>CTC</v>
          </cell>
          <cell r="K4928" t="str">
            <v>YES</v>
          </cell>
        </row>
        <row r="4929">
          <cell r="I4929" t="str">
            <v>V44871</v>
          </cell>
          <cell r="J4929" t="str">
            <v>CTC</v>
          </cell>
          <cell r="K4929" t="str">
            <v>YES</v>
          </cell>
        </row>
        <row r="4930">
          <cell r="I4930" t="str">
            <v>V31798</v>
          </cell>
          <cell r="J4930" t="str">
            <v>CTC</v>
          </cell>
          <cell r="K4930" t="str">
            <v>YES</v>
          </cell>
        </row>
        <row r="4931">
          <cell r="I4931" t="str">
            <v>V33046</v>
          </cell>
          <cell r="J4931" t="str">
            <v>CTC</v>
          </cell>
          <cell r="K4931" t="str">
            <v>YES</v>
          </cell>
        </row>
        <row r="4932">
          <cell r="I4932" t="str">
            <v>V42853</v>
          </cell>
          <cell r="J4932" t="str">
            <v>CTC</v>
          </cell>
          <cell r="K4932" t="str">
            <v>YES</v>
          </cell>
        </row>
        <row r="4933">
          <cell r="I4933" t="str">
            <v>V37446</v>
          </cell>
          <cell r="J4933" t="str">
            <v>CTC</v>
          </cell>
          <cell r="K4933" t="str">
            <v>YES</v>
          </cell>
        </row>
        <row r="4934">
          <cell r="I4934" t="str">
            <v>V38071</v>
          </cell>
          <cell r="J4934" t="str">
            <v>CTC</v>
          </cell>
          <cell r="K4934" t="str">
            <v>YES</v>
          </cell>
        </row>
        <row r="4935">
          <cell r="I4935" t="str">
            <v>V38072</v>
          </cell>
          <cell r="J4935" t="str">
            <v>CTC</v>
          </cell>
          <cell r="K4935" t="str">
            <v>YES</v>
          </cell>
        </row>
        <row r="4936">
          <cell r="I4936" t="str">
            <v>V38428</v>
          </cell>
          <cell r="J4936" t="str">
            <v>CTC</v>
          </cell>
          <cell r="K4936" t="str">
            <v>YES</v>
          </cell>
        </row>
        <row r="4937">
          <cell r="I4937" t="str">
            <v>V39006</v>
          </cell>
          <cell r="J4937" t="str">
            <v>CTC</v>
          </cell>
          <cell r="K4937" t="str">
            <v>YES</v>
          </cell>
        </row>
        <row r="4938">
          <cell r="I4938" t="str">
            <v>V40008</v>
          </cell>
          <cell r="J4938" t="str">
            <v>CTC</v>
          </cell>
          <cell r="K4938" t="str">
            <v>YES</v>
          </cell>
        </row>
        <row r="4939">
          <cell r="I4939" t="str">
            <v>V44088</v>
          </cell>
          <cell r="J4939" t="str">
            <v>CTC</v>
          </cell>
          <cell r="K4939" t="str">
            <v>YES</v>
          </cell>
        </row>
        <row r="4940">
          <cell r="I4940" t="str">
            <v>V41966</v>
          </cell>
          <cell r="J4940" t="str">
            <v>CTC</v>
          </cell>
          <cell r="K4940" t="str">
            <v>YES</v>
          </cell>
        </row>
        <row r="4941">
          <cell r="I4941" t="str">
            <v>V43383</v>
          </cell>
          <cell r="J4941" t="str">
            <v>CTC</v>
          </cell>
          <cell r="K4941" t="str">
            <v>YES</v>
          </cell>
        </row>
        <row r="4942">
          <cell r="I4942" t="str">
            <v>V43476</v>
          </cell>
          <cell r="J4942" t="str">
            <v>CTC</v>
          </cell>
          <cell r="K4942" t="str">
            <v>YES</v>
          </cell>
        </row>
        <row r="4943">
          <cell r="I4943" t="str">
            <v>V37292</v>
          </cell>
          <cell r="J4943" t="str">
            <v>CTC</v>
          </cell>
          <cell r="K4943" t="str">
            <v>YES</v>
          </cell>
        </row>
        <row r="4944">
          <cell r="I4944" t="str">
            <v>V46591</v>
          </cell>
          <cell r="J4944" t="str">
            <v>CTC</v>
          </cell>
          <cell r="K4944" t="str">
            <v>YES</v>
          </cell>
        </row>
        <row r="4945">
          <cell r="I4945" t="str">
            <v>V37049</v>
          </cell>
          <cell r="J4945" t="str">
            <v>CTC</v>
          </cell>
          <cell r="K4945" t="str">
            <v>YES</v>
          </cell>
        </row>
        <row r="4946">
          <cell r="I4946" t="str">
            <v>V41953</v>
          </cell>
          <cell r="J4946" t="str">
            <v>CTC</v>
          </cell>
          <cell r="K4946" t="str">
            <v>YES</v>
          </cell>
        </row>
        <row r="4947">
          <cell r="I4947" t="str">
            <v>V42355</v>
          </cell>
          <cell r="J4947" t="str">
            <v>CTC</v>
          </cell>
          <cell r="K4947" t="str">
            <v>YES</v>
          </cell>
        </row>
        <row r="4948">
          <cell r="I4948" t="str">
            <v>V40873</v>
          </cell>
          <cell r="J4948" t="str">
            <v>CTC</v>
          </cell>
          <cell r="K4948" t="str">
            <v>YES</v>
          </cell>
        </row>
        <row r="4949">
          <cell r="I4949" t="str">
            <v>V42862</v>
          </cell>
          <cell r="J4949" t="str">
            <v>CTC</v>
          </cell>
          <cell r="K4949" t="str">
            <v>YES</v>
          </cell>
        </row>
        <row r="4950">
          <cell r="I4950" t="str">
            <v>V42863</v>
          </cell>
          <cell r="J4950" t="str">
            <v>CTC</v>
          </cell>
          <cell r="K4950" t="str">
            <v>YES</v>
          </cell>
        </row>
        <row r="4951">
          <cell r="I4951" t="str">
            <v>V40551</v>
          </cell>
          <cell r="J4951" t="str">
            <v>CTC</v>
          </cell>
          <cell r="K4951" t="str">
            <v>YES</v>
          </cell>
        </row>
        <row r="4952">
          <cell r="I4952" t="str">
            <v>V28286</v>
          </cell>
          <cell r="J4952" t="str">
            <v>CTC</v>
          </cell>
          <cell r="K4952" t="str">
            <v>YES</v>
          </cell>
        </row>
        <row r="4953">
          <cell r="I4953" t="str">
            <v>V42804</v>
          </cell>
          <cell r="J4953" t="str">
            <v>CTC</v>
          </cell>
          <cell r="K4953" t="str">
            <v>YES</v>
          </cell>
        </row>
        <row r="4954">
          <cell r="I4954" t="str">
            <v>V30489</v>
          </cell>
          <cell r="J4954" t="str">
            <v>CTC</v>
          </cell>
          <cell r="K4954" t="str">
            <v>YES</v>
          </cell>
        </row>
        <row r="4955">
          <cell r="I4955" t="str">
            <v>V37155</v>
          </cell>
          <cell r="J4955" t="str">
            <v>CTC</v>
          </cell>
          <cell r="K4955" t="str">
            <v>YES</v>
          </cell>
        </row>
        <row r="4956">
          <cell r="I4956" t="str">
            <v>V27023</v>
          </cell>
          <cell r="J4956" t="str">
            <v>CTC</v>
          </cell>
          <cell r="K4956" t="str">
            <v>YES</v>
          </cell>
        </row>
        <row r="4957">
          <cell r="I4957" t="str">
            <v>V27600</v>
          </cell>
          <cell r="J4957" t="str">
            <v>CTC</v>
          </cell>
          <cell r="K4957" t="str">
            <v>YES</v>
          </cell>
        </row>
        <row r="4958">
          <cell r="I4958" t="str">
            <v>V22301</v>
          </cell>
          <cell r="J4958" t="str">
            <v>CTC</v>
          </cell>
          <cell r="K4958" t="str">
            <v>YES</v>
          </cell>
        </row>
        <row r="4959">
          <cell r="I4959" t="str">
            <v>V26743</v>
          </cell>
          <cell r="J4959" t="str">
            <v>CTC</v>
          </cell>
          <cell r="K4959" t="str">
            <v>YES</v>
          </cell>
        </row>
        <row r="4960">
          <cell r="I4960" t="str">
            <v>V41019</v>
          </cell>
          <cell r="J4960" t="str">
            <v>CTC</v>
          </cell>
          <cell r="K4960" t="str">
            <v>YES</v>
          </cell>
        </row>
        <row r="4961">
          <cell r="I4961" t="str">
            <v>V40092</v>
          </cell>
          <cell r="J4961" t="str">
            <v>CTC</v>
          </cell>
          <cell r="K4961" t="str">
            <v>YES</v>
          </cell>
        </row>
        <row r="4962">
          <cell r="I4962" t="str">
            <v>V30316</v>
          </cell>
          <cell r="J4962" t="str">
            <v>CTC</v>
          </cell>
          <cell r="K4962" t="str">
            <v>YES</v>
          </cell>
        </row>
        <row r="4963">
          <cell r="I4963" t="str">
            <v>V31276</v>
          </cell>
          <cell r="J4963" t="str">
            <v>CTC</v>
          </cell>
          <cell r="K4963" t="str">
            <v>YES</v>
          </cell>
        </row>
        <row r="4964">
          <cell r="I4964" t="str">
            <v>V29116</v>
          </cell>
          <cell r="J4964" t="str">
            <v>CTC</v>
          </cell>
          <cell r="K4964" t="str">
            <v>YES</v>
          </cell>
        </row>
        <row r="4965">
          <cell r="I4965" t="str">
            <v>V33362</v>
          </cell>
          <cell r="J4965" t="str">
            <v>CTC</v>
          </cell>
          <cell r="K4965" t="str">
            <v>YES</v>
          </cell>
        </row>
        <row r="4966">
          <cell r="I4966" t="str">
            <v>V33378</v>
          </cell>
          <cell r="J4966" t="str">
            <v>CTC</v>
          </cell>
          <cell r="K4966" t="str">
            <v>YES</v>
          </cell>
        </row>
        <row r="4967">
          <cell r="I4967" t="str">
            <v>V34994</v>
          </cell>
          <cell r="J4967" t="str">
            <v>CTC</v>
          </cell>
          <cell r="K4967" t="str">
            <v>YES</v>
          </cell>
        </row>
        <row r="4968">
          <cell r="I4968" t="str">
            <v>V25970</v>
          </cell>
          <cell r="J4968" t="str">
            <v>CTC</v>
          </cell>
          <cell r="K4968" t="str">
            <v>YES</v>
          </cell>
        </row>
        <row r="4969">
          <cell r="I4969" t="str">
            <v>V41580</v>
          </cell>
          <cell r="J4969" t="str">
            <v>CTC</v>
          </cell>
          <cell r="K4969" t="str">
            <v>YES</v>
          </cell>
        </row>
        <row r="4970">
          <cell r="I4970" t="str">
            <v>V26476</v>
          </cell>
          <cell r="J4970" t="str">
            <v>CTC</v>
          </cell>
          <cell r="K4970" t="str">
            <v>YES</v>
          </cell>
        </row>
        <row r="4971">
          <cell r="I4971" t="str">
            <v>V26547</v>
          </cell>
          <cell r="J4971" t="str">
            <v>CTC</v>
          </cell>
          <cell r="K4971" t="str">
            <v>YES</v>
          </cell>
        </row>
        <row r="4972">
          <cell r="I4972" t="str">
            <v>V26870</v>
          </cell>
          <cell r="J4972" t="str">
            <v>CTC</v>
          </cell>
          <cell r="K4972" t="str">
            <v>YES</v>
          </cell>
        </row>
        <row r="4973">
          <cell r="I4973" t="str">
            <v>V26934</v>
          </cell>
          <cell r="J4973" t="str">
            <v>CTC</v>
          </cell>
          <cell r="K4973" t="str">
            <v>YES</v>
          </cell>
        </row>
        <row r="4974">
          <cell r="I4974" t="str">
            <v>V26977</v>
          </cell>
          <cell r="J4974" t="str">
            <v>CTC</v>
          </cell>
          <cell r="K4974" t="str">
            <v>YES</v>
          </cell>
        </row>
        <row r="4975">
          <cell r="I4975" t="str">
            <v>V27232</v>
          </cell>
          <cell r="J4975" t="str">
            <v>CTC</v>
          </cell>
          <cell r="K4975" t="str">
            <v>YES</v>
          </cell>
        </row>
        <row r="4976">
          <cell r="I4976" t="str">
            <v>V27233</v>
          </cell>
          <cell r="J4976" t="str">
            <v>CTC</v>
          </cell>
          <cell r="K4976" t="str">
            <v>YES</v>
          </cell>
        </row>
        <row r="4977">
          <cell r="I4977" t="str">
            <v>V27234</v>
          </cell>
          <cell r="J4977" t="str">
            <v>CTC</v>
          </cell>
          <cell r="K4977" t="str">
            <v>YES</v>
          </cell>
        </row>
        <row r="4978">
          <cell r="I4978" t="str">
            <v>V27235</v>
          </cell>
          <cell r="J4978" t="str">
            <v>CTC</v>
          </cell>
          <cell r="K4978" t="str">
            <v>YES</v>
          </cell>
        </row>
        <row r="4979">
          <cell r="I4979" t="str">
            <v>V27237</v>
          </cell>
          <cell r="J4979" t="str">
            <v>CTC</v>
          </cell>
          <cell r="K4979" t="str">
            <v>YES</v>
          </cell>
        </row>
        <row r="4980">
          <cell r="I4980" t="str">
            <v>V27238</v>
          </cell>
          <cell r="J4980" t="str">
            <v>CTC</v>
          </cell>
          <cell r="K4980" t="str">
            <v>YES</v>
          </cell>
        </row>
        <row r="4981">
          <cell r="I4981" t="str">
            <v>V27239</v>
          </cell>
          <cell r="J4981" t="str">
            <v>CTC</v>
          </cell>
          <cell r="K4981" t="str">
            <v>YES</v>
          </cell>
        </row>
        <row r="4982">
          <cell r="I4982" t="str">
            <v>V27245</v>
          </cell>
          <cell r="J4982" t="str">
            <v>CTC</v>
          </cell>
          <cell r="K4982" t="str">
            <v>YES</v>
          </cell>
        </row>
        <row r="4983">
          <cell r="I4983" t="str">
            <v>V27247</v>
          </cell>
          <cell r="J4983" t="str">
            <v>CTC</v>
          </cell>
          <cell r="K4983" t="str">
            <v>YES</v>
          </cell>
        </row>
        <row r="4984">
          <cell r="I4984" t="str">
            <v>V27288</v>
          </cell>
          <cell r="J4984" t="str">
            <v>CTC</v>
          </cell>
          <cell r="K4984" t="str">
            <v>YES</v>
          </cell>
        </row>
        <row r="4985">
          <cell r="I4985" t="str">
            <v>V28018</v>
          </cell>
          <cell r="J4985" t="str">
            <v>CTC</v>
          </cell>
          <cell r="K4985" t="str">
            <v>YES</v>
          </cell>
        </row>
        <row r="4986">
          <cell r="I4986" t="str">
            <v>V28105</v>
          </cell>
          <cell r="J4986" t="str">
            <v>CTC</v>
          </cell>
          <cell r="K4986" t="str">
            <v>YES</v>
          </cell>
        </row>
        <row r="4987">
          <cell r="I4987" t="str">
            <v>V28228</v>
          </cell>
          <cell r="J4987" t="str">
            <v>CTC</v>
          </cell>
          <cell r="K4987" t="str">
            <v>YES</v>
          </cell>
        </row>
        <row r="4988">
          <cell r="I4988" t="str">
            <v>V28825</v>
          </cell>
          <cell r="J4988" t="str">
            <v>CTC</v>
          </cell>
          <cell r="K4988" t="str">
            <v>YES</v>
          </cell>
        </row>
        <row r="4989">
          <cell r="I4989" t="str">
            <v>V28828</v>
          </cell>
          <cell r="J4989" t="str">
            <v>CTC</v>
          </cell>
          <cell r="K4989" t="str">
            <v>YES</v>
          </cell>
        </row>
        <row r="4990">
          <cell r="I4990" t="str">
            <v>V42799</v>
          </cell>
          <cell r="J4990" t="str">
            <v>CTC</v>
          </cell>
          <cell r="K4990" t="str">
            <v>YES</v>
          </cell>
        </row>
        <row r="4991">
          <cell r="I4991" t="str">
            <v>V45246</v>
          </cell>
          <cell r="J4991" t="str">
            <v>CTC</v>
          </cell>
          <cell r="K4991" t="str">
            <v>YES</v>
          </cell>
        </row>
        <row r="4992">
          <cell r="I4992" t="str">
            <v>V34290</v>
          </cell>
          <cell r="J4992" t="str">
            <v>CTC</v>
          </cell>
          <cell r="K4992" t="str">
            <v>YES</v>
          </cell>
        </row>
        <row r="4993">
          <cell r="I4993" t="str">
            <v>V44479</v>
          </cell>
          <cell r="J4993" t="str">
            <v>CTC</v>
          </cell>
          <cell r="K4993" t="str">
            <v>YES</v>
          </cell>
        </row>
        <row r="4994">
          <cell r="I4994" t="str">
            <v>V50016</v>
          </cell>
          <cell r="J4994" t="str">
            <v>CTC</v>
          </cell>
          <cell r="K4994" t="str">
            <v>YES</v>
          </cell>
        </row>
        <row r="4995">
          <cell r="I4995" t="str">
            <v>V37696</v>
          </cell>
          <cell r="J4995" t="str">
            <v>CTC</v>
          </cell>
          <cell r="K4995" t="str">
            <v>YES</v>
          </cell>
        </row>
        <row r="4996">
          <cell r="I4996" t="str">
            <v>V42855</v>
          </cell>
          <cell r="J4996" t="str">
            <v>CTC</v>
          </cell>
          <cell r="K4996" t="str">
            <v>YES</v>
          </cell>
        </row>
        <row r="4997">
          <cell r="I4997" t="str">
            <v>V31238</v>
          </cell>
          <cell r="J4997" t="str">
            <v>CTC</v>
          </cell>
          <cell r="K4997" t="str">
            <v>YES</v>
          </cell>
        </row>
        <row r="4998">
          <cell r="I4998" t="str">
            <v>V36364</v>
          </cell>
          <cell r="J4998" t="str">
            <v>CTC</v>
          </cell>
          <cell r="K4998" t="str">
            <v>YES</v>
          </cell>
        </row>
        <row r="4999">
          <cell r="I4999" t="str">
            <v>V36446</v>
          </cell>
          <cell r="J4999" t="str">
            <v>CTC</v>
          </cell>
          <cell r="K4999" t="str">
            <v>YES</v>
          </cell>
        </row>
        <row r="5000">
          <cell r="I5000" t="str">
            <v>V42390</v>
          </cell>
          <cell r="J5000" t="str">
            <v>CTC</v>
          </cell>
          <cell r="K5000" t="str">
            <v>YES</v>
          </cell>
        </row>
        <row r="5001">
          <cell r="I5001" t="str">
            <v>V26798</v>
          </cell>
          <cell r="J5001" t="str">
            <v>CTC</v>
          </cell>
          <cell r="K5001" t="str">
            <v>YES</v>
          </cell>
        </row>
        <row r="5002">
          <cell r="I5002" t="str">
            <v>V40473</v>
          </cell>
          <cell r="J5002" t="str">
            <v>CTC</v>
          </cell>
          <cell r="K5002" t="str">
            <v>YES</v>
          </cell>
        </row>
        <row r="5003">
          <cell r="I5003" t="str">
            <v>V47596</v>
          </cell>
          <cell r="J5003" t="str">
            <v>CTC</v>
          </cell>
          <cell r="K5003" t="str">
            <v>YES</v>
          </cell>
        </row>
        <row r="5004">
          <cell r="I5004" t="str">
            <v>V36329</v>
          </cell>
          <cell r="J5004" t="str">
            <v>CTC</v>
          </cell>
          <cell r="K5004" t="str">
            <v>YES</v>
          </cell>
        </row>
        <row r="5005">
          <cell r="I5005" t="str">
            <v>V36352</v>
          </cell>
          <cell r="J5005" t="str">
            <v>CTC</v>
          </cell>
          <cell r="K5005" t="str">
            <v>YES</v>
          </cell>
        </row>
        <row r="5006">
          <cell r="I5006" t="str">
            <v>V36361</v>
          </cell>
          <cell r="J5006" t="str">
            <v>CTC</v>
          </cell>
          <cell r="K5006" t="str">
            <v>YES</v>
          </cell>
        </row>
        <row r="5007">
          <cell r="I5007" t="str">
            <v>V36379</v>
          </cell>
          <cell r="J5007" t="str">
            <v>CTC</v>
          </cell>
          <cell r="K5007" t="str">
            <v>YES</v>
          </cell>
        </row>
        <row r="5008">
          <cell r="I5008" t="str">
            <v>V36400</v>
          </cell>
          <cell r="J5008" t="str">
            <v>CTC</v>
          </cell>
          <cell r="K5008" t="str">
            <v>YES</v>
          </cell>
        </row>
        <row r="5009">
          <cell r="I5009" t="str">
            <v>V36405</v>
          </cell>
          <cell r="J5009" t="str">
            <v>CTC</v>
          </cell>
          <cell r="K5009" t="str">
            <v>YES</v>
          </cell>
        </row>
        <row r="5010">
          <cell r="I5010" t="str">
            <v>V36407</v>
          </cell>
          <cell r="J5010" t="str">
            <v>CTC</v>
          </cell>
          <cell r="K5010" t="str">
            <v>YES</v>
          </cell>
        </row>
        <row r="5011">
          <cell r="I5011" t="str">
            <v>V36436</v>
          </cell>
          <cell r="J5011" t="str">
            <v>CTC</v>
          </cell>
          <cell r="K5011" t="str">
            <v>YES</v>
          </cell>
        </row>
        <row r="5012">
          <cell r="I5012" t="str">
            <v>V36469</v>
          </cell>
          <cell r="J5012" t="str">
            <v>CTC</v>
          </cell>
          <cell r="K5012" t="str">
            <v>YES</v>
          </cell>
        </row>
        <row r="5013">
          <cell r="I5013" t="str">
            <v>V36550</v>
          </cell>
          <cell r="J5013" t="str">
            <v>CTC</v>
          </cell>
          <cell r="K5013" t="str">
            <v>YES</v>
          </cell>
        </row>
        <row r="5014">
          <cell r="I5014" t="str">
            <v>V36591</v>
          </cell>
          <cell r="J5014" t="str">
            <v>CTC</v>
          </cell>
          <cell r="K5014" t="str">
            <v>YES</v>
          </cell>
        </row>
        <row r="5015">
          <cell r="I5015" t="str">
            <v>V36630</v>
          </cell>
          <cell r="J5015" t="str">
            <v>CTC</v>
          </cell>
          <cell r="K5015" t="str">
            <v>YES</v>
          </cell>
        </row>
        <row r="5016">
          <cell r="I5016" t="str">
            <v>V36631</v>
          </cell>
          <cell r="J5016" t="str">
            <v>CTC</v>
          </cell>
          <cell r="K5016" t="str">
            <v>YES</v>
          </cell>
        </row>
        <row r="5017">
          <cell r="I5017" t="str">
            <v>V36818</v>
          </cell>
          <cell r="J5017" t="str">
            <v>CTC</v>
          </cell>
          <cell r="K5017" t="str">
            <v>YES</v>
          </cell>
        </row>
        <row r="5018">
          <cell r="I5018" t="str">
            <v>V36877</v>
          </cell>
          <cell r="J5018" t="str">
            <v>CTC</v>
          </cell>
          <cell r="K5018" t="str">
            <v>YES</v>
          </cell>
        </row>
        <row r="5019">
          <cell r="I5019" t="str">
            <v>V36911</v>
          </cell>
          <cell r="J5019" t="str">
            <v>CTC</v>
          </cell>
          <cell r="K5019" t="str">
            <v>YES</v>
          </cell>
        </row>
        <row r="5020">
          <cell r="I5020" t="str">
            <v>V36912</v>
          </cell>
          <cell r="J5020" t="str">
            <v>CTC</v>
          </cell>
          <cell r="K5020" t="str">
            <v>YES</v>
          </cell>
        </row>
        <row r="5021">
          <cell r="I5021" t="str">
            <v>V36917</v>
          </cell>
          <cell r="J5021" t="str">
            <v>CTC</v>
          </cell>
          <cell r="K5021" t="str">
            <v>YES</v>
          </cell>
        </row>
        <row r="5022">
          <cell r="I5022" t="str">
            <v>V37062</v>
          </cell>
          <cell r="J5022" t="str">
            <v>CTC</v>
          </cell>
          <cell r="K5022" t="str">
            <v>YES</v>
          </cell>
        </row>
        <row r="5023">
          <cell r="I5023" t="str">
            <v>V37069</v>
          </cell>
          <cell r="J5023" t="str">
            <v>CTC</v>
          </cell>
          <cell r="K5023" t="str">
            <v>YES</v>
          </cell>
        </row>
        <row r="5024">
          <cell r="I5024" t="str">
            <v>V37072</v>
          </cell>
          <cell r="J5024" t="str">
            <v>CTC</v>
          </cell>
          <cell r="K5024" t="str">
            <v>YES</v>
          </cell>
        </row>
        <row r="5025">
          <cell r="I5025" t="str">
            <v>V37080</v>
          </cell>
          <cell r="J5025" t="str">
            <v>CTC</v>
          </cell>
          <cell r="K5025" t="str">
            <v>YES</v>
          </cell>
        </row>
        <row r="5026">
          <cell r="I5026" t="str">
            <v>V37088</v>
          </cell>
          <cell r="J5026" t="str">
            <v>CTC</v>
          </cell>
          <cell r="K5026" t="str">
            <v>YES</v>
          </cell>
        </row>
        <row r="5027">
          <cell r="I5027" t="str">
            <v>V37090</v>
          </cell>
          <cell r="J5027" t="str">
            <v>CTC</v>
          </cell>
          <cell r="K5027" t="str">
            <v>YES</v>
          </cell>
        </row>
        <row r="5028">
          <cell r="I5028" t="str">
            <v>V37121</v>
          </cell>
          <cell r="J5028" t="str">
            <v>CTC</v>
          </cell>
          <cell r="K5028" t="str">
            <v>YES</v>
          </cell>
        </row>
        <row r="5029">
          <cell r="I5029" t="str">
            <v>V37122</v>
          </cell>
          <cell r="J5029" t="str">
            <v>CTC</v>
          </cell>
          <cell r="K5029" t="str">
            <v>YES</v>
          </cell>
        </row>
        <row r="5030">
          <cell r="I5030" t="str">
            <v>V37147</v>
          </cell>
          <cell r="J5030" t="str">
            <v>CTC</v>
          </cell>
          <cell r="K5030" t="str">
            <v>YES</v>
          </cell>
        </row>
        <row r="5031">
          <cell r="I5031" t="str">
            <v>V38863</v>
          </cell>
          <cell r="J5031" t="str">
            <v>CTC</v>
          </cell>
          <cell r="K5031" t="str">
            <v>YES</v>
          </cell>
        </row>
        <row r="5032">
          <cell r="I5032" t="str">
            <v>V36994</v>
          </cell>
          <cell r="J5032" t="str">
            <v>CTC</v>
          </cell>
          <cell r="K5032" t="str">
            <v>YES</v>
          </cell>
        </row>
        <row r="5033">
          <cell r="I5033" t="str">
            <v>V44939</v>
          </cell>
          <cell r="J5033" t="str">
            <v>CTC</v>
          </cell>
          <cell r="K5033" t="str">
            <v>YES</v>
          </cell>
        </row>
        <row r="5034">
          <cell r="I5034" t="str">
            <v>V28671</v>
          </cell>
          <cell r="J5034" t="str">
            <v>CTC</v>
          </cell>
          <cell r="K5034" t="str">
            <v>YES</v>
          </cell>
        </row>
        <row r="5035">
          <cell r="I5035" t="str">
            <v>V47097</v>
          </cell>
          <cell r="J5035" t="str">
            <v>CTC</v>
          </cell>
          <cell r="K5035" t="str">
            <v>YES</v>
          </cell>
        </row>
        <row r="5036">
          <cell r="I5036" t="str">
            <v>V38585</v>
          </cell>
          <cell r="J5036" t="str">
            <v>CTC</v>
          </cell>
          <cell r="K5036" t="str">
            <v>YES</v>
          </cell>
        </row>
        <row r="5037">
          <cell r="I5037" t="str">
            <v>V28461</v>
          </cell>
          <cell r="J5037" t="str">
            <v>CTC</v>
          </cell>
          <cell r="K5037" t="str">
            <v>YES</v>
          </cell>
        </row>
        <row r="5038">
          <cell r="I5038" t="str">
            <v>V42898</v>
          </cell>
          <cell r="J5038" t="str">
            <v>CTC</v>
          </cell>
          <cell r="K5038" t="str">
            <v>YES</v>
          </cell>
        </row>
        <row r="5039">
          <cell r="I5039" t="str">
            <v>V36955</v>
          </cell>
          <cell r="J5039" t="str">
            <v>CTC</v>
          </cell>
          <cell r="K5039" t="str">
            <v>YES</v>
          </cell>
        </row>
        <row r="5040">
          <cell r="I5040" t="str">
            <v>V36975</v>
          </cell>
          <cell r="J5040" t="str">
            <v>CTC</v>
          </cell>
          <cell r="K5040" t="str">
            <v>YES</v>
          </cell>
        </row>
        <row r="5041">
          <cell r="I5041" t="str">
            <v>V40986</v>
          </cell>
          <cell r="J5041" t="str">
            <v>CTC</v>
          </cell>
          <cell r="K5041" t="str">
            <v>YES</v>
          </cell>
        </row>
        <row r="5042">
          <cell r="I5042" t="str">
            <v>V35607</v>
          </cell>
          <cell r="J5042" t="str">
            <v>CTC</v>
          </cell>
          <cell r="K5042" t="str">
            <v>YES</v>
          </cell>
        </row>
        <row r="5043">
          <cell r="I5043" t="str">
            <v>V24550</v>
          </cell>
          <cell r="J5043" t="str">
            <v>CTC</v>
          </cell>
          <cell r="K5043" t="str">
            <v>YES</v>
          </cell>
        </row>
        <row r="5044">
          <cell r="I5044" t="str">
            <v>V19940</v>
          </cell>
          <cell r="J5044" t="str">
            <v>CTC</v>
          </cell>
          <cell r="K5044" t="str">
            <v>YES</v>
          </cell>
        </row>
        <row r="5045">
          <cell r="I5045" t="str">
            <v>V37390</v>
          </cell>
          <cell r="J5045" t="str">
            <v>CTC</v>
          </cell>
          <cell r="K5045" t="str">
            <v>YES</v>
          </cell>
        </row>
        <row r="5046">
          <cell r="I5046" t="str">
            <v>V43451</v>
          </cell>
          <cell r="J5046" t="str">
            <v>CTC</v>
          </cell>
          <cell r="K5046" t="str">
            <v>YES</v>
          </cell>
        </row>
        <row r="5047">
          <cell r="I5047" t="str">
            <v>V40866</v>
          </cell>
          <cell r="J5047" t="str">
            <v>CTC</v>
          </cell>
          <cell r="K5047" t="str">
            <v>YES</v>
          </cell>
        </row>
        <row r="5048">
          <cell r="I5048" t="str">
            <v>V40475</v>
          </cell>
          <cell r="J5048" t="str">
            <v>CTC</v>
          </cell>
          <cell r="K5048" t="str">
            <v>YES</v>
          </cell>
        </row>
        <row r="5049">
          <cell r="I5049" t="str">
            <v>V39376</v>
          </cell>
          <cell r="J5049" t="str">
            <v>CTC</v>
          </cell>
          <cell r="K5049" t="str">
            <v>YES</v>
          </cell>
        </row>
        <row r="5050">
          <cell r="I5050" t="str">
            <v>V44771</v>
          </cell>
          <cell r="J5050" t="str">
            <v>CTC</v>
          </cell>
          <cell r="K5050" t="str">
            <v>YES</v>
          </cell>
        </row>
        <row r="5051">
          <cell r="I5051" t="str">
            <v>V38815</v>
          </cell>
          <cell r="J5051" t="str">
            <v>CTC</v>
          </cell>
          <cell r="K5051" t="str">
            <v>YES</v>
          </cell>
        </row>
        <row r="5052">
          <cell r="I5052" t="str">
            <v>V38932</v>
          </cell>
          <cell r="J5052" t="str">
            <v>CTC</v>
          </cell>
          <cell r="K5052" t="str">
            <v>YES</v>
          </cell>
        </row>
        <row r="5053">
          <cell r="I5053" t="str">
            <v>V37048</v>
          </cell>
          <cell r="J5053" t="str">
            <v>CTC</v>
          </cell>
          <cell r="K5053" t="str">
            <v>YES</v>
          </cell>
        </row>
        <row r="5054">
          <cell r="I5054" t="str">
            <v>V35042</v>
          </cell>
          <cell r="J5054" t="str">
            <v>CTC</v>
          </cell>
          <cell r="K5054" t="str">
            <v>YES</v>
          </cell>
        </row>
        <row r="5055">
          <cell r="I5055" t="str">
            <v>V42080</v>
          </cell>
          <cell r="J5055" t="str">
            <v>CTC</v>
          </cell>
          <cell r="K5055" t="str">
            <v>YES</v>
          </cell>
        </row>
        <row r="5056">
          <cell r="I5056" t="str">
            <v>V40009</v>
          </cell>
          <cell r="J5056" t="str">
            <v>CTC</v>
          </cell>
          <cell r="K5056" t="str">
            <v>YES</v>
          </cell>
        </row>
        <row r="5057">
          <cell r="I5057" t="str">
            <v>V32590</v>
          </cell>
          <cell r="J5057" t="str">
            <v>CTC</v>
          </cell>
          <cell r="K5057" t="str">
            <v>YES</v>
          </cell>
        </row>
        <row r="5058">
          <cell r="I5058" t="str">
            <v>V47978</v>
          </cell>
          <cell r="J5058" t="str">
            <v>CTC</v>
          </cell>
          <cell r="K5058" t="str">
            <v>YES</v>
          </cell>
        </row>
        <row r="5059">
          <cell r="I5059" t="str">
            <v>V50715</v>
          </cell>
          <cell r="J5059" t="str">
            <v>CTC</v>
          </cell>
          <cell r="K5059" t="str">
            <v>YES</v>
          </cell>
        </row>
        <row r="5060">
          <cell r="I5060" t="str">
            <v>V50748</v>
          </cell>
          <cell r="J5060" t="str">
            <v>CTC</v>
          </cell>
          <cell r="K5060" t="str">
            <v>YES</v>
          </cell>
        </row>
        <row r="5061">
          <cell r="I5061" t="str">
            <v>V43562</v>
          </cell>
          <cell r="J5061" t="str">
            <v>CTC</v>
          </cell>
          <cell r="K5061" t="str">
            <v>YES</v>
          </cell>
        </row>
        <row r="5062">
          <cell r="I5062" t="str">
            <v>V37060</v>
          </cell>
          <cell r="J5062" t="str">
            <v>CTC</v>
          </cell>
          <cell r="K5062" t="str">
            <v>YES</v>
          </cell>
        </row>
        <row r="5063">
          <cell r="I5063" t="str">
            <v>V32670</v>
          </cell>
          <cell r="J5063" t="str">
            <v>CTC</v>
          </cell>
          <cell r="K5063" t="str">
            <v>YES</v>
          </cell>
        </row>
        <row r="5064">
          <cell r="I5064" t="str">
            <v>V36390</v>
          </cell>
          <cell r="J5064" t="str">
            <v>CTC</v>
          </cell>
          <cell r="K5064" t="str">
            <v>YES</v>
          </cell>
        </row>
        <row r="5065">
          <cell r="I5065" t="str">
            <v>V33715</v>
          </cell>
          <cell r="J5065" t="str">
            <v>CTC</v>
          </cell>
          <cell r="K5065" t="str">
            <v>YES</v>
          </cell>
        </row>
        <row r="5066">
          <cell r="I5066" t="str">
            <v>V34090</v>
          </cell>
          <cell r="J5066" t="str">
            <v>CTC</v>
          </cell>
          <cell r="K5066" t="str">
            <v>YES</v>
          </cell>
        </row>
        <row r="5067">
          <cell r="I5067" t="str">
            <v>V35297</v>
          </cell>
          <cell r="J5067" t="str">
            <v>CTC</v>
          </cell>
          <cell r="K5067" t="str">
            <v>YES</v>
          </cell>
        </row>
        <row r="5068">
          <cell r="I5068" t="str">
            <v>V36099</v>
          </cell>
          <cell r="J5068" t="str">
            <v>CTC</v>
          </cell>
          <cell r="K5068" t="str">
            <v>YES</v>
          </cell>
        </row>
        <row r="5069">
          <cell r="I5069" t="str">
            <v>V42893</v>
          </cell>
          <cell r="J5069" t="str">
            <v>CTC</v>
          </cell>
          <cell r="K5069" t="str">
            <v>YES</v>
          </cell>
        </row>
        <row r="5070">
          <cell r="I5070" t="str">
            <v>V47859</v>
          </cell>
          <cell r="J5070" t="str">
            <v>CTC</v>
          </cell>
          <cell r="K5070" t="str">
            <v>YES</v>
          </cell>
        </row>
        <row r="5071">
          <cell r="I5071" t="str">
            <v>V44884</v>
          </cell>
          <cell r="J5071" t="str">
            <v>CTC</v>
          </cell>
          <cell r="K5071" t="str">
            <v>YES</v>
          </cell>
        </row>
        <row r="5072">
          <cell r="I5072" t="str">
            <v>V34069</v>
          </cell>
          <cell r="J5072" t="str">
            <v>CTC</v>
          </cell>
          <cell r="K5072" t="str">
            <v>YES</v>
          </cell>
        </row>
        <row r="5073">
          <cell r="I5073" t="str">
            <v>V36316</v>
          </cell>
          <cell r="J5073" t="str">
            <v>CTC</v>
          </cell>
          <cell r="K5073" t="str">
            <v>YES</v>
          </cell>
        </row>
        <row r="5074">
          <cell r="I5074" t="str">
            <v>V35919</v>
          </cell>
          <cell r="J5074" t="str">
            <v>CTC</v>
          </cell>
          <cell r="K5074" t="str">
            <v>YES</v>
          </cell>
        </row>
        <row r="5075">
          <cell r="I5075" t="str">
            <v>V36020</v>
          </cell>
          <cell r="J5075" t="str">
            <v>CTC</v>
          </cell>
          <cell r="K5075" t="str">
            <v>YES</v>
          </cell>
        </row>
        <row r="5076">
          <cell r="I5076" t="str">
            <v>V44334</v>
          </cell>
          <cell r="J5076" t="str">
            <v>CTC</v>
          </cell>
          <cell r="K5076" t="str">
            <v>YES</v>
          </cell>
        </row>
        <row r="5077">
          <cell r="I5077" t="str">
            <v>V39159</v>
          </cell>
          <cell r="J5077" t="str">
            <v>CTC</v>
          </cell>
          <cell r="K5077" t="str">
            <v>YES</v>
          </cell>
        </row>
        <row r="5078">
          <cell r="I5078" t="str">
            <v>V25713</v>
          </cell>
          <cell r="J5078" t="str">
            <v>CTC</v>
          </cell>
          <cell r="K5078" t="str">
            <v>YES</v>
          </cell>
        </row>
        <row r="5079">
          <cell r="I5079" t="str">
            <v>V25766</v>
          </cell>
          <cell r="J5079" t="str">
            <v>CTC</v>
          </cell>
          <cell r="K5079" t="str">
            <v>YES</v>
          </cell>
        </row>
        <row r="5080">
          <cell r="I5080" t="str">
            <v>V26177</v>
          </cell>
          <cell r="J5080" t="str">
            <v>CTC</v>
          </cell>
          <cell r="K5080" t="str">
            <v>YES</v>
          </cell>
        </row>
        <row r="5081">
          <cell r="I5081" t="str">
            <v>V26637</v>
          </cell>
          <cell r="J5081" t="str">
            <v>CTC</v>
          </cell>
          <cell r="K5081" t="str">
            <v>YES</v>
          </cell>
        </row>
        <row r="5082">
          <cell r="I5082" t="str">
            <v>V26642</v>
          </cell>
          <cell r="J5082" t="str">
            <v>CTC</v>
          </cell>
          <cell r="K5082" t="str">
            <v>YES</v>
          </cell>
        </row>
        <row r="5083">
          <cell r="I5083" t="str">
            <v>V26644</v>
          </cell>
          <cell r="J5083" t="str">
            <v>CTC</v>
          </cell>
          <cell r="K5083" t="str">
            <v>YES</v>
          </cell>
        </row>
        <row r="5084">
          <cell r="I5084" t="str">
            <v>V27004</v>
          </cell>
          <cell r="J5084" t="str">
            <v>CTC</v>
          </cell>
          <cell r="K5084" t="str">
            <v>YES</v>
          </cell>
        </row>
        <row r="5085">
          <cell r="I5085" t="str">
            <v>V27132</v>
          </cell>
          <cell r="J5085" t="str">
            <v>CTC</v>
          </cell>
          <cell r="K5085" t="str">
            <v>YES</v>
          </cell>
        </row>
        <row r="5086">
          <cell r="I5086" t="str">
            <v>V27268</v>
          </cell>
          <cell r="J5086" t="str">
            <v>CTC</v>
          </cell>
          <cell r="K5086" t="str">
            <v>YES</v>
          </cell>
        </row>
        <row r="5087">
          <cell r="I5087" t="str">
            <v>V27275</v>
          </cell>
          <cell r="J5087" t="str">
            <v>CTC</v>
          </cell>
          <cell r="K5087" t="str">
            <v>YES</v>
          </cell>
        </row>
        <row r="5088">
          <cell r="I5088" t="str">
            <v>V27278</v>
          </cell>
          <cell r="J5088" t="str">
            <v>CTC</v>
          </cell>
          <cell r="K5088" t="str">
            <v>YES</v>
          </cell>
        </row>
        <row r="5089">
          <cell r="I5089" t="str">
            <v>V27279</v>
          </cell>
          <cell r="J5089" t="str">
            <v>CTC</v>
          </cell>
          <cell r="K5089" t="str">
            <v>YES</v>
          </cell>
        </row>
        <row r="5090">
          <cell r="I5090" t="str">
            <v>V27446</v>
          </cell>
          <cell r="J5090" t="str">
            <v>CTC</v>
          </cell>
          <cell r="K5090" t="str">
            <v>YES</v>
          </cell>
        </row>
        <row r="5091">
          <cell r="I5091" t="str">
            <v>V27447</v>
          </cell>
          <cell r="J5091" t="str">
            <v>CTC</v>
          </cell>
          <cell r="K5091" t="str">
            <v>YES</v>
          </cell>
        </row>
        <row r="5092">
          <cell r="I5092" t="str">
            <v>V27458</v>
          </cell>
          <cell r="J5092" t="str">
            <v>CTC</v>
          </cell>
          <cell r="K5092" t="str">
            <v>YES</v>
          </cell>
        </row>
        <row r="5093">
          <cell r="I5093" t="str">
            <v>V27686</v>
          </cell>
          <cell r="J5093" t="str">
            <v>CTC</v>
          </cell>
          <cell r="K5093" t="str">
            <v>YES</v>
          </cell>
        </row>
        <row r="5094">
          <cell r="I5094" t="str">
            <v>V27878</v>
          </cell>
          <cell r="J5094" t="str">
            <v>CTC</v>
          </cell>
          <cell r="K5094" t="str">
            <v>YES</v>
          </cell>
        </row>
        <row r="5095">
          <cell r="I5095" t="str">
            <v>V28492</v>
          </cell>
          <cell r="J5095" t="str">
            <v>CTC</v>
          </cell>
          <cell r="K5095" t="str">
            <v>YES</v>
          </cell>
        </row>
        <row r="5096">
          <cell r="I5096" t="str">
            <v>V28529</v>
          </cell>
          <cell r="J5096" t="str">
            <v>CTC</v>
          </cell>
          <cell r="K5096" t="str">
            <v>YES</v>
          </cell>
        </row>
        <row r="5097">
          <cell r="I5097" t="str">
            <v>V28679</v>
          </cell>
          <cell r="J5097" t="str">
            <v>CTC</v>
          </cell>
          <cell r="K5097" t="str">
            <v>YES</v>
          </cell>
        </row>
        <row r="5098">
          <cell r="I5098" t="str">
            <v>V28696</v>
          </cell>
          <cell r="J5098" t="str">
            <v>CTC</v>
          </cell>
          <cell r="K5098" t="str">
            <v>YES</v>
          </cell>
        </row>
        <row r="5099">
          <cell r="I5099" t="str">
            <v>V29066</v>
          </cell>
          <cell r="J5099" t="str">
            <v>CTC</v>
          </cell>
          <cell r="K5099" t="str">
            <v>YES</v>
          </cell>
        </row>
        <row r="5100">
          <cell r="I5100" t="str">
            <v>V29713</v>
          </cell>
          <cell r="J5100" t="str">
            <v>CTC</v>
          </cell>
          <cell r="K5100" t="str">
            <v>YES</v>
          </cell>
        </row>
        <row r="5101">
          <cell r="I5101" t="str">
            <v>V31018</v>
          </cell>
          <cell r="J5101" t="str">
            <v>CTC</v>
          </cell>
          <cell r="K5101" t="str">
            <v>YES</v>
          </cell>
        </row>
        <row r="5102">
          <cell r="I5102" t="str">
            <v>V32378</v>
          </cell>
          <cell r="J5102" t="str">
            <v>CTC</v>
          </cell>
          <cell r="K5102" t="str">
            <v>YES</v>
          </cell>
        </row>
        <row r="5103">
          <cell r="I5103" t="str">
            <v>V32523</v>
          </cell>
          <cell r="J5103" t="str">
            <v>CTC</v>
          </cell>
          <cell r="K5103" t="str">
            <v>YES</v>
          </cell>
        </row>
        <row r="5104">
          <cell r="I5104" t="str">
            <v>V32787</v>
          </cell>
          <cell r="J5104" t="str">
            <v>CTC</v>
          </cell>
          <cell r="K5104" t="str">
            <v>YES</v>
          </cell>
        </row>
        <row r="5105">
          <cell r="I5105" t="str">
            <v>V33225</v>
          </cell>
          <cell r="J5105" t="str">
            <v>CTC</v>
          </cell>
          <cell r="K5105" t="str">
            <v>YES</v>
          </cell>
        </row>
        <row r="5106">
          <cell r="I5106" t="str">
            <v>V33310</v>
          </cell>
          <cell r="J5106" t="str">
            <v>CTC</v>
          </cell>
          <cell r="K5106" t="str">
            <v>YES</v>
          </cell>
        </row>
        <row r="5107">
          <cell r="I5107" t="str">
            <v>V33623</v>
          </cell>
          <cell r="J5107" t="str">
            <v>CTC</v>
          </cell>
          <cell r="K5107" t="str">
            <v>YES</v>
          </cell>
        </row>
        <row r="5108">
          <cell r="I5108" t="str">
            <v>V33863</v>
          </cell>
          <cell r="J5108" t="str">
            <v>CTC</v>
          </cell>
          <cell r="K5108" t="str">
            <v>YES</v>
          </cell>
        </row>
        <row r="5109">
          <cell r="I5109" t="str">
            <v>V34044</v>
          </cell>
          <cell r="J5109" t="str">
            <v>CTC</v>
          </cell>
          <cell r="K5109" t="str">
            <v>YES</v>
          </cell>
        </row>
        <row r="5110">
          <cell r="I5110" t="str">
            <v>V34269</v>
          </cell>
          <cell r="J5110" t="str">
            <v>CTC</v>
          </cell>
          <cell r="K5110" t="str">
            <v>YES</v>
          </cell>
        </row>
        <row r="5111">
          <cell r="I5111" t="str">
            <v>V34665</v>
          </cell>
          <cell r="J5111" t="str">
            <v>CTC</v>
          </cell>
          <cell r="K5111" t="str">
            <v>YES</v>
          </cell>
        </row>
        <row r="5112">
          <cell r="I5112" t="str">
            <v>V34673</v>
          </cell>
          <cell r="J5112" t="str">
            <v>CTC</v>
          </cell>
          <cell r="K5112" t="str">
            <v>YES</v>
          </cell>
        </row>
        <row r="5113">
          <cell r="I5113" t="str">
            <v>V35719</v>
          </cell>
          <cell r="J5113" t="str">
            <v>CTC</v>
          </cell>
          <cell r="K5113" t="str">
            <v>YES</v>
          </cell>
        </row>
        <row r="5114">
          <cell r="I5114" t="str">
            <v>V35739</v>
          </cell>
          <cell r="J5114" t="str">
            <v>CTC</v>
          </cell>
          <cell r="K5114" t="str">
            <v>YES</v>
          </cell>
        </row>
        <row r="5115">
          <cell r="I5115" t="str">
            <v>V35746</v>
          </cell>
          <cell r="J5115" t="str">
            <v>CTC</v>
          </cell>
          <cell r="K5115" t="str">
            <v>YES</v>
          </cell>
        </row>
        <row r="5116">
          <cell r="I5116" t="str">
            <v>V47460</v>
          </cell>
          <cell r="J5116" t="str">
            <v>CTC</v>
          </cell>
          <cell r="K5116" t="str">
            <v>YES</v>
          </cell>
        </row>
        <row r="5117">
          <cell r="I5117" t="str">
            <v>V45276</v>
          </cell>
          <cell r="J5117" t="str">
            <v>CTC</v>
          </cell>
          <cell r="K5117" t="str">
            <v>YES</v>
          </cell>
        </row>
        <row r="5118">
          <cell r="I5118" t="str">
            <v>V43037</v>
          </cell>
          <cell r="J5118" t="str">
            <v>CTC</v>
          </cell>
          <cell r="K5118" t="str">
            <v>YES</v>
          </cell>
        </row>
        <row r="5119">
          <cell r="I5119" t="str">
            <v>V29551</v>
          </cell>
          <cell r="J5119" t="str">
            <v>CTC</v>
          </cell>
          <cell r="K5119" t="str">
            <v>YES</v>
          </cell>
        </row>
        <row r="5120">
          <cell r="I5120" t="str">
            <v>V33808</v>
          </cell>
          <cell r="J5120" t="str">
            <v>CTC</v>
          </cell>
          <cell r="K5120" t="str">
            <v>YES</v>
          </cell>
        </row>
        <row r="5121">
          <cell r="I5121" t="str">
            <v>V29798</v>
          </cell>
          <cell r="J5121" t="str">
            <v>CTC</v>
          </cell>
          <cell r="K5121" t="str">
            <v>YES</v>
          </cell>
        </row>
        <row r="5122">
          <cell r="I5122" t="str">
            <v>V36984</v>
          </cell>
          <cell r="J5122" t="str">
            <v>CTC</v>
          </cell>
          <cell r="K5122" t="str">
            <v>YES</v>
          </cell>
        </row>
        <row r="5123">
          <cell r="I5123" t="str">
            <v>V45069</v>
          </cell>
          <cell r="J5123" t="str">
            <v>CTC</v>
          </cell>
          <cell r="K5123" t="str">
            <v>YES</v>
          </cell>
        </row>
        <row r="5124">
          <cell r="I5124" t="str">
            <v>V45072</v>
          </cell>
          <cell r="J5124" t="str">
            <v>CTC</v>
          </cell>
          <cell r="K5124" t="str">
            <v>YES</v>
          </cell>
        </row>
        <row r="5125">
          <cell r="I5125" t="str">
            <v>V44984</v>
          </cell>
          <cell r="J5125" t="str">
            <v>CTC</v>
          </cell>
          <cell r="K5125" t="str">
            <v>YES</v>
          </cell>
        </row>
        <row r="5126">
          <cell r="I5126" t="str">
            <v>V43680</v>
          </cell>
          <cell r="J5126" t="str">
            <v>CTC</v>
          </cell>
          <cell r="K5126" t="str">
            <v>YES</v>
          </cell>
        </row>
        <row r="5127">
          <cell r="I5127" t="str">
            <v>V44699</v>
          </cell>
          <cell r="J5127" t="str">
            <v>CTC</v>
          </cell>
          <cell r="K5127" t="str">
            <v>YES</v>
          </cell>
        </row>
        <row r="5128">
          <cell r="I5128" t="str">
            <v>V42880</v>
          </cell>
          <cell r="J5128" t="str">
            <v>CTC</v>
          </cell>
          <cell r="K5128" t="str">
            <v>YES</v>
          </cell>
        </row>
        <row r="5129">
          <cell r="I5129" t="str">
            <v>V30335</v>
          </cell>
          <cell r="J5129" t="str">
            <v>CTC</v>
          </cell>
          <cell r="K5129" t="str">
            <v>YES</v>
          </cell>
        </row>
        <row r="5130">
          <cell r="I5130" t="str">
            <v>V40162</v>
          </cell>
          <cell r="J5130" t="str">
            <v>CTC</v>
          </cell>
          <cell r="K5130" t="str">
            <v>YES</v>
          </cell>
        </row>
        <row r="5131">
          <cell r="I5131" t="str">
            <v>V37386</v>
          </cell>
          <cell r="J5131" t="str">
            <v>CTC</v>
          </cell>
          <cell r="K5131" t="str">
            <v>YES</v>
          </cell>
        </row>
        <row r="5132">
          <cell r="I5132" t="str">
            <v>V40017</v>
          </cell>
          <cell r="J5132" t="str">
            <v>CTC</v>
          </cell>
          <cell r="K5132" t="str">
            <v>YES</v>
          </cell>
        </row>
        <row r="5133">
          <cell r="I5133" t="str">
            <v>V33849</v>
          </cell>
          <cell r="J5133" t="str">
            <v>CTC</v>
          </cell>
          <cell r="K5133" t="str">
            <v>YES</v>
          </cell>
        </row>
        <row r="5134">
          <cell r="I5134" t="str">
            <v>V37430</v>
          </cell>
          <cell r="J5134" t="str">
            <v>CTC</v>
          </cell>
          <cell r="K5134" t="str">
            <v>YES</v>
          </cell>
        </row>
        <row r="5135">
          <cell r="I5135" t="str">
            <v>V35751</v>
          </cell>
          <cell r="J5135" t="str">
            <v>CTC</v>
          </cell>
          <cell r="K5135" t="str">
            <v>YES</v>
          </cell>
        </row>
        <row r="5136">
          <cell r="I5136" t="str">
            <v>V30671</v>
          </cell>
          <cell r="J5136" t="str">
            <v>CTC</v>
          </cell>
          <cell r="K5136" t="str">
            <v>YES</v>
          </cell>
        </row>
        <row r="5137">
          <cell r="I5137" t="str">
            <v>V30674</v>
          </cell>
          <cell r="J5137" t="str">
            <v>CTC</v>
          </cell>
          <cell r="K5137" t="str">
            <v>YES</v>
          </cell>
        </row>
        <row r="5138">
          <cell r="I5138" t="str">
            <v>V30679</v>
          </cell>
          <cell r="J5138" t="str">
            <v>CTC</v>
          </cell>
          <cell r="K5138" t="str">
            <v>YES</v>
          </cell>
        </row>
        <row r="5139">
          <cell r="I5139" t="str">
            <v>V32446</v>
          </cell>
          <cell r="J5139" t="str">
            <v>CTC</v>
          </cell>
          <cell r="K5139" t="str">
            <v>YES</v>
          </cell>
        </row>
        <row r="5140">
          <cell r="I5140" t="str">
            <v>V32916</v>
          </cell>
          <cell r="J5140" t="str">
            <v>CTC</v>
          </cell>
          <cell r="K5140" t="str">
            <v>YES</v>
          </cell>
        </row>
        <row r="5141">
          <cell r="I5141" t="str">
            <v>V34995</v>
          </cell>
          <cell r="J5141" t="str">
            <v>CTC</v>
          </cell>
          <cell r="K5141" t="str">
            <v>YES</v>
          </cell>
        </row>
        <row r="5142">
          <cell r="I5142" t="str">
            <v>V29046</v>
          </cell>
          <cell r="J5142" t="str">
            <v>CTC</v>
          </cell>
          <cell r="K5142" t="str">
            <v>YES</v>
          </cell>
        </row>
        <row r="5143">
          <cell r="I5143" t="str">
            <v>V29327</v>
          </cell>
          <cell r="J5143" t="str">
            <v>CTC</v>
          </cell>
          <cell r="K5143" t="str">
            <v>YES</v>
          </cell>
        </row>
        <row r="5144">
          <cell r="I5144" t="str">
            <v>V33591</v>
          </cell>
          <cell r="J5144" t="str">
            <v>CTC</v>
          </cell>
          <cell r="K5144" t="str">
            <v>YES</v>
          </cell>
        </row>
        <row r="5145">
          <cell r="I5145" t="str">
            <v>V33890</v>
          </cell>
          <cell r="J5145" t="str">
            <v>CTC</v>
          </cell>
          <cell r="K5145" t="str">
            <v>YES</v>
          </cell>
        </row>
        <row r="5146">
          <cell r="I5146" t="str">
            <v>V36701</v>
          </cell>
          <cell r="J5146" t="str">
            <v>CTC</v>
          </cell>
          <cell r="K5146" t="str">
            <v>YES</v>
          </cell>
        </row>
        <row r="5147">
          <cell r="I5147" t="str">
            <v>V44994</v>
          </cell>
          <cell r="J5147" t="str">
            <v>CTC</v>
          </cell>
          <cell r="K5147" t="str">
            <v>YES</v>
          </cell>
        </row>
        <row r="5148">
          <cell r="I5148" t="str">
            <v>V46966</v>
          </cell>
          <cell r="J5148" t="str">
            <v>CTC</v>
          </cell>
          <cell r="K5148" t="str">
            <v>YES</v>
          </cell>
        </row>
        <row r="5149">
          <cell r="I5149" t="str">
            <v>V42986</v>
          </cell>
          <cell r="J5149" t="str">
            <v>CTC</v>
          </cell>
          <cell r="K5149" t="str">
            <v>YES</v>
          </cell>
        </row>
        <row r="5150">
          <cell r="I5150" t="str">
            <v>V25758</v>
          </cell>
          <cell r="J5150" t="str">
            <v>CTC</v>
          </cell>
          <cell r="K5150" t="str">
            <v>YES</v>
          </cell>
        </row>
        <row r="5151">
          <cell r="I5151" t="str">
            <v>V43487</v>
          </cell>
          <cell r="J5151" t="str">
            <v>CTC</v>
          </cell>
          <cell r="K5151" t="str">
            <v>YES</v>
          </cell>
        </row>
        <row r="5152">
          <cell r="I5152" t="str">
            <v>V44829</v>
          </cell>
          <cell r="J5152" t="str">
            <v>CTC</v>
          </cell>
          <cell r="K5152" t="str">
            <v>YES</v>
          </cell>
        </row>
        <row r="5153">
          <cell r="I5153" t="str">
            <v>V44476</v>
          </cell>
          <cell r="J5153" t="str">
            <v>CTC</v>
          </cell>
          <cell r="K5153" t="str">
            <v>YES</v>
          </cell>
        </row>
        <row r="5154">
          <cell r="I5154" t="str">
            <v>V42768</v>
          </cell>
          <cell r="J5154" t="str">
            <v>CTC</v>
          </cell>
          <cell r="K5154" t="str">
            <v>YES</v>
          </cell>
        </row>
        <row r="5155">
          <cell r="I5155" t="str">
            <v>V40826</v>
          </cell>
          <cell r="J5155" t="str">
            <v>CTC</v>
          </cell>
          <cell r="K5155" t="str">
            <v>YES</v>
          </cell>
        </row>
        <row r="5156">
          <cell r="I5156" t="str">
            <v>V42988</v>
          </cell>
          <cell r="J5156" t="str">
            <v>CTC</v>
          </cell>
          <cell r="K5156" t="str">
            <v>YES</v>
          </cell>
        </row>
        <row r="5157">
          <cell r="I5157" t="str">
            <v>V45003</v>
          </cell>
          <cell r="J5157" t="str">
            <v>CTC</v>
          </cell>
          <cell r="K5157" t="str">
            <v>YES</v>
          </cell>
        </row>
        <row r="5158">
          <cell r="I5158" t="str">
            <v>V42096</v>
          </cell>
          <cell r="J5158" t="str">
            <v>CTC</v>
          </cell>
          <cell r="K5158" t="str">
            <v>YES</v>
          </cell>
        </row>
        <row r="5159">
          <cell r="I5159" t="str">
            <v>V31056</v>
          </cell>
          <cell r="J5159" t="str">
            <v>CTC</v>
          </cell>
          <cell r="K5159" t="str">
            <v>YES</v>
          </cell>
        </row>
        <row r="5160">
          <cell r="I5160" t="str">
            <v>V26654</v>
          </cell>
          <cell r="J5160" t="str">
            <v>CTC</v>
          </cell>
          <cell r="K5160" t="str">
            <v>YES</v>
          </cell>
        </row>
        <row r="5161">
          <cell r="I5161" t="str">
            <v>V39936</v>
          </cell>
          <cell r="J5161" t="str">
            <v>CTC</v>
          </cell>
          <cell r="K5161" t="str">
            <v>YES</v>
          </cell>
        </row>
        <row r="5162">
          <cell r="I5162" t="str">
            <v>V37085</v>
          </cell>
          <cell r="J5162" t="str">
            <v>CTC</v>
          </cell>
          <cell r="K5162" t="str">
            <v>YES</v>
          </cell>
        </row>
        <row r="5163">
          <cell r="I5163" t="str">
            <v>V41419</v>
          </cell>
          <cell r="J5163" t="str">
            <v>CTC</v>
          </cell>
          <cell r="K5163" t="str">
            <v>YES</v>
          </cell>
        </row>
        <row r="5164">
          <cell r="I5164" t="str">
            <v>V34041</v>
          </cell>
          <cell r="J5164" t="str">
            <v>CTC</v>
          </cell>
          <cell r="K5164" t="str">
            <v>YES</v>
          </cell>
        </row>
        <row r="5165">
          <cell r="I5165" t="str">
            <v>V34159</v>
          </cell>
          <cell r="J5165" t="str">
            <v>CTC</v>
          </cell>
          <cell r="K5165" t="str">
            <v>YES</v>
          </cell>
        </row>
        <row r="5166">
          <cell r="I5166" t="str">
            <v>V31882</v>
          </cell>
          <cell r="J5166" t="str">
            <v>CTC</v>
          </cell>
          <cell r="K5166" t="str">
            <v>YES</v>
          </cell>
        </row>
        <row r="5167">
          <cell r="I5167" t="str">
            <v>V31883</v>
          </cell>
          <cell r="J5167" t="str">
            <v>CTC</v>
          </cell>
          <cell r="K5167" t="str">
            <v>YES</v>
          </cell>
        </row>
        <row r="5168">
          <cell r="I5168" t="str">
            <v>V31908</v>
          </cell>
          <cell r="J5168" t="str">
            <v>CTC</v>
          </cell>
          <cell r="K5168" t="str">
            <v>YES</v>
          </cell>
        </row>
        <row r="5169">
          <cell r="I5169" t="str">
            <v>V31909</v>
          </cell>
          <cell r="J5169" t="str">
            <v>CTC</v>
          </cell>
          <cell r="K5169" t="str">
            <v>YES</v>
          </cell>
        </row>
        <row r="5170">
          <cell r="I5170" t="str">
            <v>V31995</v>
          </cell>
          <cell r="J5170" t="str">
            <v>CTC</v>
          </cell>
          <cell r="K5170" t="str">
            <v>YES</v>
          </cell>
        </row>
        <row r="5171">
          <cell r="I5171" t="str">
            <v>V32000</v>
          </cell>
          <cell r="J5171" t="str">
            <v>CTC</v>
          </cell>
          <cell r="K5171" t="str">
            <v>YES</v>
          </cell>
        </row>
        <row r="5172">
          <cell r="I5172" t="str">
            <v>V37383</v>
          </cell>
          <cell r="J5172" t="str">
            <v>CTC</v>
          </cell>
          <cell r="K5172" t="str">
            <v>YES</v>
          </cell>
        </row>
        <row r="5173">
          <cell r="I5173" t="str">
            <v>V43467</v>
          </cell>
          <cell r="J5173" t="str">
            <v>CTC</v>
          </cell>
          <cell r="K5173" t="str">
            <v>YES</v>
          </cell>
        </row>
        <row r="5174">
          <cell r="I5174" t="str">
            <v>V48132</v>
          </cell>
          <cell r="J5174" t="str">
            <v>CTC</v>
          </cell>
          <cell r="K5174" t="str">
            <v>YES</v>
          </cell>
        </row>
        <row r="5175">
          <cell r="I5175" t="str">
            <v>V36940</v>
          </cell>
          <cell r="J5175" t="str">
            <v>CTC</v>
          </cell>
          <cell r="K5175" t="str">
            <v>YES</v>
          </cell>
        </row>
        <row r="5176">
          <cell r="I5176" t="str">
            <v>V38620</v>
          </cell>
          <cell r="J5176" t="str">
            <v>CTC</v>
          </cell>
          <cell r="K5176" t="str">
            <v>YES</v>
          </cell>
        </row>
        <row r="5177">
          <cell r="I5177" t="str">
            <v>V42598</v>
          </cell>
          <cell r="J5177" t="str">
            <v>CTC</v>
          </cell>
          <cell r="K5177" t="str">
            <v>YES</v>
          </cell>
        </row>
        <row r="5178">
          <cell r="I5178" t="str">
            <v>V28875</v>
          </cell>
          <cell r="J5178" t="str">
            <v>CTC</v>
          </cell>
          <cell r="K5178" t="str">
            <v>YES</v>
          </cell>
        </row>
        <row r="5179">
          <cell r="I5179" t="str">
            <v>V29270</v>
          </cell>
          <cell r="J5179" t="str">
            <v>CTC</v>
          </cell>
          <cell r="K5179" t="str">
            <v>YES</v>
          </cell>
        </row>
        <row r="5180">
          <cell r="I5180" t="str">
            <v>V29345</v>
          </cell>
          <cell r="J5180" t="str">
            <v>CTC</v>
          </cell>
          <cell r="K5180" t="str">
            <v>YES</v>
          </cell>
        </row>
        <row r="5181">
          <cell r="I5181" t="str">
            <v>V29722</v>
          </cell>
          <cell r="J5181" t="str">
            <v>CTC</v>
          </cell>
          <cell r="K5181" t="str">
            <v>YES</v>
          </cell>
        </row>
        <row r="5182">
          <cell r="I5182" t="str">
            <v>V29860</v>
          </cell>
          <cell r="J5182" t="str">
            <v>CTC</v>
          </cell>
          <cell r="K5182" t="str">
            <v>YES</v>
          </cell>
        </row>
        <row r="5183">
          <cell r="I5183" t="str">
            <v>V29946</v>
          </cell>
          <cell r="J5183" t="str">
            <v>CTC</v>
          </cell>
          <cell r="K5183" t="str">
            <v>YES</v>
          </cell>
        </row>
        <row r="5184">
          <cell r="I5184" t="str">
            <v>V30009</v>
          </cell>
          <cell r="J5184" t="str">
            <v>CTC</v>
          </cell>
          <cell r="K5184" t="str">
            <v>YES</v>
          </cell>
        </row>
        <row r="5185">
          <cell r="I5185" t="str">
            <v>V30012</v>
          </cell>
          <cell r="J5185" t="str">
            <v>CTC</v>
          </cell>
          <cell r="K5185" t="str">
            <v>YES</v>
          </cell>
        </row>
        <row r="5186">
          <cell r="I5186" t="str">
            <v>V30013</v>
          </cell>
          <cell r="J5186" t="str">
            <v>CTC</v>
          </cell>
          <cell r="K5186" t="str">
            <v>YES</v>
          </cell>
        </row>
        <row r="5187">
          <cell r="I5187" t="str">
            <v>V30578</v>
          </cell>
          <cell r="J5187" t="str">
            <v>CTC</v>
          </cell>
          <cell r="K5187" t="str">
            <v>YES</v>
          </cell>
        </row>
        <row r="5188">
          <cell r="I5188" t="str">
            <v>V30863</v>
          </cell>
          <cell r="J5188" t="str">
            <v>CTC</v>
          </cell>
          <cell r="K5188" t="str">
            <v>YES</v>
          </cell>
        </row>
        <row r="5189">
          <cell r="I5189" t="str">
            <v>V30908</v>
          </cell>
          <cell r="J5189" t="str">
            <v>CTC</v>
          </cell>
          <cell r="K5189" t="str">
            <v>YES</v>
          </cell>
        </row>
        <row r="5190">
          <cell r="I5190" t="str">
            <v>V30948</v>
          </cell>
          <cell r="J5190" t="str">
            <v>CTC</v>
          </cell>
          <cell r="K5190" t="str">
            <v>YES</v>
          </cell>
        </row>
        <row r="5191">
          <cell r="I5191" t="str">
            <v>V30953</v>
          </cell>
          <cell r="J5191" t="str">
            <v>CTC</v>
          </cell>
          <cell r="K5191" t="str">
            <v>YES</v>
          </cell>
        </row>
        <row r="5192">
          <cell r="I5192" t="str">
            <v>V30954</v>
          </cell>
          <cell r="J5192" t="str">
            <v>CTC</v>
          </cell>
          <cell r="K5192" t="str">
            <v>YES</v>
          </cell>
        </row>
        <row r="5193">
          <cell r="I5193" t="str">
            <v>V30957</v>
          </cell>
          <cell r="J5193" t="str">
            <v>CTC</v>
          </cell>
          <cell r="K5193" t="str">
            <v>YES</v>
          </cell>
        </row>
        <row r="5194">
          <cell r="I5194" t="str">
            <v>V30958</v>
          </cell>
          <cell r="J5194" t="str">
            <v>CTC</v>
          </cell>
          <cell r="K5194" t="str">
            <v>YES</v>
          </cell>
        </row>
        <row r="5195">
          <cell r="I5195" t="str">
            <v>V31171</v>
          </cell>
          <cell r="J5195" t="str">
            <v>CTC</v>
          </cell>
          <cell r="K5195" t="str">
            <v>YES</v>
          </cell>
        </row>
        <row r="5196">
          <cell r="I5196" t="str">
            <v>V31474</v>
          </cell>
          <cell r="J5196" t="str">
            <v>CTC</v>
          </cell>
          <cell r="K5196" t="str">
            <v>YES</v>
          </cell>
        </row>
        <row r="5197">
          <cell r="I5197" t="str">
            <v>V31653</v>
          </cell>
          <cell r="J5197" t="str">
            <v>CTC</v>
          </cell>
          <cell r="K5197" t="str">
            <v>YES</v>
          </cell>
        </row>
        <row r="5198">
          <cell r="I5198" t="str">
            <v>V31656</v>
          </cell>
          <cell r="J5198" t="str">
            <v>CTC</v>
          </cell>
          <cell r="K5198" t="str">
            <v>YES</v>
          </cell>
        </row>
        <row r="5199">
          <cell r="I5199" t="str">
            <v>V31662</v>
          </cell>
          <cell r="J5199" t="str">
            <v>CTC</v>
          </cell>
          <cell r="K5199" t="str">
            <v>YES</v>
          </cell>
        </row>
        <row r="5200">
          <cell r="I5200" t="str">
            <v>V31755</v>
          </cell>
          <cell r="J5200" t="str">
            <v>CTC</v>
          </cell>
          <cell r="K5200" t="str">
            <v>YES</v>
          </cell>
        </row>
        <row r="5201">
          <cell r="I5201" t="str">
            <v>V32228</v>
          </cell>
          <cell r="J5201" t="str">
            <v>CTC</v>
          </cell>
          <cell r="K5201" t="str">
            <v>YES</v>
          </cell>
        </row>
        <row r="5202">
          <cell r="I5202" t="str">
            <v>V32301</v>
          </cell>
          <cell r="J5202" t="str">
            <v>CTC</v>
          </cell>
          <cell r="K5202" t="str">
            <v>YES</v>
          </cell>
        </row>
        <row r="5203">
          <cell r="I5203" t="str">
            <v>V32302</v>
          </cell>
          <cell r="J5203" t="str">
            <v>CTC</v>
          </cell>
          <cell r="K5203" t="str">
            <v>YES</v>
          </cell>
        </row>
        <row r="5204">
          <cell r="I5204" t="str">
            <v>V32313</v>
          </cell>
          <cell r="J5204" t="str">
            <v>CTC</v>
          </cell>
          <cell r="K5204" t="str">
            <v>YES</v>
          </cell>
        </row>
        <row r="5205">
          <cell r="I5205" t="str">
            <v>V32318</v>
          </cell>
          <cell r="J5205" t="str">
            <v>CTC</v>
          </cell>
          <cell r="K5205" t="str">
            <v>YES</v>
          </cell>
        </row>
        <row r="5206">
          <cell r="I5206" t="str">
            <v>V32667</v>
          </cell>
          <cell r="J5206" t="str">
            <v>CTC</v>
          </cell>
          <cell r="K5206" t="str">
            <v>YES</v>
          </cell>
        </row>
        <row r="5207">
          <cell r="I5207" t="str">
            <v>V32989</v>
          </cell>
          <cell r="J5207" t="str">
            <v>CTC</v>
          </cell>
          <cell r="K5207" t="str">
            <v>YES</v>
          </cell>
        </row>
        <row r="5208">
          <cell r="I5208" t="str">
            <v>V33579</v>
          </cell>
          <cell r="J5208" t="str">
            <v>CTC</v>
          </cell>
          <cell r="K5208" t="str">
            <v>YES</v>
          </cell>
        </row>
        <row r="5209">
          <cell r="I5209" t="str">
            <v>V33670</v>
          </cell>
          <cell r="J5209" t="str">
            <v>CTC</v>
          </cell>
          <cell r="K5209" t="str">
            <v>YES</v>
          </cell>
        </row>
        <row r="5210">
          <cell r="I5210" t="str">
            <v>V33995</v>
          </cell>
          <cell r="J5210" t="str">
            <v>CTC</v>
          </cell>
          <cell r="K5210" t="str">
            <v>YES</v>
          </cell>
        </row>
        <row r="5211">
          <cell r="I5211" t="str">
            <v>V34627</v>
          </cell>
          <cell r="J5211" t="str">
            <v>CTC</v>
          </cell>
          <cell r="K5211" t="str">
            <v>YES</v>
          </cell>
        </row>
        <row r="5212">
          <cell r="I5212" t="str">
            <v>V34629</v>
          </cell>
          <cell r="J5212" t="str">
            <v>CTC</v>
          </cell>
          <cell r="K5212" t="str">
            <v>YES</v>
          </cell>
        </row>
        <row r="5213">
          <cell r="I5213" t="str">
            <v>V34633</v>
          </cell>
          <cell r="J5213" t="str">
            <v>CTC</v>
          </cell>
          <cell r="K5213" t="str">
            <v>YES</v>
          </cell>
        </row>
        <row r="5214">
          <cell r="I5214" t="str">
            <v>V34649</v>
          </cell>
          <cell r="J5214" t="str">
            <v>CTC</v>
          </cell>
          <cell r="K5214" t="str">
            <v>YES</v>
          </cell>
        </row>
        <row r="5215">
          <cell r="I5215" t="str">
            <v>V34651</v>
          </cell>
          <cell r="J5215" t="str">
            <v>CTC</v>
          </cell>
          <cell r="K5215" t="str">
            <v>YES</v>
          </cell>
        </row>
        <row r="5216">
          <cell r="I5216" t="str">
            <v>V34657</v>
          </cell>
          <cell r="J5216" t="str">
            <v>CTC</v>
          </cell>
          <cell r="K5216" t="str">
            <v>YES</v>
          </cell>
        </row>
        <row r="5217">
          <cell r="I5217" t="str">
            <v>V34726</v>
          </cell>
          <cell r="J5217" t="str">
            <v>CTC</v>
          </cell>
          <cell r="K5217" t="str">
            <v>YES</v>
          </cell>
        </row>
        <row r="5218">
          <cell r="I5218" t="str">
            <v>V34731</v>
          </cell>
          <cell r="J5218" t="str">
            <v>CTC</v>
          </cell>
          <cell r="K5218" t="str">
            <v>YES</v>
          </cell>
        </row>
        <row r="5219">
          <cell r="I5219" t="str">
            <v>V34780</v>
          </cell>
          <cell r="J5219" t="str">
            <v>CTC</v>
          </cell>
          <cell r="K5219" t="str">
            <v>YES</v>
          </cell>
        </row>
        <row r="5220">
          <cell r="I5220" t="str">
            <v>V34804</v>
          </cell>
          <cell r="J5220" t="str">
            <v>CTC</v>
          </cell>
          <cell r="K5220" t="str">
            <v>YES</v>
          </cell>
        </row>
        <row r="5221">
          <cell r="I5221" t="str">
            <v>V34806</v>
          </cell>
          <cell r="J5221" t="str">
            <v>CTC</v>
          </cell>
          <cell r="K5221" t="str">
            <v>YES</v>
          </cell>
        </row>
        <row r="5222">
          <cell r="I5222" t="str">
            <v>V34807</v>
          </cell>
          <cell r="J5222" t="str">
            <v>CTC</v>
          </cell>
          <cell r="K5222" t="str">
            <v>YES</v>
          </cell>
        </row>
        <row r="5223">
          <cell r="I5223" t="str">
            <v>V34852</v>
          </cell>
          <cell r="J5223" t="str">
            <v>CTC</v>
          </cell>
          <cell r="K5223" t="str">
            <v>YES</v>
          </cell>
        </row>
        <row r="5224">
          <cell r="I5224" t="str">
            <v>V35600</v>
          </cell>
          <cell r="J5224" t="str">
            <v>CTC</v>
          </cell>
          <cell r="K5224" t="str">
            <v>YES</v>
          </cell>
        </row>
        <row r="5225">
          <cell r="I5225" t="str">
            <v>V37329</v>
          </cell>
          <cell r="J5225" t="str">
            <v>CTC</v>
          </cell>
          <cell r="K5225" t="str">
            <v>YES</v>
          </cell>
        </row>
        <row r="5226">
          <cell r="I5226" t="str">
            <v>V38475</v>
          </cell>
          <cell r="J5226" t="str">
            <v>CTC</v>
          </cell>
          <cell r="K5226" t="str">
            <v>YES</v>
          </cell>
        </row>
        <row r="5227">
          <cell r="I5227" t="str">
            <v>V38479</v>
          </cell>
          <cell r="J5227" t="str">
            <v>CTC</v>
          </cell>
          <cell r="K5227" t="str">
            <v>YES</v>
          </cell>
        </row>
        <row r="5228">
          <cell r="I5228" t="str">
            <v>V38674</v>
          </cell>
          <cell r="J5228" t="str">
            <v>CTC</v>
          </cell>
          <cell r="K5228" t="str">
            <v>YES</v>
          </cell>
        </row>
        <row r="5229">
          <cell r="I5229" t="str">
            <v>V38798</v>
          </cell>
          <cell r="J5229" t="str">
            <v>CTC</v>
          </cell>
          <cell r="K5229" t="str">
            <v>YES</v>
          </cell>
        </row>
        <row r="5230">
          <cell r="I5230" t="str">
            <v>V40113</v>
          </cell>
          <cell r="J5230" t="str">
            <v>CTC</v>
          </cell>
          <cell r="K5230" t="str">
            <v>YES</v>
          </cell>
        </row>
        <row r="5231">
          <cell r="I5231" t="str">
            <v>V40181</v>
          </cell>
          <cell r="J5231" t="str">
            <v>CTC</v>
          </cell>
          <cell r="K5231" t="str">
            <v>YES</v>
          </cell>
        </row>
        <row r="5232">
          <cell r="I5232" t="str">
            <v>V40842</v>
          </cell>
          <cell r="J5232" t="str">
            <v>CTC</v>
          </cell>
          <cell r="K5232" t="str">
            <v>YES</v>
          </cell>
        </row>
        <row r="5233">
          <cell r="I5233" t="str">
            <v>V41293</v>
          </cell>
          <cell r="J5233" t="str">
            <v>CTC</v>
          </cell>
          <cell r="K5233" t="str">
            <v>YES</v>
          </cell>
        </row>
        <row r="5234">
          <cell r="I5234" t="str">
            <v>V41294</v>
          </cell>
          <cell r="J5234" t="str">
            <v>CTC</v>
          </cell>
          <cell r="K5234" t="str">
            <v>YES</v>
          </cell>
        </row>
        <row r="5235">
          <cell r="I5235" t="str">
            <v>V41305</v>
          </cell>
          <cell r="J5235" t="str">
            <v>CTC</v>
          </cell>
          <cell r="K5235" t="str">
            <v>YES</v>
          </cell>
        </row>
        <row r="5236">
          <cell r="I5236" t="str">
            <v>V41905</v>
          </cell>
          <cell r="J5236" t="str">
            <v>CTC</v>
          </cell>
          <cell r="K5236" t="str">
            <v>YES</v>
          </cell>
        </row>
        <row r="5237">
          <cell r="I5237" t="str">
            <v>V41908</v>
          </cell>
          <cell r="J5237" t="str">
            <v>CTC</v>
          </cell>
          <cell r="K5237" t="str">
            <v>YES</v>
          </cell>
        </row>
        <row r="5238">
          <cell r="I5238" t="str">
            <v>V28858</v>
          </cell>
          <cell r="J5238" t="str">
            <v>CTC</v>
          </cell>
          <cell r="K5238" t="str">
            <v>YES</v>
          </cell>
        </row>
        <row r="5239">
          <cell r="I5239" t="str">
            <v>V34712</v>
          </cell>
          <cell r="J5239" t="str">
            <v>CTC</v>
          </cell>
          <cell r="K5239" t="str">
            <v>YES</v>
          </cell>
        </row>
        <row r="5240">
          <cell r="I5240" t="str">
            <v>V36578</v>
          </cell>
          <cell r="J5240" t="str">
            <v>CTC</v>
          </cell>
          <cell r="K5240" t="str">
            <v>YES</v>
          </cell>
        </row>
        <row r="5241">
          <cell r="I5241" t="str">
            <v>V37889</v>
          </cell>
          <cell r="J5241" t="str">
            <v>CTC</v>
          </cell>
          <cell r="K5241" t="str">
            <v>YES</v>
          </cell>
        </row>
        <row r="5242">
          <cell r="I5242" t="str">
            <v>V42976</v>
          </cell>
          <cell r="J5242" t="str">
            <v>CTC</v>
          </cell>
          <cell r="K5242" t="str">
            <v>YES</v>
          </cell>
        </row>
        <row r="5243">
          <cell r="I5243" t="str">
            <v>V30057</v>
          </cell>
          <cell r="J5243" t="str">
            <v>CTC</v>
          </cell>
          <cell r="K5243" t="str">
            <v>YES</v>
          </cell>
        </row>
        <row r="5244">
          <cell r="I5244" t="str">
            <v>V48548</v>
          </cell>
          <cell r="J5244" t="str">
            <v>CTC</v>
          </cell>
          <cell r="K5244" t="str">
            <v>YES</v>
          </cell>
        </row>
        <row r="5245">
          <cell r="I5245" t="str">
            <v>V35741</v>
          </cell>
          <cell r="J5245" t="str">
            <v>CTC</v>
          </cell>
          <cell r="K5245" t="str">
            <v>YES</v>
          </cell>
        </row>
        <row r="5246">
          <cell r="I5246" t="str">
            <v>V42778</v>
          </cell>
          <cell r="J5246" t="str">
            <v>CTC</v>
          </cell>
          <cell r="K5246" t="str">
            <v>YES</v>
          </cell>
        </row>
        <row r="5247">
          <cell r="I5247" t="str">
            <v>V43424</v>
          </cell>
          <cell r="J5247" t="str">
            <v>CTC</v>
          </cell>
          <cell r="K5247" t="str">
            <v>YES</v>
          </cell>
        </row>
        <row r="5248">
          <cell r="I5248" t="str">
            <v>V35641</v>
          </cell>
          <cell r="J5248" t="str">
            <v>CTC</v>
          </cell>
          <cell r="K5248" t="str">
            <v>YES</v>
          </cell>
        </row>
        <row r="5249">
          <cell r="I5249" t="str">
            <v>V36203</v>
          </cell>
          <cell r="J5249" t="str">
            <v>CTC</v>
          </cell>
          <cell r="K5249" t="str">
            <v>YES</v>
          </cell>
        </row>
        <row r="5250">
          <cell r="I5250" t="str">
            <v>V36204</v>
          </cell>
          <cell r="J5250" t="str">
            <v>CTC</v>
          </cell>
          <cell r="K5250" t="str">
            <v>YES</v>
          </cell>
        </row>
        <row r="5251">
          <cell r="I5251" t="str">
            <v>V36387</v>
          </cell>
          <cell r="J5251" t="str">
            <v>CTC</v>
          </cell>
          <cell r="K5251" t="str">
            <v>YES</v>
          </cell>
        </row>
        <row r="5252">
          <cell r="I5252" t="str">
            <v>V36402</v>
          </cell>
          <cell r="J5252" t="str">
            <v>CTC</v>
          </cell>
          <cell r="K5252" t="str">
            <v>YES</v>
          </cell>
        </row>
        <row r="5253">
          <cell r="I5253" t="str">
            <v>V36408</v>
          </cell>
          <cell r="J5253" t="str">
            <v>CTC</v>
          </cell>
          <cell r="K5253" t="str">
            <v>YES</v>
          </cell>
        </row>
        <row r="5254">
          <cell r="I5254" t="str">
            <v>V36495</v>
          </cell>
          <cell r="J5254" t="str">
            <v>CTC</v>
          </cell>
          <cell r="K5254" t="str">
            <v>YES</v>
          </cell>
        </row>
        <row r="5255">
          <cell r="I5255" t="str">
            <v>V39828</v>
          </cell>
          <cell r="J5255" t="str">
            <v>CTC</v>
          </cell>
          <cell r="K5255" t="str">
            <v>YES</v>
          </cell>
        </row>
        <row r="5256">
          <cell r="I5256" t="str">
            <v>V41434</v>
          </cell>
          <cell r="J5256" t="str">
            <v>CTC</v>
          </cell>
          <cell r="K5256" t="str">
            <v>YES</v>
          </cell>
        </row>
        <row r="5257">
          <cell r="I5257" t="str">
            <v>V42599</v>
          </cell>
          <cell r="J5257" t="str">
            <v>CTC</v>
          </cell>
          <cell r="K5257" t="str">
            <v>YES</v>
          </cell>
        </row>
        <row r="5258">
          <cell r="I5258" t="str">
            <v>V44843</v>
          </cell>
          <cell r="J5258" t="str">
            <v>CTC</v>
          </cell>
          <cell r="K5258" t="str">
            <v>YES</v>
          </cell>
        </row>
        <row r="5259">
          <cell r="I5259" t="str">
            <v>V29343</v>
          </cell>
          <cell r="J5259" t="str">
            <v>CTC</v>
          </cell>
          <cell r="K5259" t="str">
            <v>YES</v>
          </cell>
        </row>
        <row r="5260">
          <cell r="I5260" t="str">
            <v>V32309</v>
          </cell>
          <cell r="J5260" t="str">
            <v>CTC</v>
          </cell>
          <cell r="K5260" t="str">
            <v>YES</v>
          </cell>
        </row>
        <row r="5261">
          <cell r="I5261" t="str">
            <v>V30672</v>
          </cell>
          <cell r="J5261" t="str">
            <v>CTC</v>
          </cell>
          <cell r="K5261" t="str">
            <v>YES</v>
          </cell>
        </row>
        <row r="5262">
          <cell r="I5262" t="str">
            <v>V38635</v>
          </cell>
          <cell r="J5262" t="str">
            <v>CTC</v>
          </cell>
          <cell r="K5262" t="str">
            <v>YES</v>
          </cell>
        </row>
        <row r="5263">
          <cell r="I5263" t="str">
            <v>V44440</v>
          </cell>
          <cell r="J5263" t="str">
            <v>CTC</v>
          </cell>
          <cell r="K5263" t="str">
            <v>YES</v>
          </cell>
        </row>
        <row r="5264">
          <cell r="I5264" t="str">
            <v>V39822</v>
          </cell>
          <cell r="J5264" t="str">
            <v>CTC</v>
          </cell>
          <cell r="K5264" t="str">
            <v>YES</v>
          </cell>
        </row>
        <row r="5265">
          <cell r="I5265" t="str">
            <v>V40118</v>
          </cell>
          <cell r="J5265" t="str">
            <v>CTC</v>
          </cell>
          <cell r="K5265" t="str">
            <v>YES</v>
          </cell>
        </row>
        <row r="5266">
          <cell r="I5266" t="str">
            <v>V42091</v>
          </cell>
          <cell r="J5266" t="str">
            <v>CTC</v>
          </cell>
          <cell r="K5266" t="str">
            <v>YES</v>
          </cell>
        </row>
        <row r="5267">
          <cell r="I5267" t="str">
            <v>V30164</v>
          </cell>
          <cell r="J5267" t="str">
            <v>CTC</v>
          </cell>
          <cell r="K5267" t="str">
            <v>YES</v>
          </cell>
        </row>
        <row r="5268">
          <cell r="I5268" t="str">
            <v>V29385</v>
          </cell>
          <cell r="J5268" t="str">
            <v>CTC</v>
          </cell>
          <cell r="K5268" t="str">
            <v>YES</v>
          </cell>
        </row>
        <row r="5269">
          <cell r="I5269" t="str">
            <v>V47571</v>
          </cell>
          <cell r="J5269" t="str">
            <v>CTC</v>
          </cell>
          <cell r="K5269" t="str">
            <v>YES</v>
          </cell>
        </row>
        <row r="5270">
          <cell r="I5270" t="str">
            <v>V33418</v>
          </cell>
          <cell r="J5270" t="str">
            <v>CTC</v>
          </cell>
          <cell r="K5270" t="str">
            <v>YES</v>
          </cell>
        </row>
        <row r="5271">
          <cell r="I5271" t="str">
            <v>V33968</v>
          </cell>
          <cell r="J5271" t="str">
            <v>CTC</v>
          </cell>
          <cell r="K5271" t="str">
            <v>YES</v>
          </cell>
        </row>
        <row r="5272">
          <cell r="I5272" t="str">
            <v>V43747</v>
          </cell>
          <cell r="J5272" t="str">
            <v>CTC</v>
          </cell>
          <cell r="K5272" t="str">
            <v>YES</v>
          </cell>
        </row>
        <row r="5273">
          <cell r="I5273" t="str">
            <v>V42384</v>
          </cell>
          <cell r="J5273" t="str">
            <v>CTC</v>
          </cell>
          <cell r="K5273" t="str">
            <v>YES</v>
          </cell>
        </row>
        <row r="5274">
          <cell r="I5274" t="str">
            <v>V26939</v>
          </cell>
          <cell r="J5274" t="str">
            <v>CTC</v>
          </cell>
          <cell r="K5274" t="str">
            <v>YES</v>
          </cell>
        </row>
        <row r="5275">
          <cell r="I5275" t="str">
            <v>V50473</v>
          </cell>
          <cell r="J5275" t="str">
            <v>CTC</v>
          </cell>
          <cell r="K5275" t="str">
            <v>YES</v>
          </cell>
        </row>
        <row r="5276">
          <cell r="I5276" t="str">
            <v>V37751</v>
          </cell>
          <cell r="J5276" t="str">
            <v>CTC</v>
          </cell>
          <cell r="K5276" t="str">
            <v>YES</v>
          </cell>
        </row>
        <row r="5277">
          <cell r="I5277" t="str">
            <v>V45278</v>
          </cell>
          <cell r="J5277" t="str">
            <v>CTC</v>
          </cell>
          <cell r="K5277" t="str">
            <v>YES</v>
          </cell>
        </row>
        <row r="5278">
          <cell r="I5278" t="str">
            <v>V40994</v>
          </cell>
          <cell r="J5278" t="str">
            <v>CTC</v>
          </cell>
          <cell r="K5278" t="str">
            <v>YES</v>
          </cell>
        </row>
        <row r="5279">
          <cell r="I5279" t="str">
            <v>V34639</v>
          </cell>
          <cell r="J5279" t="str">
            <v>CTC</v>
          </cell>
          <cell r="K5279" t="str">
            <v>YES</v>
          </cell>
        </row>
        <row r="5280">
          <cell r="I5280" t="str">
            <v>V36331</v>
          </cell>
          <cell r="J5280" t="str">
            <v>CTC</v>
          </cell>
          <cell r="K5280" t="str">
            <v>YES</v>
          </cell>
        </row>
        <row r="5281">
          <cell r="I5281" t="str">
            <v>V36681</v>
          </cell>
          <cell r="J5281" t="str">
            <v>CTC</v>
          </cell>
          <cell r="K5281" t="str">
            <v>YES</v>
          </cell>
        </row>
        <row r="5282">
          <cell r="I5282" t="str">
            <v>V36931</v>
          </cell>
          <cell r="J5282" t="str">
            <v>CTC</v>
          </cell>
          <cell r="K5282" t="str">
            <v>YES</v>
          </cell>
        </row>
        <row r="5283">
          <cell r="I5283" t="str">
            <v>V38711</v>
          </cell>
          <cell r="J5283" t="str">
            <v>CTC</v>
          </cell>
          <cell r="K5283" t="str">
            <v>YES</v>
          </cell>
        </row>
        <row r="5284">
          <cell r="I5284" t="str">
            <v>V38716</v>
          </cell>
          <cell r="J5284" t="str">
            <v>CTC</v>
          </cell>
          <cell r="K5284" t="str">
            <v>YES</v>
          </cell>
        </row>
        <row r="5285">
          <cell r="I5285" t="str">
            <v>V38717</v>
          </cell>
          <cell r="J5285" t="str">
            <v>CTC</v>
          </cell>
          <cell r="K5285" t="str">
            <v>YES</v>
          </cell>
        </row>
        <row r="5286">
          <cell r="I5286" t="str">
            <v>V39020</v>
          </cell>
          <cell r="J5286" t="str">
            <v>CTC</v>
          </cell>
          <cell r="K5286" t="str">
            <v>YES</v>
          </cell>
        </row>
        <row r="5287">
          <cell r="I5287" t="str">
            <v>V39205</v>
          </cell>
          <cell r="J5287" t="str">
            <v>CTC</v>
          </cell>
          <cell r="K5287" t="str">
            <v>YES</v>
          </cell>
        </row>
        <row r="5288">
          <cell r="I5288" t="str">
            <v>V39244</v>
          </cell>
          <cell r="J5288" t="str">
            <v>CTC</v>
          </cell>
          <cell r="K5288" t="str">
            <v>YES</v>
          </cell>
        </row>
        <row r="5289">
          <cell r="I5289" t="str">
            <v>V39792</v>
          </cell>
          <cell r="J5289" t="str">
            <v>CTC</v>
          </cell>
          <cell r="K5289" t="str">
            <v>YES</v>
          </cell>
        </row>
        <row r="5290">
          <cell r="I5290" t="str">
            <v>V39798</v>
          </cell>
          <cell r="J5290" t="str">
            <v>CTC</v>
          </cell>
          <cell r="K5290" t="str">
            <v>YES</v>
          </cell>
        </row>
        <row r="5291">
          <cell r="I5291" t="str">
            <v>V39800</v>
          </cell>
          <cell r="J5291" t="str">
            <v>CTC</v>
          </cell>
          <cell r="K5291" t="str">
            <v>YES</v>
          </cell>
        </row>
        <row r="5292">
          <cell r="I5292" t="str">
            <v>V40153</v>
          </cell>
          <cell r="J5292" t="str">
            <v>CTC</v>
          </cell>
          <cell r="K5292" t="str">
            <v>YES</v>
          </cell>
        </row>
        <row r="5293">
          <cell r="I5293" t="str">
            <v>V40155</v>
          </cell>
          <cell r="J5293" t="str">
            <v>CTC</v>
          </cell>
          <cell r="K5293" t="str">
            <v>YES</v>
          </cell>
        </row>
        <row r="5294">
          <cell r="I5294" t="str">
            <v>V43306</v>
          </cell>
          <cell r="J5294" t="str">
            <v>CTC</v>
          </cell>
          <cell r="K5294" t="str">
            <v>YES</v>
          </cell>
        </row>
        <row r="5295">
          <cell r="I5295" t="str">
            <v>V36332</v>
          </cell>
          <cell r="J5295" t="str">
            <v>CTC</v>
          </cell>
          <cell r="K5295" t="str">
            <v>YES</v>
          </cell>
        </row>
        <row r="5296">
          <cell r="I5296" t="str">
            <v>V36544</v>
          </cell>
          <cell r="J5296" t="str">
            <v>CTC</v>
          </cell>
          <cell r="K5296" t="str">
            <v>YES</v>
          </cell>
        </row>
        <row r="5297">
          <cell r="I5297" t="str">
            <v>V45021</v>
          </cell>
          <cell r="J5297" t="str">
            <v>CTC</v>
          </cell>
          <cell r="K5297" t="str">
            <v>YES</v>
          </cell>
        </row>
        <row r="5298">
          <cell r="I5298" t="str">
            <v>V33928</v>
          </cell>
          <cell r="J5298" t="str">
            <v>CTC</v>
          </cell>
          <cell r="K5298" t="str">
            <v>YES</v>
          </cell>
        </row>
        <row r="5299">
          <cell r="I5299" t="str">
            <v>V34636</v>
          </cell>
          <cell r="J5299" t="str">
            <v>CTC</v>
          </cell>
          <cell r="K5299" t="str">
            <v>YES</v>
          </cell>
        </row>
        <row r="5300">
          <cell r="I5300" t="str">
            <v>V34862</v>
          </cell>
          <cell r="J5300" t="str">
            <v>CTC</v>
          </cell>
          <cell r="K5300" t="str">
            <v>YES</v>
          </cell>
        </row>
        <row r="5301">
          <cell r="I5301" t="str">
            <v>V41221</v>
          </cell>
          <cell r="J5301" t="str">
            <v>CTC</v>
          </cell>
          <cell r="K5301" t="str">
            <v>YES</v>
          </cell>
        </row>
        <row r="5302">
          <cell r="I5302" t="str">
            <v>V28941</v>
          </cell>
          <cell r="J5302" t="str">
            <v>CTC</v>
          </cell>
          <cell r="K5302" t="str">
            <v>YES</v>
          </cell>
        </row>
        <row r="5303">
          <cell r="I5303" t="str">
            <v>V43299</v>
          </cell>
          <cell r="J5303" t="str">
            <v>CTC</v>
          </cell>
          <cell r="K5303" t="str">
            <v>YES</v>
          </cell>
        </row>
        <row r="5304">
          <cell r="I5304" t="str">
            <v>V43351</v>
          </cell>
          <cell r="J5304" t="str">
            <v>CTC</v>
          </cell>
          <cell r="K5304" t="str">
            <v>YES</v>
          </cell>
        </row>
        <row r="5305">
          <cell r="I5305" t="str">
            <v>V42932</v>
          </cell>
          <cell r="J5305" t="str">
            <v>CTC</v>
          </cell>
          <cell r="K5305" t="str">
            <v>YES</v>
          </cell>
        </row>
        <row r="5306">
          <cell r="I5306" t="str">
            <v>V42681</v>
          </cell>
          <cell r="J5306" t="str">
            <v>CTC</v>
          </cell>
          <cell r="K5306" t="str">
            <v>YES</v>
          </cell>
        </row>
        <row r="5307">
          <cell r="I5307" t="str">
            <v>V30317</v>
          </cell>
          <cell r="J5307" t="str">
            <v>CTC</v>
          </cell>
          <cell r="K5307" t="str">
            <v>YES</v>
          </cell>
        </row>
        <row r="5308">
          <cell r="I5308" t="str">
            <v>V33624</v>
          </cell>
          <cell r="J5308" t="str">
            <v>CTC</v>
          </cell>
          <cell r="K5308" t="str">
            <v>YES</v>
          </cell>
        </row>
        <row r="5309">
          <cell r="I5309" t="str">
            <v>V40385</v>
          </cell>
          <cell r="J5309" t="str">
            <v>CTC</v>
          </cell>
          <cell r="K5309" t="str">
            <v>YES</v>
          </cell>
        </row>
        <row r="5310">
          <cell r="I5310" t="str">
            <v>V39243</v>
          </cell>
          <cell r="J5310" t="str">
            <v>CTC</v>
          </cell>
          <cell r="K5310" t="str">
            <v>YES</v>
          </cell>
        </row>
        <row r="5311">
          <cell r="I5311" t="str">
            <v>V37669</v>
          </cell>
          <cell r="J5311" t="str">
            <v>CTC</v>
          </cell>
          <cell r="K5311" t="str">
            <v>YES</v>
          </cell>
        </row>
        <row r="5312">
          <cell r="I5312" t="str">
            <v>V34848</v>
          </cell>
          <cell r="J5312" t="str">
            <v>CTC</v>
          </cell>
          <cell r="K5312" t="str">
            <v>YES</v>
          </cell>
        </row>
        <row r="5313">
          <cell r="I5313" t="str">
            <v>V48536</v>
          </cell>
          <cell r="J5313" t="str">
            <v>CTC</v>
          </cell>
          <cell r="K5313" t="str">
            <v>YES</v>
          </cell>
        </row>
        <row r="5314">
          <cell r="I5314" t="str">
            <v>V43302</v>
          </cell>
          <cell r="J5314" t="str">
            <v>CTC</v>
          </cell>
          <cell r="K5314" t="str">
            <v>YES</v>
          </cell>
        </row>
        <row r="5315">
          <cell r="I5315" t="str">
            <v>V43304</v>
          </cell>
          <cell r="J5315" t="str">
            <v>CTC</v>
          </cell>
          <cell r="K5315" t="str">
            <v>YES</v>
          </cell>
        </row>
        <row r="5316">
          <cell r="I5316" t="str">
            <v>V30594</v>
          </cell>
          <cell r="J5316" t="str">
            <v>CTC</v>
          </cell>
          <cell r="K5316" t="str">
            <v>YES</v>
          </cell>
        </row>
        <row r="5317">
          <cell r="I5317" t="str">
            <v>V31838</v>
          </cell>
          <cell r="J5317" t="str">
            <v>CTC</v>
          </cell>
          <cell r="K5317" t="str">
            <v>YES</v>
          </cell>
        </row>
        <row r="5318">
          <cell r="I5318" t="str">
            <v>V42987</v>
          </cell>
          <cell r="J5318" t="str">
            <v>CTC</v>
          </cell>
          <cell r="K5318" t="str">
            <v>YES</v>
          </cell>
        </row>
        <row r="5319">
          <cell r="I5319" t="str">
            <v>V39296</v>
          </cell>
          <cell r="J5319" t="str">
            <v>CTC</v>
          </cell>
          <cell r="K5319" t="str">
            <v>YES</v>
          </cell>
        </row>
        <row r="5320">
          <cell r="I5320" t="str">
            <v>V24048</v>
          </cell>
          <cell r="J5320" t="str">
            <v>CTC</v>
          </cell>
          <cell r="K5320" t="str">
            <v>YES</v>
          </cell>
        </row>
        <row r="5321">
          <cell r="I5321" t="str">
            <v>V43347</v>
          </cell>
          <cell r="J5321" t="str">
            <v>CTC</v>
          </cell>
          <cell r="K5321" t="str">
            <v>YES</v>
          </cell>
        </row>
        <row r="5322">
          <cell r="I5322" t="str">
            <v>V50762</v>
          </cell>
          <cell r="J5322" t="str">
            <v>CTC</v>
          </cell>
          <cell r="K5322" t="str">
            <v>YES</v>
          </cell>
        </row>
        <row r="5323">
          <cell r="I5323" t="str">
            <v>V30818</v>
          </cell>
          <cell r="J5323" t="str">
            <v>CTC</v>
          </cell>
          <cell r="K5323" t="str">
            <v>YES</v>
          </cell>
        </row>
        <row r="5324">
          <cell r="I5324" t="str">
            <v>V45100</v>
          </cell>
          <cell r="J5324" t="str">
            <v>CTC</v>
          </cell>
          <cell r="K5324" t="str">
            <v>YES</v>
          </cell>
        </row>
        <row r="5325">
          <cell r="I5325" t="str">
            <v>V43098</v>
          </cell>
          <cell r="J5325" t="str">
            <v>CTC</v>
          </cell>
          <cell r="K5325" t="str">
            <v>YES</v>
          </cell>
        </row>
        <row r="5326">
          <cell r="I5326" t="str">
            <v>V21198</v>
          </cell>
          <cell r="J5326" t="str">
            <v>CTC</v>
          </cell>
          <cell r="K5326" t="str">
            <v>YES</v>
          </cell>
        </row>
        <row r="5327">
          <cell r="I5327" t="str">
            <v>V30527</v>
          </cell>
          <cell r="J5327" t="str">
            <v>CTC</v>
          </cell>
          <cell r="K5327" t="str">
            <v>YES</v>
          </cell>
        </row>
        <row r="5328">
          <cell r="I5328" t="str">
            <v>V32440</v>
          </cell>
          <cell r="J5328" t="str">
            <v>CTC</v>
          </cell>
          <cell r="K5328" t="str">
            <v>YES</v>
          </cell>
        </row>
        <row r="5329">
          <cell r="I5329" t="str">
            <v>V43346</v>
          </cell>
          <cell r="J5329" t="str">
            <v>CTC</v>
          </cell>
          <cell r="K5329" t="str">
            <v>YES</v>
          </cell>
        </row>
        <row r="5330">
          <cell r="I5330" t="str">
            <v>V43348</v>
          </cell>
          <cell r="J5330" t="str">
            <v>CTC</v>
          </cell>
          <cell r="K5330" t="str">
            <v>YES</v>
          </cell>
        </row>
        <row r="5331">
          <cell r="I5331" t="str">
            <v>V44503</v>
          </cell>
          <cell r="J5331" t="str">
            <v>CTC</v>
          </cell>
          <cell r="K5331" t="str">
            <v>YES</v>
          </cell>
        </row>
        <row r="5332">
          <cell r="I5332" t="str">
            <v>V29126</v>
          </cell>
          <cell r="J5332" t="str">
            <v>CTC</v>
          </cell>
          <cell r="K5332" t="str">
            <v>YES</v>
          </cell>
        </row>
        <row r="5333">
          <cell r="I5333" t="str">
            <v>V34850</v>
          </cell>
          <cell r="J5333" t="str">
            <v>CTC</v>
          </cell>
          <cell r="K5333" t="str">
            <v>YES</v>
          </cell>
        </row>
        <row r="5334">
          <cell r="I5334" t="str">
            <v>V30836</v>
          </cell>
          <cell r="J5334" t="str">
            <v>CTC</v>
          </cell>
          <cell r="K5334" t="str">
            <v>YES</v>
          </cell>
        </row>
        <row r="5335">
          <cell r="I5335" t="str">
            <v>V27231</v>
          </cell>
          <cell r="J5335" t="str">
            <v>CTC</v>
          </cell>
          <cell r="K5335" t="str">
            <v>YES</v>
          </cell>
        </row>
        <row r="5336">
          <cell r="I5336" t="str">
            <v>V32090</v>
          </cell>
          <cell r="J5336" t="str">
            <v>CTC</v>
          </cell>
          <cell r="K5336" t="str">
            <v>YES</v>
          </cell>
        </row>
        <row r="5337">
          <cell r="I5337" t="str">
            <v>V38762</v>
          </cell>
          <cell r="J5337" t="str">
            <v>CTC</v>
          </cell>
          <cell r="K5337" t="str">
            <v>YES</v>
          </cell>
        </row>
        <row r="5338">
          <cell r="I5338" t="str">
            <v>V39279</v>
          </cell>
          <cell r="J5338" t="str">
            <v>CTC</v>
          </cell>
          <cell r="K5338" t="str">
            <v>YES</v>
          </cell>
        </row>
        <row r="5339">
          <cell r="I5339" t="str">
            <v>V46288</v>
          </cell>
          <cell r="J5339" t="str">
            <v>CTC</v>
          </cell>
          <cell r="K5339" t="str">
            <v>YES</v>
          </cell>
        </row>
        <row r="5340">
          <cell r="I5340" t="str">
            <v>V11176</v>
          </cell>
          <cell r="J5340" t="str">
            <v>CTC</v>
          </cell>
          <cell r="K5340" t="str">
            <v>YES</v>
          </cell>
        </row>
        <row r="5341">
          <cell r="I5341" t="str">
            <v>V47390</v>
          </cell>
          <cell r="J5341" t="str">
            <v>CTC</v>
          </cell>
          <cell r="K5341" t="str">
            <v>YES</v>
          </cell>
        </row>
        <row r="5342">
          <cell r="I5342" t="str">
            <v>V30677</v>
          </cell>
          <cell r="J5342" t="str">
            <v>CTC</v>
          </cell>
          <cell r="K5342" t="str">
            <v>YES</v>
          </cell>
        </row>
        <row r="5343">
          <cell r="I5343" t="str">
            <v>V33264</v>
          </cell>
          <cell r="J5343" t="str">
            <v>CTC</v>
          </cell>
          <cell r="K5343" t="str">
            <v>YES</v>
          </cell>
        </row>
        <row r="5344">
          <cell r="I5344" t="str">
            <v>V33268</v>
          </cell>
          <cell r="J5344" t="str">
            <v>CTC</v>
          </cell>
          <cell r="K5344" t="str">
            <v>YES</v>
          </cell>
        </row>
        <row r="5345">
          <cell r="I5345" t="str">
            <v>V33270</v>
          </cell>
          <cell r="J5345" t="str">
            <v>CTC</v>
          </cell>
          <cell r="K5345" t="str">
            <v>YES</v>
          </cell>
        </row>
        <row r="5346">
          <cell r="I5346" t="str">
            <v>V33276</v>
          </cell>
          <cell r="J5346" t="str">
            <v>CTC</v>
          </cell>
          <cell r="K5346" t="str">
            <v>YES</v>
          </cell>
        </row>
        <row r="5347">
          <cell r="I5347" t="str">
            <v>V33565</v>
          </cell>
          <cell r="J5347" t="str">
            <v>CTC</v>
          </cell>
          <cell r="K5347" t="str">
            <v>YES</v>
          </cell>
        </row>
        <row r="5348">
          <cell r="I5348" t="str">
            <v>V33570</v>
          </cell>
          <cell r="J5348" t="str">
            <v>CTC</v>
          </cell>
          <cell r="K5348" t="str">
            <v>YES</v>
          </cell>
        </row>
        <row r="5349">
          <cell r="I5349" t="str">
            <v>V34257</v>
          </cell>
          <cell r="J5349" t="str">
            <v>CTC</v>
          </cell>
          <cell r="K5349" t="str">
            <v>YES</v>
          </cell>
        </row>
        <row r="5350">
          <cell r="I5350" t="str">
            <v>V34676</v>
          </cell>
          <cell r="J5350" t="str">
            <v>CTC</v>
          </cell>
          <cell r="K5350" t="str">
            <v>YES</v>
          </cell>
        </row>
        <row r="5351">
          <cell r="I5351" t="str">
            <v>V43293</v>
          </cell>
          <cell r="J5351" t="str">
            <v>CTC</v>
          </cell>
          <cell r="K5351" t="str">
            <v>YES</v>
          </cell>
        </row>
        <row r="5352">
          <cell r="I5352" t="str">
            <v>V39438</v>
          </cell>
          <cell r="J5352" t="str">
            <v>CTC</v>
          </cell>
          <cell r="K5352" t="str">
            <v>YES</v>
          </cell>
        </row>
        <row r="5353">
          <cell r="I5353" t="str">
            <v>V35358</v>
          </cell>
          <cell r="J5353" t="str">
            <v>CTC</v>
          </cell>
          <cell r="K5353" t="str">
            <v>YES</v>
          </cell>
        </row>
        <row r="5354">
          <cell r="I5354" t="str">
            <v>V43387</v>
          </cell>
          <cell r="J5354" t="str">
            <v>CTC</v>
          </cell>
          <cell r="K5354" t="str">
            <v>YES</v>
          </cell>
        </row>
        <row r="5355">
          <cell r="I5355" t="str">
            <v>V33737</v>
          </cell>
          <cell r="J5355" t="str">
            <v>CTC</v>
          </cell>
          <cell r="K5355" t="str">
            <v>YES</v>
          </cell>
        </row>
        <row r="5356">
          <cell r="I5356" t="str">
            <v>V42920</v>
          </cell>
          <cell r="J5356" t="str">
            <v>CTC</v>
          </cell>
          <cell r="K5356" t="str">
            <v>YES</v>
          </cell>
        </row>
        <row r="5357">
          <cell r="I5357" t="str">
            <v>V27293</v>
          </cell>
          <cell r="J5357" t="str">
            <v>CTC</v>
          </cell>
          <cell r="K5357" t="str">
            <v>YES</v>
          </cell>
        </row>
        <row r="5358">
          <cell r="I5358" t="str">
            <v>V42211</v>
          </cell>
          <cell r="J5358" t="str">
            <v>CTC</v>
          </cell>
          <cell r="K5358" t="str">
            <v>YES</v>
          </cell>
        </row>
        <row r="5359">
          <cell r="I5359" t="str">
            <v>V35343</v>
          </cell>
          <cell r="J5359" t="str">
            <v>CTC</v>
          </cell>
          <cell r="K5359" t="str">
            <v>YES</v>
          </cell>
        </row>
        <row r="5360">
          <cell r="I5360" t="str">
            <v>V43388</v>
          </cell>
          <cell r="J5360" t="str">
            <v>CTC</v>
          </cell>
          <cell r="K5360" t="str">
            <v>YES</v>
          </cell>
        </row>
        <row r="5361">
          <cell r="I5361" t="str">
            <v>V42610</v>
          </cell>
          <cell r="J5361" t="str">
            <v>CTC</v>
          </cell>
          <cell r="K5361" t="str">
            <v>YES</v>
          </cell>
        </row>
        <row r="5362">
          <cell r="I5362" t="str">
            <v>V33545</v>
          </cell>
          <cell r="J5362" t="str">
            <v>CTC</v>
          </cell>
          <cell r="K5362" t="str">
            <v>YES</v>
          </cell>
        </row>
        <row r="5363">
          <cell r="I5363" t="str">
            <v>V42720</v>
          </cell>
          <cell r="J5363" t="str">
            <v>CTC</v>
          </cell>
          <cell r="K5363" t="str">
            <v>YES</v>
          </cell>
        </row>
        <row r="5364">
          <cell r="I5364" t="str">
            <v>V42584</v>
          </cell>
          <cell r="J5364" t="str">
            <v>CTC</v>
          </cell>
          <cell r="K5364" t="str">
            <v>YES</v>
          </cell>
        </row>
        <row r="5365">
          <cell r="I5365" t="str">
            <v>V26737</v>
          </cell>
          <cell r="J5365" t="str">
            <v>CTC</v>
          </cell>
          <cell r="K5365" t="str">
            <v>YES</v>
          </cell>
        </row>
        <row r="5366">
          <cell r="I5366" t="str">
            <v>V34081</v>
          </cell>
          <cell r="J5366" t="str">
            <v>CTC</v>
          </cell>
          <cell r="K5366" t="str">
            <v>YES</v>
          </cell>
        </row>
        <row r="5367">
          <cell r="I5367" t="str">
            <v>V44626</v>
          </cell>
          <cell r="J5367" t="str">
            <v>CTC</v>
          </cell>
          <cell r="K5367" t="str">
            <v>YES</v>
          </cell>
        </row>
        <row r="5368">
          <cell r="I5368" t="str">
            <v>V45301</v>
          </cell>
          <cell r="J5368" t="str">
            <v>CTC</v>
          </cell>
          <cell r="K5368" t="str">
            <v>YES</v>
          </cell>
        </row>
        <row r="5369">
          <cell r="I5369" t="str">
            <v>V45888</v>
          </cell>
          <cell r="J5369" t="str">
            <v>CTC</v>
          </cell>
          <cell r="K5369" t="str">
            <v>YES</v>
          </cell>
        </row>
        <row r="5370">
          <cell r="I5370" t="str">
            <v>V41819</v>
          </cell>
          <cell r="J5370" t="str">
            <v>CTC</v>
          </cell>
          <cell r="K5370" t="str">
            <v>YES</v>
          </cell>
        </row>
        <row r="5371">
          <cell r="I5371" t="str">
            <v>V44345</v>
          </cell>
          <cell r="J5371" t="str">
            <v>CTC</v>
          </cell>
          <cell r="K5371" t="str">
            <v>YES</v>
          </cell>
        </row>
        <row r="5372">
          <cell r="I5372" t="str">
            <v>V44477</v>
          </cell>
          <cell r="J5372" t="str">
            <v>CTC</v>
          </cell>
          <cell r="K5372" t="str">
            <v>YES</v>
          </cell>
        </row>
        <row r="5373">
          <cell r="I5373" t="str">
            <v>V37949</v>
          </cell>
          <cell r="J5373" t="str">
            <v>CTC</v>
          </cell>
          <cell r="K5373" t="str">
            <v>YES</v>
          </cell>
        </row>
        <row r="5374">
          <cell r="I5374" t="str">
            <v>V26645</v>
          </cell>
          <cell r="J5374" t="str">
            <v>CTC</v>
          </cell>
          <cell r="K5374" t="str">
            <v>YES</v>
          </cell>
        </row>
        <row r="5375">
          <cell r="I5375" t="str">
            <v>V31069</v>
          </cell>
          <cell r="J5375" t="str">
            <v>CTC</v>
          </cell>
          <cell r="K5375" t="str">
            <v>YES</v>
          </cell>
        </row>
        <row r="5376">
          <cell r="I5376" t="str">
            <v>V31710</v>
          </cell>
          <cell r="J5376" t="str">
            <v>CTC</v>
          </cell>
          <cell r="K5376" t="str">
            <v>YES</v>
          </cell>
        </row>
        <row r="5377">
          <cell r="I5377" t="str">
            <v>V32186</v>
          </cell>
          <cell r="J5377" t="str">
            <v>CTC</v>
          </cell>
          <cell r="K5377" t="str">
            <v>YES</v>
          </cell>
        </row>
        <row r="5378">
          <cell r="I5378" t="str">
            <v>V31679</v>
          </cell>
          <cell r="J5378" t="str">
            <v>CTC</v>
          </cell>
          <cell r="K5378" t="str">
            <v>YES</v>
          </cell>
        </row>
        <row r="5379">
          <cell r="I5379" t="str">
            <v>V39475</v>
          </cell>
          <cell r="J5379" t="str">
            <v>CTC</v>
          </cell>
          <cell r="K5379" t="str">
            <v>YES</v>
          </cell>
        </row>
        <row r="5380">
          <cell r="I5380" t="str">
            <v>V30282</v>
          </cell>
          <cell r="J5380" t="str">
            <v>CTC</v>
          </cell>
          <cell r="K5380" t="str">
            <v>YES</v>
          </cell>
        </row>
        <row r="5381">
          <cell r="I5381" t="str">
            <v>V43353</v>
          </cell>
          <cell r="J5381" t="str">
            <v>CTC</v>
          </cell>
          <cell r="K5381" t="str">
            <v>YES</v>
          </cell>
        </row>
        <row r="5382">
          <cell r="I5382" t="str">
            <v>V34843</v>
          </cell>
          <cell r="J5382" t="str">
            <v>CTC</v>
          </cell>
          <cell r="K5382" t="str">
            <v>YES</v>
          </cell>
        </row>
        <row r="5383">
          <cell r="I5383" t="str">
            <v>V34634</v>
          </cell>
          <cell r="J5383" t="str">
            <v>CTC</v>
          </cell>
          <cell r="K5383" t="str">
            <v>YES</v>
          </cell>
        </row>
        <row r="5384">
          <cell r="I5384" t="str">
            <v>V25654</v>
          </cell>
          <cell r="J5384" t="str">
            <v>CTC</v>
          </cell>
          <cell r="K5384" t="str">
            <v>YES</v>
          </cell>
        </row>
        <row r="5385">
          <cell r="I5385" t="str">
            <v>V36404</v>
          </cell>
          <cell r="J5385" t="str">
            <v>CTC</v>
          </cell>
          <cell r="K5385" t="str">
            <v>YES</v>
          </cell>
        </row>
        <row r="5386">
          <cell r="I5386" t="str">
            <v>V26319</v>
          </cell>
          <cell r="J5386" t="str">
            <v>CTC</v>
          </cell>
          <cell r="K5386" t="str">
            <v>YES</v>
          </cell>
        </row>
        <row r="5387">
          <cell r="I5387" t="str">
            <v>V43143</v>
          </cell>
          <cell r="J5387" t="str">
            <v>CTC</v>
          </cell>
          <cell r="K5387" t="str">
            <v>YES</v>
          </cell>
        </row>
        <row r="5388">
          <cell r="I5388" t="str">
            <v>V43800</v>
          </cell>
          <cell r="J5388" t="str">
            <v>CTC</v>
          </cell>
          <cell r="K5388" t="str">
            <v>YES</v>
          </cell>
        </row>
        <row r="5389">
          <cell r="I5389" t="str">
            <v>V42972</v>
          </cell>
          <cell r="J5389" t="str">
            <v>CTC</v>
          </cell>
          <cell r="K5389" t="str">
            <v>YES</v>
          </cell>
        </row>
        <row r="5390">
          <cell r="I5390" t="str">
            <v>V43309</v>
          </cell>
          <cell r="J5390" t="str">
            <v>CTC</v>
          </cell>
          <cell r="K5390" t="str">
            <v>YES</v>
          </cell>
        </row>
        <row r="5391">
          <cell r="I5391" t="str">
            <v>V43051</v>
          </cell>
          <cell r="J5391" t="str">
            <v>CTC</v>
          </cell>
          <cell r="K5391" t="str">
            <v>YES</v>
          </cell>
        </row>
        <row r="5392">
          <cell r="I5392" t="str">
            <v>V42819</v>
          </cell>
          <cell r="J5392" t="str">
            <v>CTC</v>
          </cell>
          <cell r="K5392" t="str">
            <v>YES</v>
          </cell>
        </row>
        <row r="5393">
          <cell r="I5393" t="str">
            <v>V40174</v>
          </cell>
          <cell r="J5393" t="str">
            <v>CTC</v>
          </cell>
          <cell r="K5393" t="str">
            <v>YES</v>
          </cell>
        </row>
        <row r="5394">
          <cell r="I5394" t="str">
            <v>V29831</v>
          </cell>
          <cell r="J5394" t="str">
            <v>CTC</v>
          </cell>
          <cell r="K5394" t="str">
            <v>YES</v>
          </cell>
        </row>
        <row r="5395">
          <cell r="I5395" t="str">
            <v>V30409</v>
          </cell>
          <cell r="J5395" t="str">
            <v>CTC</v>
          </cell>
          <cell r="K5395" t="str">
            <v>YES</v>
          </cell>
        </row>
        <row r="5396">
          <cell r="I5396" t="str">
            <v>V31404</v>
          </cell>
          <cell r="J5396" t="str">
            <v>CTC</v>
          </cell>
          <cell r="K5396" t="str">
            <v>YES</v>
          </cell>
        </row>
        <row r="5397">
          <cell r="I5397" t="str">
            <v>V33007</v>
          </cell>
          <cell r="J5397" t="str">
            <v>CTC</v>
          </cell>
          <cell r="K5397" t="str">
            <v>YES</v>
          </cell>
        </row>
        <row r="5398">
          <cell r="I5398" t="str">
            <v>V33334</v>
          </cell>
          <cell r="J5398" t="str">
            <v>CTC</v>
          </cell>
          <cell r="K5398" t="str">
            <v>YES</v>
          </cell>
        </row>
        <row r="5399">
          <cell r="I5399" t="str">
            <v>V33338</v>
          </cell>
          <cell r="J5399" t="str">
            <v>CTC</v>
          </cell>
          <cell r="K5399" t="str">
            <v>YES</v>
          </cell>
        </row>
        <row r="5400">
          <cell r="I5400" t="str">
            <v>V33339</v>
          </cell>
          <cell r="J5400" t="str">
            <v>CTC</v>
          </cell>
          <cell r="K5400" t="str">
            <v>YES</v>
          </cell>
        </row>
        <row r="5401">
          <cell r="I5401" t="str">
            <v>V33356</v>
          </cell>
          <cell r="J5401" t="str">
            <v>CTC</v>
          </cell>
          <cell r="K5401" t="str">
            <v>YES</v>
          </cell>
        </row>
        <row r="5402">
          <cell r="I5402" t="str">
            <v>V33397</v>
          </cell>
          <cell r="J5402" t="str">
            <v>CTC</v>
          </cell>
          <cell r="K5402" t="str">
            <v>YES</v>
          </cell>
        </row>
        <row r="5403">
          <cell r="I5403" t="str">
            <v>V33398</v>
          </cell>
          <cell r="J5403" t="str">
            <v>CTC</v>
          </cell>
          <cell r="K5403" t="str">
            <v>YES</v>
          </cell>
        </row>
        <row r="5404">
          <cell r="I5404" t="str">
            <v>V34189</v>
          </cell>
          <cell r="J5404" t="str">
            <v>CTC</v>
          </cell>
          <cell r="K5404" t="str">
            <v>YES</v>
          </cell>
        </row>
        <row r="5405">
          <cell r="I5405" t="str">
            <v>V34245</v>
          </cell>
          <cell r="J5405" t="str">
            <v>CTC</v>
          </cell>
          <cell r="K5405" t="str">
            <v>YES</v>
          </cell>
        </row>
        <row r="5406">
          <cell r="I5406" t="str">
            <v>V34890</v>
          </cell>
          <cell r="J5406" t="str">
            <v>CTC</v>
          </cell>
          <cell r="K5406" t="str">
            <v>YES</v>
          </cell>
        </row>
        <row r="5407">
          <cell r="I5407" t="str">
            <v>V34894</v>
          </cell>
          <cell r="J5407" t="str">
            <v>CTC</v>
          </cell>
          <cell r="K5407" t="str">
            <v>YES</v>
          </cell>
        </row>
        <row r="5408">
          <cell r="I5408" t="str">
            <v>V34896</v>
          </cell>
          <cell r="J5408" t="str">
            <v>CTC</v>
          </cell>
          <cell r="K5408" t="str">
            <v>YES</v>
          </cell>
        </row>
        <row r="5409">
          <cell r="I5409" t="str">
            <v>V34959</v>
          </cell>
          <cell r="J5409" t="str">
            <v>CTC</v>
          </cell>
          <cell r="K5409" t="str">
            <v>YES</v>
          </cell>
        </row>
        <row r="5410">
          <cell r="I5410" t="str">
            <v>V35348</v>
          </cell>
          <cell r="J5410" t="str">
            <v>CTC</v>
          </cell>
          <cell r="K5410" t="str">
            <v>YES</v>
          </cell>
        </row>
        <row r="5411">
          <cell r="I5411" t="str">
            <v>V43370</v>
          </cell>
          <cell r="J5411" t="str">
            <v>CTC</v>
          </cell>
          <cell r="K5411" t="str">
            <v>YES</v>
          </cell>
        </row>
        <row r="5412">
          <cell r="I5412" t="str">
            <v>V33476</v>
          </cell>
          <cell r="J5412" t="str">
            <v>CTC</v>
          </cell>
          <cell r="K5412" t="str">
            <v>YES</v>
          </cell>
        </row>
        <row r="5413">
          <cell r="I5413" t="str">
            <v>V35451</v>
          </cell>
          <cell r="J5413" t="str">
            <v>CTC</v>
          </cell>
          <cell r="K5413" t="str">
            <v>YES</v>
          </cell>
        </row>
        <row r="5414">
          <cell r="I5414" t="str">
            <v>V35537</v>
          </cell>
          <cell r="J5414" t="str">
            <v>CTC</v>
          </cell>
          <cell r="K5414" t="str">
            <v>YES</v>
          </cell>
        </row>
        <row r="5415">
          <cell r="I5415" t="str">
            <v>V37161</v>
          </cell>
          <cell r="J5415" t="str">
            <v>CTC</v>
          </cell>
          <cell r="K5415" t="str">
            <v>YES</v>
          </cell>
        </row>
        <row r="5416">
          <cell r="I5416" t="str">
            <v>V45451</v>
          </cell>
          <cell r="J5416" t="str">
            <v>CTC</v>
          </cell>
          <cell r="K5416" t="str">
            <v>YES</v>
          </cell>
        </row>
        <row r="5417">
          <cell r="I5417" t="str">
            <v>V33267</v>
          </cell>
          <cell r="J5417" t="str">
            <v>CTC</v>
          </cell>
          <cell r="K5417" t="str">
            <v>YES</v>
          </cell>
        </row>
        <row r="5418">
          <cell r="I5418" t="str">
            <v>V44901</v>
          </cell>
          <cell r="J5418" t="str">
            <v>CTC</v>
          </cell>
          <cell r="K5418" t="str">
            <v>YES</v>
          </cell>
        </row>
        <row r="5419">
          <cell r="I5419" t="str">
            <v>V46279</v>
          </cell>
          <cell r="J5419" t="str">
            <v>CTC</v>
          </cell>
          <cell r="K5419" t="str">
            <v>YES</v>
          </cell>
        </row>
        <row r="5420">
          <cell r="I5420" t="str">
            <v>V43815</v>
          </cell>
          <cell r="J5420" t="str">
            <v>CTC</v>
          </cell>
          <cell r="K5420" t="str">
            <v>YES</v>
          </cell>
        </row>
        <row r="5421">
          <cell r="I5421" t="str">
            <v>V31565</v>
          </cell>
          <cell r="J5421" t="str">
            <v>CTC</v>
          </cell>
          <cell r="K5421" t="str">
            <v>YES</v>
          </cell>
        </row>
        <row r="5422">
          <cell r="I5422" t="str">
            <v>V36824</v>
          </cell>
          <cell r="J5422" t="str">
            <v>CTC</v>
          </cell>
          <cell r="K5422" t="str">
            <v>YES</v>
          </cell>
        </row>
        <row r="5423">
          <cell r="I5423" t="str">
            <v>V36827</v>
          </cell>
          <cell r="J5423" t="str">
            <v>CTC</v>
          </cell>
          <cell r="K5423" t="str">
            <v>YES</v>
          </cell>
        </row>
        <row r="5424">
          <cell r="I5424" t="str">
            <v>V36830</v>
          </cell>
          <cell r="J5424" t="str">
            <v>CTC</v>
          </cell>
          <cell r="K5424" t="str">
            <v>YES</v>
          </cell>
        </row>
        <row r="5425">
          <cell r="I5425" t="str">
            <v>V36831</v>
          </cell>
          <cell r="J5425" t="str">
            <v>CTC</v>
          </cell>
          <cell r="K5425" t="str">
            <v>YES</v>
          </cell>
        </row>
        <row r="5426">
          <cell r="I5426" t="str">
            <v>V36833</v>
          </cell>
          <cell r="J5426" t="str">
            <v>CTC</v>
          </cell>
          <cell r="K5426" t="str">
            <v>YES</v>
          </cell>
        </row>
        <row r="5427">
          <cell r="I5427" t="str">
            <v>V36841</v>
          </cell>
          <cell r="J5427" t="str">
            <v>CTC</v>
          </cell>
          <cell r="K5427" t="str">
            <v>YES</v>
          </cell>
        </row>
        <row r="5428">
          <cell r="I5428" t="str">
            <v>V36844</v>
          </cell>
          <cell r="J5428" t="str">
            <v>CTC</v>
          </cell>
          <cell r="K5428" t="str">
            <v>YES</v>
          </cell>
        </row>
        <row r="5429">
          <cell r="I5429" t="str">
            <v>V36845</v>
          </cell>
          <cell r="J5429" t="str">
            <v>CTC</v>
          </cell>
          <cell r="K5429" t="str">
            <v>YES</v>
          </cell>
        </row>
        <row r="5430">
          <cell r="I5430" t="str">
            <v>V37873</v>
          </cell>
          <cell r="J5430" t="str">
            <v>CTC</v>
          </cell>
          <cell r="K5430" t="str">
            <v>YES</v>
          </cell>
        </row>
        <row r="5431">
          <cell r="I5431" t="str">
            <v>V37980</v>
          </cell>
          <cell r="J5431" t="str">
            <v>CTC</v>
          </cell>
          <cell r="K5431" t="str">
            <v>YES</v>
          </cell>
        </row>
        <row r="5432">
          <cell r="I5432" t="str">
            <v>V37994</v>
          </cell>
          <cell r="J5432" t="str">
            <v>CTC</v>
          </cell>
          <cell r="K5432" t="str">
            <v>YES</v>
          </cell>
        </row>
        <row r="5433">
          <cell r="I5433" t="str">
            <v>V38461</v>
          </cell>
          <cell r="J5433" t="str">
            <v>CTC</v>
          </cell>
          <cell r="K5433" t="str">
            <v>YES</v>
          </cell>
        </row>
        <row r="5434">
          <cell r="I5434" t="str">
            <v>V38644</v>
          </cell>
          <cell r="J5434" t="str">
            <v>CTC</v>
          </cell>
          <cell r="K5434" t="str">
            <v>YES</v>
          </cell>
        </row>
        <row r="5435">
          <cell r="I5435" t="str">
            <v>V40260</v>
          </cell>
          <cell r="J5435" t="str">
            <v>CTC</v>
          </cell>
          <cell r="K5435" t="str">
            <v>YES</v>
          </cell>
        </row>
        <row r="5436">
          <cell r="I5436" t="str">
            <v>V40709</v>
          </cell>
          <cell r="J5436" t="str">
            <v>CTC</v>
          </cell>
          <cell r="K5436" t="str">
            <v>YES</v>
          </cell>
        </row>
        <row r="5437">
          <cell r="I5437" t="str">
            <v>V40773</v>
          </cell>
          <cell r="J5437" t="str">
            <v>CTC</v>
          </cell>
          <cell r="K5437" t="str">
            <v>YES</v>
          </cell>
        </row>
        <row r="5438">
          <cell r="I5438" t="str">
            <v>V40775</v>
          </cell>
          <cell r="J5438" t="str">
            <v>CTC</v>
          </cell>
          <cell r="K5438" t="str">
            <v>YES</v>
          </cell>
        </row>
        <row r="5439">
          <cell r="I5439" t="str">
            <v>V40849</v>
          </cell>
          <cell r="J5439" t="str">
            <v>CTC</v>
          </cell>
          <cell r="K5439" t="str">
            <v>YES</v>
          </cell>
        </row>
        <row r="5440">
          <cell r="I5440" t="str">
            <v>V41004</v>
          </cell>
          <cell r="J5440" t="str">
            <v>CTC</v>
          </cell>
          <cell r="K5440" t="str">
            <v>YES</v>
          </cell>
        </row>
        <row r="5441">
          <cell r="I5441" t="str">
            <v>V41005</v>
          </cell>
          <cell r="J5441" t="str">
            <v>CTC</v>
          </cell>
          <cell r="K5441" t="str">
            <v>YES</v>
          </cell>
        </row>
        <row r="5442">
          <cell r="I5442" t="str">
            <v>V41066</v>
          </cell>
          <cell r="J5442" t="str">
            <v>CTC</v>
          </cell>
          <cell r="K5442" t="str">
            <v>YES</v>
          </cell>
        </row>
        <row r="5443">
          <cell r="I5443" t="str">
            <v>V41068</v>
          </cell>
          <cell r="J5443" t="str">
            <v>CTC</v>
          </cell>
          <cell r="K5443" t="str">
            <v>YES</v>
          </cell>
        </row>
        <row r="5444">
          <cell r="I5444" t="str">
            <v>V41197</v>
          </cell>
          <cell r="J5444" t="str">
            <v>CTC</v>
          </cell>
          <cell r="K5444" t="str">
            <v>YES</v>
          </cell>
        </row>
        <row r="5445">
          <cell r="I5445" t="str">
            <v>V41203</v>
          </cell>
          <cell r="J5445" t="str">
            <v>CTC</v>
          </cell>
          <cell r="K5445" t="str">
            <v>YES</v>
          </cell>
        </row>
        <row r="5446">
          <cell r="I5446" t="str">
            <v>V41417</v>
          </cell>
          <cell r="J5446" t="str">
            <v>CTC</v>
          </cell>
          <cell r="K5446" t="str">
            <v>YES</v>
          </cell>
        </row>
        <row r="5447">
          <cell r="I5447" t="str">
            <v>V41519</v>
          </cell>
          <cell r="J5447" t="str">
            <v>CTC</v>
          </cell>
          <cell r="K5447" t="str">
            <v>YES</v>
          </cell>
        </row>
        <row r="5448">
          <cell r="I5448" t="str">
            <v>V41559</v>
          </cell>
          <cell r="J5448" t="str">
            <v>CTC</v>
          </cell>
          <cell r="K5448" t="str">
            <v>YES</v>
          </cell>
        </row>
        <row r="5449">
          <cell r="I5449" t="str">
            <v>V43171</v>
          </cell>
          <cell r="J5449" t="str">
            <v>CTC</v>
          </cell>
          <cell r="K5449" t="str">
            <v>YES</v>
          </cell>
        </row>
        <row r="5450">
          <cell r="I5450" t="str">
            <v>V28044</v>
          </cell>
          <cell r="J5450" t="str">
            <v>CTC</v>
          </cell>
          <cell r="K5450" t="str">
            <v>YES</v>
          </cell>
        </row>
        <row r="5451">
          <cell r="I5451" t="str">
            <v>V41639</v>
          </cell>
          <cell r="J5451" t="str">
            <v>CTC</v>
          </cell>
          <cell r="K5451" t="str">
            <v>YES</v>
          </cell>
        </row>
        <row r="5452">
          <cell r="I5452" t="str">
            <v>V32897</v>
          </cell>
          <cell r="J5452" t="str">
            <v>CTC</v>
          </cell>
          <cell r="K5452" t="str">
            <v>YES</v>
          </cell>
        </row>
        <row r="5453">
          <cell r="I5453" t="str">
            <v>V42139</v>
          </cell>
          <cell r="J5453" t="str">
            <v>CTC</v>
          </cell>
          <cell r="K5453" t="str">
            <v>YES</v>
          </cell>
        </row>
        <row r="5454">
          <cell r="I5454" t="str">
            <v>V43125</v>
          </cell>
          <cell r="J5454" t="str">
            <v>CTC</v>
          </cell>
          <cell r="K5454" t="str">
            <v>YES</v>
          </cell>
        </row>
        <row r="5455">
          <cell r="I5455" t="str">
            <v>V38357</v>
          </cell>
          <cell r="J5455" t="str">
            <v>CTC</v>
          </cell>
          <cell r="K5455" t="str">
            <v>YES</v>
          </cell>
        </row>
        <row r="5456">
          <cell r="I5456" t="str">
            <v>V43684</v>
          </cell>
          <cell r="J5456" t="str">
            <v>CTC</v>
          </cell>
          <cell r="K5456" t="str">
            <v>YES</v>
          </cell>
        </row>
        <row r="5457">
          <cell r="I5457" t="str">
            <v>V44266</v>
          </cell>
          <cell r="J5457" t="str">
            <v>CTC</v>
          </cell>
          <cell r="K5457" t="str">
            <v>YES</v>
          </cell>
        </row>
        <row r="5458">
          <cell r="I5458" t="str">
            <v>V44347</v>
          </cell>
          <cell r="J5458" t="str">
            <v>CTC</v>
          </cell>
          <cell r="K5458" t="str">
            <v>YES</v>
          </cell>
        </row>
        <row r="5459">
          <cell r="I5459" t="str">
            <v>V45380</v>
          </cell>
          <cell r="J5459" t="str">
            <v>CTC</v>
          </cell>
          <cell r="K5459" t="str">
            <v>YES</v>
          </cell>
        </row>
        <row r="5460">
          <cell r="I5460" t="str">
            <v>V40723</v>
          </cell>
          <cell r="J5460" t="str">
            <v>CTC</v>
          </cell>
          <cell r="K5460" t="str">
            <v>YES</v>
          </cell>
        </row>
        <row r="5461">
          <cell r="I5461" t="str">
            <v>V40911</v>
          </cell>
          <cell r="J5461" t="str">
            <v>CTC</v>
          </cell>
          <cell r="K5461" t="str">
            <v>YES</v>
          </cell>
        </row>
        <row r="5462">
          <cell r="I5462" t="str">
            <v>V38354</v>
          </cell>
          <cell r="J5462" t="str">
            <v>CTC</v>
          </cell>
          <cell r="K5462" t="str">
            <v>YES</v>
          </cell>
        </row>
        <row r="5463">
          <cell r="I5463" t="str">
            <v>V46268</v>
          </cell>
          <cell r="J5463" t="str">
            <v>CTC</v>
          </cell>
          <cell r="K5463" t="str">
            <v>YES</v>
          </cell>
        </row>
        <row r="5464">
          <cell r="I5464" t="str">
            <v>V36571</v>
          </cell>
          <cell r="J5464" t="str">
            <v>CTC</v>
          </cell>
          <cell r="K5464" t="str">
            <v>YES</v>
          </cell>
        </row>
        <row r="5465">
          <cell r="I5465" t="str">
            <v>V40495</v>
          </cell>
          <cell r="J5465" t="str">
            <v>CTC</v>
          </cell>
          <cell r="K5465" t="str">
            <v>YES</v>
          </cell>
        </row>
        <row r="5466">
          <cell r="I5466" t="str">
            <v>V42546</v>
          </cell>
          <cell r="J5466" t="str">
            <v>CTC</v>
          </cell>
          <cell r="K5466" t="str">
            <v>YES</v>
          </cell>
        </row>
        <row r="5467">
          <cell r="I5467" t="str">
            <v>V29524</v>
          </cell>
          <cell r="J5467" t="str">
            <v>CTC</v>
          </cell>
          <cell r="K5467" t="str">
            <v>YES</v>
          </cell>
        </row>
        <row r="5468">
          <cell r="I5468" t="str">
            <v>V41747</v>
          </cell>
          <cell r="J5468" t="str">
            <v>CTC</v>
          </cell>
          <cell r="K5468" t="str">
            <v>YES</v>
          </cell>
        </row>
        <row r="5469">
          <cell r="I5469" t="str">
            <v>V43126</v>
          </cell>
          <cell r="J5469" t="str">
            <v>CTC</v>
          </cell>
          <cell r="K5469" t="str">
            <v>YES</v>
          </cell>
        </row>
        <row r="5470">
          <cell r="I5470" t="str">
            <v>V44676</v>
          </cell>
          <cell r="J5470" t="str">
            <v>CTC</v>
          </cell>
          <cell r="K5470" t="str">
            <v>YES</v>
          </cell>
        </row>
        <row r="5471">
          <cell r="I5471" t="str">
            <v>V42718</v>
          </cell>
          <cell r="J5471" t="str">
            <v>CTC</v>
          </cell>
          <cell r="K5471" t="str">
            <v>YES</v>
          </cell>
        </row>
        <row r="5472">
          <cell r="I5472" t="str">
            <v>V21670</v>
          </cell>
          <cell r="J5472" t="str">
            <v>CTC</v>
          </cell>
          <cell r="K5472" t="str">
            <v>YES</v>
          </cell>
        </row>
        <row r="5473">
          <cell r="I5473" t="str">
            <v>V36594</v>
          </cell>
          <cell r="J5473" t="str">
            <v>CTC</v>
          </cell>
          <cell r="K5473" t="str">
            <v>YES</v>
          </cell>
        </row>
        <row r="5474">
          <cell r="I5474" t="str">
            <v>V36838</v>
          </cell>
          <cell r="J5474" t="str">
            <v>CTC</v>
          </cell>
          <cell r="K5474" t="str">
            <v>YES</v>
          </cell>
        </row>
        <row r="5475">
          <cell r="I5475" t="str">
            <v>V27583</v>
          </cell>
          <cell r="J5475" t="str">
            <v>CTC</v>
          </cell>
          <cell r="K5475" t="str">
            <v>YES</v>
          </cell>
        </row>
        <row r="5476">
          <cell r="I5476" t="str">
            <v>V45303</v>
          </cell>
          <cell r="J5476" t="str">
            <v>CTC</v>
          </cell>
          <cell r="K5476" t="str">
            <v>YES</v>
          </cell>
        </row>
        <row r="5477">
          <cell r="I5477" t="str">
            <v>V34080</v>
          </cell>
          <cell r="J5477" t="str">
            <v>CTC</v>
          </cell>
          <cell r="K5477" t="str">
            <v>YES</v>
          </cell>
        </row>
        <row r="5478">
          <cell r="I5478" t="str">
            <v>V21617</v>
          </cell>
          <cell r="J5478" t="str">
            <v>CTC</v>
          </cell>
          <cell r="K5478" t="str">
            <v>YES</v>
          </cell>
        </row>
        <row r="5479">
          <cell r="I5479" t="str">
            <v>V24173</v>
          </cell>
          <cell r="J5479" t="str">
            <v>CTC</v>
          </cell>
          <cell r="K5479" t="str">
            <v>YES</v>
          </cell>
        </row>
        <row r="5480">
          <cell r="I5480" t="str">
            <v>V24656</v>
          </cell>
          <cell r="J5480" t="str">
            <v>CTC</v>
          </cell>
          <cell r="K5480" t="str">
            <v>YES</v>
          </cell>
        </row>
        <row r="5481">
          <cell r="I5481" t="str">
            <v>V27431</v>
          </cell>
          <cell r="J5481" t="str">
            <v>CTC</v>
          </cell>
          <cell r="K5481" t="str">
            <v>YES</v>
          </cell>
        </row>
        <row r="5482">
          <cell r="I5482" t="str">
            <v>V29776</v>
          </cell>
          <cell r="J5482" t="str">
            <v>CTC</v>
          </cell>
          <cell r="K5482" t="str">
            <v>YES</v>
          </cell>
        </row>
        <row r="5483">
          <cell r="I5483" t="str">
            <v>V30197</v>
          </cell>
          <cell r="J5483" t="str">
            <v>CTC</v>
          </cell>
          <cell r="K5483" t="str">
            <v>YES</v>
          </cell>
        </row>
        <row r="5484">
          <cell r="I5484" t="str">
            <v>V30440</v>
          </cell>
          <cell r="J5484" t="str">
            <v>CTC</v>
          </cell>
          <cell r="K5484" t="str">
            <v>YES</v>
          </cell>
        </row>
        <row r="5485">
          <cell r="I5485" t="str">
            <v>V31730</v>
          </cell>
          <cell r="J5485" t="str">
            <v>CTC</v>
          </cell>
          <cell r="K5485" t="str">
            <v>YES</v>
          </cell>
        </row>
        <row r="5486">
          <cell r="I5486" t="str">
            <v>V33515</v>
          </cell>
          <cell r="J5486" t="str">
            <v>CTC</v>
          </cell>
          <cell r="K5486" t="str">
            <v>YES</v>
          </cell>
        </row>
        <row r="5487">
          <cell r="I5487" t="str">
            <v>V34789</v>
          </cell>
          <cell r="J5487" t="str">
            <v>CTC</v>
          </cell>
          <cell r="K5487" t="str">
            <v>YES</v>
          </cell>
        </row>
        <row r="5488">
          <cell r="I5488" t="str">
            <v>V34841</v>
          </cell>
          <cell r="J5488" t="str">
            <v>CTC</v>
          </cell>
          <cell r="K5488" t="str">
            <v>YES</v>
          </cell>
        </row>
        <row r="5489">
          <cell r="I5489" t="str">
            <v>V35155</v>
          </cell>
          <cell r="J5489" t="str">
            <v>CTC</v>
          </cell>
          <cell r="K5489" t="str">
            <v>YES</v>
          </cell>
        </row>
        <row r="5490">
          <cell r="I5490" t="str">
            <v>V35508</v>
          </cell>
          <cell r="J5490" t="str">
            <v>CTC</v>
          </cell>
          <cell r="K5490" t="str">
            <v>YES</v>
          </cell>
        </row>
        <row r="5491">
          <cell r="I5491" t="str">
            <v>V35511</v>
          </cell>
          <cell r="J5491" t="str">
            <v>CTC</v>
          </cell>
          <cell r="K5491" t="str">
            <v>YES</v>
          </cell>
        </row>
        <row r="5492">
          <cell r="I5492" t="str">
            <v>V35513</v>
          </cell>
          <cell r="J5492" t="str">
            <v>CTC</v>
          </cell>
          <cell r="K5492" t="str">
            <v>YES</v>
          </cell>
        </row>
        <row r="5493">
          <cell r="I5493" t="str">
            <v>V35517</v>
          </cell>
          <cell r="J5493" t="str">
            <v>CTC</v>
          </cell>
          <cell r="K5493" t="str">
            <v>YES</v>
          </cell>
        </row>
        <row r="5494">
          <cell r="I5494" t="str">
            <v>V35518</v>
          </cell>
          <cell r="J5494" t="str">
            <v>CTC</v>
          </cell>
          <cell r="K5494" t="str">
            <v>YES</v>
          </cell>
        </row>
        <row r="5495">
          <cell r="I5495" t="str">
            <v>V35520</v>
          </cell>
          <cell r="J5495" t="str">
            <v>CTC</v>
          </cell>
          <cell r="K5495" t="str">
            <v>YES</v>
          </cell>
        </row>
        <row r="5496">
          <cell r="I5496" t="str">
            <v>V35630</v>
          </cell>
          <cell r="J5496" t="str">
            <v>CTC</v>
          </cell>
          <cell r="K5496" t="str">
            <v>YES</v>
          </cell>
        </row>
        <row r="5497">
          <cell r="I5497" t="str">
            <v>V35701</v>
          </cell>
          <cell r="J5497" t="str">
            <v>CTC</v>
          </cell>
          <cell r="K5497" t="str">
            <v>YES</v>
          </cell>
        </row>
        <row r="5498">
          <cell r="I5498" t="str">
            <v>V35950</v>
          </cell>
          <cell r="J5498" t="str">
            <v>CTC</v>
          </cell>
          <cell r="K5498" t="str">
            <v>YES</v>
          </cell>
        </row>
        <row r="5499">
          <cell r="I5499" t="str">
            <v>V36716</v>
          </cell>
          <cell r="J5499" t="str">
            <v>CTC</v>
          </cell>
          <cell r="K5499" t="str">
            <v>YES</v>
          </cell>
        </row>
        <row r="5500">
          <cell r="I5500" t="str">
            <v>V44326</v>
          </cell>
          <cell r="J5500" t="str">
            <v>CTC</v>
          </cell>
          <cell r="K5500" t="str">
            <v>YES</v>
          </cell>
        </row>
        <row r="5501">
          <cell r="I5501" t="str">
            <v>V38068</v>
          </cell>
          <cell r="J5501" t="str">
            <v>CTC</v>
          </cell>
          <cell r="K5501" t="str">
            <v>YES</v>
          </cell>
        </row>
        <row r="5502">
          <cell r="I5502" t="str">
            <v>V38797</v>
          </cell>
          <cell r="J5502" t="str">
            <v>CTC</v>
          </cell>
          <cell r="K5502" t="str">
            <v>YES</v>
          </cell>
        </row>
        <row r="5503">
          <cell r="I5503" t="str">
            <v>V42316</v>
          </cell>
          <cell r="J5503" t="str">
            <v>CTC</v>
          </cell>
          <cell r="K5503" t="str">
            <v>YES</v>
          </cell>
        </row>
        <row r="5504">
          <cell r="I5504" t="str">
            <v>V45430</v>
          </cell>
          <cell r="J5504" t="str">
            <v>CTC</v>
          </cell>
          <cell r="K5504" t="str">
            <v>YES</v>
          </cell>
        </row>
        <row r="5505">
          <cell r="I5505" t="str">
            <v>V31011</v>
          </cell>
          <cell r="J5505" t="str">
            <v>CTC</v>
          </cell>
          <cell r="K5505" t="str">
            <v>YES</v>
          </cell>
        </row>
        <row r="5506">
          <cell r="I5506" t="str">
            <v>V35161</v>
          </cell>
          <cell r="J5506" t="str">
            <v>CTC</v>
          </cell>
          <cell r="K5506" t="str">
            <v>YES</v>
          </cell>
        </row>
        <row r="5507">
          <cell r="I5507" t="str">
            <v>V39911</v>
          </cell>
          <cell r="J5507" t="str">
            <v>CTC</v>
          </cell>
          <cell r="K5507" t="str">
            <v>YES</v>
          </cell>
        </row>
        <row r="5508">
          <cell r="I5508" t="str">
            <v>V45306</v>
          </cell>
          <cell r="J5508" t="str">
            <v>CTC</v>
          </cell>
          <cell r="K5508" t="str">
            <v>YES</v>
          </cell>
        </row>
        <row r="5509">
          <cell r="I5509" t="str">
            <v>V45456</v>
          </cell>
          <cell r="J5509" t="str">
            <v>CTC</v>
          </cell>
          <cell r="K5509" t="str">
            <v>YES</v>
          </cell>
        </row>
        <row r="5510">
          <cell r="I5510" t="str">
            <v>V40989</v>
          </cell>
          <cell r="J5510" t="str">
            <v>CTC</v>
          </cell>
          <cell r="K5510" t="str">
            <v>YES</v>
          </cell>
        </row>
        <row r="5511">
          <cell r="I5511" t="str">
            <v>V41078</v>
          </cell>
          <cell r="J5511" t="str">
            <v>CTC</v>
          </cell>
          <cell r="K5511" t="str">
            <v>YES</v>
          </cell>
        </row>
        <row r="5512">
          <cell r="I5512" t="str">
            <v>V34957</v>
          </cell>
          <cell r="J5512" t="str">
            <v>CTC</v>
          </cell>
          <cell r="K5512" t="str">
            <v>YES</v>
          </cell>
        </row>
        <row r="5513">
          <cell r="I5513" t="str">
            <v>V36614</v>
          </cell>
          <cell r="J5513" t="str">
            <v>CTC</v>
          </cell>
          <cell r="K5513" t="str">
            <v>YES</v>
          </cell>
        </row>
        <row r="5514">
          <cell r="I5514" t="str">
            <v>V39696</v>
          </cell>
          <cell r="J5514" t="str">
            <v>CTC</v>
          </cell>
          <cell r="K5514" t="str">
            <v>YES</v>
          </cell>
        </row>
        <row r="5515">
          <cell r="I5515" t="str">
            <v>V45052</v>
          </cell>
          <cell r="J5515" t="str">
            <v>CTC</v>
          </cell>
          <cell r="K5515" t="str">
            <v>YES</v>
          </cell>
        </row>
        <row r="5516">
          <cell r="I5516" t="str">
            <v>V36409</v>
          </cell>
          <cell r="J5516" t="str">
            <v>CTC</v>
          </cell>
          <cell r="K5516" t="str">
            <v>YES</v>
          </cell>
        </row>
        <row r="5517">
          <cell r="I5517" t="str">
            <v>V41856</v>
          </cell>
          <cell r="J5517" t="str">
            <v>CTC</v>
          </cell>
          <cell r="K5517" t="str">
            <v>YES</v>
          </cell>
        </row>
        <row r="5518">
          <cell r="I5518" t="str">
            <v>V36658</v>
          </cell>
          <cell r="J5518" t="str">
            <v>CTC</v>
          </cell>
          <cell r="K5518" t="str">
            <v>YES</v>
          </cell>
        </row>
        <row r="5519">
          <cell r="I5519" t="str">
            <v>V45089</v>
          </cell>
          <cell r="J5519" t="str">
            <v>CTC</v>
          </cell>
          <cell r="K5519" t="str">
            <v>YES</v>
          </cell>
        </row>
        <row r="5520">
          <cell r="I5520" t="str">
            <v>V33701</v>
          </cell>
          <cell r="J5520" t="str">
            <v>CTC</v>
          </cell>
          <cell r="K5520" t="str">
            <v>YES</v>
          </cell>
        </row>
        <row r="5521">
          <cell r="I5521" t="str">
            <v>V38034</v>
          </cell>
          <cell r="J5521" t="str">
            <v>CTC</v>
          </cell>
          <cell r="K5521" t="str">
            <v>YES</v>
          </cell>
        </row>
        <row r="5522">
          <cell r="I5522" t="str">
            <v>V40702</v>
          </cell>
          <cell r="J5522" t="str">
            <v>CTC</v>
          </cell>
          <cell r="K5522" t="str">
            <v>YES</v>
          </cell>
        </row>
        <row r="5523">
          <cell r="I5523" t="str">
            <v>V43609</v>
          </cell>
          <cell r="J5523" t="str">
            <v>CTC</v>
          </cell>
          <cell r="K5523" t="str">
            <v>YES</v>
          </cell>
        </row>
        <row r="5524">
          <cell r="I5524" t="str">
            <v>V46435</v>
          </cell>
          <cell r="J5524" t="str">
            <v>CTC</v>
          </cell>
          <cell r="K5524" t="str">
            <v>YES</v>
          </cell>
        </row>
        <row r="5525">
          <cell r="I5525" t="str">
            <v>V50409</v>
          </cell>
          <cell r="J5525" t="str">
            <v>CTC</v>
          </cell>
          <cell r="K5525" t="str">
            <v>YES</v>
          </cell>
        </row>
        <row r="5526">
          <cell r="I5526" t="str">
            <v>V42104</v>
          </cell>
          <cell r="J5526" t="str">
            <v>CTC</v>
          </cell>
          <cell r="K5526" t="str">
            <v>YES</v>
          </cell>
        </row>
        <row r="5527">
          <cell r="I5527" t="str">
            <v>V41473</v>
          </cell>
          <cell r="J5527" t="str">
            <v>CTC</v>
          </cell>
          <cell r="K5527" t="str">
            <v>YES</v>
          </cell>
        </row>
        <row r="5528">
          <cell r="I5528" t="str">
            <v>V46963</v>
          </cell>
          <cell r="J5528" t="str">
            <v>CTC</v>
          </cell>
          <cell r="K5528" t="str">
            <v>YES</v>
          </cell>
        </row>
        <row r="5529">
          <cell r="I5529" t="str">
            <v>V30438</v>
          </cell>
          <cell r="J5529" t="str">
            <v>CTC</v>
          </cell>
          <cell r="K5529" t="str">
            <v>YES</v>
          </cell>
        </row>
        <row r="5530">
          <cell r="I5530" t="str">
            <v>V14684</v>
          </cell>
          <cell r="J5530" t="str">
            <v>CTC</v>
          </cell>
          <cell r="K5530" t="str">
            <v>YES</v>
          </cell>
        </row>
        <row r="5531">
          <cell r="I5531" t="str">
            <v>V42302</v>
          </cell>
          <cell r="J5531" t="str">
            <v>CTC</v>
          </cell>
          <cell r="K5531" t="str">
            <v>YES</v>
          </cell>
        </row>
        <row r="5532">
          <cell r="I5532" t="str">
            <v>V43832</v>
          </cell>
          <cell r="J5532" t="str">
            <v>CTC</v>
          </cell>
          <cell r="K5532" t="str">
            <v>YES</v>
          </cell>
        </row>
        <row r="5533">
          <cell r="I5533" t="str">
            <v>V34038</v>
          </cell>
          <cell r="J5533" t="str">
            <v>CTC</v>
          </cell>
          <cell r="K5533" t="str">
            <v>YES</v>
          </cell>
        </row>
        <row r="5534">
          <cell r="I5534" t="str">
            <v>V39901</v>
          </cell>
          <cell r="J5534" t="str">
            <v>CTC</v>
          </cell>
          <cell r="K5534" t="str">
            <v>YES</v>
          </cell>
        </row>
        <row r="5535">
          <cell r="I5535" t="str">
            <v>V39360</v>
          </cell>
          <cell r="J5535" t="str">
            <v>CTC</v>
          </cell>
          <cell r="K5535" t="str">
            <v>YES</v>
          </cell>
        </row>
        <row r="5536">
          <cell r="I5536" t="str">
            <v>V35854</v>
          </cell>
          <cell r="J5536" t="str">
            <v>CTC</v>
          </cell>
          <cell r="K5536" t="str">
            <v>YES</v>
          </cell>
        </row>
        <row r="5537">
          <cell r="I5537" t="str">
            <v>V41750</v>
          </cell>
          <cell r="J5537" t="str">
            <v>CTC</v>
          </cell>
          <cell r="K5537" t="str">
            <v>YES</v>
          </cell>
        </row>
        <row r="5538">
          <cell r="I5538" t="str">
            <v>V40157</v>
          </cell>
          <cell r="J5538" t="str">
            <v>CTC</v>
          </cell>
          <cell r="K5538" t="str">
            <v>YES</v>
          </cell>
        </row>
        <row r="5539">
          <cell r="I5539" t="str">
            <v>V20043</v>
          </cell>
          <cell r="J5539" t="str">
            <v>CTC</v>
          </cell>
          <cell r="K5539" t="str">
            <v>YES</v>
          </cell>
        </row>
        <row r="5540">
          <cell r="I5540" t="str">
            <v>V21881</v>
          </cell>
          <cell r="J5540" t="str">
            <v>CTC</v>
          </cell>
          <cell r="K5540" t="str">
            <v>YES</v>
          </cell>
        </row>
        <row r="5541">
          <cell r="I5541" t="str">
            <v>V44025</v>
          </cell>
          <cell r="J5541" t="str">
            <v>CTC</v>
          </cell>
          <cell r="K5541" t="str">
            <v>YES</v>
          </cell>
        </row>
        <row r="5542">
          <cell r="I5542" t="str">
            <v>V40940</v>
          </cell>
          <cell r="J5542" t="str">
            <v>CTC</v>
          </cell>
          <cell r="K5542" t="str">
            <v>YES</v>
          </cell>
        </row>
        <row r="5543">
          <cell r="I5543" t="str">
            <v>V32290</v>
          </cell>
          <cell r="J5543" t="str">
            <v>CTC</v>
          </cell>
          <cell r="K5543" t="str">
            <v>YES</v>
          </cell>
        </row>
        <row r="5544">
          <cell r="I5544" t="str">
            <v>V37881</v>
          </cell>
          <cell r="J5544" t="str">
            <v>CTC</v>
          </cell>
          <cell r="K5544" t="str">
            <v>YES</v>
          </cell>
        </row>
        <row r="5545">
          <cell r="I5545" t="str">
            <v>V37923</v>
          </cell>
          <cell r="J5545" t="str">
            <v>CTC</v>
          </cell>
          <cell r="K5545" t="str">
            <v>YES</v>
          </cell>
        </row>
        <row r="5546">
          <cell r="I5546" t="str">
            <v>V37925</v>
          </cell>
          <cell r="J5546" t="str">
            <v>CTC</v>
          </cell>
          <cell r="K5546" t="str">
            <v>YES</v>
          </cell>
        </row>
        <row r="5547">
          <cell r="I5547" t="str">
            <v>V39341</v>
          </cell>
          <cell r="J5547" t="str">
            <v>CTC</v>
          </cell>
          <cell r="K5547" t="str">
            <v>YES</v>
          </cell>
        </row>
        <row r="5548">
          <cell r="I5548" t="str">
            <v>V39906</v>
          </cell>
          <cell r="J5548" t="str">
            <v>CTC</v>
          </cell>
          <cell r="K5548" t="str">
            <v>YES</v>
          </cell>
        </row>
        <row r="5549">
          <cell r="I5549" t="str">
            <v>V40255</v>
          </cell>
          <cell r="J5549" t="str">
            <v>CTC</v>
          </cell>
          <cell r="K5549" t="str">
            <v>YES</v>
          </cell>
        </row>
        <row r="5550">
          <cell r="I5550" t="str">
            <v>V41365</v>
          </cell>
          <cell r="J5550" t="str">
            <v>CTC</v>
          </cell>
          <cell r="K5550" t="str">
            <v>YES</v>
          </cell>
        </row>
        <row r="5551">
          <cell r="I5551" t="str">
            <v>V41902</v>
          </cell>
          <cell r="J5551" t="str">
            <v>CTC</v>
          </cell>
          <cell r="K5551" t="str">
            <v>YES</v>
          </cell>
        </row>
        <row r="5552">
          <cell r="I5552" t="str">
            <v>V42774</v>
          </cell>
          <cell r="J5552" t="str">
            <v>CTC</v>
          </cell>
          <cell r="K5552" t="str">
            <v>YES</v>
          </cell>
        </row>
        <row r="5553">
          <cell r="I5553" t="str">
            <v>V45257</v>
          </cell>
          <cell r="J5553" t="str">
            <v>CTC</v>
          </cell>
          <cell r="K5553" t="str">
            <v>YES</v>
          </cell>
        </row>
        <row r="5554">
          <cell r="I5554" t="str">
            <v>V32375</v>
          </cell>
          <cell r="J5554" t="str">
            <v>CTC</v>
          </cell>
          <cell r="K5554" t="str">
            <v>YES</v>
          </cell>
        </row>
        <row r="5555">
          <cell r="I5555" t="str">
            <v>V37154</v>
          </cell>
          <cell r="J5555" t="str">
            <v>CTC</v>
          </cell>
          <cell r="K5555" t="str">
            <v>YES</v>
          </cell>
        </row>
        <row r="5556">
          <cell r="I5556" t="str">
            <v>V37042</v>
          </cell>
          <cell r="J5556" t="str">
            <v>CTC</v>
          </cell>
          <cell r="K5556" t="str">
            <v>YES</v>
          </cell>
        </row>
        <row r="5557">
          <cell r="I5557" t="str">
            <v>V46230</v>
          </cell>
          <cell r="J5557" t="str">
            <v>CTC</v>
          </cell>
          <cell r="K5557" t="str">
            <v>YES</v>
          </cell>
        </row>
        <row r="5558">
          <cell r="I5558" t="str">
            <v>V40534</v>
          </cell>
          <cell r="J5558" t="str">
            <v>CTC</v>
          </cell>
          <cell r="K5558" t="str">
            <v>YES</v>
          </cell>
        </row>
        <row r="5559">
          <cell r="I5559" t="str">
            <v>V38853</v>
          </cell>
          <cell r="J5559" t="str">
            <v>CTC</v>
          </cell>
          <cell r="K5559" t="str">
            <v>YES</v>
          </cell>
        </row>
        <row r="5560">
          <cell r="I5560" t="str">
            <v>V45248</v>
          </cell>
          <cell r="J5560" t="str">
            <v>CTC</v>
          </cell>
          <cell r="K5560" t="str">
            <v>YES</v>
          </cell>
        </row>
        <row r="5561">
          <cell r="I5561" t="str">
            <v>V34961</v>
          </cell>
          <cell r="J5561" t="str">
            <v>CTC</v>
          </cell>
          <cell r="K5561" t="str">
            <v>YES</v>
          </cell>
        </row>
        <row r="5562">
          <cell r="I5562" t="str">
            <v>V45506</v>
          </cell>
          <cell r="J5562" t="str">
            <v>CTC</v>
          </cell>
          <cell r="K5562" t="str">
            <v>YES</v>
          </cell>
        </row>
        <row r="5563">
          <cell r="I5563" t="str">
            <v>V45444</v>
          </cell>
          <cell r="J5563" t="str">
            <v>CTC</v>
          </cell>
          <cell r="K5563" t="str">
            <v>YES</v>
          </cell>
        </row>
        <row r="5564">
          <cell r="I5564" t="str">
            <v>V40716</v>
          </cell>
          <cell r="J5564" t="str">
            <v>CTC</v>
          </cell>
          <cell r="K5564" t="str">
            <v>YES</v>
          </cell>
        </row>
        <row r="5565">
          <cell r="I5565" t="str">
            <v>V46663</v>
          </cell>
          <cell r="J5565" t="str">
            <v>CTC</v>
          </cell>
          <cell r="K5565" t="str">
            <v>YES</v>
          </cell>
        </row>
        <row r="5566">
          <cell r="I5566" t="str">
            <v>V36487</v>
          </cell>
          <cell r="J5566" t="str">
            <v>CTC</v>
          </cell>
          <cell r="K5566" t="str">
            <v>YES</v>
          </cell>
        </row>
        <row r="5567">
          <cell r="I5567" t="str">
            <v>V42055</v>
          </cell>
          <cell r="J5567" t="str">
            <v>CTC</v>
          </cell>
          <cell r="K5567" t="str">
            <v>YES</v>
          </cell>
        </row>
        <row r="5568">
          <cell r="I5568" t="str">
            <v>V40384</v>
          </cell>
          <cell r="J5568" t="str">
            <v>CTC</v>
          </cell>
          <cell r="K5568" t="str">
            <v>YES</v>
          </cell>
        </row>
        <row r="5569">
          <cell r="I5569" t="str">
            <v>V43933</v>
          </cell>
          <cell r="J5569" t="str">
            <v>CTC</v>
          </cell>
          <cell r="K5569" t="str">
            <v>YES</v>
          </cell>
        </row>
        <row r="5570">
          <cell r="I5570" t="str">
            <v>V28183</v>
          </cell>
          <cell r="J5570" t="str">
            <v>CTC</v>
          </cell>
          <cell r="K5570" t="str">
            <v>YES</v>
          </cell>
        </row>
        <row r="5571">
          <cell r="I5571" t="str">
            <v>V34788</v>
          </cell>
          <cell r="J5571" t="str">
            <v>CTC</v>
          </cell>
          <cell r="K5571" t="str">
            <v>YES</v>
          </cell>
        </row>
        <row r="5572">
          <cell r="I5572" t="str">
            <v>V44218</v>
          </cell>
          <cell r="J5572" t="str">
            <v>CTC</v>
          </cell>
          <cell r="K5572" t="str">
            <v>YES</v>
          </cell>
        </row>
        <row r="5573">
          <cell r="I5573" t="str">
            <v>V32519</v>
          </cell>
          <cell r="J5573" t="str">
            <v>CTC</v>
          </cell>
          <cell r="K5573" t="str">
            <v>YES</v>
          </cell>
        </row>
        <row r="5574">
          <cell r="I5574" t="str">
            <v>V45348</v>
          </cell>
          <cell r="J5574" t="str">
            <v>CTC</v>
          </cell>
          <cell r="K5574" t="str">
            <v>YES</v>
          </cell>
        </row>
        <row r="5575">
          <cell r="I5575" t="str">
            <v>V35898</v>
          </cell>
          <cell r="J5575" t="str">
            <v>CTC</v>
          </cell>
          <cell r="K5575" t="str">
            <v>YES</v>
          </cell>
        </row>
        <row r="5576">
          <cell r="I5576" t="str">
            <v>V43563</v>
          </cell>
          <cell r="J5576" t="str">
            <v>CTC</v>
          </cell>
          <cell r="K5576" t="str">
            <v>YES</v>
          </cell>
        </row>
        <row r="5577">
          <cell r="I5577" t="str">
            <v>V43967</v>
          </cell>
          <cell r="J5577" t="str">
            <v>CTC</v>
          </cell>
          <cell r="K5577" t="str">
            <v>YES</v>
          </cell>
        </row>
        <row r="5578">
          <cell r="I5578" t="str">
            <v>V39985</v>
          </cell>
          <cell r="J5578" t="str">
            <v>CTC</v>
          </cell>
          <cell r="K5578" t="str">
            <v>YES</v>
          </cell>
        </row>
        <row r="5579">
          <cell r="I5579" t="str">
            <v>V44996</v>
          </cell>
          <cell r="J5579" t="str">
            <v>CTC</v>
          </cell>
          <cell r="K5579" t="str">
            <v>YES</v>
          </cell>
        </row>
        <row r="5580">
          <cell r="I5580" t="str">
            <v>V42387</v>
          </cell>
          <cell r="J5580" t="str">
            <v>CTC</v>
          </cell>
          <cell r="K5580" t="str">
            <v>YES</v>
          </cell>
        </row>
        <row r="5581">
          <cell r="I5581" t="str">
            <v>V50723</v>
          </cell>
          <cell r="J5581" t="str">
            <v>CTC</v>
          </cell>
          <cell r="K5581" t="str">
            <v>YES</v>
          </cell>
        </row>
        <row r="5582">
          <cell r="I5582" t="str">
            <v>V40632</v>
          </cell>
          <cell r="J5582" t="str">
            <v>CTC</v>
          </cell>
          <cell r="K5582" t="str">
            <v>YES</v>
          </cell>
        </row>
        <row r="5583">
          <cell r="I5583" t="str">
            <v>V02450</v>
          </cell>
          <cell r="J5583" t="str">
            <v>CTC</v>
          </cell>
          <cell r="K5583" t="str">
            <v>YES</v>
          </cell>
        </row>
        <row r="5584">
          <cell r="I5584" t="str">
            <v>V50737</v>
          </cell>
          <cell r="J5584" t="str">
            <v>CTC</v>
          </cell>
          <cell r="K5584" t="str">
            <v>YES</v>
          </cell>
        </row>
        <row r="5585">
          <cell r="I5585" t="str">
            <v>V42926</v>
          </cell>
          <cell r="J5585" t="str">
            <v>CTC</v>
          </cell>
          <cell r="K5585" t="str">
            <v>YES</v>
          </cell>
        </row>
        <row r="5586">
          <cell r="I5586" t="str">
            <v>V43200</v>
          </cell>
          <cell r="J5586" t="str">
            <v>CTC</v>
          </cell>
          <cell r="K5586" t="str">
            <v>YES</v>
          </cell>
        </row>
        <row r="5587">
          <cell r="I5587" t="str">
            <v>V46109</v>
          </cell>
          <cell r="J5587" t="str">
            <v>CTC</v>
          </cell>
          <cell r="K5587" t="str">
            <v>YES</v>
          </cell>
        </row>
        <row r="5588">
          <cell r="I5588" t="str">
            <v>V43358</v>
          </cell>
          <cell r="J5588" t="str">
            <v>CTC</v>
          </cell>
          <cell r="K5588" t="str">
            <v>YES</v>
          </cell>
        </row>
        <row r="5589">
          <cell r="I5589" t="str">
            <v>V46149</v>
          </cell>
          <cell r="J5589" t="str">
            <v>CTC</v>
          </cell>
          <cell r="K5589" t="str">
            <v>YES</v>
          </cell>
        </row>
        <row r="5590">
          <cell r="I5590" t="str">
            <v>V39808</v>
          </cell>
          <cell r="J5590" t="str">
            <v>CTC</v>
          </cell>
          <cell r="K5590" t="str">
            <v>YES</v>
          </cell>
        </row>
        <row r="5591">
          <cell r="I5591" t="str">
            <v>V47802</v>
          </cell>
          <cell r="J5591" t="str">
            <v>CTC</v>
          </cell>
          <cell r="K5591" t="str">
            <v>YES</v>
          </cell>
        </row>
        <row r="5592">
          <cell r="I5592" t="str">
            <v>V08695</v>
          </cell>
          <cell r="J5592" t="str">
            <v>CTC</v>
          </cell>
          <cell r="K5592" t="str">
            <v>YES</v>
          </cell>
        </row>
        <row r="5593">
          <cell r="I5593" t="str">
            <v>V41737</v>
          </cell>
          <cell r="J5593" t="str">
            <v>CTC</v>
          </cell>
          <cell r="K5593" t="str">
            <v>YES</v>
          </cell>
        </row>
        <row r="5594">
          <cell r="I5594" t="str">
            <v>V43369</v>
          </cell>
          <cell r="J5594" t="str">
            <v>CTC</v>
          </cell>
          <cell r="K5594" t="str">
            <v>YES</v>
          </cell>
        </row>
        <row r="5595">
          <cell r="I5595" t="str">
            <v>V34275</v>
          </cell>
          <cell r="J5595" t="str">
            <v>CTC</v>
          </cell>
          <cell r="K5595" t="str">
            <v>YES</v>
          </cell>
        </row>
        <row r="5596">
          <cell r="I5596" t="str">
            <v>V35752</v>
          </cell>
          <cell r="J5596" t="str">
            <v>CTC</v>
          </cell>
          <cell r="K5596" t="str">
            <v>YES</v>
          </cell>
        </row>
        <row r="5597">
          <cell r="I5597" t="str">
            <v>V45852</v>
          </cell>
          <cell r="J5597" t="str">
            <v>CTC</v>
          </cell>
          <cell r="K5597" t="str">
            <v>YES</v>
          </cell>
        </row>
        <row r="5598">
          <cell r="I5598" t="str">
            <v>V34895</v>
          </cell>
          <cell r="J5598" t="str">
            <v>CTC</v>
          </cell>
          <cell r="K5598" t="str">
            <v>YES</v>
          </cell>
        </row>
        <row r="5599">
          <cell r="I5599" t="str">
            <v>V47459</v>
          </cell>
          <cell r="J5599" t="str">
            <v>CTC</v>
          </cell>
          <cell r="K5599" t="str">
            <v>YES</v>
          </cell>
        </row>
        <row r="5600">
          <cell r="I5600" t="str">
            <v>V30398</v>
          </cell>
          <cell r="J5600" t="str">
            <v>CTC</v>
          </cell>
          <cell r="K5600" t="str">
            <v>YES</v>
          </cell>
        </row>
        <row r="5601">
          <cell r="I5601" t="str">
            <v>V40719</v>
          </cell>
          <cell r="J5601" t="str">
            <v>CTC</v>
          </cell>
          <cell r="K5601" t="str">
            <v>YES</v>
          </cell>
        </row>
        <row r="5602">
          <cell r="I5602" t="str">
            <v>V40991</v>
          </cell>
          <cell r="J5602" t="str">
            <v>CTC</v>
          </cell>
          <cell r="K5602" t="str">
            <v>YES</v>
          </cell>
        </row>
        <row r="5603">
          <cell r="I5603" t="str">
            <v>V43366</v>
          </cell>
          <cell r="J5603" t="str">
            <v>CTC</v>
          </cell>
          <cell r="K5603" t="str">
            <v>YES</v>
          </cell>
        </row>
        <row r="5604">
          <cell r="I5604" t="str">
            <v>V42722</v>
          </cell>
          <cell r="J5604" t="str">
            <v>CTC</v>
          </cell>
          <cell r="K5604" t="str">
            <v>YES</v>
          </cell>
        </row>
        <row r="5605">
          <cell r="I5605" t="str">
            <v>V26711</v>
          </cell>
          <cell r="J5605" t="str">
            <v>CTC</v>
          </cell>
          <cell r="K5605" t="str">
            <v>YES</v>
          </cell>
        </row>
        <row r="5606">
          <cell r="I5606" t="str">
            <v>V50712</v>
          </cell>
          <cell r="J5606" t="str">
            <v>CTC</v>
          </cell>
          <cell r="K5606" t="str">
            <v>YES</v>
          </cell>
        </row>
        <row r="5607">
          <cell r="I5607" t="str">
            <v>V43331</v>
          </cell>
          <cell r="J5607" t="str">
            <v>CTC</v>
          </cell>
          <cell r="K5607" t="str">
            <v>YES</v>
          </cell>
        </row>
        <row r="5608">
          <cell r="I5608" t="str">
            <v>V42333</v>
          </cell>
          <cell r="J5608" t="str">
            <v>CTC</v>
          </cell>
          <cell r="K5608" t="str">
            <v>YES</v>
          </cell>
        </row>
        <row r="5609">
          <cell r="I5609" t="str">
            <v>V37391</v>
          </cell>
          <cell r="J5609" t="str">
            <v>CTC</v>
          </cell>
          <cell r="K5609" t="str">
            <v>YES</v>
          </cell>
        </row>
        <row r="5610">
          <cell r="I5610" t="str">
            <v>V42767</v>
          </cell>
          <cell r="J5610" t="str">
            <v>CTC</v>
          </cell>
          <cell r="K5610" t="str">
            <v>YES</v>
          </cell>
        </row>
        <row r="5611">
          <cell r="I5611" t="str">
            <v>V41211</v>
          </cell>
          <cell r="J5611" t="str">
            <v>CTC</v>
          </cell>
          <cell r="K5611" t="str">
            <v>YES</v>
          </cell>
        </row>
        <row r="5612">
          <cell r="I5612" t="str">
            <v>V45620</v>
          </cell>
          <cell r="J5612" t="str">
            <v>CTC</v>
          </cell>
          <cell r="K5612" t="str">
            <v>YES</v>
          </cell>
        </row>
        <row r="5613">
          <cell r="I5613" t="str">
            <v>V32932</v>
          </cell>
          <cell r="J5613" t="str">
            <v>CTC</v>
          </cell>
          <cell r="K5613" t="str">
            <v>YES</v>
          </cell>
        </row>
        <row r="5614">
          <cell r="I5614" t="str">
            <v>V45631</v>
          </cell>
          <cell r="J5614" t="str">
            <v>CTC</v>
          </cell>
          <cell r="K5614" t="str">
            <v>YES</v>
          </cell>
        </row>
        <row r="5615">
          <cell r="I5615" t="str">
            <v>V28109</v>
          </cell>
          <cell r="J5615" t="str">
            <v>CTC</v>
          </cell>
          <cell r="K5615" t="str">
            <v>YES</v>
          </cell>
        </row>
        <row r="5616">
          <cell r="I5616" t="str">
            <v>V44078</v>
          </cell>
          <cell r="J5616" t="str">
            <v>CTC</v>
          </cell>
          <cell r="K5616" t="str">
            <v>YES</v>
          </cell>
        </row>
        <row r="5617">
          <cell r="I5617" t="str">
            <v>V42973</v>
          </cell>
          <cell r="J5617" t="str">
            <v>CTC</v>
          </cell>
          <cell r="K5617" t="str">
            <v>YES</v>
          </cell>
        </row>
        <row r="5618">
          <cell r="I5618" t="str">
            <v>V41127</v>
          </cell>
          <cell r="J5618" t="str">
            <v>CTC</v>
          </cell>
          <cell r="K5618" t="str">
            <v>YES</v>
          </cell>
        </row>
        <row r="5619">
          <cell r="I5619" t="str">
            <v>V33326</v>
          </cell>
          <cell r="J5619" t="str">
            <v>CTC</v>
          </cell>
          <cell r="K5619" t="str">
            <v>YES</v>
          </cell>
        </row>
        <row r="5620">
          <cell r="I5620" t="str">
            <v>V43520</v>
          </cell>
          <cell r="J5620" t="str">
            <v>CTC</v>
          </cell>
          <cell r="K5620" t="str">
            <v>YES</v>
          </cell>
        </row>
        <row r="5621">
          <cell r="I5621" t="str">
            <v>V42724</v>
          </cell>
          <cell r="J5621" t="str">
            <v>CTC</v>
          </cell>
          <cell r="K5621" t="str">
            <v>YES</v>
          </cell>
        </row>
        <row r="5622">
          <cell r="I5622" t="str">
            <v>V44071</v>
          </cell>
          <cell r="J5622" t="str">
            <v>CTC</v>
          </cell>
          <cell r="K5622" t="str">
            <v>YES</v>
          </cell>
        </row>
        <row r="5623">
          <cell r="I5623" t="str">
            <v>V29196</v>
          </cell>
          <cell r="J5623" t="str">
            <v>CTC</v>
          </cell>
          <cell r="K5623" t="str">
            <v>YES</v>
          </cell>
        </row>
        <row r="5624">
          <cell r="I5624" t="str">
            <v>V29197</v>
          </cell>
          <cell r="J5624" t="str">
            <v>CTC</v>
          </cell>
          <cell r="K5624" t="str">
            <v>YES</v>
          </cell>
        </row>
        <row r="5625">
          <cell r="I5625" t="str">
            <v>V33110</v>
          </cell>
          <cell r="J5625" t="str">
            <v>CTC</v>
          </cell>
          <cell r="K5625" t="str">
            <v>YES</v>
          </cell>
        </row>
        <row r="5626">
          <cell r="I5626" t="str">
            <v>V47168</v>
          </cell>
          <cell r="J5626" t="str">
            <v>CTC</v>
          </cell>
          <cell r="K5626" t="str">
            <v>YES</v>
          </cell>
        </row>
        <row r="5627">
          <cell r="I5627" t="str">
            <v>V40055</v>
          </cell>
          <cell r="J5627" t="str">
            <v>CTC</v>
          </cell>
          <cell r="K5627" t="str">
            <v>YES</v>
          </cell>
        </row>
        <row r="5628">
          <cell r="I5628" t="str">
            <v>V44373</v>
          </cell>
          <cell r="J5628" t="str">
            <v>CTC</v>
          </cell>
          <cell r="K5628" t="str">
            <v>YES</v>
          </cell>
        </row>
        <row r="5629">
          <cell r="I5629" t="str">
            <v>V43124</v>
          </cell>
          <cell r="J5629" t="str">
            <v>CTC</v>
          </cell>
          <cell r="K5629" t="str">
            <v>YES</v>
          </cell>
        </row>
        <row r="5630">
          <cell r="I5630" t="str">
            <v>V43142</v>
          </cell>
          <cell r="J5630" t="str">
            <v>CTC</v>
          </cell>
          <cell r="K5630" t="str">
            <v>YES</v>
          </cell>
        </row>
        <row r="5631">
          <cell r="I5631" t="str">
            <v>V50750</v>
          </cell>
          <cell r="J5631" t="str">
            <v>CTC</v>
          </cell>
          <cell r="K5631" t="str">
            <v>YES</v>
          </cell>
        </row>
        <row r="5632">
          <cell r="I5632" t="str">
            <v>V28441</v>
          </cell>
          <cell r="J5632" t="str">
            <v>CTC</v>
          </cell>
          <cell r="K5632" t="str">
            <v>YES</v>
          </cell>
        </row>
        <row r="5633">
          <cell r="I5633" t="str">
            <v>V45170</v>
          </cell>
          <cell r="J5633" t="str">
            <v>CTC</v>
          </cell>
          <cell r="K5633" t="str">
            <v>YES</v>
          </cell>
        </row>
        <row r="5634">
          <cell r="I5634" t="str">
            <v>V38410</v>
          </cell>
          <cell r="J5634" t="str">
            <v>CTC</v>
          </cell>
          <cell r="K5634" t="str">
            <v>YES</v>
          </cell>
        </row>
        <row r="5635">
          <cell r="I5635" t="str">
            <v>V43971</v>
          </cell>
          <cell r="J5635" t="str">
            <v>CTC</v>
          </cell>
          <cell r="K5635" t="str">
            <v>YES</v>
          </cell>
        </row>
        <row r="5636">
          <cell r="I5636" t="str">
            <v>V28435</v>
          </cell>
          <cell r="J5636" t="str">
            <v>CTC</v>
          </cell>
          <cell r="K5636" t="str">
            <v>YES</v>
          </cell>
        </row>
        <row r="5637">
          <cell r="I5637" t="str">
            <v>V28437</v>
          </cell>
          <cell r="J5637" t="str">
            <v>CTC</v>
          </cell>
          <cell r="K5637" t="str">
            <v>YES</v>
          </cell>
        </row>
        <row r="5638">
          <cell r="I5638" t="str">
            <v>V43721</v>
          </cell>
          <cell r="J5638" t="str">
            <v>CTC</v>
          </cell>
          <cell r="K5638" t="str">
            <v>YES</v>
          </cell>
        </row>
        <row r="5639">
          <cell r="I5639" t="str">
            <v>V34428</v>
          </cell>
          <cell r="J5639" t="str">
            <v>CTC</v>
          </cell>
          <cell r="K5639" t="str">
            <v>YES</v>
          </cell>
        </row>
        <row r="5640">
          <cell r="I5640" t="str">
            <v>V36826</v>
          </cell>
          <cell r="J5640" t="str">
            <v>CTC</v>
          </cell>
          <cell r="K5640" t="str">
            <v>YES</v>
          </cell>
        </row>
        <row r="5641">
          <cell r="I5641" t="str">
            <v>V47550</v>
          </cell>
          <cell r="J5641" t="str">
            <v>CTC</v>
          </cell>
          <cell r="K5641" t="str">
            <v>YES</v>
          </cell>
        </row>
        <row r="5642">
          <cell r="I5642" t="str">
            <v>V41426</v>
          </cell>
          <cell r="J5642" t="str">
            <v>CTC</v>
          </cell>
          <cell r="K5642" t="str">
            <v>YES</v>
          </cell>
        </row>
        <row r="5643">
          <cell r="I5643" t="str">
            <v>V43722</v>
          </cell>
          <cell r="J5643" t="str">
            <v>CTC</v>
          </cell>
          <cell r="K5643" t="str">
            <v>YES</v>
          </cell>
        </row>
        <row r="5644">
          <cell r="I5644" t="str">
            <v>V44199</v>
          </cell>
          <cell r="J5644" t="str">
            <v>CTC</v>
          </cell>
          <cell r="K5644" t="str">
            <v>YES</v>
          </cell>
        </row>
        <row r="5645">
          <cell r="I5645" t="str">
            <v>V41994</v>
          </cell>
          <cell r="J5645" t="str">
            <v>CTC</v>
          </cell>
          <cell r="K5645" t="str">
            <v>YES</v>
          </cell>
        </row>
        <row r="5646">
          <cell r="I5646" t="str">
            <v>V45034</v>
          </cell>
          <cell r="J5646" t="str">
            <v>CTC</v>
          </cell>
          <cell r="K5646" t="str">
            <v>YES</v>
          </cell>
        </row>
        <row r="5647">
          <cell r="I5647" t="str">
            <v>V45990</v>
          </cell>
          <cell r="J5647" t="str">
            <v>CTC</v>
          </cell>
          <cell r="K5647" t="str">
            <v>YES</v>
          </cell>
        </row>
        <row r="5648">
          <cell r="I5648" t="str">
            <v>V44592</v>
          </cell>
          <cell r="J5648" t="str">
            <v>CTC</v>
          </cell>
          <cell r="K5648" t="str">
            <v>YES</v>
          </cell>
        </row>
        <row r="5649">
          <cell r="I5649" t="str">
            <v>V43938</v>
          </cell>
          <cell r="J5649" t="str">
            <v>CTC</v>
          </cell>
          <cell r="K5649" t="str">
            <v>YES</v>
          </cell>
        </row>
        <row r="5650">
          <cell r="I5650" t="str">
            <v>V40963</v>
          </cell>
          <cell r="J5650" t="str">
            <v>CTC</v>
          </cell>
          <cell r="K5650" t="str">
            <v>YES</v>
          </cell>
        </row>
        <row r="5651">
          <cell r="I5651" t="str">
            <v>V43886</v>
          </cell>
          <cell r="J5651" t="str">
            <v>CTC</v>
          </cell>
          <cell r="K5651" t="str">
            <v>YES</v>
          </cell>
        </row>
        <row r="5652">
          <cell r="I5652" t="str">
            <v>V26049</v>
          </cell>
          <cell r="J5652" t="str">
            <v>CTC</v>
          </cell>
          <cell r="K5652" t="str">
            <v>YES</v>
          </cell>
        </row>
        <row r="5653">
          <cell r="I5653" t="str">
            <v>V45254</v>
          </cell>
          <cell r="J5653" t="str">
            <v>CTC</v>
          </cell>
          <cell r="K5653" t="str">
            <v>YES</v>
          </cell>
        </row>
        <row r="5654">
          <cell r="I5654" t="str">
            <v>V43939</v>
          </cell>
          <cell r="J5654" t="str">
            <v>CTC</v>
          </cell>
          <cell r="K5654" t="str">
            <v>YES</v>
          </cell>
        </row>
        <row r="5655">
          <cell r="I5655" t="str">
            <v>V43061</v>
          </cell>
          <cell r="J5655" t="str">
            <v>CTC</v>
          </cell>
          <cell r="K5655" t="str">
            <v>YES</v>
          </cell>
        </row>
        <row r="5656">
          <cell r="I5656" t="str">
            <v>V43287</v>
          </cell>
          <cell r="J5656" t="str">
            <v>CTC</v>
          </cell>
          <cell r="K5656" t="str">
            <v>YES</v>
          </cell>
        </row>
        <row r="5657">
          <cell r="I5657" t="str">
            <v>V44575</v>
          </cell>
          <cell r="J5657" t="str">
            <v>CTC</v>
          </cell>
          <cell r="K5657" t="str">
            <v>YES</v>
          </cell>
        </row>
        <row r="5658">
          <cell r="I5658" t="str">
            <v>V46106</v>
          </cell>
          <cell r="J5658" t="str">
            <v>CTC</v>
          </cell>
          <cell r="K5658" t="str">
            <v>YES</v>
          </cell>
        </row>
        <row r="5659">
          <cell r="I5659" t="str">
            <v>V49488</v>
          </cell>
          <cell r="J5659" t="str">
            <v>CTC</v>
          </cell>
          <cell r="K5659" t="str">
            <v>YES</v>
          </cell>
        </row>
        <row r="5660">
          <cell r="I5660" t="str">
            <v>V42652</v>
          </cell>
          <cell r="J5660" t="str">
            <v>CTC</v>
          </cell>
          <cell r="K5660" t="str">
            <v>YES</v>
          </cell>
        </row>
        <row r="5661">
          <cell r="I5661" t="str">
            <v>V44041</v>
          </cell>
          <cell r="J5661" t="str">
            <v>CTC</v>
          </cell>
          <cell r="K5661" t="str">
            <v>YES</v>
          </cell>
        </row>
        <row r="5662">
          <cell r="I5662" t="str">
            <v>V43631</v>
          </cell>
          <cell r="J5662" t="str">
            <v>CTC</v>
          </cell>
          <cell r="K5662" t="str">
            <v>YES</v>
          </cell>
        </row>
        <row r="5663">
          <cell r="I5663" t="str">
            <v>V44891</v>
          </cell>
          <cell r="J5663" t="str">
            <v>CTC</v>
          </cell>
          <cell r="K5663" t="str">
            <v>YES</v>
          </cell>
        </row>
        <row r="5664">
          <cell r="I5664" t="str">
            <v>V45385</v>
          </cell>
          <cell r="J5664" t="str">
            <v>CTC</v>
          </cell>
          <cell r="K5664" t="str">
            <v>YES</v>
          </cell>
        </row>
        <row r="5665">
          <cell r="I5665" t="str">
            <v>V46858</v>
          </cell>
          <cell r="J5665" t="str">
            <v>CTC</v>
          </cell>
          <cell r="K5665" t="str">
            <v>YES</v>
          </cell>
        </row>
        <row r="5666">
          <cell r="I5666" t="str">
            <v>V32361</v>
          </cell>
          <cell r="J5666" t="str">
            <v>CTC</v>
          </cell>
          <cell r="K5666" t="str">
            <v>YES</v>
          </cell>
        </row>
        <row r="5667">
          <cell r="I5667" t="str">
            <v>V50757</v>
          </cell>
          <cell r="J5667" t="str">
            <v>CTC</v>
          </cell>
          <cell r="K5667" t="str">
            <v>YES</v>
          </cell>
        </row>
        <row r="5668">
          <cell r="I5668" t="str">
            <v>V43056</v>
          </cell>
          <cell r="J5668" t="str">
            <v>CTC</v>
          </cell>
          <cell r="K5668" t="str">
            <v>YES</v>
          </cell>
        </row>
        <row r="5669">
          <cell r="I5669" t="str">
            <v>V43059</v>
          </cell>
          <cell r="J5669" t="str">
            <v>CTC</v>
          </cell>
          <cell r="K5669" t="str">
            <v>YES</v>
          </cell>
        </row>
        <row r="5670">
          <cell r="I5670" t="str">
            <v>V34209</v>
          </cell>
          <cell r="J5670" t="str">
            <v>CTC</v>
          </cell>
          <cell r="K5670" t="str">
            <v>YES</v>
          </cell>
        </row>
        <row r="5671">
          <cell r="I5671" t="str">
            <v>V43634</v>
          </cell>
          <cell r="J5671" t="str">
            <v>CTC</v>
          </cell>
          <cell r="K5671" t="str">
            <v>YES</v>
          </cell>
        </row>
        <row r="5672">
          <cell r="I5672" t="str">
            <v>V44633</v>
          </cell>
          <cell r="J5672" t="str">
            <v>CTC</v>
          </cell>
          <cell r="K5672" t="str">
            <v>YES</v>
          </cell>
        </row>
        <row r="5673">
          <cell r="I5673" t="str">
            <v>V34837</v>
          </cell>
          <cell r="J5673" t="str">
            <v>CTC</v>
          </cell>
          <cell r="K5673" t="str">
            <v>YES</v>
          </cell>
        </row>
        <row r="5674">
          <cell r="I5674" t="str">
            <v>V49478</v>
          </cell>
          <cell r="J5674" t="str">
            <v>CTC</v>
          </cell>
          <cell r="K5674" t="str">
            <v>YES</v>
          </cell>
        </row>
        <row r="5675">
          <cell r="I5675" t="str">
            <v>V45391</v>
          </cell>
          <cell r="J5675" t="str">
            <v>CTC</v>
          </cell>
          <cell r="K5675" t="str">
            <v>YES</v>
          </cell>
        </row>
        <row r="5676">
          <cell r="I5676" t="str">
            <v>V38591</v>
          </cell>
          <cell r="J5676" t="str">
            <v>CTC</v>
          </cell>
          <cell r="K5676" t="str">
            <v>YES</v>
          </cell>
        </row>
        <row r="5677">
          <cell r="I5677" t="str">
            <v>V43060</v>
          </cell>
          <cell r="J5677" t="str">
            <v>CTC</v>
          </cell>
          <cell r="K5677" t="str">
            <v>YES</v>
          </cell>
        </row>
        <row r="5678">
          <cell r="I5678" t="str">
            <v>V44554</v>
          </cell>
          <cell r="J5678" t="str">
            <v>CTC</v>
          </cell>
          <cell r="K5678" t="str">
            <v>YES</v>
          </cell>
        </row>
        <row r="5679">
          <cell r="I5679" t="str">
            <v>V29723</v>
          </cell>
          <cell r="J5679" t="str">
            <v>CTC</v>
          </cell>
          <cell r="K5679" t="str">
            <v>YES</v>
          </cell>
        </row>
        <row r="5680">
          <cell r="I5680" t="str">
            <v>V50407</v>
          </cell>
          <cell r="J5680" t="str">
            <v>CTC</v>
          </cell>
          <cell r="K5680" t="str">
            <v>YES</v>
          </cell>
        </row>
        <row r="5681">
          <cell r="I5681" t="str">
            <v>V43235</v>
          </cell>
          <cell r="J5681" t="str">
            <v>CTC</v>
          </cell>
          <cell r="K5681" t="str">
            <v>YES</v>
          </cell>
        </row>
        <row r="5682">
          <cell r="I5682" t="str">
            <v>V45745</v>
          </cell>
          <cell r="J5682" t="str">
            <v>CTC</v>
          </cell>
          <cell r="K5682" t="str">
            <v>YES</v>
          </cell>
        </row>
        <row r="5683">
          <cell r="I5683" t="str">
            <v>V40770</v>
          </cell>
          <cell r="J5683" t="str">
            <v>CTC</v>
          </cell>
          <cell r="K5683" t="str">
            <v>YES</v>
          </cell>
        </row>
        <row r="5684">
          <cell r="I5684" t="str">
            <v>V43140</v>
          </cell>
          <cell r="J5684" t="str">
            <v>CTC</v>
          </cell>
          <cell r="K5684" t="str">
            <v>YES</v>
          </cell>
        </row>
        <row r="5685">
          <cell r="I5685" t="str">
            <v>V43136</v>
          </cell>
          <cell r="J5685" t="str">
            <v>CTC</v>
          </cell>
          <cell r="K5685" t="str">
            <v>YES</v>
          </cell>
        </row>
        <row r="5686">
          <cell r="I5686" t="str">
            <v>V44581</v>
          </cell>
          <cell r="J5686" t="str">
            <v>CTC</v>
          </cell>
          <cell r="K5686" t="str">
            <v>YES</v>
          </cell>
        </row>
        <row r="5687">
          <cell r="I5687" t="str">
            <v>V37065</v>
          </cell>
          <cell r="J5687" t="str">
            <v>CTC</v>
          </cell>
          <cell r="K5687" t="str">
            <v>YES</v>
          </cell>
        </row>
        <row r="5688">
          <cell r="I5688" t="str">
            <v>V37166</v>
          </cell>
          <cell r="J5688" t="str">
            <v>CTC</v>
          </cell>
          <cell r="K5688" t="str">
            <v>YES</v>
          </cell>
        </row>
        <row r="5689">
          <cell r="I5689" t="str">
            <v>V43058</v>
          </cell>
          <cell r="J5689" t="str">
            <v>CTC</v>
          </cell>
          <cell r="K5689" t="str">
            <v>YES</v>
          </cell>
        </row>
        <row r="5690">
          <cell r="I5690" t="str">
            <v>V43992</v>
          </cell>
          <cell r="J5690" t="str">
            <v>CTC</v>
          </cell>
          <cell r="K5690" t="str">
            <v>YES</v>
          </cell>
        </row>
        <row r="5691">
          <cell r="I5691" t="str">
            <v>V37313</v>
          </cell>
          <cell r="J5691" t="str">
            <v>CTC</v>
          </cell>
          <cell r="K5691" t="str">
            <v>YES</v>
          </cell>
        </row>
        <row r="5692">
          <cell r="I5692" t="str">
            <v>V46827</v>
          </cell>
          <cell r="J5692" t="str">
            <v>CTC</v>
          </cell>
          <cell r="K5692" t="str">
            <v>YES</v>
          </cell>
        </row>
        <row r="5693">
          <cell r="I5693" t="str">
            <v>V46817</v>
          </cell>
          <cell r="J5693" t="str">
            <v>CTC</v>
          </cell>
          <cell r="K5693" t="str">
            <v>YES</v>
          </cell>
        </row>
        <row r="5694">
          <cell r="I5694" t="str">
            <v>V51174</v>
          </cell>
          <cell r="J5694" t="str">
            <v>CTC</v>
          </cell>
          <cell r="K5694" t="str">
            <v>YES</v>
          </cell>
        </row>
        <row r="5695">
          <cell r="I5695" t="str">
            <v>V44647</v>
          </cell>
          <cell r="J5695" t="str">
            <v>CTC</v>
          </cell>
          <cell r="K5695" t="str">
            <v>YES</v>
          </cell>
        </row>
        <row r="5696">
          <cell r="I5696" t="str">
            <v>V46086</v>
          </cell>
          <cell r="J5696" t="str">
            <v>CTC</v>
          </cell>
          <cell r="K5696" t="str">
            <v>YES</v>
          </cell>
        </row>
        <row r="5697">
          <cell r="I5697" t="str">
            <v>V42651</v>
          </cell>
          <cell r="J5697" t="str">
            <v>CTC</v>
          </cell>
          <cell r="K5697" t="str">
            <v>YES</v>
          </cell>
        </row>
        <row r="5698">
          <cell r="I5698" t="str">
            <v>V43619</v>
          </cell>
          <cell r="J5698" t="str">
            <v>CTC</v>
          </cell>
          <cell r="K5698" t="str">
            <v>YES</v>
          </cell>
        </row>
        <row r="5699">
          <cell r="I5699" t="str">
            <v>V45447</v>
          </cell>
          <cell r="J5699" t="str">
            <v>CTC</v>
          </cell>
          <cell r="K5699" t="str">
            <v>YES</v>
          </cell>
        </row>
        <row r="5700">
          <cell r="I5700" t="str">
            <v>V43191</v>
          </cell>
          <cell r="J5700" t="str">
            <v>CTC</v>
          </cell>
          <cell r="K5700" t="str">
            <v>YES</v>
          </cell>
        </row>
        <row r="5701">
          <cell r="I5701" t="str">
            <v>V45916</v>
          </cell>
          <cell r="J5701" t="str">
            <v>CTC</v>
          </cell>
          <cell r="K5701" t="str">
            <v>YES</v>
          </cell>
        </row>
        <row r="5702">
          <cell r="I5702" t="str">
            <v>V43632</v>
          </cell>
          <cell r="J5702" t="str">
            <v>CTC</v>
          </cell>
          <cell r="K5702" t="str">
            <v>YES</v>
          </cell>
        </row>
        <row r="5703">
          <cell r="I5703" t="str">
            <v>V41723</v>
          </cell>
          <cell r="J5703" t="str">
            <v>CTC</v>
          </cell>
          <cell r="K5703" t="str">
            <v>YES</v>
          </cell>
        </row>
        <row r="5704">
          <cell r="I5704" t="str">
            <v>V45331</v>
          </cell>
          <cell r="J5704" t="str">
            <v>CTC</v>
          </cell>
          <cell r="K5704" t="str">
            <v>YES</v>
          </cell>
        </row>
        <row r="5705">
          <cell r="I5705" t="str">
            <v>V44649</v>
          </cell>
          <cell r="J5705" t="str">
            <v>CTC</v>
          </cell>
          <cell r="K5705" t="str">
            <v>YES</v>
          </cell>
        </row>
        <row r="5706">
          <cell r="I5706" t="str">
            <v>V44635</v>
          </cell>
          <cell r="J5706" t="str">
            <v>CTC</v>
          </cell>
          <cell r="K5706" t="str">
            <v>YES</v>
          </cell>
        </row>
        <row r="5707">
          <cell r="I5707" t="str">
            <v>V47057</v>
          </cell>
          <cell r="J5707" t="str">
            <v>CTC</v>
          </cell>
          <cell r="K5707" t="str">
            <v>YES</v>
          </cell>
        </row>
        <row r="5708">
          <cell r="I5708" t="str">
            <v>V44096</v>
          </cell>
          <cell r="J5708" t="str">
            <v>CTC</v>
          </cell>
          <cell r="K5708" t="str">
            <v>YES</v>
          </cell>
        </row>
        <row r="5709">
          <cell r="I5709" t="str">
            <v>V43188</v>
          </cell>
          <cell r="J5709" t="str">
            <v>CTC</v>
          </cell>
          <cell r="K5709" t="str">
            <v>YES</v>
          </cell>
        </row>
        <row r="5710">
          <cell r="I5710" t="str">
            <v>V43291</v>
          </cell>
          <cell r="J5710" t="str">
            <v>CTC</v>
          </cell>
          <cell r="K5710" t="str">
            <v>YES</v>
          </cell>
        </row>
        <row r="5711">
          <cell r="I5711" t="str">
            <v>V43644</v>
          </cell>
          <cell r="J5711" t="str">
            <v>CTC</v>
          </cell>
          <cell r="K5711" t="str">
            <v>YES</v>
          </cell>
        </row>
        <row r="5712">
          <cell r="I5712" t="str">
            <v>V44926</v>
          </cell>
          <cell r="J5712" t="str">
            <v>CTC</v>
          </cell>
          <cell r="K5712" t="str">
            <v>YES</v>
          </cell>
        </row>
        <row r="5713">
          <cell r="I5713" t="str">
            <v>V44559</v>
          </cell>
          <cell r="J5713" t="str">
            <v>CTC</v>
          </cell>
          <cell r="K5713" t="str">
            <v>YES</v>
          </cell>
        </row>
        <row r="5714">
          <cell r="I5714" t="str">
            <v>V40898</v>
          </cell>
          <cell r="J5714" t="str">
            <v>CTC</v>
          </cell>
          <cell r="K5714" t="str">
            <v>YES</v>
          </cell>
        </row>
        <row r="5715">
          <cell r="I5715" t="str">
            <v>V45471</v>
          </cell>
          <cell r="J5715" t="str">
            <v>CTC</v>
          </cell>
          <cell r="K5715" t="str">
            <v>YES</v>
          </cell>
        </row>
        <row r="5716">
          <cell r="I5716" t="str">
            <v>V44925</v>
          </cell>
          <cell r="J5716" t="str">
            <v>CTC</v>
          </cell>
          <cell r="K5716" t="str">
            <v>YES</v>
          </cell>
        </row>
        <row r="5717">
          <cell r="I5717" t="str">
            <v>V44454</v>
          </cell>
          <cell r="J5717" t="str">
            <v>CTC</v>
          </cell>
          <cell r="K5717" t="str">
            <v>YES</v>
          </cell>
        </row>
        <row r="5718">
          <cell r="I5718" t="str">
            <v>V43492</v>
          </cell>
          <cell r="J5718" t="str">
            <v>CTC</v>
          </cell>
          <cell r="K5718" t="str">
            <v>YES</v>
          </cell>
        </row>
        <row r="5719">
          <cell r="I5719" t="str">
            <v>V44634</v>
          </cell>
          <cell r="J5719" t="str">
            <v>CTC</v>
          </cell>
          <cell r="K5719" t="str">
            <v>YES</v>
          </cell>
        </row>
        <row r="5720">
          <cell r="I5720" t="str">
            <v>V43640</v>
          </cell>
          <cell r="J5720" t="str">
            <v>CTC</v>
          </cell>
          <cell r="K5720" t="str">
            <v>YES</v>
          </cell>
        </row>
        <row r="5721">
          <cell r="I5721" t="str">
            <v>V43462</v>
          </cell>
          <cell r="J5721" t="str">
            <v>CTC</v>
          </cell>
          <cell r="K5721" t="str">
            <v>YES</v>
          </cell>
        </row>
        <row r="5722">
          <cell r="I5722" t="str">
            <v>V46829</v>
          </cell>
          <cell r="J5722" t="str">
            <v>CTC</v>
          </cell>
          <cell r="K5722" t="str">
            <v>YES</v>
          </cell>
        </row>
        <row r="5723">
          <cell r="I5723" t="str">
            <v>V45096</v>
          </cell>
          <cell r="J5723" t="str">
            <v>CTC</v>
          </cell>
          <cell r="K5723" t="str">
            <v>YES</v>
          </cell>
        </row>
        <row r="5724">
          <cell r="I5724" t="str">
            <v>V45489</v>
          </cell>
          <cell r="J5724" t="str">
            <v>CTC</v>
          </cell>
          <cell r="K5724" t="str">
            <v>YES</v>
          </cell>
        </row>
        <row r="5725">
          <cell r="I5725" t="str">
            <v>V46524</v>
          </cell>
          <cell r="J5725" t="str">
            <v>CTC</v>
          </cell>
          <cell r="K5725" t="str">
            <v>YES</v>
          </cell>
        </row>
        <row r="5726">
          <cell r="I5726" t="str">
            <v>V43635</v>
          </cell>
          <cell r="J5726" t="str">
            <v>CTC</v>
          </cell>
          <cell r="K5726" t="str">
            <v>YES</v>
          </cell>
        </row>
        <row r="5727">
          <cell r="I5727" t="str">
            <v>V45493</v>
          </cell>
          <cell r="J5727" t="str">
            <v>CTC</v>
          </cell>
          <cell r="K5727" t="str">
            <v>YES</v>
          </cell>
        </row>
        <row r="5728">
          <cell r="I5728" t="str">
            <v>V37788</v>
          </cell>
          <cell r="J5728" t="str">
            <v>CTC</v>
          </cell>
          <cell r="K5728" t="str">
            <v>YES</v>
          </cell>
        </row>
        <row r="5729">
          <cell r="I5729" t="str">
            <v>V39223</v>
          </cell>
          <cell r="J5729" t="str">
            <v>CTC</v>
          </cell>
          <cell r="K5729" t="str">
            <v>YES</v>
          </cell>
        </row>
        <row r="5730">
          <cell r="I5730" t="str">
            <v>V50406</v>
          </cell>
          <cell r="J5730" t="str">
            <v>CTC</v>
          </cell>
          <cell r="K5730" t="str">
            <v>YES</v>
          </cell>
        </row>
        <row r="5731">
          <cell r="I5731" t="str">
            <v>V50713</v>
          </cell>
          <cell r="J5731" t="str">
            <v>CTC</v>
          </cell>
          <cell r="K5731" t="str">
            <v>YES</v>
          </cell>
        </row>
        <row r="5732">
          <cell r="I5732" t="str">
            <v>V43586</v>
          </cell>
          <cell r="J5732" t="str">
            <v>CTC</v>
          </cell>
          <cell r="K5732" t="str">
            <v>YES</v>
          </cell>
        </row>
        <row r="5733">
          <cell r="I5733" t="str">
            <v>V43647</v>
          </cell>
          <cell r="J5733" t="str">
            <v>CTC</v>
          </cell>
          <cell r="K5733" t="str">
            <v>YES</v>
          </cell>
        </row>
        <row r="5734">
          <cell r="I5734" t="str">
            <v>V27320</v>
          </cell>
          <cell r="J5734" t="str">
            <v>CTC</v>
          </cell>
          <cell r="K5734" t="str">
            <v>YES</v>
          </cell>
        </row>
        <row r="5735">
          <cell r="I5735" t="str">
            <v>V44603</v>
          </cell>
          <cell r="J5735" t="str">
            <v>CTC</v>
          </cell>
          <cell r="K5735" t="str">
            <v>YES</v>
          </cell>
        </row>
        <row r="5736">
          <cell r="I5736" t="str">
            <v>V45695</v>
          </cell>
          <cell r="J5736" t="str">
            <v>CTC</v>
          </cell>
          <cell r="K5736" t="str">
            <v>YES</v>
          </cell>
        </row>
        <row r="5737">
          <cell r="I5737" t="str">
            <v>V44161</v>
          </cell>
          <cell r="J5737" t="str">
            <v>CTC</v>
          </cell>
          <cell r="K5737" t="str">
            <v>YES</v>
          </cell>
        </row>
        <row r="5738">
          <cell r="I5738" t="str">
            <v>V37787</v>
          </cell>
          <cell r="J5738" t="str">
            <v>CTC</v>
          </cell>
          <cell r="K5738" t="str">
            <v>YES</v>
          </cell>
        </row>
        <row r="5739">
          <cell r="I5739" t="str">
            <v>V45046</v>
          </cell>
          <cell r="J5739" t="str">
            <v>CTC</v>
          </cell>
          <cell r="K5739" t="str">
            <v>YES</v>
          </cell>
        </row>
        <row r="5740">
          <cell r="I5740" t="str">
            <v>V44752</v>
          </cell>
          <cell r="J5740" t="str">
            <v>CTC</v>
          </cell>
          <cell r="K5740" t="str">
            <v>YES</v>
          </cell>
        </row>
        <row r="5741">
          <cell r="I5741" t="str">
            <v>V44560</v>
          </cell>
          <cell r="J5741" t="str">
            <v>CTC</v>
          </cell>
          <cell r="K5741" t="str">
            <v>YES</v>
          </cell>
        </row>
        <row r="5742">
          <cell r="I5742" t="str">
            <v>V29607</v>
          </cell>
          <cell r="J5742" t="str">
            <v>CTC</v>
          </cell>
          <cell r="K5742" t="str">
            <v>YES</v>
          </cell>
        </row>
        <row r="5743">
          <cell r="I5743" t="str">
            <v>V37786</v>
          </cell>
          <cell r="J5743" t="str">
            <v>CTC</v>
          </cell>
          <cell r="K5743" t="str">
            <v>YES</v>
          </cell>
        </row>
        <row r="5744">
          <cell r="I5744" t="str">
            <v>V40200</v>
          </cell>
          <cell r="J5744" t="str">
            <v>CTC</v>
          </cell>
          <cell r="K5744" t="str">
            <v>YES</v>
          </cell>
        </row>
        <row r="5745">
          <cell r="I5745" t="str">
            <v>V46052</v>
          </cell>
          <cell r="J5745" t="str">
            <v>CTC</v>
          </cell>
          <cell r="K5745" t="str">
            <v>YES</v>
          </cell>
        </row>
        <row r="5746">
          <cell r="I5746" t="str">
            <v>V43641</v>
          </cell>
          <cell r="J5746" t="str">
            <v>CTC</v>
          </cell>
          <cell r="K5746" t="str">
            <v>YES</v>
          </cell>
        </row>
        <row r="5747">
          <cell r="I5747" t="str">
            <v>V43282</v>
          </cell>
          <cell r="J5747" t="str">
            <v>CTC</v>
          </cell>
          <cell r="K5747" t="str">
            <v>YES</v>
          </cell>
        </row>
        <row r="5748">
          <cell r="I5748" t="str">
            <v>V33787</v>
          </cell>
          <cell r="J5748" t="str">
            <v>CTC</v>
          </cell>
          <cell r="K5748" t="str">
            <v>YES</v>
          </cell>
        </row>
        <row r="5749">
          <cell r="I5749" t="str">
            <v>V45960</v>
          </cell>
          <cell r="J5749" t="str">
            <v>CTC</v>
          </cell>
          <cell r="K5749" t="str">
            <v>YES</v>
          </cell>
        </row>
        <row r="5750">
          <cell r="I5750" t="str">
            <v>V45961</v>
          </cell>
          <cell r="J5750" t="str">
            <v>CTC</v>
          </cell>
          <cell r="K5750" t="str">
            <v>YES</v>
          </cell>
        </row>
        <row r="5751">
          <cell r="I5751" t="str">
            <v>V45962</v>
          </cell>
          <cell r="J5751" t="str">
            <v>CTC</v>
          </cell>
          <cell r="K5751" t="str">
            <v>YES</v>
          </cell>
        </row>
        <row r="5752">
          <cell r="I5752" t="str">
            <v>V30810</v>
          </cell>
          <cell r="J5752" t="str">
            <v>CTC</v>
          </cell>
          <cell r="K5752" t="str">
            <v>YES</v>
          </cell>
        </row>
        <row r="5753">
          <cell r="I5753" t="str">
            <v>V31492</v>
          </cell>
          <cell r="J5753" t="str">
            <v>CTC</v>
          </cell>
          <cell r="K5753" t="str">
            <v>YES</v>
          </cell>
        </row>
        <row r="5754">
          <cell r="I5754" t="str">
            <v>V32308</v>
          </cell>
          <cell r="J5754" t="str">
            <v>CTC</v>
          </cell>
          <cell r="K5754" t="str">
            <v>YES</v>
          </cell>
        </row>
        <row r="5755">
          <cell r="I5755" t="str">
            <v>V34653</v>
          </cell>
          <cell r="J5755" t="str">
            <v>CTC</v>
          </cell>
          <cell r="K5755" t="str">
            <v>YES</v>
          </cell>
        </row>
        <row r="5756">
          <cell r="I5756" t="str">
            <v>V43824</v>
          </cell>
          <cell r="J5756" t="str">
            <v>CTC</v>
          </cell>
          <cell r="K5756" t="str">
            <v>YES</v>
          </cell>
        </row>
        <row r="5757">
          <cell r="I5757" t="str">
            <v>V44835</v>
          </cell>
          <cell r="J5757" t="str">
            <v>CTC</v>
          </cell>
          <cell r="K5757" t="str">
            <v>YES</v>
          </cell>
        </row>
        <row r="5758">
          <cell r="I5758" t="str">
            <v>V49368</v>
          </cell>
          <cell r="J5758" t="str">
            <v>CTC</v>
          </cell>
          <cell r="K5758" t="str">
            <v>YES</v>
          </cell>
        </row>
        <row r="5759">
          <cell r="I5759" t="str">
            <v>V47505</v>
          </cell>
          <cell r="J5759" t="str">
            <v>CTC</v>
          </cell>
          <cell r="K5759" t="str">
            <v>YES</v>
          </cell>
        </row>
        <row r="5760">
          <cell r="I5760" t="str">
            <v>V28971</v>
          </cell>
          <cell r="J5760" t="str">
            <v>CTC</v>
          </cell>
          <cell r="K5760" t="str">
            <v>YES</v>
          </cell>
        </row>
        <row r="5761">
          <cell r="I5761" t="str">
            <v>V46474</v>
          </cell>
          <cell r="J5761" t="str">
            <v>CTC</v>
          </cell>
          <cell r="K5761" t="str">
            <v>YES</v>
          </cell>
        </row>
        <row r="5762">
          <cell r="I5762" t="str">
            <v>V47563</v>
          </cell>
          <cell r="J5762" t="str">
            <v>CTC</v>
          </cell>
          <cell r="K5762" t="str">
            <v>YES</v>
          </cell>
        </row>
        <row r="5763">
          <cell r="I5763" t="str">
            <v>V46703</v>
          </cell>
          <cell r="J5763" t="str">
            <v>CTC</v>
          </cell>
          <cell r="K5763" t="str">
            <v>YES</v>
          </cell>
        </row>
        <row r="5764">
          <cell r="I5764" t="str">
            <v>V44370</v>
          </cell>
          <cell r="J5764" t="str">
            <v>CTC</v>
          </cell>
          <cell r="K5764" t="str">
            <v>YES</v>
          </cell>
        </row>
        <row r="5765">
          <cell r="I5765" t="str">
            <v>V43464</v>
          </cell>
          <cell r="J5765" t="str">
            <v>CTC</v>
          </cell>
          <cell r="K5765" t="str">
            <v>YES</v>
          </cell>
        </row>
        <row r="5766">
          <cell r="I5766" t="str">
            <v>V43258</v>
          </cell>
          <cell r="J5766" t="str">
            <v>CTC</v>
          </cell>
          <cell r="K5766" t="str">
            <v>YES</v>
          </cell>
        </row>
        <row r="5767">
          <cell r="I5767" t="str">
            <v>V43733</v>
          </cell>
          <cell r="J5767" t="str">
            <v>CTC</v>
          </cell>
          <cell r="K5767" t="str">
            <v>YES</v>
          </cell>
        </row>
        <row r="5768">
          <cell r="I5768" t="str">
            <v>V43534</v>
          </cell>
          <cell r="J5768" t="str">
            <v>CTC</v>
          </cell>
          <cell r="K5768" t="str">
            <v>YES</v>
          </cell>
        </row>
        <row r="5769">
          <cell r="I5769" t="str">
            <v>V43669</v>
          </cell>
          <cell r="J5769" t="str">
            <v>CTC</v>
          </cell>
          <cell r="K5769" t="str">
            <v>YES</v>
          </cell>
        </row>
        <row r="5770">
          <cell r="I5770" t="str">
            <v>V43701</v>
          </cell>
          <cell r="J5770" t="str">
            <v>CTC</v>
          </cell>
          <cell r="K5770" t="str">
            <v>YES</v>
          </cell>
        </row>
        <row r="5771">
          <cell r="I5771" t="str">
            <v>V49489</v>
          </cell>
          <cell r="J5771" t="str">
            <v>CTC</v>
          </cell>
          <cell r="K5771" t="str">
            <v>YES</v>
          </cell>
        </row>
        <row r="5772">
          <cell r="I5772" t="str">
            <v>V37871</v>
          </cell>
          <cell r="J5772" t="str">
            <v>CTC</v>
          </cell>
          <cell r="K5772" t="str">
            <v>YES</v>
          </cell>
        </row>
        <row r="5773">
          <cell r="I5773" t="str">
            <v>V45104</v>
          </cell>
          <cell r="J5773" t="str">
            <v>CTC</v>
          </cell>
          <cell r="K5773" t="str">
            <v>YES</v>
          </cell>
        </row>
        <row r="5774">
          <cell r="I5774" t="str">
            <v>V44146</v>
          </cell>
          <cell r="J5774" t="str">
            <v>CTC</v>
          </cell>
          <cell r="K5774" t="str">
            <v>YES</v>
          </cell>
        </row>
        <row r="5775">
          <cell r="I5775" t="str">
            <v>V46831</v>
          </cell>
          <cell r="J5775" t="str">
            <v>CTC</v>
          </cell>
          <cell r="K5775" t="str">
            <v>YES</v>
          </cell>
        </row>
        <row r="5776">
          <cell r="I5776" t="str">
            <v>V45009</v>
          </cell>
          <cell r="J5776" t="str">
            <v>CTC</v>
          </cell>
          <cell r="K5776" t="str">
            <v>YES</v>
          </cell>
        </row>
        <row r="5777">
          <cell r="I5777" t="str">
            <v>V45221</v>
          </cell>
          <cell r="J5777" t="str">
            <v>CTC</v>
          </cell>
          <cell r="K5777" t="str">
            <v>YES</v>
          </cell>
        </row>
        <row r="5778">
          <cell r="I5778" t="str">
            <v>V45797</v>
          </cell>
          <cell r="J5778" t="str">
            <v>CTC</v>
          </cell>
          <cell r="K5778" t="str">
            <v>YES</v>
          </cell>
        </row>
        <row r="5779">
          <cell r="I5779" t="str">
            <v>V47414</v>
          </cell>
          <cell r="J5779" t="str">
            <v>CTC</v>
          </cell>
          <cell r="K5779" t="str">
            <v>YES</v>
          </cell>
        </row>
        <row r="5780">
          <cell r="I5780" t="str">
            <v>V43120</v>
          </cell>
          <cell r="J5780" t="str">
            <v>CTC</v>
          </cell>
          <cell r="K5780" t="str">
            <v>YES</v>
          </cell>
        </row>
        <row r="5781">
          <cell r="I5781" t="str">
            <v>V45131</v>
          </cell>
          <cell r="J5781" t="str">
            <v>CTC</v>
          </cell>
          <cell r="K5781" t="str">
            <v>YES</v>
          </cell>
        </row>
        <row r="5782">
          <cell r="I5782" t="str">
            <v>V45047</v>
          </cell>
          <cell r="J5782" t="str">
            <v>CTC</v>
          </cell>
          <cell r="K5782" t="str">
            <v>YES</v>
          </cell>
        </row>
        <row r="5783">
          <cell r="I5783" t="str">
            <v>V45874</v>
          </cell>
          <cell r="J5783" t="str">
            <v>CTC</v>
          </cell>
          <cell r="K5783" t="str">
            <v>YES</v>
          </cell>
        </row>
        <row r="5784">
          <cell r="I5784" t="str">
            <v>V43546</v>
          </cell>
          <cell r="J5784" t="str">
            <v>CTC</v>
          </cell>
          <cell r="K5784" t="str">
            <v>YES</v>
          </cell>
        </row>
        <row r="5785">
          <cell r="I5785" t="str">
            <v>V43540</v>
          </cell>
          <cell r="J5785" t="str">
            <v>CTC</v>
          </cell>
          <cell r="K5785" t="str">
            <v>YES</v>
          </cell>
        </row>
        <row r="5786">
          <cell r="I5786" t="str">
            <v>V43542</v>
          </cell>
          <cell r="J5786" t="str">
            <v>CTC</v>
          </cell>
          <cell r="K5786" t="str">
            <v>YES</v>
          </cell>
        </row>
        <row r="5787">
          <cell r="I5787" t="str">
            <v>V43442</v>
          </cell>
          <cell r="J5787" t="str">
            <v>CTC</v>
          </cell>
          <cell r="K5787" t="str">
            <v>YES</v>
          </cell>
        </row>
        <row r="5788">
          <cell r="I5788" t="str">
            <v>V45981</v>
          </cell>
          <cell r="J5788" t="str">
            <v>CTC</v>
          </cell>
          <cell r="K5788" t="str">
            <v>YES</v>
          </cell>
        </row>
        <row r="5789">
          <cell r="I5789" t="str">
            <v>V45784</v>
          </cell>
          <cell r="J5789" t="str">
            <v>CTC</v>
          </cell>
          <cell r="K5789" t="str">
            <v>YES</v>
          </cell>
        </row>
        <row r="5790">
          <cell r="I5790" t="str">
            <v>V45114</v>
          </cell>
          <cell r="J5790" t="str">
            <v>CTC</v>
          </cell>
          <cell r="K5790" t="str">
            <v>YES</v>
          </cell>
        </row>
        <row r="5791">
          <cell r="I5791" t="str">
            <v>V45120</v>
          </cell>
          <cell r="J5791" t="str">
            <v>CTC</v>
          </cell>
          <cell r="K5791" t="str">
            <v>YES</v>
          </cell>
        </row>
        <row r="5792">
          <cell r="I5792" t="str">
            <v>V45649</v>
          </cell>
          <cell r="J5792" t="str">
            <v>CTC</v>
          </cell>
          <cell r="K5792" t="str">
            <v>YES</v>
          </cell>
        </row>
        <row r="5793">
          <cell r="I5793" t="str">
            <v>V45381</v>
          </cell>
          <cell r="J5793" t="str">
            <v>CTC</v>
          </cell>
          <cell r="K5793" t="str">
            <v>YES</v>
          </cell>
        </row>
        <row r="5794">
          <cell r="I5794" t="str">
            <v>V46901</v>
          </cell>
          <cell r="J5794" t="str">
            <v>CTC</v>
          </cell>
          <cell r="K5794" t="str">
            <v>YES</v>
          </cell>
        </row>
        <row r="5795">
          <cell r="I5795" t="str">
            <v>V40161</v>
          </cell>
          <cell r="J5795" t="str">
            <v>CTC</v>
          </cell>
          <cell r="K5795" t="str">
            <v>YES</v>
          </cell>
        </row>
        <row r="5796">
          <cell r="I5796" t="str">
            <v>V42506</v>
          </cell>
          <cell r="J5796" t="str">
            <v>CTC</v>
          </cell>
          <cell r="K5796" t="str">
            <v>YES</v>
          </cell>
        </row>
        <row r="5797">
          <cell r="I5797" t="str">
            <v>V46304</v>
          </cell>
          <cell r="J5797" t="str">
            <v>CTC</v>
          </cell>
          <cell r="K5797" t="str">
            <v>YES</v>
          </cell>
        </row>
        <row r="5798">
          <cell r="I5798" t="str">
            <v>V45132</v>
          </cell>
          <cell r="J5798" t="str">
            <v>CTC</v>
          </cell>
          <cell r="K5798" t="str">
            <v>YES</v>
          </cell>
        </row>
        <row r="5799">
          <cell r="I5799" t="str">
            <v>V47965</v>
          </cell>
          <cell r="J5799" t="str">
            <v>CTC</v>
          </cell>
          <cell r="K5799" t="str">
            <v>YES</v>
          </cell>
        </row>
        <row r="5800">
          <cell r="I5800" t="str">
            <v>V48906</v>
          </cell>
          <cell r="J5800" t="str">
            <v>CTC</v>
          </cell>
          <cell r="K5800" t="str">
            <v>YES</v>
          </cell>
        </row>
        <row r="5801">
          <cell r="I5801" t="str">
            <v>V43833</v>
          </cell>
          <cell r="J5801" t="str">
            <v>CTC</v>
          </cell>
          <cell r="K5801" t="str">
            <v>YES</v>
          </cell>
        </row>
        <row r="5802">
          <cell r="I5802" t="str">
            <v>V46860</v>
          </cell>
          <cell r="J5802" t="str">
            <v>CTC</v>
          </cell>
          <cell r="K5802" t="str">
            <v>YES</v>
          </cell>
        </row>
        <row r="5803">
          <cell r="I5803" t="str">
            <v>V42484</v>
          </cell>
          <cell r="J5803" t="str">
            <v>CTC</v>
          </cell>
          <cell r="K5803" t="str">
            <v>YES</v>
          </cell>
        </row>
        <row r="5804">
          <cell r="I5804" t="str">
            <v>V43986</v>
          </cell>
          <cell r="J5804" t="str">
            <v>CTC</v>
          </cell>
          <cell r="K5804" t="str">
            <v>YES</v>
          </cell>
        </row>
        <row r="5805">
          <cell r="I5805" t="str">
            <v>V44022</v>
          </cell>
          <cell r="J5805" t="str">
            <v>CTC</v>
          </cell>
          <cell r="K5805" t="str">
            <v>YES</v>
          </cell>
        </row>
        <row r="5806">
          <cell r="I5806" t="str">
            <v>V45115</v>
          </cell>
          <cell r="J5806" t="str">
            <v>CTC</v>
          </cell>
          <cell r="K5806" t="str">
            <v>YES</v>
          </cell>
        </row>
        <row r="5807">
          <cell r="I5807" t="str">
            <v>V43716</v>
          </cell>
          <cell r="J5807" t="str">
            <v>CTC</v>
          </cell>
          <cell r="K5807" t="str">
            <v>YES</v>
          </cell>
        </row>
        <row r="5808">
          <cell r="I5808" t="str">
            <v>V43814</v>
          </cell>
          <cell r="J5808" t="str">
            <v>CTC</v>
          </cell>
          <cell r="K5808" t="str">
            <v>YES</v>
          </cell>
        </row>
        <row r="5809">
          <cell r="I5809" t="str">
            <v>V44914</v>
          </cell>
          <cell r="J5809" t="str">
            <v>CTC</v>
          </cell>
          <cell r="K5809" t="str">
            <v>YES</v>
          </cell>
        </row>
        <row r="5810">
          <cell r="I5810" t="str">
            <v>V43194</v>
          </cell>
          <cell r="J5810" t="str">
            <v>CTC</v>
          </cell>
          <cell r="K5810" t="str">
            <v>YES</v>
          </cell>
        </row>
        <row r="5811">
          <cell r="I5811" t="str">
            <v>V47016</v>
          </cell>
          <cell r="J5811" t="str">
            <v>CTC</v>
          </cell>
          <cell r="K5811" t="str">
            <v>YES</v>
          </cell>
        </row>
        <row r="5812">
          <cell r="I5812" t="str">
            <v>V45127</v>
          </cell>
          <cell r="J5812" t="str">
            <v>CTC</v>
          </cell>
          <cell r="K5812" t="str">
            <v>YES</v>
          </cell>
        </row>
        <row r="5813">
          <cell r="I5813" t="str">
            <v>V43720</v>
          </cell>
          <cell r="J5813" t="str">
            <v>CTC</v>
          </cell>
          <cell r="K5813" t="str">
            <v>YES</v>
          </cell>
        </row>
        <row r="5814">
          <cell r="I5814" t="str">
            <v>V43807</v>
          </cell>
          <cell r="J5814" t="str">
            <v>CTC</v>
          </cell>
          <cell r="K5814" t="str">
            <v>YES</v>
          </cell>
        </row>
        <row r="5815">
          <cell r="I5815" t="str">
            <v>V49887</v>
          </cell>
          <cell r="J5815" t="str">
            <v>CTC</v>
          </cell>
          <cell r="K5815" t="str">
            <v>YES</v>
          </cell>
        </row>
        <row r="5816">
          <cell r="I5816" t="str">
            <v>V44794</v>
          </cell>
          <cell r="J5816" t="str">
            <v>CTC</v>
          </cell>
          <cell r="K5816" t="str">
            <v>YES</v>
          </cell>
        </row>
        <row r="5817">
          <cell r="I5817" t="str">
            <v>V44750</v>
          </cell>
          <cell r="J5817" t="str">
            <v>CTC</v>
          </cell>
          <cell r="K5817" t="str">
            <v>YES</v>
          </cell>
        </row>
        <row r="5818">
          <cell r="I5818" t="str">
            <v>V48237</v>
          </cell>
          <cell r="J5818" t="str">
            <v>CTC</v>
          </cell>
          <cell r="K5818" t="str">
            <v>YES</v>
          </cell>
        </row>
        <row r="5819">
          <cell r="I5819" t="str">
            <v>V43138</v>
          </cell>
          <cell r="J5819" t="str">
            <v>CTC</v>
          </cell>
          <cell r="K5819" t="str">
            <v>YES</v>
          </cell>
        </row>
        <row r="5820">
          <cell r="I5820" t="str">
            <v>V43380</v>
          </cell>
          <cell r="J5820" t="str">
            <v>CTC</v>
          </cell>
          <cell r="K5820" t="str">
            <v>YES</v>
          </cell>
        </row>
        <row r="5821">
          <cell r="I5821" t="str">
            <v>V45494</v>
          </cell>
          <cell r="J5821" t="str">
            <v>CTC</v>
          </cell>
          <cell r="K5821" t="str">
            <v>YES</v>
          </cell>
        </row>
        <row r="5822">
          <cell r="I5822" t="str">
            <v>V45496</v>
          </cell>
          <cell r="J5822" t="str">
            <v>CTC</v>
          </cell>
          <cell r="K5822" t="str">
            <v>YES</v>
          </cell>
        </row>
        <row r="5823">
          <cell r="I5823" t="str">
            <v>V43812</v>
          </cell>
          <cell r="J5823" t="str">
            <v>CTC</v>
          </cell>
          <cell r="K5823" t="str">
            <v>YES</v>
          </cell>
        </row>
        <row r="5824">
          <cell r="I5824" t="str">
            <v>V46588</v>
          </cell>
          <cell r="J5824" t="str">
            <v>CTC</v>
          </cell>
          <cell r="K5824" t="str">
            <v>YES</v>
          </cell>
        </row>
        <row r="5825">
          <cell r="I5825" t="str">
            <v>V47976</v>
          </cell>
          <cell r="J5825" t="str">
            <v>CTC</v>
          </cell>
          <cell r="K5825" t="str">
            <v>YES</v>
          </cell>
        </row>
        <row r="5826">
          <cell r="I5826" t="str">
            <v>V43643</v>
          </cell>
          <cell r="J5826" t="str">
            <v>CTC</v>
          </cell>
          <cell r="K5826" t="str">
            <v>YES</v>
          </cell>
        </row>
        <row r="5827">
          <cell r="I5827" t="str">
            <v>V43569</v>
          </cell>
          <cell r="J5827" t="str">
            <v>CTC</v>
          </cell>
          <cell r="K5827" t="str">
            <v>YES</v>
          </cell>
        </row>
        <row r="5828">
          <cell r="I5828" t="str">
            <v>V37451</v>
          </cell>
          <cell r="J5828" t="str">
            <v>CTC</v>
          </cell>
          <cell r="K5828" t="str">
            <v>YES</v>
          </cell>
        </row>
        <row r="5829">
          <cell r="I5829" t="str">
            <v>V45280</v>
          </cell>
          <cell r="J5829" t="str">
            <v>CTC</v>
          </cell>
          <cell r="K5829" t="str">
            <v>YES</v>
          </cell>
        </row>
        <row r="5830">
          <cell r="I5830" t="str">
            <v>V45869</v>
          </cell>
          <cell r="J5830" t="str">
            <v>CTC</v>
          </cell>
          <cell r="K5830" t="str">
            <v>YES</v>
          </cell>
        </row>
        <row r="5831">
          <cell r="I5831" t="str">
            <v>V40040</v>
          </cell>
          <cell r="J5831" t="str">
            <v>CTC</v>
          </cell>
          <cell r="K5831" t="str">
            <v>YES</v>
          </cell>
        </row>
        <row r="5832">
          <cell r="I5832" t="str">
            <v>V47389</v>
          </cell>
          <cell r="J5832" t="str">
            <v>CTC</v>
          </cell>
          <cell r="K5832" t="str">
            <v>YES</v>
          </cell>
        </row>
        <row r="5833">
          <cell r="I5833" t="str">
            <v>V43396</v>
          </cell>
          <cell r="J5833" t="str">
            <v>CTC</v>
          </cell>
          <cell r="K5833" t="str">
            <v>YES</v>
          </cell>
        </row>
        <row r="5834">
          <cell r="I5834" t="str">
            <v>V45567</v>
          </cell>
          <cell r="J5834" t="str">
            <v>CTC</v>
          </cell>
          <cell r="K5834" t="str">
            <v>YES</v>
          </cell>
        </row>
        <row r="5835">
          <cell r="I5835" t="str">
            <v>V44042</v>
          </cell>
          <cell r="J5835" t="str">
            <v>CTC</v>
          </cell>
          <cell r="K5835" t="str">
            <v>YES</v>
          </cell>
        </row>
        <row r="5836">
          <cell r="I5836" t="str">
            <v>V44539</v>
          </cell>
          <cell r="J5836" t="str">
            <v>CTC</v>
          </cell>
          <cell r="K5836" t="str">
            <v>YES</v>
          </cell>
        </row>
        <row r="5837">
          <cell r="I5837" t="str">
            <v>V44160</v>
          </cell>
          <cell r="J5837" t="str">
            <v>CTC</v>
          </cell>
          <cell r="K5837" t="str">
            <v>YES</v>
          </cell>
        </row>
        <row r="5838">
          <cell r="I5838" t="str">
            <v>V39761</v>
          </cell>
          <cell r="J5838" t="str">
            <v>CTC</v>
          </cell>
          <cell r="K5838" t="str">
            <v>YES</v>
          </cell>
        </row>
        <row r="5839">
          <cell r="I5839" t="str">
            <v>V42492</v>
          </cell>
          <cell r="J5839" t="str">
            <v>CTC</v>
          </cell>
          <cell r="K5839" t="str">
            <v>YES</v>
          </cell>
        </row>
        <row r="5840">
          <cell r="I5840" t="str">
            <v>V43836</v>
          </cell>
          <cell r="J5840" t="str">
            <v>CTC</v>
          </cell>
          <cell r="K5840" t="str">
            <v>YES</v>
          </cell>
        </row>
        <row r="5841">
          <cell r="I5841" t="str">
            <v>V46833</v>
          </cell>
          <cell r="J5841" t="str">
            <v>CTC</v>
          </cell>
          <cell r="K5841" t="str">
            <v>YES</v>
          </cell>
        </row>
        <row r="5842">
          <cell r="I5842" t="str">
            <v>V44362</v>
          </cell>
          <cell r="J5842" t="str">
            <v>CTC</v>
          </cell>
          <cell r="K5842" t="str">
            <v>YES</v>
          </cell>
        </row>
        <row r="5843">
          <cell r="I5843" t="str">
            <v>V47451</v>
          </cell>
          <cell r="J5843" t="str">
            <v>CTC</v>
          </cell>
          <cell r="K5843" t="str">
            <v>YES</v>
          </cell>
        </row>
        <row r="5844">
          <cell r="I5844" t="str">
            <v>V46007</v>
          </cell>
          <cell r="J5844" t="str">
            <v>CTC</v>
          </cell>
          <cell r="K5844" t="str">
            <v>YES</v>
          </cell>
        </row>
        <row r="5845">
          <cell r="I5845" t="str">
            <v>V42645</v>
          </cell>
          <cell r="J5845" t="str">
            <v>CTC</v>
          </cell>
          <cell r="K5845" t="str">
            <v>YES</v>
          </cell>
        </row>
        <row r="5846">
          <cell r="I5846" t="str">
            <v>V45497</v>
          </cell>
          <cell r="J5846" t="str">
            <v>CTC</v>
          </cell>
          <cell r="K5846" t="str">
            <v>YES</v>
          </cell>
        </row>
        <row r="5847">
          <cell r="I5847" t="str">
            <v>V43463</v>
          </cell>
          <cell r="J5847" t="str">
            <v>CTC</v>
          </cell>
          <cell r="K5847" t="str">
            <v>YES</v>
          </cell>
        </row>
        <row r="5848">
          <cell r="I5848" t="str">
            <v>V46660</v>
          </cell>
          <cell r="J5848" t="str">
            <v>CTC</v>
          </cell>
          <cell r="K5848" t="str">
            <v>YES</v>
          </cell>
        </row>
        <row r="5849">
          <cell r="I5849" t="str">
            <v>V45057</v>
          </cell>
          <cell r="J5849" t="str">
            <v>CTC</v>
          </cell>
          <cell r="K5849" t="str">
            <v>YES</v>
          </cell>
        </row>
        <row r="5850">
          <cell r="I5850" t="str">
            <v>V45407</v>
          </cell>
          <cell r="J5850" t="str">
            <v>CTC</v>
          </cell>
          <cell r="K5850" t="str">
            <v>YES</v>
          </cell>
        </row>
        <row r="5851">
          <cell r="I5851" t="str">
            <v>V45409</v>
          </cell>
          <cell r="J5851" t="str">
            <v>CTC</v>
          </cell>
          <cell r="K5851" t="str">
            <v>YES</v>
          </cell>
        </row>
        <row r="5852">
          <cell r="I5852" t="str">
            <v>V48333</v>
          </cell>
          <cell r="J5852" t="str">
            <v>CTC</v>
          </cell>
          <cell r="K5852" t="str">
            <v>YES</v>
          </cell>
        </row>
        <row r="5853">
          <cell r="I5853" t="str">
            <v>V44456</v>
          </cell>
          <cell r="J5853" t="str">
            <v>CTC</v>
          </cell>
          <cell r="K5853" t="str">
            <v>YES</v>
          </cell>
        </row>
        <row r="5854">
          <cell r="I5854" t="str">
            <v>V51386</v>
          </cell>
          <cell r="J5854" t="str">
            <v>CTC</v>
          </cell>
          <cell r="K5854" t="str">
            <v>YES</v>
          </cell>
        </row>
        <row r="5855">
          <cell r="I5855" t="str">
            <v>V44197</v>
          </cell>
          <cell r="J5855" t="str">
            <v>CTC</v>
          </cell>
          <cell r="K5855" t="str">
            <v>YES</v>
          </cell>
        </row>
        <row r="5856">
          <cell r="I5856" t="str">
            <v>V44435</v>
          </cell>
          <cell r="J5856" t="str">
            <v>CTC</v>
          </cell>
          <cell r="K5856" t="str">
            <v>YES</v>
          </cell>
        </row>
        <row r="5857">
          <cell r="I5857" t="str">
            <v>V44528</v>
          </cell>
          <cell r="J5857" t="str">
            <v>CTC</v>
          </cell>
          <cell r="K5857" t="str">
            <v>YES</v>
          </cell>
        </row>
        <row r="5858">
          <cell r="I5858" t="str">
            <v>V43806</v>
          </cell>
          <cell r="J5858" t="str">
            <v>CTC</v>
          </cell>
          <cell r="K5858" t="str">
            <v>YES</v>
          </cell>
        </row>
        <row r="5859">
          <cell r="I5859" t="str">
            <v>V43633</v>
          </cell>
          <cell r="J5859" t="str">
            <v>CTC</v>
          </cell>
          <cell r="K5859" t="str">
            <v>YES</v>
          </cell>
        </row>
        <row r="5860">
          <cell r="I5860" t="str">
            <v>V43485</v>
          </cell>
          <cell r="J5860" t="str">
            <v>CTC</v>
          </cell>
          <cell r="K5860" t="str">
            <v>YES</v>
          </cell>
        </row>
        <row r="5861">
          <cell r="I5861" t="str">
            <v>V43319</v>
          </cell>
          <cell r="J5861" t="str">
            <v>CTC</v>
          </cell>
          <cell r="K5861" t="str">
            <v>YES</v>
          </cell>
        </row>
        <row r="5862">
          <cell r="I5862" t="str">
            <v>V45049</v>
          </cell>
          <cell r="J5862" t="str">
            <v>CTC</v>
          </cell>
          <cell r="K5862" t="str">
            <v>YES</v>
          </cell>
        </row>
        <row r="5863">
          <cell r="I5863" t="str">
            <v>V39918</v>
          </cell>
          <cell r="J5863" t="str">
            <v>CTC</v>
          </cell>
          <cell r="K5863" t="str">
            <v>YES</v>
          </cell>
        </row>
        <row r="5864">
          <cell r="I5864" t="str">
            <v>V45124</v>
          </cell>
          <cell r="J5864" t="str">
            <v>CTC</v>
          </cell>
          <cell r="K5864" t="str">
            <v>YES</v>
          </cell>
        </row>
        <row r="5865">
          <cell r="I5865" t="str">
            <v>V44401</v>
          </cell>
          <cell r="J5865" t="str">
            <v>CTC</v>
          </cell>
          <cell r="K5865" t="str">
            <v>YES</v>
          </cell>
        </row>
        <row r="5866">
          <cell r="I5866" t="str">
            <v>V46493</v>
          </cell>
          <cell r="J5866" t="str">
            <v>CTC</v>
          </cell>
          <cell r="K5866" t="str">
            <v>YES</v>
          </cell>
        </row>
        <row r="5867">
          <cell r="I5867" t="str">
            <v>V44017</v>
          </cell>
          <cell r="J5867" t="str">
            <v>CTC</v>
          </cell>
          <cell r="K5867" t="str">
            <v>YES</v>
          </cell>
        </row>
        <row r="5868">
          <cell r="I5868" t="str">
            <v>V44290</v>
          </cell>
          <cell r="J5868" t="str">
            <v>CTC</v>
          </cell>
          <cell r="K5868" t="str">
            <v>YES</v>
          </cell>
        </row>
        <row r="5869">
          <cell r="I5869" t="str">
            <v>V46355</v>
          </cell>
          <cell r="J5869" t="str">
            <v>CTC</v>
          </cell>
          <cell r="K5869" t="str">
            <v>YES</v>
          </cell>
        </row>
        <row r="5870">
          <cell r="I5870" t="str">
            <v>V40178</v>
          </cell>
          <cell r="J5870" t="str">
            <v>CTC</v>
          </cell>
          <cell r="K5870" t="str">
            <v>YES</v>
          </cell>
        </row>
        <row r="5871">
          <cell r="I5871" t="str">
            <v>V44179</v>
          </cell>
          <cell r="J5871" t="str">
            <v>CTC</v>
          </cell>
          <cell r="K5871" t="str">
            <v>YES</v>
          </cell>
        </row>
        <row r="5872">
          <cell r="I5872" t="str">
            <v>V46749</v>
          </cell>
          <cell r="J5872" t="str">
            <v>CTC</v>
          </cell>
          <cell r="K5872" t="str">
            <v>YES</v>
          </cell>
        </row>
        <row r="5873">
          <cell r="I5873" t="str">
            <v>V44524</v>
          </cell>
          <cell r="J5873" t="str">
            <v>CTC</v>
          </cell>
          <cell r="K5873" t="str">
            <v>YES</v>
          </cell>
        </row>
        <row r="5874">
          <cell r="I5874" t="str">
            <v>V45377</v>
          </cell>
          <cell r="J5874" t="str">
            <v>CTC</v>
          </cell>
          <cell r="K5874" t="str">
            <v>YES</v>
          </cell>
        </row>
        <row r="5875">
          <cell r="I5875" t="str">
            <v>V43827</v>
          </cell>
          <cell r="J5875" t="str">
            <v>CTC</v>
          </cell>
          <cell r="K5875" t="str">
            <v>YES</v>
          </cell>
        </row>
        <row r="5876">
          <cell r="I5876" t="str">
            <v>V43837</v>
          </cell>
          <cell r="J5876" t="str">
            <v>CTC</v>
          </cell>
          <cell r="K5876" t="str">
            <v>YES</v>
          </cell>
        </row>
        <row r="5877">
          <cell r="I5877" t="str">
            <v>V46495</v>
          </cell>
          <cell r="J5877" t="str">
            <v>CTC</v>
          </cell>
          <cell r="K5877" t="str">
            <v>YES</v>
          </cell>
        </row>
        <row r="5878">
          <cell r="I5878" t="str">
            <v>V46581</v>
          </cell>
          <cell r="J5878" t="str">
            <v>CTC</v>
          </cell>
          <cell r="K5878" t="str">
            <v>YES</v>
          </cell>
        </row>
        <row r="5879">
          <cell r="I5879" t="str">
            <v>V46616</v>
          </cell>
          <cell r="J5879" t="str">
            <v>CTC</v>
          </cell>
          <cell r="K5879" t="str">
            <v>YES</v>
          </cell>
        </row>
        <row r="5880">
          <cell r="I5880" t="str">
            <v>V32299</v>
          </cell>
          <cell r="J5880" t="str">
            <v>CTC</v>
          </cell>
          <cell r="K5880" t="str">
            <v>YES</v>
          </cell>
        </row>
        <row r="5881">
          <cell r="I5881" t="str">
            <v>V45821</v>
          </cell>
          <cell r="J5881" t="str">
            <v>CTC</v>
          </cell>
          <cell r="K5881" t="str">
            <v>YES</v>
          </cell>
        </row>
        <row r="5882">
          <cell r="I5882" t="str">
            <v>V45931</v>
          </cell>
          <cell r="J5882" t="str">
            <v>CTC</v>
          </cell>
          <cell r="K5882" t="str">
            <v>YES</v>
          </cell>
        </row>
        <row r="5883">
          <cell r="I5883" t="str">
            <v>V44170</v>
          </cell>
          <cell r="J5883" t="str">
            <v>CTC</v>
          </cell>
          <cell r="K5883" t="str">
            <v>YES</v>
          </cell>
        </row>
        <row r="5884">
          <cell r="I5884" t="str">
            <v>V44193</v>
          </cell>
          <cell r="J5884" t="str">
            <v>CTC</v>
          </cell>
          <cell r="K5884" t="str">
            <v>YES</v>
          </cell>
        </row>
        <row r="5885">
          <cell r="I5885" t="str">
            <v>V44681</v>
          </cell>
          <cell r="J5885" t="str">
            <v>CTC</v>
          </cell>
          <cell r="K5885" t="str">
            <v>YES</v>
          </cell>
        </row>
        <row r="5886">
          <cell r="I5886" t="str">
            <v>V44989</v>
          </cell>
          <cell r="J5886" t="str">
            <v>CTC</v>
          </cell>
          <cell r="K5886" t="str">
            <v>YES</v>
          </cell>
        </row>
        <row r="5887">
          <cell r="I5887" t="str">
            <v>V43129</v>
          </cell>
          <cell r="J5887" t="str">
            <v>CTC</v>
          </cell>
          <cell r="K5887" t="str">
            <v>YES</v>
          </cell>
        </row>
        <row r="5888">
          <cell r="I5888" t="str">
            <v>V44147</v>
          </cell>
          <cell r="J5888" t="str">
            <v>CTC</v>
          </cell>
          <cell r="K5888" t="str">
            <v>YES</v>
          </cell>
        </row>
        <row r="5889">
          <cell r="I5889" t="str">
            <v>V29901</v>
          </cell>
          <cell r="J5889" t="str">
            <v>CTC</v>
          </cell>
          <cell r="K5889" t="str">
            <v>YES</v>
          </cell>
        </row>
        <row r="5890">
          <cell r="I5890" t="str">
            <v>V44521</v>
          </cell>
          <cell r="J5890" t="str">
            <v>CTC</v>
          </cell>
          <cell r="K5890" t="str">
            <v>YES</v>
          </cell>
        </row>
        <row r="5891">
          <cell r="I5891" t="str">
            <v>V51166</v>
          </cell>
          <cell r="J5891" t="str">
            <v>CTC</v>
          </cell>
          <cell r="K5891" t="str">
            <v>YES</v>
          </cell>
        </row>
        <row r="5892">
          <cell r="I5892" t="str">
            <v>V43414</v>
          </cell>
          <cell r="J5892" t="str">
            <v>CTC</v>
          </cell>
          <cell r="K5892" t="str">
            <v>YES</v>
          </cell>
        </row>
        <row r="5893">
          <cell r="I5893" t="str">
            <v>V47993</v>
          </cell>
          <cell r="J5893" t="str">
            <v>CTC</v>
          </cell>
          <cell r="K5893" t="str">
            <v>YES</v>
          </cell>
        </row>
        <row r="5894">
          <cell r="I5894" t="str">
            <v>V48093</v>
          </cell>
          <cell r="J5894" t="str">
            <v>CTC</v>
          </cell>
          <cell r="K5894" t="str">
            <v>YES</v>
          </cell>
        </row>
        <row r="5895">
          <cell r="I5895" t="str">
            <v>V46840</v>
          </cell>
          <cell r="J5895" t="str">
            <v>CTC</v>
          </cell>
          <cell r="K5895" t="str">
            <v>YES</v>
          </cell>
        </row>
        <row r="5896">
          <cell r="I5896" t="str">
            <v>V43910</v>
          </cell>
          <cell r="J5896" t="str">
            <v>CTC</v>
          </cell>
          <cell r="K5896" t="str">
            <v>YES</v>
          </cell>
        </row>
        <row r="5897">
          <cell r="I5897" t="str">
            <v>V44097</v>
          </cell>
          <cell r="J5897" t="str">
            <v>CTC</v>
          </cell>
          <cell r="K5897" t="str">
            <v>YES</v>
          </cell>
        </row>
        <row r="5898">
          <cell r="I5898" t="str">
            <v>V44099</v>
          </cell>
          <cell r="J5898" t="str">
            <v>CTC</v>
          </cell>
          <cell r="K5898" t="str">
            <v>YES</v>
          </cell>
        </row>
        <row r="5899">
          <cell r="I5899" t="str">
            <v>V44176</v>
          </cell>
          <cell r="J5899" t="str">
            <v>CTC</v>
          </cell>
          <cell r="K5899" t="str">
            <v>YES</v>
          </cell>
        </row>
        <row r="5900">
          <cell r="I5900" t="str">
            <v>V44402</v>
          </cell>
          <cell r="J5900" t="str">
            <v>CTC</v>
          </cell>
          <cell r="K5900" t="str">
            <v>YES</v>
          </cell>
        </row>
        <row r="5901">
          <cell r="I5901" t="str">
            <v>V43781</v>
          </cell>
          <cell r="J5901" t="str">
            <v>CTC</v>
          </cell>
          <cell r="K5901" t="str">
            <v>YES</v>
          </cell>
        </row>
        <row r="5902">
          <cell r="I5902" t="str">
            <v>V46994</v>
          </cell>
          <cell r="J5902" t="str">
            <v>CTC</v>
          </cell>
          <cell r="K5902" t="str">
            <v>YES</v>
          </cell>
        </row>
        <row r="5903">
          <cell r="I5903" t="str">
            <v>V46897</v>
          </cell>
          <cell r="J5903" t="str">
            <v>CTC</v>
          </cell>
          <cell r="K5903" t="str">
            <v>YES</v>
          </cell>
        </row>
        <row r="5904">
          <cell r="I5904" t="str">
            <v>V44439</v>
          </cell>
          <cell r="J5904" t="str">
            <v>CTC</v>
          </cell>
          <cell r="K5904" t="str">
            <v>YES</v>
          </cell>
        </row>
        <row r="5905">
          <cell r="I5905" t="str">
            <v>V48064</v>
          </cell>
          <cell r="J5905" t="str">
            <v>CTC</v>
          </cell>
          <cell r="K5905" t="str">
            <v>YES</v>
          </cell>
        </row>
        <row r="5906">
          <cell r="I5906" t="str">
            <v>V43968</v>
          </cell>
          <cell r="J5906" t="str">
            <v>CTC</v>
          </cell>
          <cell r="K5906" t="str">
            <v>YES</v>
          </cell>
        </row>
        <row r="5907">
          <cell r="I5907" t="str">
            <v>V44680</v>
          </cell>
          <cell r="J5907" t="str">
            <v>CTC</v>
          </cell>
          <cell r="K5907" t="str">
            <v>YES</v>
          </cell>
        </row>
        <row r="5908">
          <cell r="I5908" t="str">
            <v>V46850</v>
          </cell>
          <cell r="J5908" t="str">
            <v>CTC</v>
          </cell>
          <cell r="K5908" t="str">
            <v>YES</v>
          </cell>
        </row>
        <row r="5909">
          <cell r="I5909" t="str">
            <v>V46573</v>
          </cell>
          <cell r="J5909" t="str">
            <v>CTC</v>
          </cell>
          <cell r="K5909" t="str">
            <v>YES</v>
          </cell>
        </row>
        <row r="5910">
          <cell r="I5910" t="str">
            <v>V46565</v>
          </cell>
          <cell r="J5910" t="str">
            <v>CTC</v>
          </cell>
          <cell r="K5910" t="str">
            <v>YES</v>
          </cell>
        </row>
        <row r="5911">
          <cell r="I5911" t="str">
            <v>V45320</v>
          </cell>
          <cell r="J5911" t="str">
            <v>CTC</v>
          </cell>
          <cell r="K5911" t="str">
            <v>YES</v>
          </cell>
        </row>
        <row r="5912">
          <cell r="I5912" t="str">
            <v>V49890</v>
          </cell>
          <cell r="J5912" t="str">
            <v>CTC</v>
          </cell>
          <cell r="K5912" t="str">
            <v>YES</v>
          </cell>
        </row>
        <row r="5913">
          <cell r="I5913" t="str">
            <v>V45770</v>
          </cell>
          <cell r="J5913" t="str">
            <v>CTC</v>
          </cell>
          <cell r="K5913" t="str">
            <v>YES</v>
          </cell>
        </row>
        <row r="5914">
          <cell r="I5914" t="str">
            <v>V44729</v>
          </cell>
          <cell r="J5914" t="str">
            <v>CTC</v>
          </cell>
          <cell r="K5914" t="str">
            <v>YES</v>
          </cell>
        </row>
        <row r="5915">
          <cell r="I5915" t="str">
            <v>V44175</v>
          </cell>
          <cell r="J5915" t="str">
            <v>CTC</v>
          </cell>
          <cell r="K5915" t="str">
            <v>YES</v>
          </cell>
        </row>
        <row r="5916">
          <cell r="I5916" t="str">
            <v>V44538</v>
          </cell>
          <cell r="J5916" t="str">
            <v>CTC</v>
          </cell>
          <cell r="K5916" t="str">
            <v>YES</v>
          </cell>
        </row>
        <row r="5917">
          <cell r="I5917" t="str">
            <v>V44547</v>
          </cell>
          <cell r="J5917" t="str">
            <v>CTC</v>
          </cell>
          <cell r="K5917" t="str">
            <v>YES</v>
          </cell>
        </row>
        <row r="5918">
          <cell r="I5918" t="str">
            <v>V44712</v>
          </cell>
          <cell r="J5918" t="str">
            <v>CTC</v>
          </cell>
          <cell r="K5918" t="str">
            <v>YES</v>
          </cell>
        </row>
        <row r="5919">
          <cell r="I5919" t="str">
            <v>V47990</v>
          </cell>
          <cell r="J5919" t="str">
            <v>CTC</v>
          </cell>
          <cell r="K5919" t="str">
            <v>YES</v>
          </cell>
        </row>
        <row r="5920">
          <cell r="I5920" t="str">
            <v>V38083</v>
          </cell>
          <cell r="J5920" t="str">
            <v>CTC</v>
          </cell>
          <cell r="K5920" t="str">
            <v>YES</v>
          </cell>
        </row>
        <row r="5921">
          <cell r="I5921" t="str">
            <v>V44064</v>
          </cell>
          <cell r="J5921" t="str">
            <v>CTC</v>
          </cell>
          <cell r="K5921" t="str">
            <v>YES</v>
          </cell>
        </row>
        <row r="5922">
          <cell r="I5922" t="str">
            <v>V46354</v>
          </cell>
          <cell r="J5922" t="str">
            <v>CTC</v>
          </cell>
          <cell r="K5922" t="str">
            <v>YES</v>
          </cell>
        </row>
        <row r="5923">
          <cell r="I5923" t="str">
            <v>V43912</v>
          </cell>
          <cell r="J5923" t="str">
            <v>CTC</v>
          </cell>
          <cell r="K5923" t="str">
            <v>YES</v>
          </cell>
        </row>
        <row r="5924">
          <cell r="I5924" t="str">
            <v>V50932</v>
          </cell>
          <cell r="J5924" t="str">
            <v>CTC</v>
          </cell>
          <cell r="K5924" t="str">
            <v>YES</v>
          </cell>
        </row>
        <row r="5925">
          <cell r="I5925" t="str">
            <v>V49362</v>
          </cell>
          <cell r="J5925" t="str">
            <v>CTC</v>
          </cell>
          <cell r="K5925" t="str">
            <v>YES</v>
          </cell>
        </row>
        <row r="5926">
          <cell r="I5926" t="str">
            <v>V46163</v>
          </cell>
          <cell r="J5926" t="str">
            <v>CTC</v>
          </cell>
          <cell r="K5926" t="str">
            <v>YES</v>
          </cell>
        </row>
        <row r="5927">
          <cell r="I5927" t="str">
            <v>V43515</v>
          </cell>
          <cell r="J5927" t="str">
            <v>CTC</v>
          </cell>
          <cell r="K5927" t="str">
            <v>YES</v>
          </cell>
        </row>
        <row r="5928">
          <cell r="I5928" t="str">
            <v>V43415</v>
          </cell>
          <cell r="J5928" t="str">
            <v>CTC</v>
          </cell>
          <cell r="K5928" t="str">
            <v>YES</v>
          </cell>
        </row>
        <row r="5929">
          <cell r="I5929" t="str">
            <v>V46238</v>
          </cell>
          <cell r="J5929" t="str">
            <v>CTC</v>
          </cell>
          <cell r="K5929" t="str">
            <v>YES</v>
          </cell>
        </row>
        <row r="5930">
          <cell r="I5930" t="str">
            <v>V48338</v>
          </cell>
          <cell r="J5930" t="str">
            <v>CTC</v>
          </cell>
          <cell r="K5930" t="str">
            <v>YES</v>
          </cell>
        </row>
        <row r="5931">
          <cell r="I5931" t="str">
            <v>V43269</v>
          </cell>
          <cell r="J5931" t="str">
            <v>CTC</v>
          </cell>
          <cell r="K5931" t="str">
            <v>YES</v>
          </cell>
        </row>
        <row r="5932">
          <cell r="I5932" t="str">
            <v>V44965</v>
          </cell>
          <cell r="J5932" t="str">
            <v>CTC</v>
          </cell>
          <cell r="K5932" t="str">
            <v>YES</v>
          </cell>
        </row>
        <row r="5933">
          <cell r="I5933" t="str">
            <v>V49026</v>
          </cell>
          <cell r="J5933" t="str">
            <v>CTC</v>
          </cell>
          <cell r="K5933" t="str">
            <v>YES</v>
          </cell>
        </row>
        <row r="5934">
          <cell r="I5934" t="str">
            <v>V45535</v>
          </cell>
          <cell r="J5934" t="str">
            <v>CTC</v>
          </cell>
          <cell r="K5934" t="str">
            <v>YES</v>
          </cell>
        </row>
        <row r="5935">
          <cell r="I5935" t="str">
            <v>V45834</v>
          </cell>
          <cell r="J5935" t="str">
            <v>CTC</v>
          </cell>
          <cell r="K5935" t="str">
            <v>YES</v>
          </cell>
        </row>
        <row r="5936">
          <cell r="I5936" t="str">
            <v>V46563</v>
          </cell>
          <cell r="J5936" t="str">
            <v>CTC</v>
          </cell>
          <cell r="K5936" t="str">
            <v>YES</v>
          </cell>
        </row>
        <row r="5937">
          <cell r="I5937" t="str">
            <v>V43204</v>
          </cell>
          <cell r="J5937" t="str">
            <v>CTC</v>
          </cell>
          <cell r="K5937" t="str">
            <v>YES</v>
          </cell>
        </row>
        <row r="5938">
          <cell r="I5938" t="str">
            <v>V44225</v>
          </cell>
          <cell r="J5938" t="str">
            <v>CTC</v>
          </cell>
          <cell r="K5938" t="str">
            <v>YES</v>
          </cell>
        </row>
        <row r="5939">
          <cell r="I5939" t="str">
            <v>V44228</v>
          </cell>
          <cell r="J5939" t="str">
            <v>CTC</v>
          </cell>
          <cell r="K5939" t="str">
            <v>YES</v>
          </cell>
        </row>
        <row r="5940">
          <cell r="I5940" t="str">
            <v>V47831</v>
          </cell>
          <cell r="J5940" t="str">
            <v>CTC</v>
          </cell>
          <cell r="K5940" t="str">
            <v>YES</v>
          </cell>
        </row>
        <row r="5941">
          <cell r="I5941" t="str">
            <v>V45051</v>
          </cell>
          <cell r="J5941" t="str">
            <v>CTC</v>
          </cell>
          <cell r="K5941" t="str">
            <v>YES</v>
          </cell>
        </row>
        <row r="5942">
          <cell r="I5942" t="str">
            <v>V45550</v>
          </cell>
          <cell r="J5942" t="str">
            <v>CTC</v>
          </cell>
          <cell r="K5942" t="str">
            <v>YES</v>
          </cell>
        </row>
        <row r="5943">
          <cell r="I5943" t="str">
            <v>V45036</v>
          </cell>
          <cell r="J5943" t="str">
            <v>CTC</v>
          </cell>
          <cell r="K5943" t="str">
            <v>YES</v>
          </cell>
        </row>
        <row r="5944">
          <cell r="I5944" t="str">
            <v>V44098</v>
          </cell>
          <cell r="J5944" t="str">
            <v>CTC</v>
          </cell>
          <cell r="K5944" t="str">
            <v>YES</v>
          </cell>
        </row>
        <row r="5945">
          <cell r="I5945" t="str">
            <v>V44405</v>
          </cell>
          <cell r="J5945" t="str">
            <v>CTC</v>
          </cell>
          <cell r="K5945" t="str">
            <v>YES</v>
          </cell>
        </row>
        <row r="5946">
          <cell r="I5946" t="str">
            <v>V44254</v>
          </cell>
          <cell r="J5946" t="str">
            <v>CTC</v>
          </cell>
          <cell r="K5946" t="str">
            <v>YES</v>
          </cell>
        </row>
        <row r="5947">
          <cell r="I5947" t="str">
            <v>V45128</v>
          </cell>
          <cell r="J5947" t="str">
            <v>CTC</v>
          </cell>
          <cell r="K5947" t="str">
            <v>YES</v>
          </cell>
        </row>
        <row r="5948">
          <cell r="I5948" t="str">
            <v>V44441</v>
          </cell>
          <cell r="J5948" t="str">
            <v>CTC</v>
          </cell>
          <cell r="K5948" t="str">
            <v>YES</v>
          </cell>
        </row>
        <row r="5949">
          <cell r="I5949" t="str">
            <v>V44103</v>
          </cell>
          <cell r="J5949" t="str">
            <v>CTC</v>
          </cell>
          <cell r="K5949" t="str">
            <v>YES</v>
          </cell>
        </row>
        <row r="5950">
          <cell r="I5950" t="str">
            <v>V44272</v>
          </cell>
          <cell r="J5950" t="str">
            <v>CTC</v>
          </cell>
          <cell r="K5950" t="str">
            <v>YES</v>
          </cell>
        </row>
        <row r="5951">
          <cell r="I5951" t="str">
            <v>V45954</v>
          </cell>
          <cell r="J5951" t="str">
            <v>CTC</v>
          </cell>
          <cell r="K5951" t="str">
            <v>YES</v>
          </cell>
        </row>
        <row r="5952">
          <cell r="I5952" t="str">
            <v>V45123</v>
          </cell>
          <cell r="J5952" t="str">
            <v>CTC</v>
          </cell>
          <cell r="K5952" t="str">
            <v>YES</v>
          </cell>
        </row>
        <row r="5953">
          <cell r="I5953" t="str">
            <v>V43810</v>
          </cell>
          <cell r="J5953" t="str">
            <v>CTC</v>
          </cell>
          <cell r="K5953" t="str">
            <v>YES</v>
          </cell>
        </row>
        <row r="5954">
          <cell r="I5954" t="str">
            <v>V44682</v>
          </cell>
          <cell r="J5954" t="str">
            <v>CTC</v>
          </cell>
          <cell r="K5954" t="str">
            <v>YES</v>
          </cell>
        </row>
        <row r="5955">
          <cell r="I5955" t="str">
            <v>V46728</v>
          </cell>
          <cell r="J5955" t="str">
            <v>CTC</v>
          </cell>
          <cell r="K5955" t="str">
            <v>YES</v>
          </cell>
        </row>
        <row r="5956">
          <cell r="I5956" t="str">
            <v>V43817</v>
          </cell>
          <cell r="J5956" t="str">
            <v>CTC</v>
          </cell>
          <cell r="K5956" t="str">
            <v>YES</v>
          </cell>
        </row>
        <row r="5957">
          <cell r="I5957" t="str">
            <v>V46289</v>
          </cell>
          <cell r="J5957" t="str">
            <v>CTC</v>
          </cell>
          <cell r="K5957" t="str">
            <v>YES</v>
          </cell>
        </row>
        <row r="5958">
          <cell r="I5958" t="str">
            <v>V45050</v>
          </cell>
          <cell r="J5958" t="str">
            <v>CTC</v>
          </cell>
          <cell r="K5958" t="str">
            <v>YES</v>
          </cell>
        </row>
        <row r="5959">
          <cell r="I5959" t="str">
            <v>V42290</v>
          </cell>
          <cell r="J5959" t="str">
            <v>CTC</v>
          </cell>
          <cell r="K5959" t="str">
            <v>YES</v>
          </cell>
        </row>
        <row r="5960">
          <cell r="I5960" t="str">
            <v>V46454</v>
          </cell>
          <cell r="J5960" t="str">
            <v>CTC</v>
          </cell>
          <cell r="K5960" t="str">
            <v>YES</v>
          </cell>
        </row>
        <row r="5961">
          <cell r="I5961" t="str">
            <v>V44448</v>
          </cell>
          <cell r="J5961" t="str">
            <v>CTC</v>
          </cell>
          <cell r="K5961" t="str">
            <v>YES</v>
          </cell>
        </row>
        <row r="5962">
          <cell r="I5962" t="str">
            <v>V46880</v>
          </cell>
          <cell r="J5962" t="str">
            <v>CTC</v>
          </cell>
          <cell r="K5962" t="str">
            <v>YES</v>
          </cell>
        </row>
        <row r="5963">
          <cell r="I5963" t="str">
            <v>V48133</v>
          </cell>
          <cell r="J5963" t="str">
            <v>CTC</v>
          </cell>
          <cell r="K5963" t="str">
            <v>YES</v>
          </cell>
        </row>
        <row r="5964">
          <cell r="I5964" t="str">
            <v>V27241</v>
          </cell>
          <cell r="J5964" t="str">
            <v>CTC</v>
          </cell>
          <cell r="K5964" t="str">
            <v>YES</v>
          </cell>
        </row>
        <row r="5965">
          <cell r="I5965" t="str">
            <v>V42493</v>
          </cell>
          <cell r="J5965" t="str">
            <v>CTC</v>
          </cell>
          <cell r="K5965" t="str">
            <v>YES</v>
          </cell>
        </row>
        <row r="5966">
          <cell r="I5966" t="str">
            <v>V44763</v>
          </cell>
          <cell r="J5966" t="str">
            <v>CTC</v>
          </cell>
          <cell r="K5966" t="str">
            <v>YES</v>
          </cell>
        </row>
        <row r="5967">
          <cell r="I5967" t="str">
            <v>V46445</v>
          </cell>
          <cell r="J5967" t="str">
            <v>CTC</v>
          </cell>
          <cell r="K5967" t="str">
            <v>YES</v>
          </cell>
        </row>
        <row r="5968">
          <cell r="I5968" t="str">
            <v>V44234</v>
          </cell>
          <cell r="J5968" t="str">
            <v>CTC</v>
          </cell>
          <cell r="K5968" t="str">
            <v>YES</v>
          </cell>
        </row>
        <row r="5969">
          <cell r="I5969" t="str">
            <v>V44545</v>
          </cell>
          <cell r="J5969" t="str">
            <v>CTC</v>
          </cell>
          <cell r="K5969" t="str">
            <v>YES</v>
          </cell>
        </row>
        <row r="5970">
          <cell r="I5970" t="str">
            <v>V45453</v>
          </cell>
          <cell r="J5970" t="str">
            <v>CTC</v>
          </cell>
          <cell r="K5970" t="str">
            <v>YES</v>
          </cell>
        </row>
        <row r="5971">
          <cell r="I5971" t="str">
            <v>V45922</v>
          </cell>
          <cell r="J5971" t="str">
            <v>CTC</v>
          </cell>
          <cell r="K5971" t="str">
            <v>YES</v>
          </cell>
        </row>
        <row r="5972">
          <cell r="I5972" t="str">
            <v>V46024</v>
          </cell>
          <cell r="J5972" t="str">
            <v>CTC</v>
          </cell>
          <cell r="K5972" t="str">
            <v>YES</v>
          </cell>
        </row>
        <row r="5973">
          <cell r="I5973" t="str">
            <v>V46036</v>
          </cell>
          <cell r="J5973" t="str">
            <v>CTC</v>
          </cell>
          <cell r="K5973" t="str">
            <v>YES</v>
          </cell>
        </row>
        <row r="5974">
          <cell r="I5974" t="str">
            <v>V48670</v>
          </cell>
          <cell r="J5974" t="str">
            <v>CTC</v>
          </cell>
          <cell r="K5974" t="str">
            <v>YES</v>
          </cell>
        </row>
        <row r="5975">
          <cell r="I5975" t="str">
            <v>V44052</v>
          </cell>
          <cell r="J5975" t="str">
            <v>CTC</v>
          </cell>
          <cell r="K5975" t="str">
            <v>YES</v>
          </cell>
        </row>
        <row r="5976">
          <cell r="I5976" t="str">
            <v>V44872</v>
          </cell>
          <cell r="J5976" t="str">
            <v>CTC</v>
          </cell>
          <cell r="K5976" t="str">
            <v>YES</v>
          </cell>
        </row>
        <row r="5977">
          <cell r="I5977" t="str">
            <v>V45076</v>
          </cell>
          <cell r="J5977" t="str">
            <v>CTC</v>
          </cell>
          <cell r="K5977" t="str">
            <v>YES</v>
          </cell>
        </row>
        <row r="5978">
          <cell r="I5978" t="str">
            <v>V34646</v>
          </cell>
          <cell r="J5978" t="str">
            <v>CTC</v>
          </cell>
          <cell r="K5978" t="str">
            <v>YES</v>
          </cell>
        </row>
        <row r="5979">
          <cell r="I5979" t="str">
            <v>V46592</v>
          </cell>
          <cell r="J5979" t="str">
            <v>CTC</v>
          </cell>
          <cell r="K5979" t="str">
            <v>YES</v>
          </cell>
        </row>
        <row r="5980">
          <cell r="I5980" t="str">
            <v>V45389</v>
          </cell>
          <cell r="J5980" t="str">
            <v>CTC</v>
          </cell>
          <cell r="K5980" t="str">
            <v>YES</v>
          </cell>
        </row>
        <row r="5981">
          <cell r="I5981" t="str">
            <v>V44355</v>
          </cell>
          <cell r="J5981" t="str">
            <v>CTC</v>
          </cell>
          <cell r="K5981" t="str">
            <v>YES</v>
          </cell>
        </row>
        <row r="5982">
          <cell r="I5982" t="str">
            <v>V44561</v>
          </cell>
          <cell r="J5982" t="str">
            <v>CTC</v>
          </cell>
          <cell r="K5982" t="str">
            <v>YES</v>
          </cell>
        </row>
        <row r="5983">
          <cell r="I5983" t="str">
            <v>V44226</v>
          </cell>
          <cell r="J5983" t="str">
            <v>CTC</v>
          </cell>
          <cell r="K5983" t="str">
            <v>YES</v>
          </cell>
        </row>
        <row r="5984">
          <cell r="I5984" t="str">
            <v>V43257</v>
          </cell>
          <cell r="J5984" t="str">
            <v>CTC</v>
          </cell>
          <cell r="K5984" t="str">
            <v>YES</v>
          </cell>
        </row>
        <row r="5985">
          <cell r="I5985" t="str">
            <v>V45121</v>
          </cell>
          <cell r="J5985" t="str">
            <v>CTC</v>
          </cell>
          <cell r="K5985" t="str">
            <v>YES</v>
          </cell>
        </row>
        <row r="5986">
          <cell r="I5986" t="str">
            <v>V44489</v>
          </cell>
          <cell r="J5986" t="str">
            <v>CTC</v>
          </cell>
          <cell r="K5986" t="str">
            <v>YES</v>
          </cell>
        </row>
        <row r="5987">
          <cell r="I5987" t="str">
            <v>V39882</v>
          </cell>
          <cell r="J5987" t="str">
            <v>CTC</v>
          </cell>
          <cell r="K5987" t="str">
            <v>YES</v>
          </cell>
        </row>
        <row r="5988">
          <cell r="I5988" t="str">
            <v>V44935</v>
          </cell>
          <cell r="J5988" t="str">
            <v>CTC</v>
          </cell>
          <cell r="K5988" t="str">
            <v>YES</v>
          </cell>
        </row>
        <row r="5989">
          <cell r="I5989" t="str">
            <v>V44165</v>
          </cell>
          <cell r="J5989" t="str">
            <v>CTC</v>
          </cell>
          <cell r="K5989" t="str">
            <v>YES</v>
          </cell>
        </row>
        <row r="5990">
          <cell r="I5990" t="str">
            <v>V45474</v>
          </cell>
          <cell r="J5990" t="str">
            <v>CTC</v>
          </cell>
          <cell r="K5990" t="str">
            <v>YES</v>
          </cell>
        </row>
        <row r="5991">
          <cell r="I5991" t="str">
            <v>V48090</v>
          </cell>
          <cell r="J5991" t="str">
            <v>CTC</v>
          </cell>
          <cell r="K5991" t="str">
            <v>YES</v>
          </cell>
        </row>
        <row r="5992">
          <cell r="I5992" t="str">
            <v>V44714</v>
          </cell>
          <cell r="J5992" t="str">
            <v>CTC</v>
          </cell>
          <cell r="K5992" t="str">
            <v>YES</v>
          </cell>
        </row>
        <row r="5993">
          <cell r="I5993" t="str">
            <v>V44563</v>
          </cell>
          <cell r="J5993" t="str">
            <v>CTC</v>
          </cell>
          <cell r="K5993" t="str">
            <v>YES</v>
          </cell>
        </row>
        <row r="5994">
          <cell r="I5994" t="str">
            <v>V46898</v>
          </cell>
          <cell r="J5994" t="str">
            <v>CTC</v>
          </cell>
          <cell r="K5994" t="str">
            <v>YES</v>
          </cell>
        </row>
        <row r="5995">
          <cell r="I5995" t="str">
            <v>V46918</v>
          </cell>
          <cell r="J5995" t="str">
            <v>CTC</v>
          </cell>
          <cell r="K5995" t="str">
            <v>YES</v>
          </cell>
        </row>
        <row r="5996">
          <cell r="I5996" t="str">
            <v>V44730</v>
          </cell>
          <cell r="J5996" t="str">
            <v>CTC</v>
          </cell>
          <cell r="K5996" t="str">
            <v>YES</v>
          </cell>
        </row>
        <row r="5997">
          <cell r="I5997" t="str">
            <v>V47618</v>
          </cell>
          <cell r="J5997" t="str">
            <v>CTC</v>
          </cell>
          <cell r="K5997" t="str">
            <v>YES</v>
          </cell>
        </row>
        <row r="5998">
          <cell r="I5998" t="str">
            <v>V45747</v>
          </cell>
          <cell r="J5998" t="str">
            <v>CTC</v>
          </cell>
          <cell r="K5998" t="str">
            <v>YES</v>
          </cell>
        </row>
        <row r="5999">
          <cell r="I5999" t="str">
            <v>V44762</v>
          </cell>
          <cell r="J5999" t="str">
            <v>CTC</v>
          </cell>
          <cell r="K5999" t="str">
            <v>YES</v>
          </cell>
        </row>
        <row r="6000">
          <cell r="I6000" t="str">
            <v>V44583</v>
          </cell>
          <cell r="J6000" t="str">
            <v>CTC</v>
          </cell>
          <cell r="K6000" t="str">
            <v>YES</v>
          </cell>
        </row>
        <row r="6001">
          <cell r="I6001" t="str">
            <v>V44922</v>
          </cell>
          <cell r="J6001" t="str">
            <v>CTC</v>
          </cell>
          <cell r="K6001" t="str">
            <v>YES</v>
          </cell>
        </row>
        <row r="6002">
          <cell r="I6002" t="str">
            <v>V45503</v>
          </cell>
          <cell r="J6002" t="str">
            <v>CTC</v>
          </cell>
          <cell r="K6002" t="str">
            <v>YES</v>
          </cell>
        </row>
        <row r="6003">
          <cell r="I6003" t="str">
            <v>V45354</v>
          </cell>
          <cell r="J6003" t="str">
            <v>CTC</v>
          </cell>
          <cell r="K6003" t="str">
            <v>YES</v>
          </cell>
        </row>
        <row r="6004">
          <cell r="I6004" t="str">
            <v>V45805</v>
          </cell>
          <cell r="J6004" t="str">
            <v>CTC</v>
          </cell>
          <cell r="K6004" t="str">
            <v>YES</v>
          </cell>
        </row>
        <row r="6005">
          <cell r="I6005" t="str">
            <v>V50771</v>
          </cell>
          <cell r="J6005" t="str">
            <v>CTC</v>
          </cell>
          <cell r="K6005" t="str">
            <v>YES</v>
          </cell>
        </row>
        <row r="6006">
          <cell r="I6006" t="str">
            <v>V46272</v>
          </cell>
          <cell r="J6006" t="str">
            <v>CTC</v>
          </cell>
          <cell r="K6006" t="str">
            <v>YES</v>
          </cell>
        </row>
        <row r="6007">
          <cell r="I6007" t="str">
            <v>V49014</v>
          </cell>
          <cell r="J6007" t="str">
            <v>CTC</v>
          </cell>
          <cell r="K6007" t="str">
            <v>YES</v>
          </cell>
        </row>
        <row r="6008">
          <cell r="I6008" t="str">
            <v>V46787</v>
          </cell>
          <cell r="J6008" t="str">
            <v>CTC</v>
          </cell>
          <cell r="K6008" t="str">
            <v>YES</v>
          </cell>
        </row>
        <row r="6009">
          <cell r="I6009" t="str">
            <v>V45154</v>
          </cell>
          <cell r="J6009" t="str">
            <v>CTC</v>
          </cell>
          <cell r="K6009" t="str">
            <v>YES</v>
          </cell>
        </row>
        <row r="6010">
          <cell r="I6010" t="str">
            <v>V42022</v>
          </cell>
          <cell r="J6010" t="str">
            <v>CTC</v>
          </cell>
          <cell r="K6010" t="str">
            <v>YES</v>
          </cell>
        </row>
        <row r="6011">
          <cell r="I6011" t="str">
            <v>V48249</v>
          </cell>
          <cell r="J6011" t="str">
            <v>CTC</v>
          </cell>
          <cell r="K6011" t="str">
            <v>YES</v>
          </cell>
        </row>
        <row r="6012">
          <cell r="I6012" t="str">
            <v>V48706</v>
          </cell>
          <cell r="J6012" t="str">
            <v>CTC</v>
          </cell>
          <cell r="K6012" t="str">
            <v>YES</v>
          </cell>
        </row>
        <row r="6013">
          <cell r="I6013" t="str">
            <v>V44931</v>
          </cell>
          <cell r="J6013" t="str">
            <v>CTC</v>
          </cell>
          <cell r="K6013" t="str">
            <v>YES</v>
          </cell>
        </row>
        <row r="6014">
          <cell r="I6014" t="str">
            <v>V45896</v>
          </cell>
          <cell r="J6014" t="str">
            <v>CTC</v>
          </cell>
          <cell r="K6014" t="str">
            <v>YES</v>
          </cell>
        </row>
        <row r="6015">
          <cell r="I6015" t="str">
            <v>V45548</v>
          </cell>
          <cell r="J6015" t="str">
            <v>CTC</v>
          </cell>
          <cell r="K6015" t="str">
            <v>YES</v>
          </cell>
        </row>
        <row r="6016">
          <cell r="I6016" t="str">
            <v>V44728</v>
          </cell>
          <cell r="J6016" t="str">
            <v>CTC</v>
          </cell>
          <cell r="K6016" t="str">
            <v>YES</v>
          </cell>
        </row>
        <row r="6017">
          <cell r="I6017" t="str">
            <v>V43835</v>
          </cell>
          <cell r="J6017" t="str">
            <v>CTC</v>
          </cell>
          <cell r="K6017" t="str">
            <v>YES</v>
          </cell>
        </row>
        <row r="6018">
          <cell r="I6018" t="str">
            <v>V47069</v>
          </cell>
          <cell r="J6018" t="str">
            <v>CTC</v>
          </cell>
          <cell r="K6018" t="str">
            <v>YES</v>
          </cell>
        </row>
        <row r="6019">
          <cell r="I6019" t="str">
            <v>V45334</v>
          </cell>
          <cell r="J6019" t="str">
            <v>CTC</v>
          </cell>
          <cell r="K6019" t="str">
            <v>YES</v>
          </cell>
        </row>
        <row r="6020">
          <cell r="I6020" t="str">
            <v>V44700</v>
          </cell>
          <cell r="J6020" t="str">
            <v>CTC</v>
          </cell>
          <cell r="K6020" t="str">
            <v>YES</v>
          </cell>
        </row>
        <row r="6021">
          <cell r="I6021" t="str">
            <v>V44341</v>
          </cell>
          <cell r="J6021" t="str">
            <v>CTC</v>
          </cell>
          <cell r="K6021" t="str">
            <v>YES</v>
          </cell>
        </row>
        <row r="6022">
          <cell r="I6022" t="str">
            <v>V45439</v>
          </cell>
          <cell r="J6022" t="str">
            <v>CTC</v>
          </cell>
          <cell r="K6022" t="str">
            <v>YES</v>
          </cell>
        </row>
        <row r="6023">
          <cell r="I6023" t="str">
            <v>V47201</v>
          </cell>
          <cell r="J6023" t="str">
            <v>CTC</v>
          </cell>
          <cell r="K6023" t="str">
            <v>YES</v>
          </cell>
        </row>
        <row r="6024">
          <cell r="I6024" t="str">
            <v>V44354</v>
          </cell>
          <cell r="J6024" t="str">
            <v>CTC</v>
          </cell>
          <cell r="K6024" t="str">
            <v>YES</v>
          </cell>
        </row>
        <row r="6025">
          <cell r="I6025" t="str">
            <v>V45031</v>
          </cell>
          <cell r="J6025" t="str">
            <v>CTC</v>
          </cell>
          <cell r="K6025" t="str">
            <v>YES</v>
          </cell>
        </row>
        <row r="6026">
          <cell r="I6026" t="str">
            <v>V44409</v>
          </cell>
          <cell r="J6026" t="str">
            <v>CTC</v>
          </cell>
          <cell r="K6026" t="str">
            <v>YES</v>
          </cell>
        </row>
        <row r="6027">
          <cell r="I6027" t="str">
            <v>V44376</v>
          </cell>
          <cell r="J6027" t="str">
            <v>CTC</v>
          </cell>
          <cell r="K6027" t="str">
            <v>YES</v>
          </cell>
        </row>
        <row r="6028">
          <cell r="I6028" t="str">
            <v>V45312</v>
          </cell>
          <cell r="J6028" t="str">
            <v>CTC</v>
          </cell>
          <cell r="K6028" t="str">
            <v>YES</v>
          </cell>
        </row>
        <row r="6029">
          <cell r="I6029" t="str">
            <v>V46590</v>
          </cell>
          <cell r="J6029" t="str">
            <v>CTC</v>
          </cell>
          <cell r="K6029" t="str">
            <v>YES</v>
          </cell>
        </row>
        <row r="6030">
          <cell r="I6030" t="str">
            <v>V46826</v>
          </cell>
          <cell r="J6030" t="str">
            <v>CTC</v>
          </cell>
          <cell r="K6030" t="str">
            <v>YES</v>
          </cell>
        </row>
        <row r="6031">
          <cell r="I6031" t="str">
            <v>V46877</v>
          </cell>
          <cell r="J6031" t="str">
            <v>CTC</v>
          </cell>
          <cell r="K6031" t="str">
            <v>YES</v>
          </cell>
        </row>
        <row r="6032">
          <cell r="I6032" t="str">
            <v>V44542</v>
          </cell>
          <cell r="J6032" t="str">
            <v>CTC</v>
          </cell>
          <cell r="K6032" t="str">
            <v>YES</v>
          </cell>
        </row>
        <row r="6033">
          <cell r="I6033" t="str">
            <v>V46580</v>
          </cell>
          <cell r="J6033" t="str">
            <v>CTC</v>
          </cell>
          <cell r="K6033" t="str">
            <v>YES</v>
          </cell>
        </row>
        <row r="6034">
          <cell r="I6034" t="str">
            <v>V45223</v>
          </cell>
          <cell r="J6034" t="str">
            <v>CTC</v>
          </cell>
          <cell r="K6034" t="str">
            <v>YES</v>
          </cell>
        </row>
        <row r="6035">
          <cell r="I6035" t="str">
            <v>V43207</v>
          </cell>
          <cell r="J6035" t="str">
            <v>CTC</v>
          </cell>
          <cell r="K6035" t="str">
            <v>YES</v>
          </cell>
        </row>
        <row r="6036">
          <cell r="I6036" t="str">
            <v>V43995</v>
          </cell>
          <cell r="J6036" t="str">
            <v>CTC</v>
          </cell>
          <cell r="K6036" t="str">
            <v>YES</v>
          </cell>
        </row>
        <row r="6037">
          <cell r="I6037" t="str">
            <v>V44722</v>
          </cell>
          <cell r="J6037" t="str">
            <v>CTC</v>
          </cell>
          <cell r="K6037" t="str">
            <v>YES</v>
          </cell>
        </row>
        <row r="6038">
          <cell r="I6038" t="str">
            <v>V44671</v>
          </cell>
          <cell r="J6038" t="str">
            <v>CTC</v>
          </cell>
          <cell r="K6038" t="str">
            <v>YES</v>
          </cell>
        </row>
        <row r="6039">
          <cell r="I6039" t="str">
            <v>V44593</v>
          </cell>
          <cell r="J6039" t="str">
            <v>CTC</v>
          </cell>
          <cell r="K6039" t="str">
            <v>YES</v>
          </cell>
        </row>
        <row r="6040">
          <cell r="I6040" t="str">
            <v>V48251</v>
          </cell>
          <cell r="J6040" t="str">
            <v>CTC</v>
          </cell>
          <cell r="K6040" t="str">
            <v>YES</v>
          </cell>
        </row>
        <row r="6041">
          <cell r="I6041" t="str">
            <v>V43480</v>
          </cell>
          <cell r="J6041" t="str">
            <v>CTC</v>
          </cell>
          <cell r="K6041" t="str">
            <v>YES</v>
          </cell>
        </row>
        <row r="6042">
          <cell r="I6042" t="str">
            <v>V40713</v>
          </cell>
          <cell r="J6042" t="str">
            <v>CTC</v>
          </cell>
          <cell r="K6042" t="str">
            <v>YES</v>
          </cell>
        </row>
        <row r="6043">
          <cell r="I6043" t="str">
            <v>V54005</v>
          </cell>
          <cell r="J6043" t="str">
            <v>CTC</v>
          </cell>
          <cell r="K6043" t="str">
            <v>YES</v>
          </cell>
        </row>
        <row r="6044">
          <cell r="I6044" t="str">
            <v>V45266</v>
          </cell>
          <cell r="J6044" t="str">
            <v>CTC</v>
          </cell>
          <cell r="K6044" t="str">
            <v>YES</v>
          </cell>
        </row>
        <row r="6045">
          <cell r="I6045" t="str">
            <v>V45267</v>
          </cell>
          <cell r="J6045" t="str">
            <v>CTC</v>
          </cell>
          <cell r="K6045" t="str">
            <v>YES</v>
          </cell>
        </row>
        <row r="6046">
          <cell r="I6046" t="str">
            <v>V45054</v>
          </cell>
          <cell r="J6046" t="str">
            <v>CTC</v>
          </cell>
          <cell r="K6046" t="str">
            <v>YES</v>
          </cell>
        </row>
        <row r="6047">
          <cell r="I6047" t="str">
            <v>V46556</v>
          </cell>
          <cell r="J6047" t="str">
            <v>CTC</v>
          </cell>
          <cell r="K6047" t="str">
            <v>YES</v>
          </cell>
        </row>
        <row r="6048">
          <cell r="I6048" t="str">
            <v>V44596</v>
          </cell>
          <cell r="J6048" t="str">
            <v>CTC</v>
          </cell>
          <cell r="K6048" t="str">
            <v>YES</v>
          </cell>
        </row>
        <row r="6049">
          <cell r="I6049" t="str">
            <v>V44653</v>
          </cell>
          <cell r="J6049" t="str">
            <v>CTC</v>
          </cell>
          <cell r="K6049" t="str">
            <v>YES</v>
          </cell>
        </row>
        <row r="6050">
          <cell r="I6050" t="str">
            <v>V34926</v>
          </cell>
          <cell r="J6050" t="str">
            <v>CTC</v>
          </cell>
          <cell r="K6050" t="str">
            <v>YES</v>
          </cell>
        </row>
        <row r="6051">
          <cell r="I6051" t="str">
            <v>V44585</v>
          </cell>
          <cell r="J6051" t="str">
            <v>CTC</v>
          </cell>
          <cell r="K6051" t="str">
            <v>YES</v>
          </cell>
        </row>
        <row r="6052">
          <cell r="I6052" t="str">
            <v>V44643</v>
          </cell>
          <cell r="J6052" t="str">
            <v>CTC</v>
          </cell>
          <cell r="K6052" t="str">
            <v>YES</v>
          </cell>
        </row>
        <row r="6053">
          <cell r="I6053" t="str">
            <v>V44621</v>
          </cell>
          <cell r="J6053" t="str">
            <v>CTC</v>
          </cell>
          <cell r="K6053" t="str">
            <v>YES</v>
          </cell>
        </row>
        <row r="6054">
          <cell r="I6054" t="str">
            <v>V44451</v>
          </cell>
          <cell r="J6054" t="str">
            <v>CTC</v>
          </cell>
          <cell r="K6054" t="str">
            <v>YES</v>
          </cell>
        </row>
        <row r="6055">
          <cell r="I6055" t="str">
            <v>V43579</v>
          </cell>
          <cell r="J6055" t="str">
            <v>CTC</v>
          </cell>
          <cell r="K6055" t="str">
            <v>YES</v>
          </cell>
        </row>
        <row r="6056">
          <cell r="I6056" t="str">
            <v>V48837</v>
          </cell>
          <cell r="J6056" t="str">
            <v>CTC</v>
          </cell>
          <cell r="K6056" t="str">
            <v>YES</v>
          </cell>
        </row>
        <row r="6057">
          <cell r="I6057" t="str">
            <v>V45847</v>
          </cell>
          <cell r="J6057" t="str">
            <v>CTC</v>
          </cell>
          <cell r="K6057" t="str">
            <v>YES</v>
          </cell>
        </row>
        <row r="6058">
          <cell r="I6058" t="str">
            <v>V43531</v>
          </cell>
          <cell r="J6058" t="str">
            <v>CTC</v>
          </cell>
          <cell r="K6058" t="str">
            <v>YES</v>
          </cell>
        </row>
        <row r="6059">
          <cell r="I6059" t="str">
            <v>V45849</v>
          </cell>
          <cell r="J6059" t="str">
            <v>CTC</v>
          </cell>
          <cell r="K6059" t="str">
            <v>YES</v>
          </cell>
        </row>
        <row r="6060">
          <cell r="I6060" t="str">
            <v>V44624</v>
          </cell>
          <cell r="J6060" t="str">
            <v>CTC</v>
          </cell>
          <cell r="K6060" t="str">
            <v>YES</v>
          </cell>
        </row>
        <row r="6061">
          <cell r="I6061" t="str">
            <v>V44651</v>
          </cell>
          <cell r="J6061" t="str">
            <v>CTC</v>
          </cell>
          <cell r="K6061" t="str">
            <v>YES</v>
          </cell>
        </row>
        <row r="6062">
          <cell r="I6062" t="str">
            <v>V44387</v>
          </cell>
          <cell r="J6062" t="str">
            <v>CTC</v>
          </cell>
          <cell r="K6062" t="str">
            <v>YES</v>
          </cell>
        </row>
        <row r="6063">
          <cell r="I6063" t="str">
            <v>V49121</v>
          </cell>
          <cell r="J6063" t="str">
            <v>CTC</v>
          </cell>
          <cell r="K6063" t="str">
            <v>YES</v>
          </cell>
        </row>
        <row r="6064">
          <cell r="I6064" t="str">
            <v>V46527</v>
          </cell>
          <cell r="J6064" t="str">
            <v>CTC</v>
          </cell>
          <cell r="K6064" t="str">
            <v>YES</v>
          </cell>
        </row>
        <row r="6065">
          <cell r="I6065" t="str">
            <v>V43617</v>
          </cell>
          <cell r="J6065" t="str">
            <v>CTC</v>
          </cell>
          <cell r="K6065" t="str">
            <v>YES</v>
          </cell>
        </row>
        <row r="6066">
          <cell r="I6066" t="str">
            <v>V44518</v>
          </cell>
          <cell r="J6066" t="str">
            <v>CTC</v>
          </cell>
          <cell r="K6066" t="str">
            <v>YES</v>
          </cell>
        </row>
        <row r="6067">
          <cell r="I6067" t="str">
            <v>V44519</v>
          </cell>
          <cell r="J6067" t="str">
            <v>CTC</v>
          </cell>
          <cell r="K6067" t="str">
            <v>YES</v>
          </cell>
        </row>
        <row r="6068">
          <cell r="I6068" t="str">
            <v>V44637</v>
          </cell>
          <cell r="J6068" t="str">
            <v>CTC</v>
          </cell>
          <cell r="K6068" t="str">
            <v>YES</v>
          </cell>
        </row>
        <row r="6069">
          <cell r="I6069" t="str">
            <v>V44631</v>
          </cell>
          <cell r="J6069" t="str">
            <v>CTC</v>
          </cell>
          <cell r="K6069" t="str">
            <v>YES</v>
          </cell>
        </row>
        <row r="6070">
          <cell r="I6070" t="str">
            <v>V47195</v>
          </cell>
          <cell r="J6070" t="str">
            <v>CTC</v>
          </cell>
          <cell r="K6070" t="str">
            <v>YES</v>
          </cell>
        </row>
        <row r="6071">
          <cell r="I6071" t="str">
            <v>V44735</v>
          </cell>
          <cell r="J6071" t="str">
            <v>CTC</v>
          </cell>
          <cell r="K6071" t="str">
            <v>YES</v>
          </cell>
        </row>
        <row r="6072">
          <cell r="I6072" t="str">
            <v>V44896</v>
          </cell>
          <cell r="J6072" t="str">
            <v>CTC</v>
          </cell>
          <cell r="K6072" t="str">
            <v>YES</v>
          </cell>
        </row>
        <row r="6073">
          <cell r="I6073" t="str">
            <v>V44840</v>
          </cell>
          <cell r="J6073" t="str">
            <v>CTC</v>
          </cell>
          <cell r="K6073" t="str">
            <v>YES</v>
          </cell>
        </row>
        <row r="6074">
          <cell r="I6074" t="str">
            <v>V43475</v>
          </cell>
          <cell r="J6074" t="str">
            <v>CTC</v>
          </cell>
          <cell r="K6074" t="str">
            <v>YES</v>
          </cell>
        </row>
        <row r="6075">
          <cell r="I6075" t="str">
            <v>V44597</v>
          </cell>
          <cell r="J6075" t="str">
            <v>CTC</v>
          </cell>
          <cell r="K6075" t="str">
            <v>YES</v>
          </cell>
        </row>
        <row r="6076">
          <cell r="I6076" t="str">
            <v>V46668</v>
          </cell>
          <cell r="J6076" t="str">
            <v>CTC</v>
          </cell>
          <cell r="K6076" t="str">
            <v>YES</v>
          </cell>
        </row>
        <row r="6077">
          <cell r="I6077" t="str">
            <v>V44644</v>
          </cell>
          <cell r="J6077" t="str">
            <v>CTC</v>
          </cell>
          <cell r="K6077" t="str">
            <v>YES</v>
          </cell>
        </row>
        <row r="6078">
          <cell r="I6078" t="str">
            <v>V46447</v>
          </cell>
          <cell r="J6078" t="str">
            <v>CTC</v>
          </cell>
          <cell r="K6078" t="str">
            <v>YES</v>
          </cell>
        </row>
        <row r="6079">
          <cell r="I6079" t="str">
            <v>V50998</v>
          </cell>
          <cell r="J6079" t="str">
            <v>STAT</v>
          </cell>
          <cell r="K6079" t="str">
            <v>YES</v>
          </cell>
        </row>
        <row r="6080">
          <cell r="I6080" t="str">
            <v>V43818</v>
          </cell>
          <cell r="J6080" t="str">
            <v>CTC</v>
          </cell>
          <cell r="K6080" t="str">
            <v>YES</v>
          </cell>
        </row>
        <row r="6081">
          <cell r="I6081" t="str">
            <v>V44660</v>
          </cell>
          <cell r="J6081" t="str">
            <v>CTC</v>
          </cell>
          <cell r="K6081" t="str">
            <v>YES</v>
          </cell>
        </row>
        <row r="6082">
          <cell r="I6082" t="str">
            <v>V44741</v>
          </cell>
          <cell r="J6082" t="str">
            <v>CTC</v>
          </cell>
          <cell r="K6082" t="str">
            <v>YES</v>
          </cell>
        </row>
        <row r="6083">
          <cell r="I6083" t="str">
            <v>V45848</v>
          </cell>
          <cell r="J6083" t="str">
            <v>CTC</v>
          </cell>
          <cell r="K6083" t="str">
            <v>YES</v>
          </cell>
        </row>
        <row r="6084">
          <cell r="I6084" t="str">
            <v>V44177</v>
          </cell>
          <cell r="J6084" t="str">
            <v>CTC</v>
          </cell>
          <cell r="K6084" t="str">
            <v>YES</v>
          </cell>
        </row>
        <row r="6085">
          <cell r="I6085" t="str">
            <v>V44232</v>
          </cell>
          <cell r="J6085" t="str">
            <v>CTC</v>
          </cell>
          <cell r="K6085" t="str">
            <v>YES</v>
          </cell>
        </row>
        <row r="6086">
          <cell r="I6086" t="str">
            <v>V44713</v>
          </cell>
          <cell r="J6086" t="str">
            <v>CTC</v>
          </cell>
          <cell r="K6086" t="str">
            <v>YES</v>
          </cell>
        </row>
        <row r="6087">
          <cell r="I6087" t="str">
            <v>V43483</v>
          </cell>
          <cell r="J6087" t="str">
            <v>CTC</v>
          </cell>
          <cell r="K6087" t="str">
            <v>YES</v>
          </cell>
        </row>
        <row r="6088">
          <cell r="I6088" t="str">
            <v>V47282</v>
          </cell>
          <cell r="J6088" t="str">
            <v>CTC</v>
          </cell>
          <cell r="K6088" t="str">
            <v>YES</v>
          </cell>
        </row>
        <row r="6089">
          <cell r="I6089" t="str">
            <v>V43474</v>
          </cell>
          <cell r="J6089" t="str">
            <v>CTC</v>
          </cell>
          <cell r="K6089" t="str">
            <v>YES</v>
          </cell>
        </row>
        <row r="6090">
          <cell r="I6090" t="str">
            <v>V44467</v>
          </cell>
          <cell r="J6090" t="str">
            <v>CTC</v>
          </cell>
          <cell r="K6090" t="str">
            <v>YES</v>
          </cell>
        </row>
        <row r="6091">
          <cell r="I6091" t="str">
            <v>V44614</v>
          </cell>
          <cell r="J6091" t="str">
            <v>CTC</v>
          </cell>
          <cell r="K6091" t="str">
            <v>YES</v>
          </cell>
        </row>
        <row r="6092">
          <cell r="I6092" t="str">
            <v>V44576</v>
          </cell>
          <cell r="J6092" t="str">
            <v>CTC</v>
          </cell>
          <cell r="K6092" t="str">
            <v>YES</v>
          </cell>
        </row>
        <row r="6093">
          <cell r="I6093" t="str">
            <v>V44496</v>
          </cell>
          <cell r="J6093" t="str">
            <v>CTC</v>
          </cell>
          <cell r="K6093" t="str">
            <v>YES</v>
          </cell>
        </row>
        <row r="6094">
          <cell r="I6094" t="str">
            <v>V47104</v>
          </cell>
          <cell r="J6094" t="str">
            <v>CTC</v>
          </cell>
          <cell r="K6094" t="str">
            <v>YES</v>
          </cell>
        </row>
        <row r="6095">
          <cell r="I6095" t="str">
            <v>V45414</v>
          </cell>
          <cell r="J6095" t="str">
            <v>CTC</v>
          </cell>
          <cell r="K6095" t="str">
            <v>YES</v>
          </cell>
        </row>
        <row r="6096">
          <cell r="I6096" t="str">
            <v>V51671</v>
          </cell>
          <cell r="J6096" t="str">
            <v>CTC</v>
          </cell>
          <cell r="K6096" t="str">
            <v>YES</v>
          </cell>
        </row>
        <row r="6097">
          <cell r="I6097" t="str">
            <v>V44102</v>
          </cell>
          <cell r="J6097" t="str">
            <v>CTC</v>
          </cell>
          <cell r="K6097" t="str">
            <v>YES</v>
          </cell>
        </row>
        <row r="6098">
          <cell r="I6098" t="str">
            <v>V44481</v>
          </cell>
          <cell r="J6098" t="str">
            <v>CTC</v>
          </cell>
          <cell r="K6098" t="str">
            <v>YES</v>
          </cell>
        </row>
        <row r="6099">
          <cell r="I6099" t="str">
            <v>V44737</v>
          </cell>
          <cell r="J6099" t="str">
            <v>CTC</v>
          </cell>
          <cell r="K6099" t="str">
            <v>YES</v>
          </cell>
        </row>
        <row r="6100">
          <cell r="I6100" t="str">
            <v>V44853</v>
          </cell>
          <cell r="J6100" t="str">
            <v>CTC</v>
          </cell>
          <cell r="K6100" t="str">
            <v>YES</v>
          </cell>
        </row>
        <row r="6101">
          <cell r="I6101" t="str">
            <v>V50510</v>
          </cell>
          <cell r="J6101" t="str">
            <v>CTC</v>
          </cell>
          <cell r="K6101" t="str">
            <v>YES</v>
          </cell>
        </row>
        <row r="6102">
          <cell r="I6102" t="str">
            <v>V44432</v>
          </cell>
          <cell r="J6102" t="str">
            <v>CTC</v>
          </cell>
          <cell r="K6102" t="str">
            <v>YES</v>
          </cell>
        </row>
        <row r="6103">
          <cell r="I6103" t="str">
            <v>V44950</v>
          </cell>
          <cell r="J6103" t="str">
            <v>CTC</v>
          </cell>
          <cell r="K6103" t="str">
            <v>YES</v>
          </cell>
        </row>
        <row r="6104">
          <cell r="I6104" t="str">
            <v>V48796</v>
          </cell>
          <cell r="J6104" t="str">
            <v>CTC</v>
          </cell>
          <cell r="K6104" t="str">
            <v>YES</v>
          </cell>
        </row>
        <row r="6105">
          <cell r="I6105" t="str">
            <v>V44638</v>
          </cell>
          <cell r="J6105" t="str">
            <v>CTC</v>
          </cell>
          <cell r="K6105" t="str">
            <v>YES</v>
          </cell>
        </row>
        <row r="6106">
          <cell r="I6106" t="str">
            <v>V44880</v>
          </cell>
          <cell r="J6106" t="str">
            <v>CTC</v>
          </cell>
          <cell r="K6106" t="str">
            <v>YES</v>
          </cell>
        </row>
        <row r="6107">
          <cell r="I6107" t="str">
            <v>V43392</v>
          </cell>
          <cell r="J6107" t="str">
            <v>CTC</v>
          </cell>
          <cell r="K6107" t="str">
            <v>YES</v>
          </cell>
        </row>
        <row r="6108">
          <cell r="I6108" t="str">
            <v>V44514</v>
          </cell>
          <cell r="J6108" t="str">
            <v>CTC</v>
          </cell>
          <cell r="K6108" t="str">
            <v>YES</v>
          </cell>
        </row>
        <row r="6109">
          <cell r="I6109" t="str">
            <v>V47559</v>
          </cell>
          <cell r="J6109" t="str">
            <v>CTC</v>
          </cell>
          <cell r="K6109" t="str">
            <v>YES</v>
          </cell>
        </row>
        <row r="6110">
          <cell r="I6110" t="str">
            <v>V49485</v>
          </cell>
          <cell r="J6110" t="str">
            <v>CTC</v>
          </cell>
          <cell r="K6110" t="str">
            <v>YES</v>
          </cell>
        </row>
        <row r="6111">
          <cell r="I6111" t="str">
            <v>V45130</v>
          </cell>
          <cell r="J6111" t="str">
            <v>CTC</v>
          </cell>
          <cell r="K6111" t="str">
            <v>YES</v>
          </cell>
        </row>
        <row r="6112">
          <cell r="I6112" t="str">
            <v>V45241</v>
          </cell>
          <cell r="J6112" t="str">
            <v>CTC</v>
          </cell>
          <cell r="K6112" t="str">
            <v>YES</v>
          </cell>
        </row>
        <row r="6113">
          <cell r="I6113" t="str">
            <v>V44948</v>
          </cell>
          <cell r="J6113" t="str">
            <v>CTC</v>
          </cell>
          <cell r="K6113" t="str">
            <v>YES</v>
          </cell>
        </row>
        <row r="6114">
          <cell r="I6114" t="str">
            <v>V44124</v>
          </cell>
          <cell r="J6114" t="str">
            <v>CTC</v>
          </cell>
          <cell r="K6114" t="str">
            <v>YES</v>
          </cell>
        </row>
        <row r="6115">
          <cell r="I6115" t="str">
            <v>V44740</v>
          </cell>
          <cell r="J6115" t="str">
            <v>CTC</v>
          </cell>
          <cell r="K6115" t="str">
            <v>YES</v>
          </cell>
        </row>
        <row r="6116">
          <cell r="I6116" t="str">
            <v>V43574</v>
          </cell>
          <cell r="J6116" t="str">
            <v>CTC</v>
          </cell>
          <cell r="K6116" t="str">
            <v>YES</v>
          </cell>
        </row>
        <row r="6117">
          <cell r="I6117" t="str">
            <v>V45382</v>
          </cell>
          <cell r="J6117" t="str">
            <v>CTC</v>
          </cell>
          <cell r="K6117" t="str">
            <v>YES</v>
          </cell>
        </row>
        <row r="6118">
          <cell r="I6118" t="str">
            <v>V43482</v>
          </cell>
          <cell r="J6118" t="str">
            <v>CTC</v>
          </cell>
          <cell r="K6118" t="str">
            <v>YES</v>
          </cell>
        </row>
        <row r="6119">
          <cell r="I6119" t="str">
            <v>V47607</v>
          </cell>
          <cell r="J6119" t="str">
            <v>CTC</v>
          </cell>
          <cell r="K6119" t="str">
            <v>YES</v>
          </cell>
        </row>
        <row r="6120">
          <cell r="I6120" t="str">
            <v>V45199</v>
          </cell>
          <cell r="J6120" t="str">
            <v>CTC</v>
          </cell>
          <cell r="K6120" t="str">
            <v>YES</v>
          </cell>
        </row>
        <row r="6121">
          <cell r="I6121" t="str">
            <v>V45099</v>
          </cell>
          <cell r="J6121" t="str">
            <v>CTC</v>
          </cell>
          <cell r="K6121" t="str">
            <v>YES</v>
          </cell>
        </row>
        <row r="6122">
          <cell r="I6122" t="str">
            <v>V45525</v>
          </cell>
          <cell r="J6122" t="str">
            <v>CTC</v>
          </cell>
          <cell r="K6122" t="str">
            <v>YES</v>
          </cell>
        </row>
        <row r="6123">
          <cell r="I6123" t="str">
            <v>V44962</v>
          </cell>
          <cell r="J6123" t="str">
            <v>CTC</v>
          </cell>
          <cell r="K6123" t="str">
            <v>YES</v>
          </cell>
        </row>
        <row r="6124">
          <cell r="I6124" t="str">
            <v>V45786</v>
          </cell>
          <cell r="J6124" t="str">
            <v>CTC</v>
          </cell>
          <cell r="K6124" t="str">
            <v>YES</v>
          </cell>
        </row>
        <row r="6125">
          <cell r="I6125" t="str">
            <v>V43584</v>
          </cell>
          <cell r="J6125" t="str">
            <v>CTC</v>
          </cell>
          <cell r="K6125" t="str">
            <v>YES</v>
          </cell>
        </row>
        <row r="6126">
          <cell r="I6126" t="str">
            <v>V44933</v>
          </cell>
          <cell r="J6126" t="str">
            <v>CTC</v>
          </cell>
          <cell r="K6126" t="str">
            <v>YES</v>
          </cell>
        </row>
        <row r="6127">
          <cell r="I6127" t="str">
            <v>V43894</v>
          </cell>
          <cell r="J6127" t="str">
            <v>CTC</v>
          </cell>
          <cell r="K6127" t="str">
            <v>YES</v>
          </cell>
        </row>
        <row r="6128">
          <cell r="I6128" t="str">
            <v>V48700</v>
          </cell>
          <cell r="J6128" t="str">
            <v>CTC</v>
          </cell>
          <cell r="K6128" t="str">
            <v>YES</v>
          </cell>
        </row>
        <row r="6129">
          <cell r="I6129" t="str">
            <v>V48238</v>
          </cell>
          <cell r="J6129" t="str">
            <v>CTC</v>
          </cell>
          <cell r="K6129" t="str">
            <v>YES</v>
          </cell>
        </row>
        <row r="6130">
          <cell r="I6130" t="str">
            <v>V48332</v>
          </cell>
          <cell r="J6130" t="str">
            <v>CTC</v>
          </cell>
          <cell r="K6130" t="str">
            <v>YES</v>
          </cell>
        </row>
        <row r="6131">
          <cell r="I6131" t="str">
            <v>V44443</v>
          </cell>
          <cell r="J6131" t="str">
            <v>CTC</v>
          </cell>
          <cell r="K6131" t="str">
            <v>YES</v>
          </cell>
        </row>
        <row r="6132">
          <cell r="I6132" t="str">
            <v>V49487</v>
          </cell>
          <cell r="J6132" t="str">
            <v>CTC</v>
          </cell>
          <cell r="K6132" t="str">
            <v>YES</v>
          </cell>
        </row>
        <row r="6133">
          <cell r="I6133" t="str">
            <v>V44202</v>
          </cell>
          <cell r="J6133" t="str">
            <v>CTC</v>
          </cell>
          <cell r="K6133" t="str">
            <v>YES</v>
          </cell>
        </row>
        <row r="6134">
          <cell r="I6134" t="str">
            <v>V44053</v>
          </cell>
          <cell r="J6134" t="str">
            <v>CTC</v>
          </cell>
          <cell r="K6134" t="str">
            <v>YES</v>
          </cell>
        </row>
        <row r="6135">
          <cell r="I6135" t="str">
            <v>V44959</v>
          </cell>
          <cell r="J6135" t="str">
            <v>CTC</v>
          </cell>
          <cell r="K6135" t="str">
            <v>YES</v>
          </cell>
        </row>
        <row r="6136">
          <cell r="I6136" t="str">
            <v>V44963</v>
          </cell>
          <cell r="J6136" t="str">
            <v>CTC</v>
          </cell>
          <cell r="K6136" t="str">
            <v>YES</v>
          </cell>
        </row>
        <row r="6137">
          <cell r="I6137" t="str">
            <v>V44433</v>
          </cell>
          <cell r="J6137" t="str">
            <v>CTC</v>
          </cell>
          <cell r="K6137" t="str">
            <v>YES</v>
          </cell>
        </row>
        <row r="6138">
          <cell r="I6138" t="str">
            <v>V45454</v>
          </cell>
          <cell r="J6138" t="str">
            <v>CTC</v>
          </cell>
          <cell r="K6138" t="str">
            <v>YES</v>
          </cell>
        </row>
        <row r="6139">
          <cell r="I6139" t="str">
            <v>V45518</v>
          </cell>
          <cell r="J6139" t="str">
            <v>CTC</v>
          </cell>
          <cell r="K6139" t="str">
            <v>YES</v>
          </cell>
        </row>
        <row r="6140">
          <cell r="I6140" t="str">
            <v>V46822</v>
          </cell>
          <cell r="J6140" t="str">
            <v>CTC</v>
          </cell>
          <cell r="K6140" t="str">
            <v>YES</v>
          </cell>
        </row>
        <row r="6141">
          <cell r="I6141" t="str">
            <v>V46780</v>
          </cell>
          <cell r="J6141" t="str">
            <v>CTC</v>
          </cell>
          <cell r="K6141" t="str">
            <v>YES</v>
          </cell>
        </row>
        <row r="6142">
          <cell r="I6142" t="str">
            <v>V44546</v>
          </cell>
          <cell r="J6142" t="str">
            <v>CTC</v>
          </cell>
          <cell r="K6142" t="str">
            <v>YES</v>
          </cell>
        </row>
        <row r="6143">
          <cell r="I6143" t="str">
            <v>V45648</v>
          </cell>
          <cell r="J6143" t="str">
            <v>CTC</v>
          </cell>
          <cell r="K6143" t="str">
            <v>YES</v>
          </cell>
        </row>
        <row r="6144">
          <cell r="I6144" t="str">
            <v>V47861</v>
          </cell>
          <cell r="J6144" t="str">
            <v>CTC</v>
          </cell>
          <cell r="K6144" t="str">
            <v>YES</v>
          </cell>
        </row>
        <row r="6145">
          <cell r="I6145" t="str">
            <v>V43903</v>
          </cell>
          <cell r="J6145" t="str">
            <v>CTC</v>
          </cell>
          <cell r="K6145" t="str">
            <v>YES</v>
          </cell>
        </row>
        <row r="6146">
          <cell r="I6146" t="str">
            <v>V44095</v>
          </cell>
          <cell r="J6146" t="str">
            <v>CTC</v>
          </cell>
          <cell r="K6146" t="str">
            <v>YES</v>
          </cell>
        </row>
        <row r="6147">
          <cell r="I6147" t="str">
            <v>V44594</v>
          </cell>
          <cell r="J6147" t="str">
            <v>CTC</v>
          </cell>
          <cell r="K6147" t="str">
            <v>YES</v>
          </cell>
        </row>
        <row r="6148">
          <cell r="I6148" t="str">
            <v>V43585</v>
          </cell>
          <cell r="J6148" t="str">
            <v>CTC</v>
          </cell>
          <cell r="K6148" t="str">
            <v>YES</v>
          </cell>
        </row>
        <row r="6149">
          <cell r="I6149" t="str">
            <v>V44611</v>
          </cell>
          <cell r="J6149" t="str">
            <v>CTC</v>
          </cell>
          <cell r="K6149" t="str">
            <v>YES</v>
          </cell>
        </row>
        <row r="6150">
          <cell r="I6150" t="str">
            <v>V42841</v>
          </cell>
          <cell r="J6150" t="str">
            <v>CTC</v>
          </cell>
          <cell r="K6150" t="str">
            <v>YES</v>
          </cell>
        </row>
        <row r="6151">
          <cell r="I6151" t="str">
            <v>V45517</v>
          </cell>
          <cell r="J6151" t="str">
            <v>CTC</v>
          </cell>
          <cell r="K6151" t="str">
            <v>YES</v>
          </cell>
        </row>
        <row r="6152">
          <cell r="I6152" t="str">
            <v>V44271</v>
          </cell>
          <cell r="J6152" t="str">
            <v>CTC</v>
          </cell>
          <cell r="K6152" t="str">
            <v>YES</v>
          </cell>
        </row>
        <row r="6153">
          <cell r="I6153" t="str">
            <v>V47994</v>
          </cell>
          <cell r="J6153" t="str">
            <v>CTC</v>
          </cell>
          <cell r="K6153" t="str">
            <v>YES</v>
          </cell>
        </row>
        <row r="6154">
          <cell r="I6154" t="str">
            <v>V47720</v>
          </cell>
          <cell r="J6154" t="str">
            <v>CTC</v>
          </cell>
          <cell r="K6154" t="str">
            <v>YES</v>
          </cell>
        </row>
        <row r="6155">
          <cell r="I6155" t="str">
            <v>V50720</v>
          </cell>
          <cell r="J6155" t="str">
            <v>CTC</v>
          </cell>
          <cell r="K6155" t="str">
            <v>YES</v>
          </cell>
        </row>
        <row r="6156">
          <cell r="I6156" t="str">
            <v>V34240</v>
          </cell>
          <cell r="J6156" t="str">
            <v>CTC</v>
          </cell>
          <cell r="K6156" t="str">
            <v>YES</v>
          </cell>
        </row>
        <row r="6157">
          <cell r="I6157" t="str">
            <v>V45238</v>
          </cell>
          <cell r="J6157" t="str">
            <v>CTC</v>
          </cell>
          <cell r="K6157" t="str">
            <v>YES</v>
          </cell>
        </row>
        <row r="6158">
          <cell r="I6158" t="str">
            <v>V45427</v>
          </cell>
          <cell r="J6158" t="str">
            <v>CTC</v>
          </cell>
          <cell r="K6158" t="str">
            <v>YES</v>
          </cell>
        </row>
        <row r="6159">
          <cell r="I6159" t="str">
            <v>V43838</v>
          </cell>
          <cell r="J6159" t="str">
            <v>CTC</v>
          </cell>
          <cell r="K6159" t="str">
            <v>YES</v>
          </cell>
        </row>
        <row r="6160">
          <cell r="I6160" t="str">
            <v>V36406</v>
          </cell>
          <cell r="J6160" t="str">
            <v>CTC</v>
          </cell>
          <cell r="K6160" t="str">
            <v>YES</v>
          </cell>
        </row>
        <row r="6161">
          <cell r="I6161" t="str">
            <v>V44209</v>
          </cell>
          <cell r="J6161" t="str">
            <v>CTC</v>
          </cell>
          <cell r="K6161" t="str">
            <v>YES</v>
          </cell>
        </row>
        <row r="6162">
          <cell r="I6162" t="str">
            <v>V45220</v>
          </cell>
          <cell r="J6162" t="str">
            <v>CTC</v>
          </cell>
          <cell r="K6162" t="str">
            <v>YES</v>
          </cell>
        </row>
        <row r="6163">
          <cell r="I6163" t="str">
            <v>V45388</v>
          </cell>
          <cell r="J6163" t="str">
            <v>CTC</v>
          </cell>
          <cell r="K6163" t="str">
            <v>YES</v>
          </cell>
        </row>
        <row r="6164">
          <cell r="I6164" t="str">
            <v>V44662</v>
          </cell>
          <cell r="J6164" t="str">
            <v>CTC</v>
          </cell>
          <cell r="K6164" t="str">
            <v>YES</v>
          </cell>
        </row>
        <row r="6165">
          <cell r="I6165" t="str">
            <v>V51183</v>
          </cell>
          <cell r="J6165" t="str">
            <v>CTC</v>
          </cell>
          <cell r="K6165" t="str">
            <v>YES</v>
          </cell>
        </row>
        <row r="6166">
          <cell r="I6166" t="str">
            <v>V47215</v>
          </cell>
          <cell r="J6166" t="str">
            <v>CTC</v>
          </cell>
          <cell r="K6166" t="str">
            <v>YES</v>
          </cell>
        </row>
        <row r="6167">
          <cell r="I6167" t="str">
            <v>V44718</v>
          </cell>
          <cell r="J6167" t="str">
            <v>CTC</v>
          </cell>
          <cell r="K6167" t="str">
            <v>YES</v>
          </cell>
        </row>
        <row r="6168">
          <cell r="I6168" t="str">
            <v>V44612</v>
          </cell>
          <cell r="J6168" t="str">
            <v>CTC</v>
          </cell>
          <cell r="K6168" t="str">
            <v>YES</v>
          </cell>
        </row>
        <row r="6169">
          <cell r="I6169" t="str">
            <v>V44394</v>
          </cell>
          <cell r="J6169" t="str">
            <v>CTC</v>
          </cell>
          <cell r="K6169" t="str">
            <v>YES</v>
          </cell>
        </row>
        <row r="6170">
          <cell r="I6170" t="str">
            <v>V43529</v>
          </cell>
          <cell r="J6170" t="str">
            <v>CTC</v>
          </cell>
          <cell r="K6170" t="str">
            <v>YES</v>
          </cell>
        </row>
        <row r="6171">
          <cell r="I6171" t="str">
            <v>V51711</v>
          </cell>
          <cell r="J6171" t="str">
            <v>CTC</v>
          </cell>
          <cell r="K6171" t="str">
            <v>YES</v>
          </cell>
        </row>
        <row r="6172">
          <cell r="I6172" t="str">
            <v>V43618</v>
          </cell>
          <cell r="J6172" t="str">
            <v>CTC</v>
          </cell>
          <cell r="K6172" t="str">
            <v>YES</v>
          </cell>
        </row>
        <row r="6173">
          <cell r="I6173" t="str">
            <v>V44038</v>
          </cell>
          <cell r="J6173" t="str">
            <v>CTC</v>
          </cell>
          <cell r="K6173" t="str">
            <v>YES</v>
          </cell>
        </row>
        <row r="6174">
          <cell r="I6174" t="str">
            <v>V45726</v>
          </cell>
          <cell r="J6174" t="str">
            <v>CTC</v>
          </cell>
          <cell r="K6174" t="str">
            <v>YES</v>
          </cell>
        </row>
        <row r="6175">
          <cell r="I6175" t="str">
            <v>V43610</v>
          </cell>
          <cell r="J6175" t="str">
            <v>CTC</v>
          </cell>
          <cell r="K6175" t="str">
            <v>YES</v>
          </cell>
        </row>
        <row r="6176">
          <cell r="I6176" t="str">
            <v>V49339</v>
          </cell>
          <cell r="J6176" t="str">
            <v>CTC</v>
          </cell>
          <cell r="K6176" t="str">
            <v>YES</v>
          </cell>
        </row>
        <row r="6177">
          <cell r="I6177" t="str">
            <v>V44286</v>
          </cell>
          <cell r="J6177" t="str">
            <v>CTC</v>
          </cell>
          <cell r="K6177" t="str">
            <v>YES</v>
          </cell>
        </row>
        <row r="6178">
          <cell r="I6178" t="str">
            <v>V45078</v>
          </cell>
          <cell r="J6178" t="str">
            <v>CTC</v>
          </cell>
          <cell r="K6178" t="str">
            <v>YES</v>
          </cell>
        </row>
        <row r="6179">
          <cell r="I6179" t="str">
            <v>V43642</v>
          </cell>
          <cell r="J6179" t="str">
            <v>CTC</v>
          </cell>
          <cell r="K6179" t="str">
            <v>YES</v>
          </cell>
        </row>
        <row r="6180">
          <cell r="I6180" t="str">
            <v>V46017</v>
          </cell>
          <cell r="J6180" t="str">
            <v>CTC</v>
          </cell>
          <cell r="K6180" t="str">
            <v>YES</v>
          </cell>
        </row>
        <row r="6181">
          <cell r="I6181" t="str">
            <v>V45578</v>
          </cell>
          <cell r="J6181" t="str">
            <v>CTC</v>
          </cell>
          <cell r="K6181" t="str">
            <v>YES</v>
          </cell>
        </row>
        <row r="6182">
          <cell r="I6182" t="str">
            <v>V45397</v>
          </cell>
          <cell r="J6182" t="str">
            <v>CTC</v>
          </cell>
          <cell r="K6182" t="str">
            <v>YES</v>
          </cell>
        </row>
        <row r="6183">
          <cell r="I6183" t="str">
            <v>V47599</v>
          </cell>
          <cell r="J6183" t="str">
            <v>CTC</v>
          </cell>
          <cell r="K6183" t="str">
            <v>YES</v>
          </cell>
        </row>
        <row r="6184">
          <cell r="I6184" t="str">
            <v>V44298</v>
          </cell>
          <cell r="J6184" t="str">
            <v>CTC</v>
          </cell>
          <cell r="K6184" t="str">
            <v>YES</v>
          </cell>
        </row>
        <row r="6185">
          <cell r="I6185" t="str">
            <v>V47130</v>
          </cell>
          <cell r="J6185" t="str">
            <v>CTC</v>
          </cell>
          <cell r="K6185" t="str">
            <v>YES</v>
          </cell>
        </row>
        <row r="6186">
          <cell r="I6186" t="str">
            <v>V46097</v>
          </cell>
          <cell r="J6186" t="str">
            <v>CTC</v>
          </cell>
          <cell r="K6186" t="str">
            <v>YES</v>
          </cell>
        </row>
        <row r="6187">
          <cell r="I6187" t="str">
            <v>V44427</v>
          </cell>
          <cell r="J6187" t="str">
            <v>CTC</v>
          </cell>
          <cell r="K6187" t="str">
            <v>YES</v>
          </cell>
        </row>
        <row r="6188">
          <cell r="I6188" t="str">
            <v>V45930</v>
          </cell>
          <cell r="J6188" t="str">
            <v>CTC</v>
          </cell>
          <cell r="K6188" t="str">
            <v>YES</v>
          </cell>
        </row>
        <row r="6189">
          <cell r="I6189" t="str">
            <v>V43796</v>
          </cell>
          <cell r="J6189" t="str">
            <v>CTC</v>
          </cell>
          <cell r="K6189" t="str">
            <v>YES</v>
          </cell>
        </row>
        <row r="6190">
          <cell r="I6190" t="str">
            <v>V45851</v>
          </cell>
          <cell r="J6190" t="str">
            <v>CTC</v>
          </cell>
          <cell r="K6190" t="str">
            <v>YES</v>
          </cell>
        </row>
        <row r="6191">
          <cell r="I6191" t="str">
            <v>V45090</v>
          </cell>
          <cell r="J6191" t="str">
            <v>CTC</v>
          </cell>
          <cell r="K6191" t="str">
            <v>YES</v>
          </cell>
        </row>
        <row r="6192">
          <cell r="I6192" t="str">
            <v>V51180</v>
          </cell>
          <cell r="J6192" t="str">
            <v>CTC</v>
          </cell>
          <cell r="K6192" t="str">
            <v>YES</v>
          </cell>
        </row>
        <row r="6193">
          <cell r="I6193" t="str">
            <v>V43779</v>
          </cell>
          <cell r="J6193" t="str">
            <v>CTC</v>
          </cell>
          <cell r="K6193" t="str">
            <v>YES</v>
          </cell>
        </row>
        <row r="6194">
          <cell r="I6194" t="str">
            <v>V51176</v>
          </cell>
          <cell r="J6194" t="str">
            <v>CTC</v>
          </cell>
          <cell r="K6194" t="str">
            <v>YES</v>
          </cell>
        </row>
        <row r="6195">
          <cell r="I6195" t="str">
            <v>V47119</v>
          </cell>
          <cell r="J6195" t="str">
            <v>CTC</v>
          </cell>
          <cell r="K6195" t="str">
            <v>YES</v>
          </cell>
        </row>
        <row r="6196">
          <cell r="I6196" t="str">
            <v>V46405</v>
          </cell>
          <cell r="J6196" t="str">
            <v>CTC</v>
          </cell>
          <cell r="K6196" t="str">
            <v>YES</v>
          </cell>
        </row>
        <row r="6197">
          <cell r="I6197" t="str">
            <v>V44256</v>
          </cell>
          <cell r="J6197" t="str">
            <v>CTC</v>
          </cell>
          <cell r="K6197" t="str">
            <v>YES</v>
          </cell>
        </row>
        <row r="6198">
          <cell r="I6198" t="str">
            <v>V39306</v>
          </cell>
          <cell r="J6198" t="str">
            <v>CTC</v>
          </cell>
          <cell r="K6198" t="str">
            <v>YES</v>
          </cell>
        </row>
        <row r="6199">
          <cell r="I6199" t="str">
            <v>V47452</v>
          </cell>
          <cell r="J6199" t="str">
            <v>CTC</v>
          </cell>
          <cell r="K6199" t="str">
            <v>YES</v>
          </cell>
        </row>
        <row r="6200">
          <cell r="I6200" t="str">
            <v>V47405</v>
          </cell>
          <cell r="J6200" t="str">
            <v>CTC</v>
          </cell>
          <cell r="K6200" t="str">
            <v>YES</v>
          </cell>
        </row>
        <row r="6201">
          <cell r="I6201" t="str">
            <v>V45081</v>
          </cell>
          <cell r="J6201" t="str">
            <v>CTC</v>
          </cell>
          <cell r="K6201" t="str">
            <v>YES</v>
          </cell>
        </row>
        <row r="6202">
          <cell r="I6202" t="str">
            <v>V44878</v>
          </cell>
          <cell r="J6202" t="str">
            <v>CTC</v>
          </cell>
          <cell r="K6202" t="str">
            <v>YES</v>
          </cell>
        </row>
        <row r="6203">
          <cell r="I6203" t="str">
            <v>V45074</v>
          </cell>
          <cell r="J6203" t="str">
            <v>CTC</v>
          </cell>
          <cell r="K6203" t="str">
            <v>YES</v>
          </cell>
        </row>
        <row r="6204">
          <cell r="I6204" t="str">
            <v>V45383</v>
          </cell>
          <cell r="J6204" t="str">
            <v>CTC</v>
          </cell>
          <cell r="K6204" t="str">
            <v>YES</v>
          </cell>
        </row>
        <row r="6205">
          <cell r="I6205" t="str">
            <v>V44013</v>
          </cell>
          <cell r="J6205" t="str">
            <v>CTC</v>
          </cell>
          <cell r="K6205" t="str">
            <v>YES</v>
          </cell>
        </row>
        <row r="6206">
          <cell r="I6206" t="str">
            <v>V44532</v>
          </cell>
          <cell r="J6206" t="str">
            <v>CTC</v>
          </cell>
          <cell r="K6206" t="str">
            <v>YES</v>
          </cell>
        </row>
        <row r="6207">
          <cell r="I6207" t="str">
            <v>V46490</v>
          </cell>
          <cell r="J6207" t="str">
            <v>CTC</v>
          </cell>
          <cell r="K6207" t="str">
            <v>YES</v>
          </cell>
        </row>
        <row r="6208">
          <cell r="I6208" t="str">
            <v>V45749</v>
          </cell>
          <cell r="J6208" t="str">
            <v>CTC</v>
          </cell>
          <cell r="K6208" t="str">
            <v>YES</v>
          </cell>
        </row>
        <row r="6209">
          <cell r="I6209" t="str">
            <v>V45161</v>
          </cell>
          <cell r="J6209" t="str">
            <v>CTC</v>
          </cell>
          <cell r="K6209" t="str">
            <v>YES</v>
          </cell>
        </row>
        <row r="6210">
          <cell r="I6210" t="str">
            <v>V50887</v>
          </cell>
          <cell r="J6210" t="str">
            <v>STAT</v>
          </cell>
          <cell r="K6210" t="str">
            <v>YES</v>
          </cell>
        </row>
        <row r="6211">
          <cell r="I6211" t="str">
            <v>V46025</v>
          </cell>
          <cell r="J6211" t="str">
            <v>CTC</v>
          </cell>
          <cell r="K6211" t="str">
            <v>YES</v>
          </cell>
        </row>
        <row r="6212">
          <cell r="I6212" t="str">
            <v>V43583</v>
          </cell>
          <cell r="J6212" t="str">
            <v>CTC</v>
          </cell>
          <cell r="K6212" t="str">
            <v>YES</v>
          </cell>
        </row>
        <row r="6213">
          <cell r="I6213" t="str">
            <v>V44413</v>
          </cell>
          <cell r="J6213" t="str">
            <v>CTC</v>
          </cell>
          <cell r="K6213" t="str">
            <v>YES</v>
          </cell>
        </row>
        <row r="6214">
          <cell r="I6214" t="str">
            <v>V47746</v>
          </cell>
          <cell r="J6214" t="str">
            <v>CTC</v>
          </cell>
          <cell r="K6214" t="str">
            <v>YES</v>
          </cell>
        </row>
        <row r="6215">
          <cell r="I6215" t="str">
            <v>V45111</v>
          </cell>
          <cell r="J6215" t="str">
            <v>CTC</v>
          </cell>
          <cell r="K6215" t="str">
            <v>YES</v>
          </cell>
        </row>
        <row r="6216">
          <cell r="I6216" t="str">
            <v>V45468</v>
          </cell>
          <cell r="J6216" t="str">
            <v>CTC</v>
          </cell>
          <cell r="K6216" t="str">
            <v>YES</v>
          </cell>
        </row>
        <row r="6217">
          <cell r="I6217" t="str">
            <v>V45470</v>
          </cell>
          <cell r="J6217" t="str">
            <v>CTC</v>
          </cell>
          <cell r="K6217" t="str">
            <v>YES</v>
          </cell>
        </row>
        <row r="6218">
          <cell r="I6218" t="str">
            <v>V50055</v>
          </cell>
          <cell r="J6218" t="str">
            <v>CTC</v>
          </cell>
          <cell r="K6218" t="str">
            <v>YES</v>
          </cell>
        </row>
        <row r="6219">
          <cell r="I6219" t="str">
            <v>V45329</v>
          </cell>
          <cell r="J6219" t="str">
            <v>CTC</v>
          </cell>
          <cell r="K6219" t="str">
            <v>YES</v>
          </cell>
        </row>
        <row r="6220">
          <cell r="I6220" t="str">
            <v>V45330</v>
          </cell>
          <cell r="J6220" t="str">
            <v>CTC</v>
          </cell>
          <cell r="K6220" t="str">
            <v>YES</v>
          </cell>
        </row>
        <row r="6221">
          <cell r="I6221" t="str">
            <v>V44166</v>
          </cell>
          <cell r="J6221" t="str">
            <v>CTC</v>
          </cell>
          <cell r="K6221" t="str">
            <v>YES</v>
          </cell>
        </row>
        <row r="6222">
          <cell r="I6222" t="str">
            <v>V44449</v>
          </cell>
          <cell r="J6222" t="str">
            <v>CTC</v>
          </cell>
          <cell r="K6222" t="str">
            <v>YES</v>
          </cell>
        </row>
        <row r="6223">
          <cell r="I6223" t="str">
            <v>V43793</v>
          </cell>
          <cell r="J6223" t="str">
            <v>CTC</v>
          </cell>
          <cell r="K6223" t="str">
            <v>YES</v>
          </cell>
        </row>
        <row r="6224">
          <cell r="I6224" t="str">
            <v>V43798</v>
          </cell>
          <cell r="J6224" t="str">
            <v>CTC</v>
          </cell>
          <cell r="K6224" t="str">
            <v>YES</v>
          </cell>
        </row>
        <row r="6225">
          <cell r="I6225" t="str">
            <v>V45249</v>
          </cell>
          <cell r="J6225" t="str">
            <v>CTC</v>
          </cell>
          <cell r="K6225" t="str">
            <v>YES</v>
          </cell>
        </row>
        <row r="6226">
          <cell r="I6226" t="str">
            <v>V45433</v>
          </cell>
          <cell r="J6226" t="str">
            <v>CTC</v>
          </cell>
          <cell r="K6226" t="str">
            <v>YES</v>
          </cell>
        </row>
        <row r="6227">
          <cell r="I6227" t="str">
            <v>V45340</v>
          </cell>
          <cell r="J6227" t="str">
            <v>CTC</v>
          </cell>
          <cell r="K6227" t="str">
            <v>YES</v>
          </cell>
        </row>
        <row r="6228">
          <cell r="I6228" t="str">
            <v>V44182</v>
          </cell>
          <cell r="J6228" t="str">
            <v>CTC</v>
          </cell>
          <cell r="K6228" t="str">
            <v>YES</v>
          </cell>
        </row>
        <row r="6229">
          <cell r="I6229" t="str">
            <v>V45647</v>
          </cell>
          <cell r="J6229" t="str">
            <v>CTC</v>
          </cell>
          <cell r="K6229" t="str">
            <v>YES</v>
          </cell>
        </row>
        <row r="6230">
          <cell r="I6230" t="str">
            <v>V46406</v>
          </cell>
          <cell r="J6230" t="str">
            <v>CTC</v>
          </cell>
          <cell r="K6230" t="str">
            <v>YES</v>
          </cell>
        </row>
        <row r="6231">
          <cell r="I6231" t="str">
            <v>V45580</v>
          </cell>
          <cell r="J6231" t="str">
            <v>CTC</v>
          </cell>
          <cell r="K6231" t="str">
            <v>YES</v>
          </cell>
        </row>
        <row r="6232">
          <cell r="I6232" t="str">
            <v>V43794</v>
          </cell>
          <cell r="J6232" t="str">
            <v>CTC</v>
          </cell>
          <cell r="K6232" t="str">
            <v>YES</v>
          </cell>
        </row>
        <row r="6233">
          <cell r="I6233" t="str">
            <v>V48399</v>
          </cell>
          <cell r="J6233" t="str">
            <v>CTC</v>
          </cell>
          <cell r="K6233" t="str">
            <v>YES</v>
          </cell>
        </row>
        <row r="6234">
          <cell r="I6234" t="str">
            <v>V49172</v>
          </cell>
          <cell r="J6234" t="str">
            <v>CTC</v>
          </cell>
          <cell r="K6234" t="str">
            <v>YES</v>
          </cell>
        </row>
        <row r="6235">
          <cell r="I6235" t="str">
            <v>V44550</v>
          </cell>
          <cell r="J6235" t="str">
            <v>CTC</v>
          </cell>
          <cell r="K6235" t="str">
            <v>YES</v>
          </cell>
        </row>
        <row r="6236">
          <cell r="I6236" t="str">
            <v>V45541</v>
          </cell>
          <cell r="J6236" t="str">
            <v>CTC</v>
          </cell>
          <cell r="K6236" t="str">
            <v>YES</v>
          </cell>
        </row>
        <row r="6237">
          <cell r="I6237" t="str">
            <v>V46012</v>
          </cell>
          <cell r="J6237" t="str">
            <v>CTC</v>
          </cell>
          <cell r="K6237" t="str">
            <v>YES</v>
          </cell>
        </row>
        <row r="6238">
          <cell r="I6238" t="str">
            <v>V51673</v>
          </cell>
          <cell r="J6238" t="str">
            <v>CTC</v>
          </cell>
          <cell r="K6238" t="str">
            <v>YES</v>
          </cell>
        </row>
        <row r="6239">
          <cell r="I6239" t="str">
            <v>V46253</v>
          </cell>
          <cell r="J6239" t="str">
            <v>CTC</v>
          </cell>
          <cell r="K6239" t="str">
            <v>YES</v>
          </cell>
        </row>
        <row r="6240">
          <cell r="I6240" t="str">
            <v>V43799</v>
          </cell>
          <cell r="J6240" t="str">
            <v>CTC</v>
          </cell>
          <cell r="K6240" t="str">
            <v>YES</v>
          </cell>
        </row>
        <row r="6241">
          <cell r="I6241" t="str">
            <v>V44744</v>
          </cell>
          <cell r="J6241" t="str">
            <v>CTC</v>
          </cell>
          <cell r="K6241" t="str">
            <v>YES</v>
          </cell>
        </row>
        <row r="6242">
          <cell r="I6242" t="str">
            <v>V46088</v>
          </cell>
          <cell r="J6242" t="str">
            <v>CTC</v>
          </cell>
          <cell r="K6242" t="str">
            <v>YES</v>
          </cell>
        </row>
        <row r="6243">
          <cell r="I6243" t="str">
            <v>V48697</v>
          </cell>
          <cell r="J6243" t="str">
            <v>CTC</v>
          </cell>
          <cell r="K6243" t="str">
            <v>YES</v>
          </cell>
        </row>
        <row r="6244">
          <cell r="I6244" t="str">
            <v>V45987</v>
          </cell>
          <cell r="J6244" t="str">
            <v>CTC</v>
          </cell>
          <cell r="K6244" t="str">
            <v>YES</v>
          </cell>
        </row>
        <row r="6245">
          <cell r="I6245" t="str">
            <v>V45991</v>
          </cell>
          <cell r="J6245" t="str">
            <v>CTC</v>
          </cell>
          <cell r="K6245" t="str">
            <v>YES</v>
          </cell>
        </row>
        <row r="6246">
          <cell r="I6246" t="str">
            <v>V46034</v>
          </cell>
          <cell r="J6246" t="str">
            <v>CTC</v>
          </cell>
          <cell r="K6246" t="str">
            <v>YES</v>
          </cell>
        </row>
        <row r="6247">
          <cell r="I6247" t="str">
            <v>V45065</v>
          </cell>
          <cell r="J6247" t="str">
            <v>CTC</v>
          </cell>
          <cell r="K6247" t="str">
            <v>YES</v>
          </cell>
        </row>
        <row r="6248">
          <cell r="I6248" t="str">
            <v>V49158</v>
          </cell>
          <cell r="J6248" t="str">
            <v>CTC</v>
          </cell>
          <cell r="K6248" t="str">
            <v>YES</v>
          </cell>
        </row>
        <row r="6249">
          <cell r="I6249" t="str">
            <v>V47602</v>
          </cell>
          <cell r="J6249" t="str">
            <v>CTC</v>
          </cell>
          <cell r="K6249" t="str">
            <v>YES</v>
          </cell>
        </row>
        <row r="6250">
          <cell r="I6250" t="str">
            <v>V45369</v>
          </cell>
          <cell r="J6250" t="str">
            <v>CTC</v>
          </cell>
          <cell r="K6250" t="str">
            <v>YES</v>
          </cell>
        </row>
        <row r="6251">
          <cell r="I6251" t="str">
            <v>V44742</v>
          </cell>
          <cell r="J6251" t="str">
            <v>CTC</v>
          </cell>
          <cell r="K6251" t="str">
            <v>YES</v>
          </cell>
        </row>
        <row r="6252">
          <cell r="I6252" t="str">
            <v>V45322</v>
          </cell>
          <cell r="J6252" t="str">
            <v>CTC</v>
          </cell>
          <cell r="K6252" t="str">
            <v>YES</v>
          </cell>
        </row>
        <row r="6253">
          <cell r="I6253" t="str">
            <v>V44691</v>
          </cell>
          <cell r="J6253" t="str">
            <v>CTC</v>
          </cell>
          <cell r="K6253" t="str">
            <v>YES</v>
          </cell>
        </row>
        <row r="6254">
          <cell r="I6254" t="str">
            <v>V46054</v>
          </cell>
          <cell r="J6254" t="str">
            <v>CTC</v>
          </cell>
          <cell r="K6254" t="str">
            <v>YES</v>
          </cell>
        </row>
        <row r="6255">
          <cell r="I6255" t="str">
            <v>V45339</v>
          </cell>
          <cell r="J6255" t="str">
            <v>CTC</v>
          </cell>
          <cell r="K6255" t="str">
            <v>YES</v>
          </cell>
        </row>
        <row r="6256">
          <cell r="I6256" t="str">
            <v>V45944</v>
          </cell>
          <cell r="J6256" t="str">
            <v>CTC</v>
          </cell>
          <cell r="K6256" t="str">
            <v>YES</v>
          </cell>
        </row>
        <row r="6257">
          <cell r="I6257" t="str">
            <v>V48987</v>
          </cell>
          <cell r="J6257" t="str">
            <v>CTC</v>
          </cell>
          <cell r="K6257" t="str">
            <v>YES</v>
          </cell>
        </row>
        <row r="6258">
          <cell r="I6258" t="str">
            <v>V45485</v>
          </cell>
          <cell r="J6258" t="str">
            <v>CTC</v>
          </cell>
          <cell r="K6258" t="str">
            <v>YES</v>
          </cell>
        </row>
        <row r="6259">
          <cell r="I6259" t="str">
            <v>V44363</v>
          </cell>
          <cell r="J6259" t="str">
            <v>CTC</v>
          </cell>
          <cell r="K6259" t="str">
            <v>YES</v>
          </cell>
        </row>
        <row r="6260">
          <cell r="I6260" t="str">
            <v>V45316</v>
          </cell>
          <cell r="J6260" t="str">
            <v>CTC</v>
          </cell>
          <cell r="K6260" t="str">
            <v>YES</v>
          </cell>
        </row>
        <row r="6261">
          <cell r="I6261" t="str">
            <v>V45416</v>
          </cell>
          <cell r="J6261" t="str">
            <v>CTC</v>
          </cell>
          <cell r="K6261" t="str">
            <v>YES</v>
          </cell>
        </row>
        <row r="6262">
          <cell r="I6262" t="str">
            <v>V45167</v>
          </cell>
          <cell r="J6262" t="str">
            <v>CTC</v>
          </cell>
          <cell r="K6262" t="str">
            <v>YES</v>
          </cell>
        </row>
        <row r="6263">
          <cell r="I6263" t="str">
            <v>V48344</v>
          </cell>
          <cell r="J6263" t="str">
            <v>CTC</v>
          </cell>
          <cell r="K6263" t="str">
            <v>YES</v>
          </cell>
        </row>
        <row r="6264">
          <cell r="I6264" t="str">
            <v>V45484</v>
          </cell>
          <cell r="J6264" t="str">
            <v>CTC</v>
          </cell>
          <cell r="K6264" t="str">
            <v>YES</v>
          </cell>
        </row>
        <row r="6265">
          <cell r="I6265" t="str">
            <v>V47296</v>
          </cell>
          <cell r="J6265" t="str">
            <v>CTC</v>
          </cell>
          <cell r="K6265" t="str">
            <v>YES</v>
          </cell>
        </row>
        <row r="6266">
          <cell r="I6266" t="str">
            <v>V48794</v>
          </cell>
          <cell r="J6266" t="str">
            <v>CTC</v>
          </cell>
          <cell r="K6266" t="str">
            <v>YES</v>
          </cell>
        </row>
        <row r="6267">
          <cell r="I6267" t="str">
            <v>V43859</v>
          </cell>
          <cell r="J6267" t="str">
            <v>CTC</v>
          </cell>
          <cell r="K6267" t="str">
            <v>YES</v>
          </cell>
        </row>
        <row r="6268">
          <cell r="I6268" t="str">
            <v>V43952</v>
          </cell>
          <cell r="J6268" t="str">
            <v>CTC</v>
          </cell>
          <cell r="K6268" t="str">
            <v>YES</v>
          </cell>
        </row>
        <row r="6269">
          <cell r="I6269" t="str">
            <v>V45989</v>
          </cell>
          <cell r="J6269" t="str">
            <v>CTC</v>
          </cell>
          <cell r="K6269" t="str">
            <v>YES</v>
          </cell>
        </row>
        <row r="6270">
          <cell r="I6270" t="str">
            <v>V45985</v>
          </cell>
          <cell r="J6270" t="str">
            <v>CTC</v>
          </cell>
          <cell r="K6270" t="str">
            <v>YES</v>
          </cell>
        </row>
        <row r="6271">
          <cell r="I6271" t="str">
            <v>V50758</v>
          </cell>
          <cell r="J6271" t="str">
            <v>CTC</v>
          </cell>
          <cell r="K6271" t="str">
            <v>YES</v>
          </cell>
        </row>
        <row r="6272">
          <cell r="I6272" t="str">
            <v>V45179</v>
          </cell>
          <cell r="J6272" t="str">
            <v>CTC</v>
          </cell>
          <cell r="K6272" t="str">
            <v>YES</v>
          </cell>
        </row>
        <row r="6273">
          <cell r="I6273" t="str">
            <v>V45027</v>
          </cell>
          <cell r="J6273" t="str">
            <v>CTC</v>
          </cell>
          <cell r="K6273" t="str">
            <v>YES</v>
          </cell>
        </row>
        <row r="6274">
          <cell r="I6274" t="str">
            <v>V46491</v>
          </cell>
          <cell r="J6274" t="str">
            <v>CTC</v>
          </cell>
          <cell r="K6274" t="str">
            <v>YES</v>
          </cell>
        </row>
        <row r="6275">
          <cell r="I6275" t="str">
            <v>V46003</v>
          </cell>
          <cell r="J6275" t="str">
            <v>CTC</v>
          </cell>
          <cell r="K6275" t="str">
            <v>YES</v>
          </cell>
        </row>
        <row r="6276">
          <cell r="I6276" t="str">
            <v>V45912</v>
          </cell>
          <cell r="J6276" t="str">
            <v>CTC</v>
          </cell>
          <cell r="K6276" t="str">
            <v>YES</v>
          </cell>
        </row>
        <row r="6277">
          <cell r="I6277" t="str">
            <v>V50816</v>
          </cell>
          <cell r="J6277" t="str">
            <v>CTC</v>
          </cell>
          <cell r="K6277" t="str">
            <v>YES</v>
          </cell>
        </row>
        <row r="6278">
          <cell r="I6278" t="str">
            <v>V47003</v>
          </cell>
          <cell r="J6278" t="str">
            <v>CTC</v>
          </cell>
          <cell r="K6278" t="str">
            <v>YES</v>
          </cell>
        </row>
        <row r="6279">
          <cell r="I6279" t="str">
            <v>V46357</v>
          </cell>
          <cell r="J6279" t="str">
            <v>CTC</v>
          </cell>
          <cell r="K6279" t="str">
            <v>YES</v>
          </cell>
        </row>
        <row r="6280">
          <cell r="I6280" t="str">
            <v>V46712</v>
          </cell>
          <cell r="J6280" t="str">
            <v>CTC</v>
          </cell>
          <cell r="K6280" t="str">
            <v>YES</v>
          </cell>
        </row>
        <row r="6281">
          <cell r="I6281" t="str">
            <v>V45796</v>
          </cell>
          <cell r="J6281" t="str">
            <v>CTC</v>
          </cell>
          <cell r="K6281" t="str">
            <v>YES</v>
          </cell>
        </row>
        <row r="6282">
          <cell r="I6282" t="str">
            <v>V48799</v>
          </cell>
          <cell r="J6282" t="str">
            <v>CTC</v>
          </cell>
          <cell r="K6282" t="str">
            <v>YES</v>
          </cell>
        </row>
        <row r="6283">
          <cell r="I6283" t="str">
            <v>V47132</v>
          </cell>
          <cell r="J6283" t="str">
            <v>CTC</v>
          </cell>
          <cell r="K6283" t="str">
            <v>YES</v>
          </cell>
        </row>
        <row r="6284">
          <cell r="I6284" t="str">
            <v>V44564</v>
          </cell>
          <cell r="J6284" t="str">
            <v>CTC</v>
          </cell>
          <cell r="K6284" t="str">
            <v>YES</v>
          </cell>
        </row>
        <row r="6285">
          <cell r="I6285" t="str">
            <v>V48216</v>
          </cell>
          <cell r="J6285" t="str">
            <v>CTC</v>
          </cell>
          <cell r="K6285" t="str">
            <v>YES</v>
          </cell>
        </row>
        <row r="6286">
          <cell r="I6286" t="str">
            <v>V47560</v>
          </cell>
          <cell r="J6286" t="str">
            <v>CTC</v>
          </cell>
          <cell r="K6286" t="str">
            <v>YES</v>
          </cell>
        </row>
        <row r="6287">
          <cell r="I6287" t="str">
            <v>V31515</v>
          </cell>
          <cell r="J6287" t="str">
            <v>CTC</v>
          </cell>
          <cell r="K6287" t="str">
            <v>YES</v>
          </cell>
        </row>
        <row r="6288">
          <cell r="I6288" t="str">
            <v>V46179</v>
          </cell>
          <cell r="J6288" t="str">
            <v>CTC</v>
          </cell>
          <cell r="K6288" t="str">
            <v>YES</v>
          </cell>
        </row>
        <row r="6289">
          <cell r="I6289" t="str">
            <v>V46180</v>
          </cell>
          <cell r="J6289" t="str">
            <v>CTC</v>
          </cell>
          <cell r="K6289" t="str">
            <v>YES</v>
          </cell>
        </row>
        <row r="6290">
          <cell r="I6290" t="str">
            <v>V17212</v>
          </cell>
          <cell r="J6290" t="str">
            <v>CTC</v>
          </cell>
          <cell r="K6290" t="str">
            <v>YES</v>
          </cell>
        </row>
        <row r="6291">
          <cell r="I6291" t="str">
            <v>V46359</v>
          </cell>
          <cell r="J6291" t="str">
            <v>CTC</v>
          </cell>
          <cell r="K6291" t="str">
            <v>YES</v>
          </cell>
        </row>
        <row r="6292">
          <cell r="I6292" t="str">
            <v>V45705</v>
          </cell>
          <cell r="J6292" t="str">
            <v>CTC</v>
          </cell>
          <cell r="K6292" t="str">
            <v>YES</v>
          </cell>
        </row>
        <row r="6293">
          <cell r="I6293" t="str">
            <v>V45091</v>
          </cell>
          <cell r="J6293" t="str">
            <v>CTC</v>
          </cell>
          <cell r="K6293" t="str">
            <v>YES</v>
          </cell>
        </row>
        <row r="6294">
          <cell r="I6294" t="str">
            <v>V47589</v>
          </cell>
          <cell r="J6294" t="str">
            <v>CTC</v>
          </cell>
          <cell r="K6294" t="str">
            <v>YES</v>
          </cell>
        </row>
        <row r="6295">
          <cell r="I6295" t="str">
            <v>V45317</v>
          </cell>
          <cell r="J6295" t="str">
            <v>CTC</v>
          </cell>
          <cell r="K6295" t="str">
            <v>YES</v>
          </cell>
        </row>
        <row r="6296">
          <cell r="I6296" t="str">
            <v>V47703</v>
          </cell>
          <cell r="J6296" t="str">
            <v>CTC</v>
          </cell>
          <cell r="K6296" t="str">
            <v>YES</v>
          </cell>
        </row>
        <row r="6297">
          <cell r="I6297" t="str">
            <v>V45418</v>
          </cell>
          <cell r="J6297" t="str">
            <v>CTC</v>
          </cell>
          <cell r="K6297" t="str">
            <v>YES</v>
          </cell>
        </row>
        <row r="6298">
          <cell r="I6298" t="str">
            <v>V45422</v>
          </cell>
          <cell r="J6298" t="str">
            <v>CTC</v>
          </cell>
          <cell r="K6298" t="str">
            <v>YES</v>
          </cell>
        </row>
        <row r="6299">
          <cell r="I6299" t="str">
            <v>V45423</v>
          </cell>
          <cell r="J6299" t="str">
            <v>CTC</v>
          </cell>
          <cell r="K6299" t="str">
            <v>YES</v>
          </cell>
        </row>
        <row r="6300">
          <cell r="I6300" t="str">
            <v>V45017</v>
          </cell>
          <cell r="J6300" t="str">
            <v>CTC</v>
          </cell>
          <cell r="K6300" t="str">
            <v>YES</v>
          </cell>
        </row>
        <row r="6301">
          <cell r="I6301" t="str">
            <v>V45613</v>
          </cell>
          <cell r="J6301" t="str">
            <v>CTC</v>
          </cell>
          <cell r="K6301" t="str">
            <v>YES</v>
          </cell>
        </row>
        <row r="6302">
          <cell r="I6302" t="str">
            <v>V44469</v>
          </cell>
          <cell r="J6302" t="str">
            <v>CTC</v>
          </cell>
          <cell r="K6302" t="str">
            <v>YES</v>
          </cell>
        </row>
        <row r="6303">
          <cell r="I6303" t="str">
            <v>V45901</v>
          </cell>
          <cell r="J6303" t="str">
            <v>CTC</v>
          </cell>
          <cell r="K6303" t="str">
            <v>YES</v>
          </cell>
        </row>
        <row r="6304">
          <cell r="I6304" t="str">
            <v>V46906</v>
          </cell>
          <cell r="J6304" t="str">
            <v>CTC</v>
          </cell>
          <cell r="K6304" t="str">
            <v>YES</v>
          </cell>
        </row>
        <row r="6305">
          <cell r="I6305" t="str">
            <v>V47724</v>
          </cell>
          <cell r="J6305" t="str">
            <v>CTC</v>
          </cell>
          <cell r="K6305" t="str">
            <v>YES</v>
          </cell>
        </row>
        <row r="6306">
          <cell r="I6306" t="str">
            <v>V46599</v>
          </cell>
          <cell r="J6306" t="str">
            <v>CTC</v>
          </cell>
          <cell r="K6306" t="str">
            <v>YES</v>
          </cell>
        </row>
        <row r="6307">
          <cell r="I6307" t="str">
            <v>V45437</v>
          </cell>
          <cell r="J6307" t="str">
            <v>CTC</v>
          </cell>
          <cell r="K6307" t="str">
            <v>YES</v>
          </cell>
        </row>
        <row r="6308">
          <cell r="I6308" t="str">
            <v>V45939</v>
          </cell>
          <cell r="J6308" t="str">
            <v>CTC</v>
          </cell>
          <cell r="K6308" t="str">
            <v>YES</v>
          </cell>
        </row>
        <row r="6309">
          <cell r="I6309" t="str">
            <v>V45943</v>
          </cell>
          <cell r="J6309" t="str">
            <v>CTC</v>
          </cell>
          <cell r="K6309" t="str">
            <v>YES</v>
          </cell>
        </row>
        <row r="6310">
          <cell r="I6310" t="str">
            <v>V45947</v>
          </cell>
          <cell r="J6310" t="str">
            <v>CTC</v>
          </cell>
          <cell r="K6310" t="str">
            <v>YES</v>
          </cell>
        </row>
        <row r="6311">
          <cell r="I6311" t="str">
            <v>V45950</v>
          </cell>
          <cell r="J6311" t="str">
            <v>CTC</v>
          </cell>
          <cell r="K6311" t="str">
            <v>YES</v>
          </cell>
        </row>
        <row r="6312">
          <cell r="I6312" t="str">
            <v>V45951</v>
          </cell>
          <cell r="J6312" t="str">
            <v>CTC</v>
          </cell>
          <cell r="K6312" t="str">
            <v>YES</v>
          </cell>
        </row>
        <row r="6313">
          <cell r="I6313" t="str">
            <v>V45748</v>
          </cell>
          <cell r="J6313" t="str">
            <v>CTC</v>
          </cell>
          <cell r="K6313" t="str">
            <v>YES</v>
          </cell>
        </row>
        <row r="6314">
          <cell r="I6314" t="str">
            <v>V51249</v>
          </cell>
          <cell r="J6314" t="str">
            <v>CTC</v>
          </cell>
          <cell r="K6314" t="str">
            <v>YES</v>
          </cell>
        </row>
        <row r="6315">
          <cell r="I6315" t="str">
            <v>V44500</v>
          </cell>
          <cell r="J6315" t="str">
            <v>CTC</v>
          </cell>
          <cell r="K6315" t="str">
            <v>YES</v>
          </cell>
        </row>
        <row r="6316">
          <cell r="I6316" t="str">
            <v>V47692</v>
          </cell>
          <cell r="J6316" t="str">
            <v>CTC</v>
          </cell>
          <cell r="K6316" t="str">
            <v>YES</v>
          </cell>
        </row>
        <row r="6317">
          <cell r="I6317" t="str">
            <v>V46461</v>
          </cell>
          <cell r="J6317" t="str">
            <v>CTC</v>
          </cell>
          <cell r="K6317" t="str">
            <v>YES</v>
          </cell>
        </row>
        <row r="6318">
          <cell r="I6318" t="str">
            <v>V45798</v>
          </cell>
          <cell r="J6318" t="str">
            <v>CTC</v>
          </cell>
          <cell r="K6318" t="str">
            <v>YES</v>
          </cell>
        </row>
        <row r="6319">
          <cell r="I6319" t="str">
            <v>V48731</v>
          </cell>
          <cell r="J6319" t="str">
            <v>CTC</v>
          </cell>
          <cell r="K6319" t="str">
            <v>YES</v>
          </cell>
        </row>
        <row r="6320">
          <cell r="I6320" t="str">
            <v>V45424</v>
          </cell>
          <cell r="J6320" t="str">
            <v>CTC</v>
          </cell>
          <cell r="K6320" t="str">
            <v>YES</v>
          </cell>
        </row>
        <row r="6321">
          <cell r="I6321" t="str">
            <v>V45986</v>
          </cell>
          <cell r="J6321" t="str">
            <v>CTC</v>
          </cell>
          <cell r="K6321" t="str">
            <v>YES</v>
          </cell>
        </row>
        <row r="6322">
          <cell r="I6322" t="str">
            <v>V44622</v>
          </cell>
          <cell r="J6322" t="str">
            <v>CTC</v>
          </cell>
          <cell r="K6322" t="str">
            <v>YES</v>
          </cell>
        </row>
        <row r="6323">
          <cell r="I6323" t="str">
            <v>V45271</v>
          </cell>
          <cell r="J6323" t="str">
            <v>CTC</v>
          </cell>
          <cell r="K6323" t="str">
            <v>YES</v>
          </cell>
        </row>
        <row r="6324">
          <cell r="I6324" t="str">
            <v>V43771</v>
          </cell>
          <cell r="J6324" t="str">
            <v>CTC</v>
          </cell>
          <cell r="K6324" t="str">
            <v>YES</v>
          </cell>
        </row>
        <row r="6325">
          <cell r="I6325" t="str">
            <v>V47719</v>
          </cell>
          <cell r="J6325" t="str">
            <v>CTC</v>
          </cell>
          <cell r="K6325" t="str">
            <v>YES</v>
          </cell>
        </row>
        <row r="6326">
          <cell r="I6326" t="str">
            <v>V45041</v>
          </cell>
          <cell r="J6326" t="str">
            <v>CTC</v>
          </cell>
          <cell r="K6326" t="str">
            <v>YES</v>
          </cell>
        </row>
        <row r="6327">
          <cell r="I6327" t="str">
            <v>V45394</v>
          </cell>
          <cell r="J6327" t="str">
            <v>CTC</v>
          </cell>
          <cell r="K6327" t="str">
            <v>YES</v>
          </cell>
        </row>
        <row r="6328">
          <cell r="I6328" t="str">
            <v>V45878</v>
          </cell>
          <cell r="J6328" t="str">
            <v>CTC</v>
          </cell>
          <cell r="K6328" t="str">
            <v>YES</v>
          </cell>
        </row>
        <row r="6329">
          <cell r="I6329" t="str">
            <v>V45746</v>
          </cell>
          <cell r="J6329" t="str">
            <v>CTC</v>
          </cell>
          <cell r="K6329" t="str">
            <v>YES</v>
          </cell>
        </row>
        <row r="6330">
          <cell r="I6330" t="str">
            <v>V45973</v>
          </cell>
          <cell r="J6330" t="str">
            <v>CTC</v>
          </cell>
          <cell r="K6330" t="str">
            <v>YES</v>
          </cell>
        </row>
        <row r="6331">
          <cell r="I6331" t="str">
            <v>V46081</v>
          </cell>
          <cell r="J6331" t="str">
            <v>CTC</v>
          </cell>
          <cell r="K6331" t="str">
            <v>YES</v>
          </cell>
        </row>
        <row r="6332">
          <cell r="I6332" t="str">
            <v>V46084</v>
          </cell>
          <cell r="J6332" t="str">
            <v>CTC</v>
          </cell>
          <cell r="K6332" t="str">
            <v>YES</v>
          </cell>
        </row>
        <row r="6333">
          <cell r="I6333" t="str">
            <v>V45509</v>
          </cell>
          <cell r="J6333" t="str">
            <v>CTC</v>
          </cell>
          <cell r="K6333" t="str">
            <v>YES</v>
          </cell>
        </row>
        <row r="6334">
          <cell r="I6334" t="str">
            <v>V47565</v>
          </cell>
          <cell r="J6334" t="str">
            <v>CTC</v>
          </cell>
          <cell r="K6334" t="str">
            <v>YES</v>
          </cell>
        </row>
        <row r="6335">
          <cell r="I6335" t="str">
            <v>V45452</v>
          </cell>
          <cell r="J6335" t="str">
            <v>CTC</v>
          </cell>
          <cell r="K6335" t="str">
            <v>YES</v>
          </cell>
        </row>
        <row r="6336">
          <cell r="I6336" t="str">
            <v>V45544</v>
          </cell>
          <cell r="J6336" t="str">
            <v>CTC</v>
          </cell>
          <cell r="K6336" t="str">
            <v>YES</v>
          </cell>
        </row>
        <row r="6337">
          <cell r="I6337" t="str">
            <v>V48482</v>
          </cell>
          <cell r="J6337" t="str">
            <v>CTC</v>
          </cell>
          <cell r="K6337" t="str">
            <v>YES</v>
          </cell>
        </row>
        <row r="6338">
          <cell r="I6338" t="str">
            <v>V48728</v>
          </cell>
          <cell r="J6338" t="str">
            <v>CTC</v>
          </cell>
          <cell r="K6338" t="str">
            <v>YES</v>
          </cell>
        </row>
        <row r="6339">
          <cell r="I6339" t="str">
            <v>V44471</v>
          </cell>
          <cell r="J6339" t="str">
            <v>CTC</v>
          </cell>
          <cell r="K6339" t="str">
            <v>YES</v>
          </cell>
        </row>
        <row r="6340">
          <cell r="I6340" t="str">
            <v>V46356</v>
          </cell>
          <cell r="J6340" t="str">
            <v>CTC</v>
          </cell>
          <cell r="K6340" t="str">
            <v>YES</v>
          </cell>
        </row>
        <row r="6341">
          <cell r="I6341" t="str">
            <v>V47819</v>
          </cell>
          <cell r="J6341" t="str">
            <v>CTC</v>
          </cell>
          <cell r="K6341" t="str">
            <v>YES</v>
          </cell>
        </row>
        <row r="6342">
          <cell r="I6342" t="str">
            <v>V45508</v>
          </cell>
          <cell r="J6342" t="str">
            <v>CTC</v>
          </cell>
          <cell r="K6342" t="str">
            <v>YES</v>
          </cell>
        </row>
        <row r="6343">
          <cell r="I6343" t="str">
            <v>V46085</v>
          </cell>
          <cell r="J6343" t="str">
            <v>CTC</v>
          </cell>
          <cell r="K6343" t="str">
            <v>YES</v>
          </cell>
        </row>
        <row r="6344">
          <cell r="I6344" t="str">
            <v>V48584</v>
          </cell>
          <cell r="J6344" t="str">
            <v>CTC</v>
          </cell>
          <cell r="K6344" t="str">
            <v>YES</v>
          </cell>
        </row>
        <row r="6345">
          <cell r="I6345" t="str">
            <v>V44525</v>
          </cell>
          <cell r="J6345" t="str">
            <v>CTC</v>
          </cell>
          <cell r="K6345" t="str">
            <v>YES</v>
          </cell>
        </row>
        <row r="6346">
          <cell r="I6346" t="str">
            <v>V44902</v>
          </cell>
          <cell r="J6346" t="str">
            <v>CTC</v>
          </cell>
          <cell r="K6346" t="str">
            <v>YES</v>
          </cell>
        </row>
        <row r="6347">
          <cell r="I6347" t="str">
            <v>V42846</v>
          </cell>
          <cell r="J6347" t="str">
            <v>CTC</v>
          </cell>
          <cell r="K6347" t="str">
            <v>YES</v>
          </cell>
        </row>
        <row r="6348">
          <cell r="I6348" t="str">
            <v>V45554</v>
          </cell>
          <cell r="J6348" t="str">
            <v>CTC</v>
          </cell>
          <cell r="K6348" t="str">
            <v>YES</v>
          </cell>
        </row>
        <row r="6349">
          <cell r="I6349" t="str">
            <v>V45890</v>
          </cell>
          <cell r="J6349" t="str">
            <v>CTC</v>
          </cell>
          <cell r="K6349" t="str">
            <v>YES</v>
          </cell>
        </row>
        <row r="6350">
          <cell r="I6350" t="str">
            <v>V45892</v>
          </cell>
          <cell r="J6350" t="str">
            <v>CTC</v>
          </cell>
          <cell r="K6350" t="str">
            <v>YES</v>
          </cell>
        </row>
        <row r="6351">
          <cell r="I6351" t="str">
            <v>V47506</v>
          </cell>
          <cell r="J6351" t="str">
            <v>CTC</v>
          </cell>
          <cell r="K6351" t="str">
            <v>YES</v>
          </cell>
        </row>
        <row r="6352">
          <cell r="I6352" t="str">
            <v>V47222</v>
          </cell>
          <cell r="J6352" t="str">
            <v>CTC</v>
          </cell>
          <cell r="K6352" t="str">
            <v>YES</v>
          </cell>
        </row>
        <row r="6353">
          <cell r="I6353" t="str">
            <v>V45532</v>
          </cell>
          <cell r="J6353" t="str">
            <v>CTC</v>
          </cell>
          <cell r="K6353" t="str">
            <v>YES</v>
          </cell>
        </row>
        <row r="6354">
          <cell r="I6354" t="str">
            <v>V44544</v>
          </cell>
          <cell r="J6354" t="str">
            <v>CTC</v>
          </cell>
          <cell r="K6354" t="str">
            <v>YES</v>
          </cell>
        </row>
        <row r="6355">
          <cell r="I6355" t="str">
            <v>V45395</v>
          </cell>
          <cell r="J6355" t="str">
            <v>CTC</v>
          </cell>
          <cell r="K6355" t="str">
            <v>YES</v>
          </cell>
        </row>
        <row r="6356">
          <cell r="I6356" t="str">
            <v>V47264</v>
          </cell>
          <cell r="J6356" t="str">
            <v>CTC</v>
          </cell>
          <cell r="K6356" t="str">
            <v>YES</v>
          </cell>
        </row>
        <row r="6357">
          <cell r="I6357" t="str">
            <v>V45911</v>
          </cell>
          <cell r="J6357" t="str">
            <v>CTC</v>
          </cell>
          <cell r="K6357" t="str">
            <v>YES</v>
          </cell>
        </row>
        <row r="6358">
          <cell r="I6358" t="str">
            <v>V45964</v>
          </cell>
          <cell r="J6358" t="str">
            <v>CTC</v>
          </cell>
          <cell r="K6358" t="str">
            <v>YES</v>
          </cell>
        </row>
        <row r="6359">
          <cell r="I6359" t="str">
            <v>V46776</v>
          </cell>
          <cell r="J6359" t="str">
            <v>CTC</v>
          </cell>
          <cell r="K6359" t="str">
            <v>YES</v>
          </cell>
        </row>
        <row r="6360">
          <cell r="I6360" t="str">
            <v>V45319</v>
          </cell>
          <cell r="J6360" t="str">
            <v>CTC</v>
          </cell>
          <cell r="K6360" t="str">
            <v>YES</v>
          </cell>
        </row>
        <row r="6361">
          <cell r="I6361" t="str">
            <v>V45980</v>
          </cell>
          <cell r="J6361" t="str">
            <v>CTC</v>
          </cell>
          <cell r="K6361" t="str">
            <v>YES</v>
          </cell>
        </row>
        <row r="6362">
          <cell r="I6362" t="str">
            <v>V45524</v>
          </cell>
          <cell r="J6362" t="str">
            <v>CTC</v>
          </cell>
          <cell r="K6362" t="str">
            <v>YES</v>
          </cell>
        </row>
        <row r="6363">
          <cell r="I6363" t="str">
            <v>V46476</v>
          </cell>
          <cell r="J6363" t="str">
            <v>CTC</v>
          </cell>
          <cell r="K6363" t="str">
            <v>YES</v>
          </cell>
        </row>
        <row r="6364">
          <cell r="I6364" t="str">
            <v>V49048</v>
          </cell>
          <cell r="J6364" t="str">
            <v>CTC</v>
          </cell>
          <cell r="K6364" t="str">
            <v>YES</v>
          </cell>
        </row>
        <row r="6365">
          <cell r="I6365" t="str">
            <v>V45902</v>
          </cell>
          <cell r="J6365" t="str">
            <v>CTC</v>
          </cell>
          <cell r="K6365" t="str">
            <v>YES</v>
          </cell>
        </row>
        <row r="6366">
          <cell r="I6366" t="str">
            <v>V45282</v>
          </cell>
          <cell r="J6366" t="str">
            <v>CTC</v>
          </cell>
          <cell r="K6366" t="str">
            <v>YES</v>
          </cell>
        </row>
        <row r="6367">
          <cell r="I6367" t="str">
            <v>V45528</v>
          </cell>
          <cell r="J6367" t="str">
            <v>CTC</v>
          </cell>
          <cell r="K6367" t="str">
            <v>YES</v>
          </cell>
        </row>
        <row r="6368">
          <cell r="I6368" t="str">
            <v>V45530</v>
          </cell>
          <cell r="J6368" t="str">
            <v>CTC</v>
          </cell>
          <cell r="K6368" t="str">
            <v>YES</v>
          </cell>
        </row>
        <row r="6369">
          <cell r="I6369" t="str">
            <v>V45941</v>
          </cell>
          <cell r="J6369" t="str">
            <v>CTC</v>
          </cell>
          <cell r="K6369" t="str">
            <v>YES</v>
          </cell>
        </row>
        <row r="6370">
          <cell r="I6370" t="str">
            <v>V45942</v>
          </cell>
          <cell r="J6370" t="str">
            <v>CTC</v>
          </cell>
          <cell r="K6370" t="str">
            <v>YES</v>
          </cell>
        </row>
        <row r="6371">
          <cell r="I6371" t="str">
            <v>V46098</v>
          </cell>
          <cell r="J6371" t="str">
            <v>CTC</v>
          </cell>
          <cell r="K6371" t="str">
            <v>YES</v>
          </cell>
        </row>
        <row r="6372">
          <cell r="I6372" t="str">
            <v>V45527</v>
          </cell>
          <cell r="J6372" t="str">
            <v>CTC</v>
          </cell>
          <cell r="K6372" t="str">
            <v>YES</v>
          </cell>
        </row>
        <row r="6373">
          <cell r="I6373" t="str">
            <v>V44652</v>
          </cell>
          <cell r="J6373" t="str">
            <v>CTC</v>
          </cell>
          <cell r="K6373" t="str">
            <v>YES</v>
          </cell>
        </row>
        <row r="6374">
          <cell r="I6374" t="str">
            <v>V46414</v>
          </cell>
          <cell r="J6374" t="str">
            <v>CTC</v>
          </cell>
          <cell r="K6374" t="str">
            <v>YES</v>
          </cell>
        </row>
        <row r="6375">
          <cell r="I6375" t="str">
            <v>V46777</v>
          </cell>
          <cell r="J6375" t="str">
            <v>CTC</v>
          </cell>
          <cell r="K6375" t="str">
            <v>YES</v>
          </cell>
        </row>
        <row r="6376">
          <cell r="I6376" t="str">
            <v>V45968</v>
          </cell>
          <cell r="J6376" t="str">
            <v>CTC</v>
          </cell>
          <cell r="K6376" t="str">
            <v>YES</v>
          </cell>
        </row>
        <row r="6377">
          <cell r="I6377" t="str">
            <v>V45013</v>
          </cell>
          <cell r="J6377" t="str">
            <v>CTC</v>
          </cell>
          <cell r="K6377" t="str">
            <v>YES</v>
          </cell>
        </row>
        <row r="6378">
          <cell r="I6378" t="str">
            <v>V45403</v>
          </cell>
          <cell r="J6378" t="str">
            <v>CTC</v>
          </cell>
          <cell r="K6378" t="str">
            <v>YES</v>
          </cell>
        </row>
        <row r="6379">
          <cell r="I6379" t="str">
            <v>V46089</v>
          </cell>
          <cell r="J6379" t="str">
            <v>CTC</v>
          </cell>
          <cell r="K6379" t="str">
            <v>YES</v>
          </cell>
        </row>
        <row r="6380">
          <cell r="I6380" t="str">
            <v>V45529</v>
          </cell>
          <cell r="J6380" t="str">
            <v>CTC</v>
          </cell>
          <cell r="K6380" t="str">
            <v>YES</v>
          </cell>
        </row>
        <row r="6381">
          <cell r="I6381" t="str">
            <v>V44584</v>
          </cell>
          <cell r="J6381" t="str">
            <v>CTC</v>
          </cell>
          <cell r="K6381" t="str">
            <v>YES</v>
          </cell>
        </row>
        <row r="6382">
          <cell r="I6382" t="str">
            <v>V46075</v>
          </cell>
          <cell r="J6382" t="str">
            <v>CTC</v>
          </cell>
          <cell r="K6382" t="str">
            <v>YES</v>
          </cell>
        </row>
        <row r="6383">
          <cell r="I6383" t="str">
            <v>V47592</v>
          </cell>
          <cell r="J6383" t="str">
            <v>CTC</v>
          </cell>
          <cell r="K6383" t="str">
            <v>YES</v>
          </cell>
        </row>
        <row r="6384">
          <cell r="I6384" t="str">
            <v>V51164</v>
          </cell>
          <cell r="J6384" t="str">
            <v>CTC</v>
          </cell>
          <cell r="K6384" t="str">
            <v>YES</v>
          </cell>
        </row>
        <row r="6385">
          <cell r="I6385" t="str">
            <v>V45894</v>
          </cell>
          <cell r="J6385" t="str">
            <v>CTC</v>
          </cell>
          <cell r="K6385" t="str">
            <v>YES</v>
          </cell>
        </row>
        <row r="6386">
          <cell r="I6386" t="str">
            <v>V47327</v>
          </cell>
          <cell r="J6386" t="str">
            <v>CTC</v>
          </cell>
          <cell r="K6386" t="str">
            <v>YES</v>
          </cell>
        </row>
        <row r="6387">
          <cell r="I6387" t="str">
            <v>V45979</v>
          </cell>
          <cell r="J6387" t="str">
            <v>CTC</v>
          </cell>
          <cell r="K6387" t="str">
            <v>YES</v>
          </cell>
        </row>
        <row r="6388">
          <cell r="I6388" t="str">
            <v>V49493</v>
          </cell>
          <cell r="J6388" t="str">
            <v>CTC</v>
          </cell>
          <cell r="K6388" t="str">
            <v>YES</v>
          </cell>
        </row>
        <row r="6389">
          <cell r="I6389" t="str">
            <v>V47954</v>
          </cell>
          <cell r="J6389" t="str">
            <v>CTC</v>
          </cell>
          <cell r="K6389" t="str">
            <v>YES</v>
          </cell>
        </row>
        <row r="6390">
          <cell r="I6390" t="str">
            <v>V45588</v>
          </cell>
          <cell r="J6390" t="str">
            <v>CTC</v>
          </cell>
          <cell r="K6390" t="str">
            <v>YES</v>
          </cell>
        </row>
        <row r="6391">
          <cell r="I6391" t="str">
            <v>V46885</v>
          </cell>
          <cell r="J6391" t="str">
            <v>CTC</v>
          </cell>
          <cell r="K6391" t="str">
            <v>YES</v>
          </cell>
        </row>
        <row r="6392">
          <cell r="I6392" t="str">
            <v>V45904</v>
          </cell>
          <cell r="J6392" t="str">
            <v>CTC</v>
          </cell>
          <cell r="K6392" t="str">
            <v>YES</v>
          </cell>
        </row>
        <row r="6393">
          <cell r="I6393" t="str">
            <v>V44754</v>
          </cell>
          <cell r="J6393" t="str">
            <v>CTC</v>
          </cell>
          <cell r="K6393" t="str">
            <v>YES</v>
          </cell>
        </row>
        <row r="6394">
          <cell r="I6394" t="str">
            <v>V45895</v>
          </cell>
          <cell r="J6394" t="str">
            <v>CTC</v>
          </cell>
          <cell r="K6394" t="str">
            <v>YES</v>
          </cell>
        </row>
        <row r="6395">
          <cell r="I6395" t="str">
            <v>V45970</v>
          </cell>
          <cell r="J6395" t="str">
            <v>CTC</v>
          </cell>
          <cell r="K6395" t="str">
            <v>YES</v>
          </cell>
        </row>
        <row r="6396">
          <cell r="I6396" t="str">
            <v>V47851</v>
          </cell>
          <cell r="J6396" t="str">
            <v>CTC</v>
          </cell>
          <cell r="K6396" t="str">
            <v>YES</v>
          </cell>
        </row>
        <row r="6397">
          <cell r="I6397" t="str">
            <v>V46021</v>
          </cell>
          <cell r="J6397" t="str">
            <v>CTC</v>
          </cell>
          <cell r="K6397" t="str">
            <v>YES</v>
          </cell>
        </row>
        <row r="6398">
          <cell r="I6398" t="str">
            <v>V45752</v>
          </cell>
          <cell r="J6398" t="str">
            <v>CTC</v>
          </cell>
          <cell r="K6398" t="str">
            <v>YES</v>
          </cell>
        </row>
        <row r="6399">
          <cell r="I6399" t="str">
            <v>V47611</v>
          </cell>
          <cell r="J6399" t="str">
            <v>CTC</v>
          </cell>
          <cell r="K6399" t="str">
            <v>YES</v>
          </cell>
        </row>
        <row r="6400">
          <cell r="I6400" t="str">
            <v>V49171</v>
          </cell>
          <cell r="J6400" t="str">
            <v>CTC</v>
          </cell>
          <cell r="K6400" t="str">
            <v>YES</v>
          </cell>
        </row>
        <row r="6401">
          <cell r="I6401" t="str">
            <v>V47676</v>
          </cell>
          <cell r="J6401" t="str">
            <v>CTC</v>
          </cell>
          <cell r="K6401" t="str">
            <v>YES</v>
          </cell>
        </row>
        <row r="6402">
          <cell r="I6402" t="str">
            <v>V46072</v>
          </cell>
          <cell r="J6402" t="str">
            <v>CTC</v>
          </cell>
          <cell r="K6402" t="str">
            <v>YES</v>
          </cell>
        </row>
        <row r="6403">
          <cell r="I6403" t="str">
            <v>V46079</v>
          </cell>
          <cell r="J6403" t="str">
            <v>CTC</v>
          </cell>
          <cell r="K6403" t="str">
            <v>YES</v>
          </cell>
        </row>
        <row r="6404">
          <cell r="I6404" t="str">
            <v>V45606</v>
          </cell>
          <cell r="J6404" t="str">
            <v>CTC</v>
          </cell>
          <cell r="K6404" t="str">
            <v>YES</v>
          </cell>
        </row>
        <row r="6405">
          <cell r="I6405" t="str">
            <v>V49259</v>
          </cell>
          <cell r="J6405" t="str">
            <v>CTC</v>
          </cell>
          <cell r="K6405" t="str">
            <v>YES</v>
          </cell>
        </row>
        <row r="6406">
          <cell r="I6406" t="str">
            <v>V46245</v>
          </cell>
          <cell r="J6406" t="str">
            <v>CTC</v>
          </cell>
          <cell r="K6406" t="str">
            <v>YES</v>
          </cell>
        </row>
        <row r="6407">
          <cell r="I6407" t="str">
            <v>V45519</v>
          </cell>
          <cell r="J6407" t="str">
            <v>CTC</v>
          </cell>
          <cell r="K6407" t="str">
            <v>YES</v>
          </cell>
        </row>
        <row r="6408">
          <cell r="I6408" t="str">
            <v>V45651</v>
          </cell>
          <cell r="J6408" t="str">
            <v>CTC</v>
          </cell>
          <cell r="K6408" t="str">
            <v>YES</v>
          </cell>
        </row>
        <row r="6409">
          <cell r="I6409" t="str">
            <v>V49214</v>
          </cell>
          <cell r="J6409" t="str">
            <v>CTC</v>
          </cell>
          <cell r="K6409" t="str">
            <v>YES</v>
          </cell>
        </row>
        <row r="6410">
          <cell r="I6410" t="str">
            <v>V46548</v>
          </cell>
          <cell r="J6410" t="str">
            <v>CTC</v>
          </cell>
          <cell r="K6410" t="str">
            <v>YES</v>
          </cell>
        </row>
        <row r="6411">
          <cell r="I6411" t="str">
            <v>V44655</v>
          </cell>
          <cell r="J6411" t="str">
            <v>CTC</v>
          </cell>
          <cell r="K6411" t="str">
            <v>YES</v>
          </cell>
        </row>
        <row r="6412">
          <cell r="I6412" t="str">
            <v>V47749</v>
          </cell>
          <cell r="J6412" t="str">
            <v>CTC</v>
          </cell>
          <cell r="K6412" t="str">
            <v>YES</v>
          </cell>
        </row>
        <row r="6413">
          <cell r="I6413" t="str">
            <v>V45669</v>
          </cell>
          <cell r="J6413" t="str">
            <v>CTC</v>
          </cell>
          <cell r="K6413" t="str">
            <v>YES</v>
          </cell>
        </row>
        <row r="6414">
          <cell r="I6414" t="str">
            <v>V46545</v>
          </cell>
          <cell r="J6414" t="str">
            <v>CTC</v>
          </cell>
          <cell r="K6414" t="str">
            <v>YES</v>
          </cell>
        </row>
        <row r="6415">
          <cell r="I6415" t="str">
            <v>V45721</v>
          </cell>
          <cell r="J6415" t="str">
            <v>CTC</v>
          </cell>
          <cell r="K6415" t="str">
            <v>YES</v>
          </cell>
        </row>
        <row r="6416">
          <cell r="I6416" t="str">
            <v>V46949</v>
          </cell>
          <cell r="J6416" t="str">
            <v>CTC</v>
          </cell>
          <cell r="K6416" t="str">
            <v>YES</v>
          </cell>
        </row>
        <row r="6417">
          <cell r="I6417" t="str">
            <v>V45953</v>
          </cell>
          <cell r="J6417" t="str">
            <v>CTC</v>
          </cell>
          <cell r="K6417" t="str">
            <v>YES</v>
          </cell>
        </row>
        <row r="6418">
          <cell r="I6418" t="str">
            <v>V45765</v>
          </cell>
          <cell r="J6418" t="str">
            <v>CTC</v>
          </cell>
          <cell r="K6418" t="str">
            <v>YES</v>
          </cell>
        </row>
        <row r="6419">
          <cell r="I6419" t="str">
            <v>V45767</v>
          </cell>
          <cell r="J6419" t="str">
            <v>CTC</v>
          </cell>
          <cell r="K6419" t="str">
            <v>YES</v>
          </cell>
        </row>
        <row r="6420">
          <cell r="I6420" t="str">
            <v>V46277</v>
          </cell>
          <cell r="J6420" t="str">
            <v>CTC</v>
          </cell>
          <cell r="K6420" t="str">
            <v>YES</v>
          </cell>
        </row>
        <row r="6421">
          <cell r="I6421" t="str">
            <v>V48834</v>
          </cell>
          <cell r="J6421" t="str">
            <v>CTC</v>
          </cell>
          <cell r="K6421" t="str">
            <v>YES</v>
          </cell>
        </row>
        <row r="6422">
          <cell r="I6422" t="str">
            <v>V48836</v>
          </cell>
          <cell r="J6422" t="str">
            <v>CTC</v>
          </cell>
          <cell r="K6422" t="str">
            <v>YES</v>
          </cell>
        </row>
        <row r="6423">
          <cell r="I6423" t="str">
            <v>V45193</v>
          </cell>
          <cell r="J6423" t="str">
            <v>CTC</v>
          </cell>
          <cell r="K6423" t="str">
            <v>YES</v>
          </cell>
        </row>
        <row r="6424">
          <cell r="I6424" t="str">
            <v>V46824</v>
          </cell>
          <cell r="J6424" t="str">
            <v>CTC</v>
          </cell>
          <cell r="K6424" t="str">
            <v>YES</v>
          </cell>
        </row>
        <row r="6425">
          <cell r="I6425" t="str">
            <v>V46214</v>
          </cell>
          <cell r="J6425" t="str">
            <v>CTC</v>
          </cell>
          <cell r="K6425" t="str">
            <v>YES</v>
          </cell>
        </row>
        <row r="6426">
          <cell r="I6426" t="str">
            <v>V45952</v>
          </cell>
          <cell r="J6426" t="str">
            <v>CTC</v>
          </cell>
          <cell r="K6426" t="str">
            <v>YES</v>
          </cell>
        </row>
        <row r="6427">
          <cell r="I6427" t="str">
            <v>V45976</v>
          </cell>
          <cell r="J6427" t="str">
            <v>CTC</v>
          </cell>
          <cell r="K6427" t="str">
            <v>YES</v>
          </cell>
        </row>
        <row r="6428">
          <cell r="I6428" t="str">
            <v>V45676</v>
          </cell>
          <cell r="J6428" t="str">
            <v>CTC</v>
          </cell>
          <cell r="K6428" t="str">
            <v>YES</v>
          </cell>
        </row>
        <row r="6429">
          <cell r="I6429" t="str">
            <v>V44412</v>
          </cell>
          <cell r="J6429" t="str">
            <v>CTC</v>
          </cell>
          <cell r="K6429" t="str">
            <v>YES</v>
          </cell>
        </row>
        <row r="6430">
          <cell r="I6430" t="str">
            <v>V46584</v>
          </cell>
          <cell r="J6430" t="str">
            <v>CTC</v>
          </cell>
          <cell r="K6430" t="str">
            <v>YES</v>
          </cell>
        </row>
        <row r="6431">
          <cell r="I6431" t="str">
            <v>V45309</v>
          </cell>
          <cell r="J6431" t="str">
            <v>CTC</v>
          </cell>
          <cell r="K6431" t="str">
            <v>YES</v>
          </cell>
        </row>
        <row r="6432">
          <cell r="I6432" t="str">
            <v>V45906</v>
          </cell>
          <cell r="J6432" t="str">
            <v>CTC</v>
          </cell>
          <cell r="K6432" t="str">
            <v>YES</v>
          </cell>
        </row>
        <row r="6433">
          <cell r="I6433" t="str">
            <v>V48374</v>
          </cell>
          <cell r="J6433" t="str">
            <v>CTC</v>
          </cell>
          <cell r="K6433" t="str">
            <v>YES</v>
          </cell>
        </row>
        <row r="6434">
          <cell r="I6434" t="str">
            <v>V45650</v>
          </cell>
          <cell r="J6434" t="str">
            <v>CTC</v>
          </cell>
          <cell r="K6434" t="str">
            <v>YES</v>
          </cell>
        </row>
        <row r="6435">
          <cell r="I6435" t="str">
            <v>V47862</v>
          </cell>
          <cell r="J6435" t="str">
            <v>CTC</v>
          </cell>
          <cell r="K6435" t="str">
            <v>YES</v>
          </cell>
        </row>
        <row r="6436">
          <cell r="I6436" t="str">
            <v>V46598</v>
          </cell>
          <cell r="J6436" t="str">
            <v>CTC</v>
          </cell>
          <cell r="K6436" t="str">
            <v>YES</v>
          </cell>
        </row>
        <row r="6437">
          <cell r="I6437" t="str">
            <v>V45192</v>
          </cell>
          <cell r="J6437" t="str">
            <v>CTC</v>
          </cell>
          <cell r="K6437" t="str">
            <v>YES</v>
          </cell>
        </row>
        <row r="6438">
          <cell r="I6438" t="str">
            <v>V51685</v>
          </cell>
          <cell r="J6438" t="str">
            <v>CTC</v>
          </cell>
          <cell r="K6438" t="str">
            <v>YES</v>
          </cell>
        </row>
        <row r="6439">
          <cell r="I6439" t="str">
            <v>V51684</v>
          </cell>
          <cell r="J6439" t="str">
            <v>CTC</v>
          </cell>
          <cell r="K6439" t="str">
            <v>YES</v>
          </cell>
        </row>
        <row r="6440">
          <cell r="I6440" t="str">
            <v>V41832</v>
          </cell>
          <cell r="J6440" t="str">
            <v>CTC</v>
          </cell>
          <cell r="K6440" t="str">
            <v>YES</v>
          </cell>
        </row>
        <row r="6441">
          <cell r="I6441" t="str">
            <v>V46444</v>
          </cell>
          <cell r="J6441" t="str">
            <v>CTC</v>
          </cell>
          <cell r="K6441" t="str">
            <v>YES</v>
          </cell>
        </row>
        <row r="6442">
          <cell r="I6442" t="str">
            <v>V44046</v>
          </cell>
          <cell r="J6442" t="str">
            <v>CTC</v>
          </cell>
          <cell r="K6442" t="str">
            <v>YES</v>
          </cell>
        </row>
        <row r="6443">
          <cell r="I6443" t="str">
            <v>V45938</v>
          </cell>
          <cell r="J6443" t="str">
            <v>CTC</v>
          </cell>
          <cell r="K6443" t="str">
            <v>YES</v>
          </cell>
        </row>
        <row r="6444">
          <cell r="I6444" t="str">
            <v>V46412</v>
          </cell>
          <cell r="J6444" t="str">
            <v>CTC</v>
          </cell>
          <cell r="K6444" t="str">
            <v>YES</v>
          </cell>
        </row>
        <row r="6445">
          <cell r="I6445" t="str">
            <v>V44709</v>
          </cell>
          <cell r="J6445" t="str">
            <v>CTC</v>
          </cell>
          <cell r="K6445" t="str">
            <v>YES</v>
          </cell>
        </row>
        <row r="6446">
          <cell r="I6446" t="str">
            <v>V50799</v>
          </cell>
          <cell r="J6446" t="str">
            <v>CTC</v>
          </cell>
          <cell r="K6446" t="str">
            <v>YES</v>
          </cell>
        </row>
        <row r="6447">
          <cell r="I6447" t="str">
            <v>V43772</v>
          </cell>
          <cell r="J6447" t="str">
            <v>CTC</v>
          </cell>
          <cell r="K6447" t="str">
            <v>YES</v>
          </cell>
        </row>
        <row r="6448">
          <cell r="I6448" t="str">
            <v>V48877</v>
          </cell>
          <cell r="J6448" t="str">
            <v>CTC</v>
          </cell>
          <cell r="K6448" t="str">
            <v>YES</v>
          </cell>
        </row>
        <row r="6449">
          <cell r="I6449" t="str">
            <v>V47732</v>
          </cell>
          <cell r="J6449" t="str">
            <v>CTC</v>
          </cell>
          <cell r="K6449" t="str">
            <v>YES</v>
          </cell>
        </row>
        <row r="6450">
          <cell r="I6450" t="str">
            <v>V46087</v>
          </cell>
          <cell r="J6450" t="str">
            <v>CTC</v>
          </cell>
          <cell r="K6450" t="str">
            <v>YES</v>
          </cell>
        </row>
        <row r="6451">
          <cell r="I6451" t="str">
            <v>V44641</v>
          </cell>
          <cell r="J6451" t="str">
            <v>CTC</v>
          </cell>
          <cell r="K6451" t="str">
            <v>YES</v>
          </cell>
        </row>
        <row r="6452">
          <cell r="I6452" t="str">
            <v>V44109</v>
          </cell>
          <cell r="J6452" t="str">
            <v>CTC</v>
          </cell>
          <cell r="K6452" t="str">
            <v>YES</v>
          </cell>
        </row>
        <row r="6453">
          <cell r="I6453" t="str">
            <v>V48294</v>
          </cell>
          <cell r="J6453" t="str">
            <v>CTC</v>
          </cell>
          <cell r="K6453" t="str">
            <v>YES</v>
          </cell>
        </row>
        <row r="6454">
          <cell r="I6454" t="str">
            <v>V46080</v>
          </cell>
          <cell r="J6454" t="str">
            <v>CTC</v>
          </cell>
          <cell r="K6454" t="str">
            <v>YES</v>
          </cell>
        </row>
        <row r="6455">
          <cell r="I6455" t="str">
            <v>V45572</v>
          </cell>
          <cell r="J6455" t="str">
            <v>CTC</v>
          </cell>
          <cell r="K6455" t="str">
            <v>YES</v>
          </cell>
        </row>
        <row r="6456">
          <cell r="I6456" t="str">
            <v>V46964</v>
          </cell>
          <cell r="J6456" t="str">
            <v>CTC</v>
          </cell>
          <cell r="K6456" t="str">
            <v>YES</v>
          </cell>
        </row>
        <row r="6457">
          <cell r="I6457" t="str">
            <v>V45663</v>
          </cell>
          <cell r="J6457" t="str">
            <v>CTC</v>
          </cell>
          <cell r="K6457" t="str">
            <v>YES</v>
          </cell>
        </row>
        <row r="6458">
          <cell r="I6458" t="str">
            <v>V46044</v>
          </cell>
          <cell r="J6458" t="str">
            <v>CTC</v>
          </cell>
          <cell r="K6458" t="str">
            <v>YES</v>
          </cell>
        </row>
        <row r="6459">
          <cell r="I6459" t="str">
            <v>V49246</v>
          </cell>
          <cell r="J6459" t="str">
            <v>CTC</v>
          </cell>
          <cell r="K6459" t="str">
            <v>YES</v>
          </cell>
        </row>
        <row r="6460">
          <cell r="I6460" t="str">
            <v>V45816</v>
          </cell>
          <cell r="J6460" t="str">
            <v>CTC</v>
          </cell>
          <cell r="K6460" t="str">
            <v>YES</v>
          </cell>
        </row>
        <row r="6461">
          <cell r="I6461" t="str">
            <v>V44845</v>
          </cell>
          <cell r="J6461" t="str">
            <v>CTC</v>
          </cell>
          <cell r="K6461" t="str">
            <v>YES</v>
          </cell>
        </row>
        <row r="6462">
          <cell r="I6462" t="str">
            <v>V44865</v>
          </cell>
          <cell r="J6462" t="str">
            <v>CTC</v>
          </cell>
          <cell r="K6462" t="str">
            <v>YES</v>
          </cell>
        </row>
        <row r="6463">
          <cell r="I6463" t="str">
            <v>V47410</v>
          </cell>
          <cell r="J6463" t="str">
            <v>CTC</v>
          </cell>
          <cell r="K6463" t="str">
            <v>YES</v>
          </cell>
        </row>
        <row r="6464">
          <cell r="I6464" t="str">
            <v>V10213</v>
          </cell>
          <cell r="J6464" t="str">
            <v>CTC</v>
          </cell>
          <cell r="K6464" t="str">
            <v>YES</v>
          </cell>
        </row>
        <row r="6465">
          <cell r="I6465" t="str">
            <v>V45774</v>
          </cell>
          <cell r="J6465" t="str">
            <v>CTC</v>
          </cell>
          <cell r="K6465" t="str">
            <v>YES</v>
          </cell>
        </row>
        <row r="6466">
          <cell r="I6466" t="str">
            <v>V46028</v>
          </cell>
          <cell r="J6466" t="str">
            <v>CTC</v>
          </cell>
          <cell r="K6466" t="str">
            <v>YES</v>
          </cell>
        </row>
        <row r="6467">
          <cell r="I6467" t="str">
            <v>V46273</v>
          </cell>
          <cell r="J6467" t="str">
            <v>CTC</v>
          </cell>
          <cell r="K6467" t="str">
            <v>YES</v>
          </cell>
        </row>
        <row r="6468">
          <cell r="I6468" t="str">
            <v>V47751</v>
          </cell>
          <cell r="J6468" t="str">
            <v>CTC</v>
          </cell>
          <cell r="K6468" t="str">
            <v>YES</v>
          </cell>
        </row>
        <row r="6469">
          <cell r="I6469" t="str">
            <v>V46255</v>
          </cell>
          <cell r="J6469" t="str">
            <v>CTC</v>
          </cell>
          <cell r="K6469" t="str">
            <v>YES</v>
          </cell>
        </row>
        <row r="6470">
          <cell r="I6470" t="str">
            <v>V46343</v>
          </cell>
          <cell r="J6470" t="str">
            <v>CTC</v>
          </cell>
          <cell r="K6470" t="str">
            <v>YES</v>
          </cell>
        </row>
        <row r="6471">
          <cell r="I6471" t="str">
            <v>V46361</v>
          </cell>
          <cell r="J6471" t="str">
            <v>CTC</v>
          </cell>
          <cell r="K6471" t="str">
            <v>YES</v>
          </cell>
        </row>
        <row r="6472">
          <cell r="I6472" t="str">
            <v>V45963</v>
          </cell>
          <cell r="J6472" t="str">
            <v>CTC</v>
          </cell>
          <cell r="K6472" t="str">
            <v>YES</v>
          </cell>
        </row>
        <row r="6473">
          <cell r="I6473" t="str">
            <v>V45260</v>
          </cell>
          <cell r="J6473" t="str">
            <v>CTC</v>
          </cell>
          <cell r="K6473" t="str">
            <v>YES</v>
          </cell>
        </row>
        <row r="6474">
          <cell r="I6474" t="str">
            <v>V44799</v>
          </cell>
          <cell r="J6474" t="str">
            <v>CTC</v>
          </cell>
          <cell r="K6474" t="str">
            <v>YES</v>
          </cell>
        </row>
        <row r="6475">
          <cell r="I6475" t="str">
            <v>V45768</v>
          </cell>
          <cell r="J6475" t="str">
            <v>CTC</v>
          </cell>
          <cell r="K6475" t="str">
            <v>YES</v>
          </cell>
        </row>
        <row r="6476">
          <cell r="I6476" t="str">
            <v>V47432</v>
          </cell>
          <cell r="J6476" t="str">
            <v>CTC</v>
          </cell>
          <cell r="K6476" t="str">
            <v>YES</v>
          </cell>
        </row>
        <row r="6477">
          <cell r="I6477" t="str">
            <v>V47631</v>
          </cell>
          <cell r="J6477" t="str">
            <v>CTC</v>
          </cell>
          <cell r="K6477" t="str">
            <v>YES</v>
          </cell>
        </row>
        <row r="6478">
          <cell r="I6478" t="str">
            <v>V46256</v>
          </cell>
          <cell r="J6478" t="str">
            <v>CTC</v>
          </cell>
          <cell r="K6478" t="str">
            <v>YES</v>
          </cell>
        </row>
        <row r="6479">
          <cell r="I6479" t="str">
            <v>V46340</v>
          </cell>
          <cell r="J6479" t="str">
            <v>CTC</v>
          </cell>
          <cell r="K6479" t="str">
            <v>YES</v>
          </cell>
        </row>
        <row r="6480">
          <cell r="I6480" t="str">
            <v>V46236</v>
          </cell>
          <cell r="J6480" t="str">
            <v>CTC</v>
          </cell>
          <cell r="K6480" t="str">
            <v>YES</v>
          </cell>
        </row>
        <row r="6481">
          <cell r="I6481" t="str">
            <v>V46460</v>
          </cell>
          <cell r="J6481" t="str">
            <v>CTC</v>
          </cell>
          <cell r="K6481" t="str">
            <v>YES</v>
          </cell>
        </row>
        <row r="6482">
          <cell r="I6482" t="str">
            <v>V46859</v>
          </cell>
          <cell r="J6482" t="str">
            <v>CTC</v>
          </cell>
          <cell r="K6482" t="str">
            <v>YES</v>
          </cell>
        </row>
        <row r="6483">
          <cell r="I6483" t="str">
            <v>V45672</v>
          </cell>
          <cell r="J6483" t="str">
            <v>CTC</v>
          </cell>
          <cell r="K6483" t="str">
            <v>YES</v>
          </cell>
        </row>
        <row r="6484">
          <cell r="I6484" t="str">
            <v>V50749</v>
          </cell>
          <cell r="J6484" t="str">
            <v>CTC</v>
          </cell>
          <cell r="K6484" t="str">
            <v>YES</v>
          </cell>
        </row>
        <row r="6485">
          <cell r="I6485" t="str">
            <v>V45766</v>
          </cell>
          <cell r="J6485" t="str">
            <v>CTC</v>
          </cell>
          <cell r="K6485" t="str">
            <v>YES</v>
          </cell>
        </row>
        <row r="6486">
          <cell r="I6486" t="str">
            <v>V48861</v>
          </cell>
          <cell r="J6486" t="str">
            <v>CTC</v>
          </cell>
          <cell r="K6486" t="str">
            <v>YES</v>
          </cell>
        </row>
        <row r="6487">
          <cell r="I6487" t="str">
            <v>V48369</v>
          </cell>
          <cell r="J6487" t="str">
            <v>CTC</v>
          </cell>
          <cell r="K6487" t="str">
            <v>YES</v>
          </cell>
        </row>
        <row r="6488">
          <cell r="I6488" t="str">
            <v>V47609</v>
          </cell>
          <cell r="J6488" t="str">
            <v>CTC</v>
          </cell>
          <cell r="K6488" t="str">
            <v>YES</v>
          </cell>
        </row>
        <row r="6489">
          <cell r="I6489" t="str">
            <v>V46082</v>
          </cell>
          <cell r="J6489" t="str">
            <v>CTC</v>
          </cell>
          <cell r="K6489" t="str">
            <v>YES</v>
          </cell>
        </row>
        <row r="6490">
          <cell r="I6490" t="str">
            <v>V46554</v>
          </cell>
          <cell r="J6490" t="str">
            <v>CTC</v>
          </cell>
          <cell r="K6490" t="str">
            <v>YES</v>
          </cell>
        </row>
        <row r="6491">
          <cell r="I6491" t="str">
            <v>V45975</v>
          </cell>
          <cell r="J6491" t="str">
            <v>CTC</v>
          </cell>
          <cell r="K6491" t="str">
            <v>YES</v>
          </cell>
        </row>
        <row r="6492">
          <cell r="I6492" t="str">
            <v>V45195</v>
          </cell>
          <cell r="J6492" t="str">
            <v>CTC</v>
          </cell>
          <cell r="K6492" t="str">
            <v>YES</v>
          </cell>
        </row>
        <row r="6493">
          <cell r="I6493" t="str">
            <v>V44751</v>
          </cell>
          <cell r="J6493" t="str">
            <v>CTC</v>
          </cell>
          <cell r="K6493" t="str">
            <v>YES</v>
          </cell>
        </row>
        <row r="6494">
          <cell r="I6494" t="str">
            <v>V46101</v>
          </cell>
          <cell r="J6494" t="str">
            <v>CTC</v>
          </cell>
          <cell r="K6494" t="str">
            <v>YES</v>
          </cell>
        </row>
        <row r="6495">
          <cell r="I6495" t="str">
            <v>V46237</v>
          </cell>
          <cell r="J6495" t="str">
            <v>CTC</v>
          </cell>
          <cell r="K6495" t="str">
            <v>YES</v>
          </cell>
        </row>
        <row r="6496">
          <cell r="I6496" t="str">
            <v>V46441</v>
          </cell>
          <cell r="J6496" t="str">
            <v>CTC</v>
          </cell>
          <cell r="K6496" t="str">
            <v>YES</v>
          </cell>
        </row>
        <row r="6497">
          <cell r="I6497" t="str">
            <v>V45014</v>
          </cell>
          <cell r="J6497" t="str">
            <v>CTC</v>
          </cell>
          <cell r="K6497" t="str">
            <v>YES</v>
          </cell>
        </row>
        <row r="6498">
          <cell r="I6498" t="str">
            <v>V48969</v>
          </cell>
          <cell r="J6498" t="str">
            <v>CTC</v>
          </cell>
          <cell r="K6498" t="str">
            <v>YES</v>
          </cell>
        </row>
        <row r="6499">
          <cell r="I6499" t="str">
            <v>V46059</v>
          </cell>
          <cell r="J6499" t="str">
            <v>CTC</v>
          </cell>
          <cell r="K6499" t="str">
            <v>YES</v>
          </cell>
        </row>
        <row r="6500">
          <cell r="I6500" t="str">
            <v>V46443</v>
          </cell>
          <cell r="J6500" t="str">
            <v>CTC</v>
          </cell>
          <cell r="K6500" t="str">
            <v>YES</v>
          </cell>
        </row>
        <row r="6501">
          <cell r="I6501" t="str">
            <v>V44639</v>
          </cell>
          <cell r="J6501" t="str">
            <v>CTC</v>
          </cell>
          <cell r="K6501" t="str">
            <v>YES</v>
          </cell>
        </row>
        <row r="6502">
          <cell r="I6502" t="str">
            <v>V45907</v>
          </cell>
          <cell r="J6502" t="str">
            <v>CTC</v>
          </cell>
          <cell r="K6502" t="str">
            <v>YES</v>
          </cell>
        </row>
        <row r="6503">
          <cell r="I6503" t="str">
            <v>V43935</v>
          </cell>
          <cell r="J6503" t="str">
            <v>CTC</v>
          </cell>
          <cell r="K6503" t="str">
            <v>YES</v>
          </cell>
        </row>
        <row r="6504">
          <cell r="I6504" t="str">
            <v>V48375</v>
          </cell>
          <cell r="J6504" t="str">
            <v>CTC</v>
          </cell>
          <cell r="K6504" t="str">
            <v>YES</v>
          </cell>
        </row>
        <row r="6505">
          <cell r="I6505" t="str">
            <v>V46433</v>
          </cell>
          <cell r="J6505" t="str">
            <v>CTC</v>
          </cell>
          <cell r="K6505" t="str">
            <v>YES</v>
          </cell>
        </row>
        <row r="6506">
          <cell r="I6506" t="str">
            <v>V46393</v>
          </cell>
          <cell r="J6506" t="str">
            <v>CTC</v>
          </cell>
          <cell r="K6506" t="str">
            <v>YES</v>
          </cell>
        </row>
        <row r="6507">
          <cell r="I6507" t="str">
            <v>V46409</v>
          </cell>
          <cell r="J6507" t="str">
            <v>CTC</v>
          </cell>
          <cell r="K6507" t="str">
            <v>YES</v>
          </cell>
        </row>
        <row r="6508">
          <cell r="I6508" t="str">
            <v>V45926</v>
          </cell>
          <cell r="J6508" t="str">
            <v>CTC</v>
          </cell>
          <cell r="K6508" t="str">
            <v>YES</v>
          </cell>
        </row>
        <row r="6509">
          <cell r="I6509" t="str">
            <v>V45604</v>
          </cell>
          <cell r="J6509" t="str">
            <v>CTC</v>
          </cell>
          <cell r="K6509" t="str">
            <v>YES</v>
          </cell>
        </row>
        <row r="6510">
          <cell r="I6510" t="str">
            <v>V44457</v>
          </cell>
          <cell r="J6510" t="str">
            <v>CTC</v>
          </cell>
          <cell r="K6510" t="str">
            <v>YES</v>
          </cell>
        </row>
        <row r="6511">
          <cell r="I6511" t="str">
            <v>V45977</v>
          </cell>
          <cell r="J6511" t="str">
            <v>CTC</v>
          </cell>
          <cell r="K6511" t="str">
            <v>YES</v>
          </cell>
        </row>
        <row r="6512">
          <cell r="I6512" t="str">
            <v>V45197</v>
          </cell>
          <cell r="J6512" t="str">
            <v>CTC</v>
          </cell>
          <cell r="K6512" t="str">
            <v>YES</v>
          </cell>
        </row>
        <row r="6513">
          <cell r="I6513" t="str">
            <v>V44885</v>
          </cell>
          <cell r="J6513" t="str">
            <v>CTC</v>
          </cell>
          <cell r="K6513" t="str">
            <v>YES</v>
          </cell>
        </row>
        <row r="6514">
          <cell r="I6514" t="str">
            <v>V44801</v>
          </cell>
          <cell r="J6514" t="str">
            <v>CTC</v>
          </cell>
          <cell r="K6514" t="str">
            <v>YES</v>
          </cell>
        </row>
        <row r="6515">
          <cell r="I6515" t="str">
            <v>V46146</v>
          </cell>
          <cell r="J6515" t="str">
            <v>CTC</v>
          </cell>
          <cell r="K6515" t="str">
            <v>YES</v>
          </cell>
        </row>
        <row r="6516">
          <cell r="I6516" t="str">
            <v>V45396</v>
          </cell>
          <cell r="J6516" t="str">
            <v>CTC</v>
          </cell>
          <cell r="K6516" t="str">
            <v>YES</v>
          </cell>
        </row>
        <row r="6517">
          <cell r="I6517" t="str">
            <v>V47174</v>
          </cell>
          <cell r="J6517" t="str">
            <v>CTC</v>
          </cell>
          <cell r="K6517" t="str">
            <v>YES</v>
          </cell>
        </row>
        <row r="6518">
          <cell r="I6518" t="str">
            <v>V43271</v>
          </cell>
          <cell r="J6518" t="str">
            <v>CTC</v>
          </cell>
          <cell r="K6518" t="str">
            <v>YES</v>
          </cell>
        </row>
        <row r="6519">
          <cell r="I6519" t="str">
            <v>V45673</v>
          </cell>
          <cell r="J6519" t="str">
            <v>CTC</v>
          </cell>
          <cell r="K6519" t="str">
            <v>YES</v>
          </cell>
        </row>
        <row r="6520">
          <cell r="I6520" t="str">
            <v>V46093</v>
          </cell>
          <cell r="J6520" t="str">
            <v>CTC</v>
          </cell>
          <cell r="K6520" t="str">
            <v>YES</v>
          </cell>
        </row>
        <row r="6521">
          <cell r="I6521" t="str">
            <v>V45762</v>
          </cell>
          <cell r="J6521" t="str">
            <v>CTC</v>
          </cell>
          <cell r="K6521" t="str">
            <v>YES</v>
          </cell>
        </row>
        <row r="6522">
          <cell r="I6522" t="str">
            <v>V45957</v>
          </cell>
          <cell r="J6522" t="str">
            <v>CTC</v>
          </cell>
          <cell r="K6522" t="str">
            <v>YES</v>
          </cell>
        </row>
        <row r="6523">
          <cell r="I6523" t="str">
            <v>V44836</v>
          </cell>
          <cell r="J6523" t="str">
            <v>CTC</v>
          </cell>
          <cell r="K6523" t="str">
            <v>YES</v>
          </cell>
        </row>
        <row r="6524">
          <cell r="I6524" t="str">
            <v>V44841</v>
          </cell>
          <cell r="J6524" t="str">
            <v>CTC</v>
          </cell>
          <cell r="K6524" t="str">
            <v>YES</v>
          </cell>
        </row>
        <row r="6525">
          <cell r="I6525" t="str">
            <v>V45949</v>
          </cell>
          <cell r="J6525" t="str">
            <v>CTC</v>
          </cell>
          <cell r="K6525" t="str">
            <v>YES</v>
          </cell>
        </row>
        <row r="6526">
          <cell r="I6526" t="str">
            <v>V46104</v>
          </cell>
          <cell r="J6526" t="str">
            <v>CTC</v>
          </cell>
          <cell r="K6526" t="str">
            <v>YES</v>
          </cell>
        </row>
        <row r="6527">
          <cell r="I6527" t="str">
            <v>V45802</v>
          </cell>
          <cell r="J6527" t="str">
            <v>CTC</v>
          </cell>
          <cell r="K6527" t="str">
            <v>YES</v>
          </cell>
        </row>
        <row r="6528">
          <cell r="I6528" t="str">
            <v>V47407</v>
          </cell>
          <cell r="J6528" t="str">
            <v>CTC</v>
          </cell>
          <cell r="K6528" t="str">
            <v>YES</v>
          </cell>
        </row>
        <row r="6529">
          <cell r="I6529" t="str">
            <v>V44929</v>
          </cell>
          <cell r="J6529" t="str">
            <v>CTC</v>
          </cell>
          <cell r="K6529" t="str">
            <v>YES</v>
          </cell>
        </row>
        <row r="6530">
          <cell r="I6530" t="str">
            <v>V45807</v>
          </cell>
          <cell r="J6530" t="str">
            <v>CTC</v>
          </cell>
          <cell r="K6530" t="str">
            <v>YES</v>
          </cell>
        </row>
        <row r="6531">
          <cell r="I6531" t="str">
            <v>V45731</v>
          </cell>
          <cell r="J6531" t="str">
            <v>CTC</v>
          </cell>
          <cell r="K6531" t="str">
            <v>YES</v>
          </cell>
        </row>
        <row r="6532">
          <cell r="I6532" t="str">
            <v>V45761</v>
          </cell>
          <cell r="J6532" t="str">
            <v>CTC</v>
          </cell>
          <cell r="K6532" t="str">
            <v>YES</v>
          </cell>
        </row>
        <row r="6533">
          <cell r="I6533" t="str">
            <v>V46383</v>
          </cell>
          <cell r="J6533" t="str">
            <v>CTC</v>
          </cell>
          <cell r="K6533" t="str">
            <v>YES</v>
          </cell>
        </row>
        <row r="6534">
          <cell r="I6534" t="str">
            <v>V46487</v>
          </cell>
          <cell r="J6534" t="str">
            <v>CTC</v>
          </cell>
          <cell r="K6534" t="str">
            <v>YES</v>
          </cell>
        </row>
        <row r="6535">
          <cell r="I6535" t="str">
            <v>V45801</v>
          </cell>
          <cell r="J6535" t="str">
            <v>CTC</v>
          </cell>
          <cell r="K6535" t="str">
            <v>YES</v>
          </cell>
        </row>
        <row r="6536">
          <cell r="I6536" t="str">
            <v>V49105</v>
          </cell>
          <cell r="J6536" t="str">
            <v>CTC</v>
          </cell>
          <cell r="K6536" t="str">
            <v>YES</v>
          </cell>
        </row>
        <row r="6537">
          <cell r="I6537" t="str">
            <v>V46390</v>
          </cell>
          <cell r="J6537" t="str">
            <v>CTC</v>
          </cell>
          <cell r="K6537" t="str">
            <v>YES</v>
          </cell>
        </row>
        <row r="6538">
          <cell r="I6538" t="str">
            <v>V51674</v>
          </cell>
          <cell r="J6538" t="str">
            <v>STAT</v>
          </cell>
          <cell r="K6538" t="str">
            <v>YES</v>
          </cell>
        </row>
        <row r="6539">
          <cell r="I6539" t="str">
            <v>V45903</v>
          </cell>
          <cell r="J6539" t="str">
            <v>CTC</v>
          </cell>
          <cell r="K6539" t="str">
            <v>YES</v>
          </cell>
        </row>
        <row r="6540">
          <cell r="I6540" t="str">
            <v>V47054</v>
          </cell>
          <cell r="J6540" t="str">
            <v>CTC</v>
          </cell>
          <cell r="K6540" t="str">
            <v>YES</v>
          </cell>
        </row>
        <row r="6541">
          <cell r="I6541" t="str">
            <v>V47352</v>
          </cell>
          <cell r="J6541" t="str">
            <v>CTC</v>
          </cell>
          <cell r="K6541" t="str">
            <v>YES</v>
          </cell>
        </row>
        <row r="6542">
          <cell r="I6542" t="str">
            <v>V45402</v>
          </cell>
          <cell r="J6542" t="str">
            <v>CTC</v>
          </cell>
          <cell r="K6542" t="str">
            <v>YES</v>
          </cell>
        </row>
        <row r="6543">
          <cell r="I6543" t="str">
            <v>V47239</v>
          </cell>
          <cell r="J6543" t="str">
            <v>CTC</v>
          </cell>
          <cell r="K6543" t="str">
            <v>YES</v>
          </cell>
        </row>
        <row r="6544">
          <cell r="I6544" t="str">
            <v>V46485</v>
          </cell>
          <cell r="J6544" t="str">
            <v>CTC</v>
          </cell>
          <cell r="K6544" t="str">
            <v>YES</v>
          </cell>
        </row>
        <row r="6545">
          <cell r="I6545" t="str">
            <v>V47178</v>
          </cell>
          <cell r="J6545" t="str">
            <v>CTC</v>
          </cell>
          <cell r="K6545" t="str">
            <v>YES</v>
          </cell>
        </row>
        <row r="6546">
          <cell r="I6546" t="str">
            <v>V46938</v>
          </cell>
          <cell r="J6546" t="str">
            <v>CTC</v>
          </cell>
          <cell r="K6546" t="str">
            <v>YES</v>
          </cell>
        </row>
        <row r="6547">
          <cell r="I6547" t="str">
            <v>V45908</v>
          </cell>
          <cell r="J6547" t="str">
            <v>CTC</v>
          </cell>
          <cell r="K6547" t="str">
            <v>YES</v>
          </cell>
        </row>
        <row r="6548">
          <cell r="I6548" t="str">
            <v>V44233</v>
          </cell>
          <cell r="J6548" t="str">
            <v>CTC</v>
          </cell>
          <cell r="K6548" t="str">
            <v>YES</v>
          </cell>
        </row>
        <row r="6549">
          <cell r="I6549" t="str">
            <v>V47531</v>
          </cell>
          <cell r="J6549" t="str">
            <v>CTC</v>
          </cell>
          <cell r="K6549" t="str">
            <v>YES</v>
          </cell>
        </row>
        <row r="6550">
          <cell r="I6550" t="str">
            <v>V46235</v>
          </cell>
          <cell r="J6550" t="str">
            <v>CTC</v>
          </cell>
          <cell r="K6550" t="str">
            <v>YES</v>
          </cell>
        </row>
        <row r="6551">
          <cell r="I6551" t="str">
            <v>V46806</v>
          </cell>
          <cell r="J6551" t="str">
            <v>CTC</v>
          </cell>
          <cell r="K6551" t="str">
            <v>YES</v>
          </cell>
        </row>
        <row r="6552">
          <cell r="I6552" t="str">
            <v>V48710</v>
          </cell>
          <cell r="J6552" t="str">
            <v>CTC</v>
          </cell>
          <cell r="K6552" t="str">
            <v>YES</v>
          </cell>
        </row>
        <row r="6553">
          <cell r="I6553" t="str">
            <v>V44831</v>
          </cell>
          <cell r="J6553" t="str">
            <v>CTC</v>
          </cell>
          <cell r="K6553" t="str">
            <v>YES</v>
          </cell>
        </row>
        <row r="6554">
          <cell r="I6554" t="str">
            <v>V45845</v>
          </cell>
          <cell r="J6554" t="str">
            <v>CTC</v>
          </cell>
          <cell r="K6554" t="str">
            <v>YES</v>
          </cell>
        </row>
        <row r="6555">
          <cell r="I6555" t="str">
            <v>V51169</v>
          </cell>
          <cell r="J6555" t="str">
            <v>CTC</v>
          </cell>
          <cell r="K6555" t="str">
            <v>YES</v>
          </cell>
        </row>
        <row r="6556">
          <cell r="I6556" t="str">
            <v>V50760</v>
          </cell>
          <cell r="J6556" t="str">
            <v>CTC</v>
          </cell>
          <cell r="K6556" t="str">
            <v>YES</v>
          </cell>
        </row>
        <row r="6557">
          <cell r="I6557" t="str">
            <v>V46283</v>
          </cell>
          <cell r="J6557" t="str">
            <v>CTC</v>
          </cell>
          <cell r="K6557" t="str">
            <v>YES</v>
          </cell>
        </row>
        <row r="6558">
          <cell r="I6558" t="str">
            <v>V44036</v>
          </cell>
          <cell r="J6558" t="str">
            <v>CTC</v>
          </cell>
          <cell r="K6558" t="str">
            <v>YES</v>
          </cell>
        </row>
        <row r="6559">
          <cell r="I6559" t="str">
            <v>V46742</v>
          </cell>
          <cell r="J6559" t="str">
            <v>CTC</v>
          </cell>
          <cell r="K6559" t="str">
            <v>YES</v>
          </cell>
        </row>
        <row r="6560">
          <cell r="I6560" t="str">
            <v>V44420</v>
          </cell>
          <cell r="J6560" t="str">
            <v>CTC</v>
          </cell>
          <cell r="K6560" t="str">
            <v>YES</v>
          </cell>
        </row>
        <row r="6561">
          <cell r="I6561" t="str">
            <v>V47161</v>
          </cell>
          <cell r="J6561" t="str">
            <v>CTC</v>
          </cell>
          <cell r="K6561" t="str">
            <v>YES</v>
          </cell>
        </row>
        <row r="6562">
          <cell r="I6562" t="str">
            <v>V46189</v>
          </cell>
          <cell r="J6562" t="str">
            <v>CTC</v>
          </cell>
          <cell r="K6562" t="str">
            <v>YES</v>
          </cell>
        </row>
        <row r="6563">
          <cell r="I6563" t="str">
            <v>V48163</v>
          </cell>
          <cell r="J6563" t="str">
            <v>CTC</v>
          </cell>
          <cell r="K6563" t="str">
            <v>YES</v>
          </cell>
        </row>
        <row r="6564">
          <cell r="I6564" t="str">
            <v>V46437</v>
          </cell>
          <cell r="J6564" t="str">
            <v>CTC</v>
          </cell>
          <cell r="K6564" t="str">
            <v>YES</v>
          </cell>
        </row>
        <row r="6565">
          <cell r="I6565" t="str">
            <v>V49067</v>
          </cell>
          <cell r="J6565" t="str">
            <v>CTC</v>
          </cell>
          <cell r="K6565" t="str">
            <v>YES</v>
          </cell>
        </row>
        <row r="6566">
          <cell r="I6566" t="str">
            <v>V46451</v>
          </cell>
          <cell r="J6566" t="str">
            <v>CTC</v>
          </cell>
          <cell r="K6566" t="str">
            <v>YES</v>
          </cell>
        </row>
        <row r="6567">
          <cell r="I6567" t="str">
            <v>V47216</v>
          </cell>
          <cell r="J6567" t="str">
            <v>CTC</v>
          </cell>
          <cell r="K6567" t="str">
            <v>YES</v>
          </cell>
        </row>
        <row r="6568">
          <cell r="I6568" t="str">
            <v>V45799</v>
          </cell>
          <cell r="J6568" t="str">
            <v>CTC</v>
          </cell>
          <cell r="K6568" t="str">
            <v>YES</v>
          </cell>
        </row>
        <row r="6569">
          <cell r="I6569" t="str">
            <v>V46521</v>
          </cell>
          <cell r="J6569" t="str">
            <v>CTC</v>
          </cell>
          <cell r="K6569" t="str">
            <v>YES</v>
          </cell>
        </row>
        <row r="6570">
          <cell r="I6570" t="str">
            <v>V45810</v>
          </cell>
          <cell r="J6570" t="str">
            <v>CTC</v>
          </cell>
          <cell r="K6570" t="str">
            <v>YES</v>
          </cell>
        </row>
        <row r="6571">
          <cell r="I6571" t="str">
            <v>V47898</v>
          </cell>
          <cell r="J6571" t="str">
            <v>CTC</v>
          </cell>
          <cell r="K6571" t="str">
            <v>YES</v>
          </cell>
        </row>
        <row r="6572">
          <cell r="I6572" t="str">
            <v>V46203</v>
          </cell>
          <cell r="J6572" t="str">
            <v>CTC</v>
          </cell>
          <cell r="K6572" t="str">
            <v>YES</v>
          </cell>
        </row>
        <row r="6573">
          <cell r="I6573" t="str">
            <v>V51184</v>
          </cell>
          <cell r="J6573" t="str">
            <v>CTC</v>
          </cell>
          <cell r="K6573" t="str">
            <v>YES</v>
          </cell>
        </row>
        <row r="6574">
          <cell r="I6574" t="str">
            <v>V48444</v>
          </cell>
          <cell r="J6574" t="str">
            <v>CTC</v>
          </cell>
          <cell r="K6574" t="str">
            <v>YES</v>
          </cell>
        </row>
        <row r="6575">
          <cell r="I6575" t="str">
            <v>V44632</v>
          </cell>
          <cell r="J6575" t="str">
            <v>CTC</v>
          </cell>
          <cell r="K6575" t="str">
            <v>YES</v>
          </cell>
        </row>
        <row r="6576">
          <cell r="I6576" t="str">
            <v>V46178</v>
          </cell>
          <cell r="J6576" t="str">
            <v>CTC</v>
          </cell>
          <cell r="K6576" t="str">
            <v>YES</v>
          </cell>
        </row>
        <row r="6577">
          <cell r="I6577" t="str">
            <v>V46224</v>
          </cell>
          <cell r="J6577" t="str">
            <v>CTC</v>
          </cell>
          <cell r="K6577" t="str">
            <v>YES</v>
          </cell>
        </row>
        <row r="6578">
          <cell r="I6578" t="str">
            <v>V46234</v>
          </cell>
          <cell r="J6578" t="str">
            <v>CTC</v>
          </cell>
          <cell r="K6578" t="str">
            <v>YES</v>
          </cell>
        </row>
        <row r="6579">
          <cell r="I6579" t="str">
            <v>V46635</v>
          </cell>
          <cell r="J6579" t="str">
            <v>CTC</v>
          </cell>
          <cell r="K6579" t="str">
            <v>YES</v>
          </cell>
        </row>
        <row r="6580">
          <cell r="I6580" t="str">
            <v>V46849</v>
          </cell>
          <cell r="J6580" t="str">
            <v>CTC</v>
          </cell>
          <cell r="K6580" t="str">
            <v>YES</v>
          </cell>
        </row>
        <row r="6581">
          <cell r="I6581" t="str">
            <v>V48091</v>
          </cell>
          <cell r="J6581" t="str">
            <v>CTC</v>
          </cell>
          <cell r="K6581" t="str">
            <v>YES</v>
          </cell>
        </row>
        <row r="6582">
          <cell r="I6582" t="str">
            <v>V48193</v>
          </cell>
          <cell r="J6582" t="str">
            <v>CTC</v>
          </cell>
          <cell r="K6582" t="str">
            <v>YES</v>
          </cell>
        </row>
        <row r="6583">
          <cell r="I6583" t="str">
            <v>V52131</v>
          </cell>
          <cell r="J6583" t="str">
            <v>CTC</v>
          </cell>
          <cell r="K6583" t="str">
            <v>YES</v>
          </cell>
        </row>
        <row r="6584">
          <cell r="I6584" t="str">
            <v>V46244</v>
          </cell>
          <cell r="J6584" t="str">
            <v>CTC</v>
          </cell>
          <cell r="K6584" t="str">
            <v>YES</v>
          </cell>
        </row>
        <row r="6585">
          <cell r="I6585" t="str">
            <v>V45829</v>
          </cell>
          <cell r="J6585" t="str">
            <v>CTC</v>
          </cell>
          <cell r="K6585" t="str">
            <v>YES</v>
          </cell>
        </row>
        <row r="6586">
          <cell r="I6586" t="str">
            <v>V45857</v>
          </cell>
          <cell r="J6586" t="str">
            <v>CTC</v>
          </cell>
          <cell r="K6586" t="str">
            <v>YES</v>
          </cell>
        </row>
        <row r="6587">
          <cell r="I6587" t="str">
            <v>V47500</v>
          </cell>
          <cell r="J6587" t="str">
            <v>CTC</v>
          </cell>
          <cell r="K6587" t="str">
            <v>YES</v>
          </cell>
        </row>
        <row r="6588">
          <cell r="I6588" t="str">
            <v>V45996</v>
          </cell>
          <cell r="J6588" t="str">
            <v>CTC</v>
          </cell>
          <cell r="K6588" t="str">
            <v>YES</v>
          </cell>
        </row>
        <row r="6589">
          <cell r="I6589" t="str">
            <v>V46190</v>
          </cell>
          <cell r="J6589" t="str">
            <v>CTC</v>
          </cell>
          <cell r="K6589" t="str">
            <v>YES</v>
          </cell>
        </row>
        <row r="6590">
          <cell r="I6590" t="str">
            <v>V45713</v>
          </cell>
          <cell r="J6590" t="str">
            <v>CTC</v>
          </cell>
          <cell r="K6590" t="str">
            <v>YES</v>
          </cell>
        </row>
        <row r="6591">
          <cell r="I6591" t="str">
            <v>V45915</v>
          </cell>
          <cell r="J6591" t="str">
            <v>CTC</v>
          </cell>
          <cell r="K6591" t="str">
            <v>YES</v>
          </cell>
        </row>
        <row r="6592">
          <cell r="I6592" t="str">
            <v>V46074</v>
          </cell>
          <cell r="J6592" t="str">
            <v>CTC</v>
          </cell>
          <cell r="K6592" t="str">
            <v>YES</v>
          </cell>
        </row>
        <row r="6593">
          <cell r="I6593" t="str">
            <v>V49215</v>
          </cell>
          <cell r="J6593" t="str">
            <v>CTC</v>
          </cell>
          <cell r="K6593" t="str">
            <v>YES</v>
          </cell>
        </row>
        <row r="6594">
          <cell r="I6594" t="str">
            <v>V46208</v>
          </cell>
          <cell r="J6594" t="str">
            <v>CTC</v>
          </cell>
          <cell r="K6594" t="str">
            <v>YES</v>
          </cell>
        </row>
        <row r="6595">
          <cell r="I6595" t="str">
            <v>V49510</v>
          </cell>
          <cell r="J6595" t="str">
            <v>CTC</v>
          </cell>
          <cell r="K6595" t="str">
            <v>YES</v>
          </cell>
        </row>
        <row r="6596">
          <cell r="I6596" t="str">
            <v>V47759</v>
          </cell>
          <cell r="J6596" t="str">
            <v>CTC</v>
          </cell>
          <cell r="K6596" t="str">
            <v>YES</v>
          </cell>
        </row>
        <row r="6597">
          <cell r="I6597" t="str">
            <v>V46514</v>
          </cell>
          <cell r="J6597" t="str">
            <v>CTC</v>
          </cell>
          <cell r="K6597" t="str">
            <v>YES</v>
          </cell>
        </row>
        <row r="6598">
          <cell r="I6598" t="str">
            <v>V46173</v>
          </cell>
          <cell r="J6598" t="str">
            <v>CTC</v>
          </cell>
          <cell r="K6598" t="str">
            <v>YES</v>
          </cell>
        </row>
        <row r="6599">
          <cell r="I6599" t="str">
            <v>V45959</v>
          </cell>
          <cell r="J6599" t="str">
            <v>CTC</v>
          </cell>
          <cell r="K6599" t="str">
            <v>YES</v>
          </cell>
        </row>
        <row r="6600">
          <cell r="I6600" t="str">
            <v>V50740</v>
          </cell>
          <cell r="J6600" t="str">
            <v>CTC</v>
          </cell>
          <cell r="K6600" t="str">
            <v>YES</v>
          </cell>
        </row>
        <row r="6601">
          <cell r="I6601" t="str">
            <v>V47048</v>
          </cell>
          <cell r="J6601" t="str">
            <v>CTC</v>
          </cell>
          <cell r="K6601" t="str">
            <v>YES</v>
          </cell>
        </row>
        <row r="6602">
          <cell r="I6602" t="str">
            <v>V46842</v>
          </cell>
          <cell r="J6602" t="str">
            <v>CTC</v>
          </cell>
          <cell r="K6602" t="str">
            <v>YES</v>
          </cell>
        </row>
        <row r="6603">
          <cell r="I6603" t="str">
            <v>V49036</v>
          </cell>
          <cell r="J6603" t="str">
            <v>CTC</v>
          </cell>
          <cell r="K6603" t="str">
            <v>YES</v>
          </cell>
        </row>
        <row r="6604">
          <cell r="I6604" t="str">
            <v>V29157</v>
          </cell>
          <cell r="J6604" t="str">
            <v>CTC</v>
          </cell>
          <cell r="K6604" t="str">
            <v>YES</v>
          </cell>
        </row>
        <row r="6605">
          <cell r="I6605" t="str">
            <v>V46341</v>
          </cell>
          <cell r="J6605" t="str">
            <v>CTC</v>
          </cell>
          <cell r="K6605" t="str">
            <v>YES</v>
          </cell>
        </row>
        <row r="6606">
          <cell r="I6606" t="str">
            <v>V47403</v>
          </cell>
          <cell r="J6606" t="str">
            <v>CTC</v>
          </cell>
          <cell r="K6606" t="str">
            <v>YES</v>
          </cell>
        </row>
        <row r="6607">
          <cell r="I6607" t="str">
            <v>V47351</v>
          </cell>
          <cell r="J6607" t="str">
            <v>CTC</v>
          </cell>
          <cell r="K6607" t="str">
            <v>YES</v>
          </cell>
        </row>
        <row r="6608">
          <cell r="I6608" t="str">
            <v>V46339</v>
          </cell>
          <cell r="J6608" t="str">
            <v>CTC</v>
          </cell>
          <cell r="K6608" t="str">
            <v>YES</v>
          </cell>
        </row>
        <row r="6609">
          <cell r="I6609" t="str">
            <v>V46402</v>
          </cell>
          <cell r="J6609" t="str">
            <v>CTC</v>
          </cell>
          <cell r="K6609" t="str">
            <v>YES</v>
          </cell>
        </row>
        <row r="6610">
          <cell r="I6610" t="str">
            <v>V44906</v>
          </cell>
          <cell r="J6610" t="str">
            <v>CTC</v>
          </cell>
          <cell r="K6610" t="str">
            <v>YES</v>
          </cell>
        </row>
        <row r="6611">
          <cell r="I6611" t="str">
            <v>V45846</v>
          </cell>
          <cell r="J6611" t="str">
            <v>CTC</v>
          </cell>
          <cell r="K6611" t="str">
            <v>YES</v>
          </cell>
        </row>
        <row r="6612">
          <cell r="I6612" t="str">
            <v>V45808</v>
          </cell>
          <cell r="J6612" t="str">
            <v>CTC</v>
          </cell>
          <cell r="K6612" t="str">
            <v>YES</v>
          </cell>
        </row>
        <row r="6613">
          <cell r="I6613" t="str">
            <v>V48111</v>
          </cell>
          <cell r="J6613" t="str">
            <v>CTC</v>
          </cell>
          <cell r="K6613" t="str">
            <v>YES</v>
          </cell>
        </row>
        <row r="6614">
          <cell r="I6614" t="str">
            <v>V46805</v>
          </cell>
          <cell r="J6614" t="str">
            <v>CTC</v>
          </cell>
          <cell r="K6614" t="str">
            <v>YES</v>
          </cell>
        </row>
        <row r="6615">
          <cell r="I6615" t="str">
            <v>V45936</v>
          </cell>
          <cell r="J6615" t="str">
            <v>CTC</v>
          </cell>
          <cell r="K6615" t="str">
            <v>YES</v>
          </cell>
        </row>
        <row r="6616">
          <cell r="I6616" t="str">
            <v>V45756</v>
          </cell>
          <cell r="J6616" t="str">
            <v>CTC</v>
          </cell>
          <cell r="K6616" t="str">
            <v>YES</v>
          </cell>
        </row>
        <row r="6617">
          <cell r="I6617" t="str">
            <v>V45097</v>
          </cell>
          <cell r="J6617" t="str">
            <v>CTC</v>
          </cell>
          <cell r="K6617" t="str">
            <v>YES</v>
          </cell>
        </row>
        <row r="6618">
          <cell r="I6618" t="str">
            <v>V49051</v>
          </cell>
          <cell r="J6618" t="str">
            <v>CTC</v>
          </cell>
          <cell r="K6618" t="str">
            <v>YES</v>
          </cell>
        </row>
        <row r="6619">
          <cell r="I6619" t="str">
            <v>V46061</v>
          </cell>
          <cell r="J6619" t="str">
            <v>CTC</v>
          </cell>
          <cell r="K6619" t="str">
            <v>YES</v>
          </cell>
        </row>
        <row r="6620">
          <cell r="I6620" t="str">
            <v>V45965</v>
          </cell>
          <cell r="J6620" t="str">
            <v>CTC</v>
          </cell>
          <cell r="K6620" t="str">
            <v>YES</v>
          </cell>
        </row>
        <row r="6621">
          <cell r="I6621" t="str">
            <v>V45707</v>
          </cell>
          <cell r="J6621" t="str">
            <v>CTC</v>
          </cell>
          <cell r="K6621" t="str">
            <v>YES</v>
          </cell>
        </row>
        <row r="6622">
          <cell r="I6622" t="str">
            <v>V44279</v>
          </cell>
          <cell r="J6622" t="str">
            <v>CTC</v>
          </cell>
          <cell r="K6622" t="str">
            <v>YES</v>
          </cell>
        </row>
        <row r="6623">
          <cell r="I6623" t="str">
            <v>V52146</v>
          </cell>
          <cell r="J6623" t="str">
            <v>CTC</v>
          </cell>
          <cell r="K6623" t="str">
            <v>YES</v>
          </cell>
        </row>
        <row r="6624">
          <cell r="I6624" t="str">
            <v>V47702</v>
          </cell>
          <cell r="J6624" t="str">
            <v>CTC</v>
          </cell>
          <cell r="K6624" t="str">
            <v>YES</v>
          </cell>
        </row>
        <row r="6625">
          <cell r="I6625" t="str">
            <v>V45562</v>
          </cell>
          <cell r="J6625" t="str">
            <v>CTC</v>
          </cell>
          <cell r="K6625" t="str">
            <v>YES</v>
          </cell>
        </row>
        <row r="6626">
          <cell r="I6626" t="str">
            <v>V45937</v>
          </cell>
          <cell r="J6626" t="str">
            <v>CTC</v>
          </cell>
          <cell r="K6626" t="str">
            <v>YES</v>
          </cell>
        </row>
        <row r="6627">
          <cell r="I6627" t="str">
            <v>V45884</v>
          </cell>
          <cell r="J6627" t="str">
            <v>CTC</v>
          </cell>
          <cell r="K6627" t="str">
            <v>YES</v>
          </cell>
        </row>
        <row r="6628">
          <cell r="I6628" t="str">
            <v>V48270</v>
          </cell>
          <cell r="J6628" t="str">
            <v>CTC</v>
          </cell>
          <cell r="K6628" t="str">
            <v>YES</v>
          </cell>
        </row>
        <row r="6629">
          <cell r="I6629" t="str">
            <v>V47083</v>
          </cell>
          <cell r="J6629" t="str">
            <v>CTC</v>
          </cell>
          <cell r="K6629" t="str">
            <v>YES</v>
          </cell>
        </row>
        <row r="6630">
          <cell r="I6630" t="str">
            <v>V46041</v>
          </cell>
          <cell r="J6630" t="str">
            <v>CTC</v>
          </cell>
          <cell r="K6630" t="str">
            <v>YES</v>
          </cell>
        </row>
        <row r="6631">
          <cell r="I6631" t="str">
            <v>V45932</v>
          </cell>
          <cell r="J6631" t="str">
            <v>CTC</v>
          </cell>
          <cell r="K6631" t="str">
            <v>YES</v>
          </cell>
        </row>
        <row r="6632">
          <cell r="I6632" t="str">
            <v>V45859</v>
          </cell>
          <cell r="J6632" t="str">
            <v>CTC</v>
          </cell>
          <cell r="K6632" t="str">
            <v>YES</v>
          </cell>
        </row>
        <row r="6633">
          <cell r="I6633" t="str">
            <v>V46666</v>
          </cell>
          <cell r="J6633" t="str">
            <v>CTC</v>
          </cell>
          <cell r="K6633" t="str">
            <v>YES</v>
          </cell>
        </row>
        <row r="6634">
          <cell r="I6634" t="str">
            <v>V45998</v>
          </cell>
          <cell r="J6634" t="str">
            <v>CTC</v>
          </cell>
          <cell r="K6634" t="str">
            <v>YES</v>
          </cell>
        </row>
        <row r="6635">
          <cell r="I6635" t="str">
            <v>V44908</v>
          </cell>
          <cell r="J6635" t="str">
            <v>CTC</v>
          </cell>
          <cell r="K6635" t="str">
            <v>YES</v>
          </cell>
        </row>
        <row r="6636">
          <cell r="I6636" t="str">
            <v>V48632</v>
          </cell>
          <cell r="J6636" t="str">
            <v>CTC</v>
          </cell>
          <cell r="K6636" t="str">
            <v>YES</v>
          </cell>
        </row>
        <row r="6637">
          <cell r="I6637" t="str">
            <v>V46841</v>
          </cell>
          <cell r="J6637" t="str">
            <v>CTC</v>
          </cell>
          <cell r="K6637" t="str">
            <v>YES</v>
          </cell>
        </row>
        <row r="6638">
          <cell r="I6638" t="str">
            <v>V45523</v>
          </cell>
          <cell r="J6638" t="str">
            <v>CTC</v>
          </cell>
          <cell r="K6638" t="str">
            <v>YES</v>
          </cell>
        </row>
        <row r="6639">
          <cell r="I6639" t="str">
            <v>V47790</v>
          </cell>
          <cell r="J6639" t="str">
            <v>CTC</v>
          </cell>
          <cell r="K6639" t="str">
            <v>YES</v>
          </cell>
        </row>
        <row r="6640">
          <cell r="I6640" t="str">
            <v>V46346</v>
          </cell>
          <cell r="J6640" t="str">
            <v>CTC</v>
          </cell>
          <cell r="K6640" t="str">
            <v>YES</v>
          </cell>
        </row>
        <row r="6641">
          <cell r="I6641" t="str">
            <v>V48205</v>
          </cell>
          <cell r="J6641" t="str">
            <v>CTC</v>
          </cell>
          <cell r="K6641" t="str">
            <v>YES</v>
          </cell>
        </row>
        <row r="6642">
          <cell r="I6642" t="str">
            <v>V48247</v>
          </cell>
          <cell r="J6642" t="str">
            <v>CTC</v>
          </cell>
          <cell r="K6642" t="str">
            <v>YES</v>
          </cell>
        </row>
        <row r="6643">
          <cell r="I6643" t="str">
            <v>V45759</v>
          </cell>
          <cell r="J6643" t="str">
            <v>CTC</v>
          </cell>
          <cell r="K6643" t="str">
            <v>YES</v>
          </cell>
        </row>
        <row r="6644">
          <cell r="I6644" t="str">
            <v>V46732</v>
          </cell>
          <cell r="J6644" t="str">
            <v>CTC</v>
          </cell>
          <cell r="K6644" t="str">
            <v>YES</v>
          </cell>
        </row>
        <row r="6645">
          <cell r="I6645" t="str">
            <v>V46733</v>
          </cell>
          <cell r="J6645" t="str">
            <v>CTC</v>
          </cell>
          <cell r="K6645" t="str">
            <v>YES</v>
          </cell>
        </row>
        <row r="6646">
          <cell r="I6646" t="str">
            <v>V44258</v>
          </cell>
          <cell r="J6646" t="str">
            <v>CTC</v>
          </cell>
          <cell r="K6646" t="str">
            <v>YES</v>
          </cell>
        </row>
        <row r="6647">
          <cell r="I6647" t="str">
            <v>V48970</v>
          </cell>
          <cell r="J6647" t="str">
            <v>CTC</v>
          </cell>
          <cell r="K6647" t="str">
            <v>YES</v>
          </cell>
        </row>
        <row r="6648">
          <cell r="I6648" t="str">
            <v>V15288</v>
          </cell>
          <cell r="J6648" t="str">
            <v>CTC</v>
          </cell>
          <cell r="K6648" t="str">
            <v>YES</v>
          </cell>
        </row>
        <row r="6649">
          <cell r="I6649" t="str">
            <v>V46362</v>
          </cell>
          <cell r="J6649" t="str">
            <v>CTC</v>
          </cell>
          <cell r="K6649" t="str">
            <v>YES</v>
          </cell>
        </row>
        <row r="6650">
          <cell r="I6650" t="str">
            <v>V49179</v>
          </cell>
          <cell r="J6650" t="str">
            <v>CTC</v>
          </cell>
          <cell r="K6650" t="str">
            <v>YES</v>
          </cell>
        </row>
        <row r="6651">
          <cell r="I6651" t="str">
            <v>V49180</v>
          </cell>
          <cell r="J6651" t="str">
            <v>CTC</v>
          </cell>
          <cell r="K6651" t="str">
            <v>YES</v>
          </cell>
        </row>
        <row r="6652">
          <cell r="I6652" t="str">
            <v>V46683</v>
          </cell>
          <cell r="J6652" t="str">
            <v>CTC</v>
          </cell>
          <cell r="K6652" t="str">
            <v>YES</v>
          </cell>
        </row>
        <row r="6653">
          <cell r="I6653" t="str">
            <v>V50523</v>
          </cell>
          <cell r="J6653" t="str">
            <v>CTC</v>
          </cell>
          <cell r="K6653" t="str">
            <v>YES</v>
          </cell>
        </row>
        <row r="6654">
          <cell r="I6654" t="str">
            <v>V46239</v>
          </cell>
          <cell r="J6654" t="str">
            <v>CTC</v>
          </cell>
          <cell r="K6654" t="str">
            <v>YES</v>
          </cell>
        </row>
        <row r="6655">
          <cell r="I6655" t="str">
            <v>V44658</v>
          </cell>
          <cell r="J6655" t="str">
            <v>CTC</v>
          </cell>
          <cell r="K6655" t="str">
            <v>YES</v>
          </cell>
        </row>
        <row r="6656">
          <cell r="I6656" t="str">
            <v>V46735</v>
          </cell>
          <cell r="J6656" t="str">
            <v>CTC</v>
          </cell>
          <cell r="K6656" t="str">
            <v>YES</v>
          </cell>
        </row>
        <row r="6657">
          <cell r="I6657" t="str">
            <v>V44905</v>
          </cell>
          <cell r="J6657" t="str">
            <v>CTC</v>
          </cell>
          <cell r="K6657" t="str">
            <v>YES</v>
          </cell>
        </row>
        <row r="6658">
          <cell r="I6658" t="str">
            <v>V47100</v>
          </cell>
          <cell r="J6658" t="str">
            <v>CTC</v>
          </cell>
          <cell r="K6658" t="str">
            <v>YES</v>
          </cell>
        </row>
        <row r="6659">
          <cell r="I6659" t="str">
            <v>V46483</v>
          </cell>
          <cell r="J6659" t="str">
            <v>CTC</v>
          </cell>
          <cell r="K6659" t="str">
            <v>YES</v>
          </cell>
        </row>
        <row r="6660">
          <cell r="I6660" t="str">
            <v>V46167</v>
          </cell>
          <cell r="J6660" t="str">
            <v>CTC</v>
          </cell>
          <cell r="K6660" t="str">
            <v>YES</v>
          </cell>
        </row>
        <row r="6661">
          <cell r="I6661" t="str">
            <v>V48392</v>
          </cell>
          <cell r="J6661" t="str">
            <v>CTC</v>
          </cell>
          <cell r="K6661" t="str">
            <v>YES</v>
          </cell>
        </row>
        <row r="6662">
          <cell r="I6662" t="str">
            <v>V46457</v>
          </cell>
          <cell r="J6662" t="str">
            <v>CTC</v>
          </cell>
          <cell r="K6662" t="str">
            <v>YES</v>
          </cell>
        </row>
        <row r="6663">
          <cell r="I6663" t="str">
            <v>V48021</v>
          </cell>
          <cell r="J6663" t="str">
            <v>CTC</v>
          </cell>
          <cell r="K6663" t="str">
            <v>YES</v>
          </cell>
        </row>
        <row r="6664">
          <cell r="I6664" t="str">
            <v>V46655</v>
          </cell>
          <cell r="J6664" t="str">
            <v>CTC</v>
          </cell>
          <cell r="K6664" t="str">
            <v>YES</v>
          </cell>
        </row>
        <row r="6665">
          <cell r="I6665" t="str">
            <v>V46942</v>
          </cell>
          <cell r="J6665" t="str">
            <v>CTC</v>
          </cell>
          <cell r="K6665" t="str">
            <v>YES</v>
          </cell>
        </row>
        <row r="6666">
          <cell r="I6666" t="str">
            <v>V47520</v>
          </cell>
          <cell r="J6666" t="str">
            <v>CTC</v>
          </cell>
          <cell r="K6666" t="str">
            <v>YES</v>
          </cell>
        </row>
        <row r="6667">
          <cell r="I6667" t="str">
            <v>V47521</v>
          </cell>
          <cell r="J6667" t="str">
            <v>CTC</v>
          </cell>
          <cell r="K6667" t="str">
            <v>YES</v>
          </cell>
        </row>
        <row r="6668">
          <cell r="I6668" t="str">
            <v>V47656</v>
          </cell>
          <cell r="J6668" t="str">
            <v>CTC</v>
          </cell>
          <cell r="K6668" t="str">
            <v>YES</v>
          </cell>
        </row>
        <row r="6669">
          <cell r="I6669" t="str">
            <v>V47657</v>
          </cell>
          <cell r="J6669" t="str">
            <v>CTC</v>
          </cell>
          <cell r="K6669" t="str">
            <v>YES</v>
          </cell>
        </row>
        <row r="6670">
          <cell r="I6670" t="str">
            <v>V47659</v>
          </cell>
          <cell r="J6670" t="str">
            <v>CTC</v>
          </cell>
          <cell r="K6670" t="str">
            <v>YES</v>
          </cell>
        </row>
        <row r="6671">
          <cell r="I6671" t="str">
            <v>V46597</v>
          </cell>
          <cell r="J6671" t="str">
            <v>CTC</v>
          </cell>
          <cell r="K6671" t="str">
            <v>YES</v>
          </cell>
        </row>
        <row r="6672">
          <cell r="I6672" t="str">
            <v>V46322</v>
          </cell>
          <cell r="J6672" t="str">
            <v>CTC</v>
          </cell>
          <cell r="K6672" t="str">
            <v>YES</v>
          </cell>
        </row>
        <row r="6673">
          <cell r="I6673" t="str">
            <v>V48562</v>
          </cell>
          <cell r="J6673" t="str">
            <v>CTC</v>
          </cell>
          <cell r="K6673" t="str">
            <v>YES</v>
          </cell>
        </row>
        <row r="6674">
          <cell r="I6674" t="str">
            <v>V46254</v>
          </cell>
          <cell r="J6674" t="str">
            <v>CTC</v>
          </cell>
          <cell r="K6674" t="str">
            <v>YES</v>
          </cell>
        </row>
        <row r="6675">
          <cell r="I6675" t="str">
            <v>V46878</v>
          </cell>
          <cell r="J6675" t="str">
            <v>CTC</v>
          </cell>
          <cell r="K6675" t="str">
            <v>YES</v>
          </cell>
        </row>
        <row r="6676">
          <cell r="I6676" t="str">
            <v>V48547</v>
          </cell>
          <cell r="J6676" t="str">
            <v>CTC</v>
          </cell>
          <cell r="K6676" t="str">
            <v>YES</v>
          </cell>
        </row>
        <row r="6677">
          <cell r="I6677" t="str">
            <v>V46498</v>
          </cell>
          <cell r="J6677" t="str">
            <v>CTC</v>
          </cell>
          <cell r="K6677" t="str">
            <v>YES</v>
          </cell>
        </row>
        <row r="6678">
          <cell r="I6678" t="str">
            <v>V46499</v>
          </cell>
          <cell r="J6678" t="str">
            <v>CTC</v>
          </cell>
          <cell r="K6678" t="str">
            <v>YES</v>
          </cell>
        </row>
        <row r="6679">
          <cell r="I6679" t="str">
            <v>V45010</v>
          </cell>
          <cell r="J6679" t="str">
            <v>CTC</v>
          </cell>
          <cell r="K6679" t="str">
            <v>YES</v>
          </cell>
        </row>
        <row r="6680">
          <cell r="I6680" t="str">
            <v>V46456</v>
          </cell>
          <cell r="J6680" t="str">
            <v>CTC</v>
          </cell>
          <cell r="K6680" t="str">
            <v>YES</v>
          </cell>
        </row>
        <row r="6681">
          <cell r="I6681" t="str">
            <v>V49231</v>
          </cell>
          <cell r="J6681" t="str">
            <v>CTC</v>
          </cell>
          <cell r="K6681" t="str">
            <v>YES</v>
          </cell>
        </row>
        <row r="6682">
          <cell r="I6682" t="str">
            <v>V46682</v>
          </cell>
          <cell r="J6682" t="str">
            <v>CTC</v>
          </cell>
          <cell r="K6682" t="str">
            <v>YES</v>
          </cell>
        </row>
        <row r="6683">
          <cell r="I6683" t="str">
            <v>V46378</v>
          </cell>
          <cell r="J6683" t="str">
            <v>CTC</v>
          </cell>
          <cell r="K6683" t="str">
            <v>YES</v>
          </cell>
        </row>
        <row r="6684">
          <cell r="I6684" t="str">
            <v>V44924</v>
          </cell>
          <cell r="J6684" t="str">
            <v>CTC</v>
          </cell>
          <cell r="K6684" t="str">
            <v>YES</v>
          </cell>
        </row>
        <row r="6685">
          <cell r="I6685" t="str">
            <v>V47658</v>
          </cell>
          <cell r="J6685" t="str">
            <v>CTC</v>
          </cell>
          <cell r="K6685" t="str">
            <v>YES</v>
          </cell>
        </row>
        <row r="6686">
          <cell r="I6686" t="str">
            <v>V46544</v>
          </cell>
          <cell r="J6686" t="str">
            <v>CTC</v>
          </cell>
          <cell r="K6686" t="str">
            <v>YES</v>
          </cell>
        </row>
        <row r="6687">
          <cell r="I6687" t="str">
            <v>V48938</v>
          </cell>
          <cell r="J6687" t="str">
            <v>CTC</v>
          </cell>
          <cell r="K6687" t="str">
            <v>YES</v>
          </cell>
        </row>
        <row r="6688">
          <cell r="I6688" t="str">
            <v>V49234</v>
          </cell>
          <cell r="J6688" t="str">
            <v>CTC</v>
          </cell>
          <cell r="K6688" t="str">
            <v>YES</v>
          </cell>
        </row>
        <row r="6689">
          <cell r="I6689" t="str">
            <v>V46546</v>
          </cell>
          <cell r="J6689" t="str">
            <v>CTC</v>
          </cell>
          <cell r="K6689" t="str">
            <v>YES</v>
          </cell>
        </row>
        <row r="6690">
          <cell r="I6690" t="str">
            <v>V44498</v>
          </cell>
          <cell r="J6690" t="str">
            <v>CTC</v>
          </cell>
          <cell r="K6690" t="str">
            <v>YES</v>
          </cell>
        </row>
        <row r="6691">
          <cell r="I6691" t="str">
            <v>V46629</v>
          </cell>
          <cell r="J6691" t="str">
            <v>CTC</v>
          </cell>
          <cell r="K6691" t="str">
            <v>YES</v>
          </cell>
        </row>
        <row r="6692">
          <cell r="I6692" t="str">
            <v>V46575</v>
          </cell>
          <cell r="J6692" t="str">
            <v>CTC</v>
          </cell>
          <cell r="K6692" t="str">
            <v>YES</v>
          </cell>
        </row>
        <row r="6693">
          <cell r="I6693" t="str">
            <v>V50115</v>
          </cell>
          <cell r="J6693" t="str">
            <v>CTC</v>
          </cell>
          <cell r="K6693" t="str">
            <v>YES</v>
          </cell>
        </row>
        <row r="6694">
          <cell r="I6694" t="str">
            <v>V46586</v>
          </cell>
          <cell r="J6694" t="str">
            <v>CTC</v>
          </cell>
          <cell r="K6694" t="str">
            <v>YES</v>
          </cell>
        </row>
        <row r="6695">
          <cell r="I6695" t="str">
            <v>V45758</v>
          </cell>
          <cell r="J6695" t="str">
            <v>CTC</v>
          </cell>
          <cell r="K6695" t="str">
            <v>YES</v>
          </cell>
        </row>
        <row r="6696">
          <cell r="I6696" t="str">
            <v>V46574</v>
          </cell>
          <cell r="J6696" t="str">
            <v>CTC</v>
          </cell>
          <cell r="K6696" t="str">
            <v>YES</v>
          </cell>
        </row>
        <row r="6697">
          <cell r="I6697" t="str">
            <v>V45879</v>
          </cell>
          <cell r="J6697" t="str">
            <v>CTC</v>
          </cell>
          <cell r="K6697" t="str">
            <v>YES</v>
          </cell>
        </row>
        <row r="6698">
          <cell r="I6698" t="str">
            <v>V46929</v>
          </cell>
          <cell r="J6698" t="str">
            <v>CTC</v>
          </cell>
          <cell r="K6698" t="str">
            <v>YES</v>
          </cell>
        </row>
        <row r="6699">
          <cell r="I6699" t="str">
            <v>V46930</v>
          </cell>
          <cell r="J6699" t="str">
            <v>CTC</v>
          </cell>
          <cell r="K6699" t="str">
            <v>YES</v>
          </cell>
        </row>
        <row r="6700">
          <cell r="I6700" t="str">
            <v>V46399</v>
          </cell>
          <cell r="J6700" t="str">
            <v>CTC</v>
          </cell>
          <cell r="K6700" t="str">
            <v>YES</v>
          </cell>
        </row>
        <row r="6701">
          <cell r="I6701" t="str">
            <v>V46529</v>
          </cell>
          <cell r="J6701" t="str">
            <v>CTC</v>
          </cell>
          <cell r="K6701" t="str">
            <v>YES</v>
          </cell>
        </row>
        <row r="6702">
          <cell r="I6702" t="str">
            <v>V46062</v>
          </cell>
          <cell r="J6702" t="str">
            <v>CTC</v>
          </cell>
          <cell r="K6702" t="str">
            <v>YES</v>
          </cell>
        </row>
        <row r="6703">
          <cell r="I6703" t="str">
            <v>V46422</v>
          </cell>
          <cell r="J6703" t="str">
            <v>CTC</v>
          </cell>
          <cell r="K6703" t="str">
            <v>YES</v>
          </cell>
        </row>
        <row r="6704">
          <cell r="I6704" t="str">
            <v>V46432</v>
          </cell>
          <cell r="J6704" t="str">
            <v>CTC</v>
          </cell>
          <cell r="K6704" t="str">
            <v>YES</v>
          </cell>
        </row>
        <row r="6705">
          <cell r="I6705" t="str">
            <v>V45710</v>
          </cell>
          <cell r="J6705" t="str">
            <v>CTC</v>
          </cell>
          <cell r="K6705" t="str">
            <v>YES</v>
          </cell>
        </row>
        <row r="6706">
          <cell r="I6706" t="str">
            <v>V46223</v>
          </cell>
          <cell r="J6706" t="str">
            <v>CTC</v>
          </cell>
          <cell r="K6706" t="str">
            <v>YES</v>
          </cell>
        </row>
        <row r="6707">
          <cell r="I6707" t="str">
            <v>V45844</v>
          </cell>
          <cell r="J6707" t="str">
            <v>CTC</v>
          </cell>
          <cell r="K6707" t="str">
            <v>YES</v>
          </cell>
        </row>
        <row r="6708">
          <cell r="I6708" t="str">
            <v>V47537</v>
          </cell>
          <cell r="J6708" t="str">
            <v>CTC</v>
          </cell>
          <cell r="K6708" t="str">
            <v>YES</v>
          </cell>
        </row>
        <row r="6709">
          <cell r="I6709" t="str">
            <v>V46549</v>
          </cell>
          <cell r="J6709" t="str">
            <v>CTC</v>
          </cell>
          <cell r="K6709" t="str">
            <v>YES</v>
          </cell>
        </row>
        <row r="6710">
          <cell r="I6710" t="str">
            <v>V46932</v>
          </cell>
          <cell r="J6710" t="str">
            <v>CTC</v>
          </cell>
          <cell r="K6710" t="str">
            <v>YES</v>
          </cell>
        </row>
        <row r="6711">
          <cell r="I6711" t="str">
            <v>V45751</v>
          </cell>
          <cell r="J6711" t="str">
            <v>CTC</v>
          </cell>
          <cell r="K6711" t="str">
            <v>YES</v>
          </cell>
        </row>
        <row r="6712">
          <cell r="I6712" t="str">
            <v>V47694</v>
          </cell>
          <cell r="J6712" t="str">
            <v>CTC</v>
          </cell>
          <cell r="K6712" t="str">
            <v>YES</v>
          </cell>
        </row>
        <row r="6713">
          <cell r="I6713" t="str">
            <v>V46522</v>
          </cell>
          <cell r="J6713" t="str">
            <v>CTC</v>
          </cell>
          <cell r="K6713" t="str">
            <v>YES</v>
          </cell>
        </row>
        <row r="6714">
          <cell r="I6714" t="str">
            <v>V46673</v>
          </cell>
          <cell r="J6714" t="str">
            <v>CTC</v>
          </cell>
          <cell r="K6714" t="str">
            <v>YES</v>
          </cell>
        </row>
        <row r="6715">
          <cell r="I6715" t="str">
            <v>V44674</v>
          </cell>
          <cell r="J6715" t="str">
            <v>CTC</v>
          </cell>
          <cell r="K6715" t="str">
            <v>YES</v>
          </cell>
        </row>
        <row r="6716">
          <cell r="I6716" t="str">
            <v>V45948</v>
          </cell>
          <cell r="J6716" t="str">
            <v>CTC</v>
          </cell>
          <cell r="K6716" t="str">
            <v>YES</v>
          </cell>
        </row>
        <row r="6717">
          <cell r="I6717" t="str">
            <v>V45732</v>
          </cell>
          <cell r="J6717" t="str">
            <v>CTC</v>
          </cell>
          <cell r="K6717" t="str">
            <v>YES</v>
          </cell>
        </row>
        <row r="6718">
          <cell r="I6718" t="str">
            <v>V52259</v>
          </cell>
          <cell r="J6718" t="str">
            <v>CTC</v>
          </cell>
          <cell r="K6718" t="str">
            <v>YES</v>
          </cell>
        </row>
        <row r="6719">
          <cell r="I6719" t="str">
            <v>V46145</v>
          </cell>
          <cell r="J6719" t="str">
            <v>CTC</v>
          </cell>
          <cell r="K6719" t="str">
            <v>YES</v>
          </cell>
        </row>
        <row r="6720">
          <cell r="I6720" t="str">
            <v>V45771</v>
          </cell>
          <cell r="J6720" t="str">
            <v>CTC</v>
          </cell>
          <cell r="K6720" t="str">
            <v>YES</v>
          </cell>
        </row>
        <row r="6721">
          <cell r="I6721" t="str">
            <v>V46579</v>
          </cell>
          <cell r="J6721" t="str">
            <v>CTC</v>
          </cell>
          <cell r="K6721" t="str">
            <v>YES</v>
          </cell>
        </row>
        <row r="6722">
          <cell r="I6722" t="str">
            <v>V46489</v>
          </cell>
          <cell r="J6722" t="str">
            <v>CTC</v>
          </cell>
          <cell r="K6722" t="str">
            <v>YES</v>
          </cell>
        </row>
        <row r="6723">
          <cell r="I6723" t="str">
            <v>V46307</v>
          </cell>
          <cell r="J6723" t="str">
            <v>CTC</v>
          </cell>
          <cell r="K6723" t="str">
            <v>YES</v>
          </cell>
        </row>
        <row r="6724">
          <cell r="I6724" t="str">
            <v>V49212</v>
          </cell>
          <cell r="J6724" t="str">
            <v>CTC</v>
          </cell>
          <cell r="K6724" t="str">
            <v>YES</v>
          </cell>
        </row>
        <row r="6725">
          <cell r="I6725" t="str">
            <v>V46496</v>
          </cell>
          <cell r="J6725" t="str">
            <v>CTC</v>
          </cell>
          <cell r="K6725" t="str">
            <v>YES</v>
          </cell>
        </row>
        <row r="6726">
          <cell r="I6726" t="str">
            <v>V46502</v>
          </cell>
          <cell r="J6726" t="str">
            <v>CTC</v>
          </cell>
          <cell r="K6726" t="str">
            <v>YES</v>
          </cell>
        </row>
        <row r="6727">
          <cell r="I6727" t="str">
            <v>V46407</v>
          </cell>
          <cell r="J6727" t="str">
            <v>CTC</v>
          </cell>
          <cell r="K6727" t="str">
            <v>YES</v>
          </cell>
        </row>
        <row r="6728">
          <cell r="I6728" t="str">
            <v>V46345</v>
          </cell>
          <cell r="J6728" t="str">
            <v>CTC</v>
          </cell>
          <cell r="K6728" t="str">
            <v>YES</v>
          </cell>
        </row>
        <row r="6729">
          <cell r="I6729" t="str">
            <v>V49034</v>
          </cell>
          <cell r="J6729" t="str">
            <v>CTC</v>
          </cell>
          <cell r="K6729" t="str">
            <v>YES</v>
          </cell>
        </row>
        <row r="6730">
          <cell r="I6730" t="str">
            <v>V45812</v>
          </cell>
          <cell r="J6730" t="str">
            <v>CTC</v>
          </cell>
          <cell r="K6730" t="str">
            <v>YES</v>
          </cell>
        </row>
        <row r="6731">
          <cell r="I6731" t="str">
            <v>V46099</v>
          </cell>
          <cell r="J6731" t="str">
            <v>CTC</v>
          </cell>
          <cell r="K6731" t="str">
            <v>YES</v>
          </cell>
        </row>
        <row r="6732">
          <cell r="I6732" t="str">
            <v>V49045</v>
          </cell>
          <cell r="J6732" t="str">
            <v>CTC</v>
          </cell>
          <cell r="K6732" t="str">
            <v>YES</v>
          </cell>
        </row>
        <row r="6733">
          <cell r="I6733" t="str">
            <v>V49477</v>
          </cell>
          <cell r="J6733" t="str">
            <v>CTC</v>
          </cell>
          <cell r="K6733" t="str">
            <v>YES</v>
          </cell>
        </row>
        <row r="6734">
          <cell r="I6734" t="str">
            <v>V46285</v>
          </cell>
          <cell r="J6734" t="str">
            <v>CTC</v>
          </cell>
          <cell r="K6734" t="str">
            <v>YES</v>
          </cell>
        </row>
        <row r="6735">
          <cell r="I6735" t="str">
            <v>V48979</v>
          </cell>
          <cell r="J6735" t="str">
            <v>CTC</v>
          </cell>
          <cell r="K6735" t="str">
            <v>YES</v>
          </cell>
        </row>
        <row r="6736">
          <cell r="I6736" t="str">
            <v>V47771</v>
          </cell>
          <cell r="J6736" t="str">
            <v>CTC</v>
          </cell>
          <cell r="K6736" t="str">
            <v>YES</v>
          </cell>
        </row>
        <row r="6737">
          <cell r="I6737" t="str">
            <v>V45681</v>
          </cell>
          <cell r="J6737" t="str">
            <v>CTC</v>
          </cell>
          <cell r="K6737" t="str">
            <v>YES</v>
          </cell>
        </row>
        <row r="6738">
          <cell r="I6738" t="str">
            <v>V45793</v>
          </cell>
          <cell r="J6738" t="str">
            <v>CTC</v>
          </cell>
          <cell r="K6738" t="str">
            <v>YES</v>
          </cell>
        </row>
        <row r="6739">
          <cell r="I6739" t="str">
            <v>V45795</v>
          </cell>
          <cell r="J6739" t="str">
            <v>CTC</v>
          </cell>
          <cell r="K6739" t="str">
            <v>YES</v>
          </cell>
        </row>
        <row r="6740">
          <cell r="I6740" t="str">
            <v>V49236</v>
          </cell>
          <cell r="J6740" t="str">
            <v>CTC</v>
          </cell>
          <cell r="K6740" t="str">
            <v>YES</v>
          </cell>
        </row>
        <row r="6741">
          <cell r="I6741" t="str">
            <v>V48975</v>
          </cell>
          <cell r="J6741" t="str">
            <v>CTC</v>
          </cell>
          <cell r="K6741" t="str">
            <v>YES</v>
          </cell>
        </row>
        <row r="6742">
          <cell r="I6742" t="str">
            <v>V47956</v>
          </cell>
          <cell r="J6742" t="str">
            <v>CTC</v>
          </cell>
          <cell r="K6742" t="str">
            <v>YES</v>
          </cell>
        </row>
        <row r="6743">
          <cell r="I6743" t="str">
            <v>V49232</v>
          </cell>
          <cell r="J6743" t="str">
            <v>CTC</v>
          </cell>
          <cell r="K6743" t="str">
            <v>YES</v>
          </cell>
        </row>
        <row r="6744">
          <cell r="I6744" t="str">
            <v>V46497</v>
          </cell>
          <cell r="J6744" t="str">
            <v>CTC</v>
          </cell>
          <cell r="K6744" t="str">
            <v>YES</v>
          </cell>
        </row>
        <row r="6745">
          <cell r="I6745" t="str">
            <v>V47249</v>
          </cell>
          <cell r="J6745" t="str">
            <v>CTC</v>
          </cell>
          <cell r="K6745" t="str">
            <v>YES</v>
          </cell>
        </row>
        <row r="6746">
          <cell r="I6746" t="str">
            <v>V47196</v>
          </cell>
          <cell r="J6746" t="str">
            <v>CTC</v>
          </cell>
          <cell r="K6746" t="str">
            <v>YES</v>
          </cell>
        </row>
        <row r="6747">
          <cell r="I6747" t="str">
            <v>V47670</v>
          </cell>
          <cell r="J6747" t="str">
            <v>CTC</v>
          </cell>
          <cell r="K6747" t="str">
            <v>YES</v>
          </cell>
        </row>
        <row r="6748">
          <cell r="I6748" t="str">
            <v>V49057</v>
          </cell>
          <cell r="J6748" t="str">
            <v>CTC</v>
          </cell>
          <cell r="K6748" t="str">
            <v>YES</v>
          </cell>
        </row>
        <row r="6749">
          <cell r="I6749" t="str">
            <v>V45094</v>
          </cell>
          <cell r="J6749" t="str">
            <v>CTC</v>
          </cell>
          <cell r="K6749" t="str">
            <v>YES</v>
          </cell>
        </row>
        <row r="6750">
          <cell r="I6750" t="str">
            <v>V46010</v>
          </cell>
          <cell r="J6750" t="str">
            <v>CTC</v>
          </cell>
          <cell r="K6750" t="str">
            <v>YES</v>
          </cell>
        </row>
        <row r="6751">
          <cell r="I6751" t="str">
            <v>V43862</v>
          </cell>
          <cell r="J6751" t="str">
            <v>CTC</v>
          </cell>
          <cell r="K6751" t="str">
            <v>YES</v>
          </cell>
        </row>
        <row r="6752">
          <cell r="I6752" t="str">
            <v>V48461</v>
          </cell>
          <cell r="J6752" t="str">
            <v>CTC</v>
          </cell>
          <cell r="K6752" t="str">
            <v>YES</v>
          </cell>
        </row>
        <row r="6753">
          <cell r="I6753" t="str">
            <v>V46280</v>
          </cell>
          <cell r="J6753" t="str">
            <v>CTC</v>
          </cell>
          <cell r="K6753" t="str">
            <v>YES</v>
          </cell>
        </row>
        <row r="6754">
          <cell r="I6754" t="str">
            <v>V45825</v>
          </cell>
          <cell r="J6754" t="str">
            <v>CTC</v>
          </cell>
          <cell r="K6754" t="str">
            <v>YES</v>
          </cell>
        </row>
        <row r="6755">
          <cell r="I6755" t="str">
            <v>V45827</v>
          </cell>
          <cell r="J6755" t="str">
            <v>CTC</v>
          </cell>
          <cell r="K6755" t="str">
            <v>YES</v>
          </cell>
        </row>
        <row r="6756">
          <cell r="I6756" t="str">
            <v>V45832</v>
          </cell>
          <cell r="J6756" t="str">
            <v>CTC</v>
          </cell>
          <cell r="K6756" t="str">
            <v>YES</v>
          </cell>
        </row>
        <row r="6757">
          <cell r="I6757" t="str">
            <v>V45862</v>
          </cell>
          <cell r="J6757" t="str">
            <v>CTC</v>
          </cell>
          <cell r="K6757" t="str">
            <v>YES</v>
          </cell>
        </row>
        <row r="6758">
          <cell r="I6758" t="str">
            <v>V48390</v>
          </cell>
          <cell r="J6758" t="str">
            <v>CTC</v>
          </cell>
          <cell r="K6758" t="str">
            <v>YES</v>
          </cell>
        </row>
        <row r="6759">
          <cell r="I6759" t="str">
            <v>V46305</v>
          </cell>
          <cell r="J6759" t="str">
            <v>CTC</v>
          </cell>
          <cell r="K6759" t="str">
            <v>YES</v>
          </cell>
        </row>
        <row r="6760">
          <cell r="I6760" t="str">
            <v>V46269</v>
          </cell>
          <cell r="J6760" t="str">
            <v>CTC</v>
          </cell>
          <cell r="K6760" t="str">
            <v>YES</v>
          </cell>
        </row>
        <row r="6761">
          <cell r="I6761" t="str">
            <v>V49031</v>
          </cell>
          <cell r="J6761" t="str">
            <v>CTC</v>
          </cell>
          <cell r="K6761" t="str">
            <v>YES</v>
          </cell>
        </row>
        <row r="6762">
          <cell r="I6762" t="str">
            <v>V46595</v>
          </cell>
          <cell r="J6762" t="str">
            <v>CTC</v>
          </cell>
          <cell r="K6762" t="str">
            <v>YES</v>
          </cell>
        </row>
        <row r="6763">
          <cell r="I6763" t="str">
            <v>V45441</v>
          </cell>
          <cell r="J6763" t="str">
            <v>CTC</v>
          </cell>
          <cell r="K6763" t="str">
            <v>YES</v>
          </cell>
        </row>
        <row r="6764">
          <cell r="I6764" t="str">
            <v>V29606</v>
          </cell>
          <cell r="J6764" t="str">
            <v>CTC</v>
          </cell>
          <cell r="K6764" t="str">
            <v>YES</v>
          </cell>
        </row>
        <row r="6765">
          <cell r="I6765" t="str">
            <v>V46940</v>
          </cell>
          <cell r="J6765" t="str">
            <v>CTC</v>
          </cell>
          <cell r="K6765" t="str">
            <v>YES</v>
          </cell>
        </row>
        <row r="6766">
          <cell r="I6766" t="str">
            <v>V46478</v>
          </cell>
          <cell r="J6766" t="str">
            <v>CTC</v>
          </cell>
          <cell r="K6766" t="str">
            <v>YES</v>
          </cell>
        </row>
        <row r="6767">
          <cell r="I6767" t="str">
            <v>V48300</v>
          </cell>
          <cell r="J6767" t="str">
            <v>CTC</v>
          </cell>
          <cell r="K6767" t="str">
            <v>YES</v>
          </cell>
        </row>
        <row r="6768">
          <cell r="I6768" t="str">
            <v>V46033</v>
          </cell>
          <cell r="J6768" t="str">
            <v>CTC</v>
          </cell>
          <cell r="K6768" t="str">
            <v>YES</v>
          </cell>
        </row>
        <row r="6769">
          <cell r="I6769" t="str">
            <v>V46324</v>
          </cell>
          <cell r="J6769" t="str">
            <v>CTC</v>
          </cell>
          <cell r="K6769" t="str">
            <v>YES</v>
          </cell>
        </row>
        <row r="6770">
          <cell r="I6770" t="str">
            <v>V45753</v>
          </cell>
          <cell r="J6770" t="str">
            <v>CTC</v>
          </cell>
          <cell r="K6770" t="str">
            <v>YES</v>
          </cell>
        </row>
        <row r="6771">
          <cell r="I6771" t="str">
            <v>V49392</v>
          </cell>
          <cell r="J6771" t="str">
            <v>CTC</v>
          </cell>
          <cell r="K6771" t="str">
            <v>YES</v>
          </cell>
        </row>
        <row r="6772">
          <cell r="I6772" t="str">
            <v>V44970</v>
          </cell>
          <cell r="J6772" t="str">
            <v>CTC</v>
          </cell>
          <cell r="K6772" t="str">
            <v>YES</v>
          </cell>
        </row>
        <row r="6773">
          <cell r="I6773" t="str">
            <v>V47385</v>
          </cell>
          <cell r="J6773" t="str">
            <v>CTC</v>
          </cell>
          <cell r="K6773" t="str">
            <v>YES</v>
          </cell>
        </row>
        <row r="6774">
          <cell r="I6774" t="str">
            <v>V46717</v>
          </cell>
          <cell r="J6774" t="str">
            <v>CTC</v>
          </cell>
          <cell r="K6774" t="str">
            <v>YES</v>
          </cell>
        </row>
        <row r="6775">
          <cell r="I6775" t="str">
            <v>V46718</v>
          </cell>
          <cell r="J6775" t="str">
            <v>CTC</v>
          </cell>
          <cell r="K6775" t="str">
            <v>YES</v>
          </cell>
        </row>
        <row r="6776">
          <cell r="I6776" t="str">
            <v>V45670</v>
          </cell>
          <cell r="J6776" t="str">
            <v>CTC</v>
          </cell>
          <cell r="K6776" t="str">
            <v>YES</v>
          </cell>
        </row>
        <row r="6777">
          <cell r="I6777" t="str">
            <v>V47671</v>
          </cell>
          <cell r="J6777" t="str">
            <v>CTC</v>
          </cell>
          <cell r="K6777" t="str">
            <v>YES</v>
          </cell>
        </row>
        <row r="6778">
          <cell r="I6778" t="str">
            <v>V46606</v>
          </cell>
          <cell r="J6778" t="str">
            <v>CTC</v>
          </cell>
          <cell r="K6778" t="str">
            <v>YES</v>
          </cell>
        </row>
        <row r="6779">
          <cell r="I6779" t="str">
            <v>V44664</v>
          </cell>
          <cell r="J6779" t="str">
            <v>CTC</v>
          </cell>
          <cell r="K6779" t="str">
            <v>YES</v>
          </cell>
        </row>
        <row r="6780">
          <cell r="I6780" t="str">
            <v>V47398</v>
          </cell>
          <cell r="J6780" t="str">
            <v>CTC</v>
          </cell>
          <cell r="K6780" t="str">
            <v>YES</v>
          </cell>
        </row>
        <row r="6781">
          <cell r="I6781" t="str">
            <v>V48686</v>
          </cell>
          <cell r="J6781" t="str">
            <v>CTC</v>
          </cell>
          <cell r="K6781" t="str">
            <v>YES</v>
          </cell>
        </row>
        <row r="6782">
          <cell r="I6782" t="str">
            <v>V48061</v>
          </cell>
          <cell r="J6782" t="str">
            <v>CTC</v>
          </cell>
          <cell r="K6782" t="str">
            <v>YES</v>
          </cell>
        </row>
        <row r="6783">
          <cell r="I6783" t="str">
            <v>V46886</v>
          </cell>
          <cell r="J6783" t="str">
            <v>CTC</v>
          </cell>
          <cell r="K6783" t="str">
            <v>YES</v>
          </cell>
        </row>
        <row r="6784">
          <cell r="I6784" t="str">
            <v>V45372</v>
          </cell>
          <cell r="J6784" t="str">
            <v>CTC</v>
          </cell>
          <cell r="K6784" t="str">
            <v>YES</v>
          </cell>
        </row>
        <row r="6785">
          <cell r="I6785" t="str">
            <v>V46410</v>
          </cell>
          <cell r="J6785" t="str">
            <v>CTC</v>
          </cell>
          <cell r="K6785" t="str">
            <v>YES</v>
          </cell>
        </row>
        <row r="6786">
          <cell r="I6786" t="str">
            <v>V47373</v>
          </cell>
          <cell r="J6786" t="str">
            <v>CTC</v>
          </cell>
          <cell r="K6786" t="str">
            <v>YES</v>
          </cell>
        </row>
        <row r="6787">
          <cell r="I6787" t="str">
            <v>V46686</v>
          </cell>
          <cell r="J6787" t="str">
            <v>CTC</v>
          </cell>
          <cell r="K6787" t="str">
            <v>YES</v>
          </cell>
        </row>
        <row r="6788">
          <cell r="I6788" t="str">
            <v>V45026</v>
          </cell>
          <cell r="J6788" t="str">
            <v>CTC</v>
          </cell>
          <cell r="K6788" t="str">
            <v>YES</v>
          </cell>
        </row>
        <row r="6789">
          <cell r="I6789" t="str">
            <v>V44947</v>
          </cell>
          <cell r="J6789" t="str">
            <v>CTC</v>
          </cell>
          <cell r="K6789" t="str">
            <v>YES</v>
          </cell>
        </row>
        <row r="6790">
          <cell r="I6790" t="str">
            <v>V49374</v>
          </cell>
          <cell r="J6790" t="str">
            <v>CTC</v>
          </cell>
          <cell r="K6790" t="str">
            <v>YES</v>
          </cell>
        </row>
        <row r="6791">
          <cell r="I6791" t="str">
            <v>V48582</v>
          </cell>
          <cell r="J6791" t="str">
            <v>CTC</v>
          </cell>
          <cell r="K6791" t="str">
            <v>YES</v>
          </cell>
        </row>
        <row r="6792">
          <cell r="I6792" t="str">
            <v>V46724</v>
          </cell>
          <cell r="J6792" t="str">
            <v>CTC</v>
          </cell>
          <cell r="K6792" t="str">
            <v>YES</v>
          </cell>
        </row>
        <row r="6793">
          <cell r="I6793" t="str">
            <v>V48867</v>
          </cell>
          <cell r="J6793" t="str">
            <v>CTC</v>
          </cell>
          <cell r="K6793" t="str">
            <v>YES</v>
          </cell>
        </row>
        <row r="6794">
          <cell r="I6794" t="str">
            <v>V44847</v>
          </cell>
          <cell r="J6794" t="str">
            <v>CTC</v>
          </cell>
          <cell r="K6794" t="str">
            <v>YES</v>
          </cell>
        </row>
        <row r="6795">
          <cell r="I6795" t="str">
            <v>V46525</v>
          </cell>
          <cell r="J6795" t="str">
            <v>CTC</v>
          </cell>
          <cell r="K6795" t="str">
            <v>YES</v>
          </cell>
        </row>
        <row r="6796">
          <cell r="I6796" t="str">
            <v>V51179</v>
          </cell>
          <cell r="J6796" t="str">
            <v>CTC</v>
          </cell>
          <cell r="K6796" t="str">
            <v>YES</v>
          </cell>
        </row>
        <row r="6797">
          <cell r="I6797" t="str">
            <v>V46585</v>
          </cell>
          <cell r="J6797" t="str">
            <v>CTC</v>
          </cell>
          <cell r="K6797" t="str">
            <v>YES</v>
          </cell>
        </row>
        <row r="6798">
          <cell r="I6798" t="str">
            <v>V46744</v>
          </cell>
          <cell r="J6798" t="str">
            <v>CTC</v>
          </cell>
          <cell r="K6798" t="str">
            <v>YES</v>
          </cell>
        </row>
        <row r="6799">
          <cell r="I6799" t="str">
            <v>V48816</v>
          </cell>
          <cell r="J6799" t="str">
            <v>CTC</v>
          </cell>
          <cell r="K6799" t="str">
            <v>YES</v>
          </cell>
        </row>
        <row r="6800">
          <cell r="I6800" t="str">
            <v>V45819</v>
          </cell>
          <cell r="J6800" t="str">
            <v>CTC</v>
          </cell>
          <cell r="K6800" t="str">
            <v>YES</v>
          </cell>
        </row>
        <row r="6801">
          <cell r="I6801" t="str">
            <v>V46887</v>
          </cell>
          <cell r="J6801" t="str">
            <v>CTC</v>
          </cell>
          <cell r="K6801" t="str">
            <v>YES</v>
          </cell>
        </row>
        <row r="6802">
          <cell r="I6802" t="str">
            <v>V47699</v>
          </cell>
          <cell r="J6802" t="str">
            <v>CTC</v>
          </cell>
          <cell r="K6802" t="str">
            <v>YES</v>
          </cell>
        </row>
        <row r="6803">
          <cell r="I6803" t="str">
            <v>V44864</v>
          </cell>
          <cell r="J6803" t="str">
            <v>CTC</v>
          </cell>
          <cell r="K6803" t="str">
            <v>YES</v>
          </cell>
        </row>
        <row r="6804">
          <cell r="I6804" t="str">
            <v>V50336</v>
          </cell>
          <cell r="J6804" t="str">
            <v>CTC</v>
          </cell>
          <cell r="K6804" t="str">
            <v>YES</v>
          </cell>
        </row>
        <row r="6805">
          <cell r="I6805" t="str">
            <v>V48546</v>
          </cell>
          <cell r="J6805" t="str">
            <v>CTC</v>
          </cell>
          <cell r="K6805" t="str">
            <v>YES</v>
          </cell>
        </row>
        <row r="6806">
          <cell r="I6806" t="str">
            <v>V48620</v>
          </cell>
          <cell r="J6806" t="str">
            <v>CTC</v>
          </cell>
          <cell r="K6806" t="str">
            <v>YES</v>
          </cell>
        </row>
        <row r="6807">
          <cell r="I6807" t="str">
            <v>V45831</v>
          </cell>
          <cell r="J6807" t="str">
            <v>CTC</v>
          </cell>
          <cell r="K6807" t="str">
            <v>YES</v>
          </cell>
        </row>
        <row r="6808">
          <cell r="I6808" t="str">
            <v>V46076</v>
          </cell>
          <cell r="J6808" t="str">
            <v>CTC</v>
          </cell>
          <cell r="K6808" t="str">
            <v>YES</v>
          </cell>
        </row>
        <row r="6809">
          <cell r="I6809" t="str">
            <v>V46127</v>
          </cell>
          <cell r="J6809" t="str">
            <v>CTC</v>
          </cell>
          <cell r="K6809" t="str">
            <v>YES</v>
          </cell>
        </row>
        <row r="6810">
          <cell r="I6810" t="str">
            <v>V47013</v>
          </cell>
          <cell r="J6810" t="str">
            <v>CTC</v>
          </cell>
          <cell r="K6810" t="str">
            <v>YES</v>
          </cell>
        </row>
        <row r="6811">
          <cell r="I6811" t="str">
            <v>V49079</v>
          </cell>
          <cell r="J6811" t="str">
            <v>CTC</v>
          </cell>
          <cell r="K6811" t="str">
            <v>YES</v>
          </cell>
        </row>
        <row r="6812">
          <cell r="I6812" t="str">
            <v>V47913</v>
          </cell>
          <cell r="J6812" t="str">
            <v>CTC</v>
          </cell>
          <cell r="K6812" t="str">
            <v>YES</v>
          </cell>
        </row>
        <row r="6813">
          <cell r="I6813" t="str">
            <v>V47708</v>
          </cell>
          <cell r="J6813" t="str">
            <v>CTC</v>
          </cell>
          <cell r="K6813" t="str">
            <v>YES</v>
          </cell>
        </row>
        <row r="6814">
          <cell r="I6814" t="str">
            <v>V47066</v>
          </cell>
          <cell r="J6814" t="str">
            <v>CTC</v>
          </cell>
          <cell r="K6814" t="str">
            <v>YES</v>
          </cell>
        </row>
        <row r="6815">
          <cell r="I6815" t="str">
            <v>V45344</v>
          </cell>
          <cell r="J6815" t="str">
            <v>CTC</v>
          </cell>
          <cell r="K6815" t="str">
            <v>YES</v>
          </cell>
        </row>
        <row r="6816">
          <cell r="I6816" t="str">
            <v>V49024</v>
          </cell>
          <cell r="J6816" t="str">
            <v>CTC</v>
          </cell>
          <cell r="K6816" t="str">
            <v>YES</v>
          </cell>
        </row>
        <row r="6817">
          <cell r="I6817" t="str">
            <v>V47974</v>
          </cell>
          <cell r="J6817" t="str">
            <v>CTC</v>
          </cell>
          <cell r="K6817" t="str">
            <v>YES</v>
          </cell>
        </row>
        <row r="6818">
          <cell r="I6818" t="str">
            <v>V44850</v>
          </cell>
          <cell r="J6818" t="str">
            <v>CTC</v>
          </cell>
          <cell r="K6818" t="str">
            <v>YES</v>
          </cell>
        </row>
        <row r="6819">
          <cell r="I6819" t="str">
            <v>V46263</v>
          </cell>
          <cell r="J6819" t="str">
            <v>CTC</v>
          </cell>
          <cell r="K6819" t="str">
            <v>YES</v>
          </cell>
        </row>
        <row r="6820">
          <cell r="I6820" t="str">
            <v>V46797</v>
          </cell>
          <cell r="J6820" t="str">
            <v>CTC</v>
          </cell>
          <cell r="K6820" t="str">
            <v>YES</v>
          </cell>
        </row>
        <row r="6821">
          <cell r="I6821" t="str">
            <v>V49030</v>
          </cell>
          <cell r="J6821" t="str">
            <v>CTC</v>
          </cell>
          <cell r="K6821" t="str">
            <v>YES</v>
          </cell>
        </row>
        <row r="6822">
          <cell r="I6822" t="str">
            <v>V47538</v>
          </cell>
          <cell r="J6822" t="str">
            <v>CTC</v>
          </cell>
          <cell r="K6822" t="str">
            <v>YES</v>
          </cell>
        </row>
        <row r="6823">
          <cell r="I6823" t="str">
            <v>V48053</v>
          </cell>
          <cell r="J6823" t="str">
            <v>CTC</v>
          </cell>
          <cell r="K6823" t="str">
            <v>YES</v>
          </cell>
        </row>
        <row r="6824">
          <cell r="I6824" t="str">
            <v>V47417</v>
          </cell>
          <cell r="J6824" t="str">
            <v>CTC</v>
          </cell>
          <cell r="K6824" t="str">
            <v>YES</v>
          </cell>
        </row>
        <row r="6825">
          <cell r="I6825" t="str">
            <v>V46078</v>
          </cell>
          <cell r="J6825" t="str">
            <v>CTC</v>
          </cell>
          <cell r="K6825" t="str">
            <v>YES</v>
          </cell>
        </row>
        <row r="6826">
          <cell r="I6826" t="str">
            <v>V48850</v>
          </cell>
          <cell r="J6826" t="str">
            <v>CTC</v>
          </cell>
          <cell r="K6826" t="str">
            <v>YES</v>
          </cell>
        </row>
        <row r="6827">
          <cell r="I6827" t="str">
            <v>V49104</v>
          </cell>
          <cell r="J6827" t="str">
            <v>CTC</v>
          </cell>
          <cell r="K6827" t="str">
            <v>YES</v>
          </cell>
        </row>
        <row r="6828">
          <cell r="I6828" t="str">
            <v>V46882</v>
          </cell>
          <cell r="J6828" t="str">
            <v>CTC</v>
          </cell>
          <cell r="K6828" t="str">
            <v>YES</v>
          </cell>
        </row>
        <row r="6829">
          <cell r="I6829" t="str">
            <v>V48985</v>
          </cell>
          <cell r="J6829" t="str">
            <v>CTC</v>
          </cell>
          <cell r="K6829" t="str">
            <v>YES</v>
          </cell>
        </row>
        <row r="6830">
          <cell r="I6830" t="str">
            <v>V46658</v>
          </cell>
          <cell r="J6830" t="str">
            <v>CTC</v>
          </cell>
          <cell r="K6830" t="str">
            <v>YES</v>
          </cell>
        </row>
        <row r="6831">
          <cell r="I6831" t="str">
            <v>V46778</v>
          </cell>
          <cell r="J6831" t="str">
            <v>CTC</v>
          </cell>
          <cell r="K6831" t="str">
            <v>YES</v>
          </cell>
        </row>
        <row r="6832">
          <cell r="I6832" t="str">
            <v>V46783</v>
          </cell>
          <cell r="J6832" t="str">
            <v>CTC</v>
          </cell>
          <cell r="K6832" t="str">
            <v>YES</v>
          </cell>
        </row>
        <row r="6833">
          <cell r="I6833" t="str">
            <v>V46262</v>
          </cell>
          <cell r="J6833" t="str">
            <v>CTC</v>
          </cell>
          <cell r="K6833" t="str">
            <v>YES</v>
          </cell>
        </row>
        <row r="6834">
          <cell r="I6834" t="str">
            <v>V49457</v>
          </cell>
          <cell r="J6834" t="str">
            <v>CTC</v>
          </cell>
          <cell r="K6834" t="str">
            <v>YES</v>
          </cell>
        </row>
        <row r="6835">
          <cell r="I6835" t="str">
            <v>V47438</v>
          </cell>
          <cell r="J6835" t="str">
            <v>CTC</v>
          </cell>
          <cell r="K6835" t="str">
            <v>YES</v>
          </cell>
        </row>
        <row r="6836">
          <cell r="I6836" t="str">
            <v>V45823</v>
          </cell>
          <cell r="J6836" t="str">
            <v>CTC</v>
          </cell>
          <cell r="K6836" t="str">
            <v>YES</v>
          </cell>
        </row>
        <row r="6837">
          <cell r="I6837" t="str">
            <v>V47355</v>
          </cell>
          <cell r="J6837" t="str">
            <v>CTC</v>
          </cell>
          <cell r="K6837" t="str">
            <v>YES</v>
          </cell>
        </row>
        <row r="6838">
          <cell r="I6838" t="str">
            <v>V46866</v>
          </cell>
          <cell r="J6838" t="str">
            <v>CTC</v>
          </cell>
          <cell r="K6838" t="str">
            <v>YES</v>
          </cell>
        </row>
        <row r="6839">
          <cell r="I6839" t="str">
            <v>V46952</v>
          </cell>
          <cell r="J6839" t="str">
            <v>CTC</v>
          </cell>
          <cell r="K6839" t="str">
            <v>YES</v>
          </cell>
        </row>
        <row r="6840">
          <cell r="I6840" t="str">
            <v>V46042</v>
          </cell>
          <cell r="J6840" t="str">
            <v>CTC</v>
          </cell>
          <cell r="K6840" t="str">
            <v>YES</v>
          </cell>
        </row>
        <row r="6841">
          <cell r="I6841" t="str">
            <v>V45674</v>
          </cell>
          <cell r="J6841" t="str">
            <v>CTC</v>
          </cell>
          <cell r="K6841" t="str">
            <v>YES</v>
          </cell>
        </row>
        <row r="6842">
          <cell r="I6842" t="str">
            <v>V47492</v>
          </cell>
          <cell r="J6842" t="str">
            <v>CTC</v>
          </cell>
          <cell r="K6842" t="str">
            <v>YES</v>
          </cell>
        </row>
        <row r="6843">
          <cell r="I6843" t="str">
            <v>V44312</v>
          </cell>
          <cell r="J6843" t="str">
            <v>CTC</v>
          </cell>
          <cell r="K6843" t="str">
            <v>YES</v>
          </cell>
        </row>
        <row r="6844">
          <cell r="I6844" t="str">
            <v>V48199</v>
          </cell>
          <cell r="J6844" t="str">
            <v>CTC</v>
          </cell>
          <cell r="K6844" t="str">
            <v>YES</v>
          </cell>
        </row>
        <row r="6845">
          <cell r="I6845" t="str">
            <v>V49281</v>
          </cell>
          <cell r="J6845" t="str">
            <v>CTC</v>
          </cell>
          <cell r="K6845" t="str">
            <v>YES</v>
          </cell>
        </row>
        <row r="6846">
          <cell r="I6846" t="str">
            <v>V47369</v>
          </cell>
          <cell r="J6846" t="str">
            <v>CTC</v>
          </cell>
          <cell r="K6846" t="str">
            <v>YES</v>
          </cell>
        </row>
        <row r="6847">
          <cell r="I6847" t="str">
            <v>V49178</v>
          </cell>
          <cell r="J6847" t="str">
            <v>CTC</v>
          </cell>
          <cell r="K6847" t="str">
            <v>YES</v>
          </cell>
        </row>
        <row r="6848">
          <cell r="I6848" t="str">
            <v>V46197</v>
          </cell>
          <cell r="J6848" t="str">
            <v>CTC</v>
          </cell>
          <cell r="K6848" t="str">
            <v>YES</v>
          </cell>
        </row>
        <row r="6849">
          <cell r="I6849" t="str">
            <v>V46105</v>
          </cell>
          <cell r="J6849" t="str">
            <v>CTC</v>
          </cell>
          <cell r="K6849" t="str">
            <v>YES</v>
          </cell>
        </row>
        <row r="6850">
          <cell r="I6850" t="str">
            <v>V45310</v>
          </cell>
          <cell r="J6850" t="str">
            <v>CTC</v>
          </cell>
          <cell r="K6850" t="str">
            <v>YES</v>
          </cell>
        </row>
        <row r="6851">
          <cell r="I6851" t="str">
            <v>V45788</v>
          </cell>
          <cell r="J6851" t="str">
            <v>CTC</v>
          </cell>
          <cell r="K6851" t="str">
            <v>YES</v>
          </cell>
        </row>
        <row r="6852">
          <cell r="I6852" t="str">
            <v>V46758</v>
          </cell>
          <cell r="J6852" t="str">
            <v>CTC</v>
          </cell>
          <cell r="K6852" t="str">
            <v>YES</v>
          </cell>
        </row>
        <row r="6853">
          <cell r="I6853" t="str">
            <v>V45684</v>
          </cell>
          <cell r="J6853" t="str">
            <v>CTC</v>
          </cell>
          <cell r="K6853" t="str">
            <v>YES</v>
          </cell>
        </row>
        <row r="6854">
          <cell r="I6854" t="str">
            <v>V46296</v>
          </cell>
          <cell r="J6854" t="str">
            <v>CTC</v>
          </cell>
          <cell r="K6854" t="str">
            <v>YES</v>
          </cell>
        </row>
        <row r="6855">
          <cell r="I6855" t="str">
            <v>V47949</v>
          </cell>
          <cell r="J6855" t="str">
            <v>CTC</v>
          </cell>
          <cell r="K6855" t="str">
            <v>YES</v>
          </cell>
        </row>
        <row r="6856">
          <cell r="I6856" t="str">
            <v>V48720</v>
          </cell>
          <cell r="J6856" t="str">
            <v>CTC</v>
          </cell>
          <cell r="K6856" t="str">
            <v>YES</v>
          </cell>
        </row>
        <row r="6857">
          <cell r="I6857" t="str">
            <v>V49451</v>
          </cell>
          <cell r="J6857" t="str">
            <v>CTC</v>
          </cell>
          <cell r="K6857" t="str">
            <v>YES</v>
          </cell>
        </row>
        <row r="6858">
          <cell r="I6858" t="str">
            <v>V49456</v>
          </cell>
          <cell r="J6858" t="str">
            <v>CTC</v>
          </cell>
          <cell r="K6858" t="str">
            <v>YES</v>
          </cell>
        </row>
        <row r="6859">
          <cell r="I6859" t="str">
            <v>V46779</v>
          </cell>
          <cell r="J6859" t="str">
            <v>CTC</v>
          </cell>
          <cell r="K6859" t="str">
            <v>YES</v>
          </cell>
        </row>
        <row r="6860">
          <cell r="I6860" t="str">
            <v>V48679</v>
          </cell>
          <cell r="J6860" t="str">
            <v>CTC</v>
          </cell>
          <cell r="K6860" t="str">
            <v>YES</v>
          </cell>
        </row>
        <row r="6861">
          <cell r="I6861" t="str">
            <v>V44143</v>
          </cell>
          <cell r="J6861" t="str">
            <v>CTC</v>
          </cell>
          <cell r="K6861" t="str">
            <v>YES</v>
          </cell>
        </row>
        <row r="6862">
          <cell r="I6862" t="str">
            <v>V47894</v>
          </cell>
          <cell r="J6862" t="str">
            <v>CTC</v>
          </cell>
          <cell r="K6862" t="str">
            <v>YES</v>
          </cell>
        </row>
        <row r="6863">
          <cell r="I6863" t="str">
            <v>V47893</v>
          </cell>
          <cell r="J6863" t="str">
            <v>CTC</v>
          </cell>
          <cell r="K6863" t="str">
            <v>YES</v>
          </cell>
        </row>
        <row r="6864">
          <cell r="I6864" t="str">
            <v>V46678</v>
          </cell>
          <cell r="J6864" t="str">
            <v>CTC</v>
          </cell>
          <cell r="K6864" t="str">
            <v>YES</v>
          </cell>
        </row>
        <row r="6865">
          <cell r="I6865" t="str">
            <v>V43920</v>
          </cell>
          <cell r="J6865" t="str">
            <v>CTC</v>
          </cell>
          <cell r="K6865" t="str">
            <v>YES</v>
          </cell>
        </row>
        <row r="6866">
          <cell r="I6866" t="str">
            <v>V48471</v>
          </cell>
          <cell r="J6866" t="str">
            <v>CTC</v>
          </cell>
          <cell r="K6866" t="str">
            <v>YES</v>
          </cell>
        </row>
        <row r="6867">
          <cell r="I6867" t="str">
            <v>V47484</v>
          </cell>
          <cell r="J6867" t="str">
            <v>CTC</v>
          </cell>
          <cell r="K6867" t="str">
            <v>YES</v>
          </cell>
        </row>
        <row r="6868">
          <cell r="I6868" t="str">
            <v>V49114</v>
          </cell>
          <cell r="J6868" t="str">
            <v>CTC</v>
          </cell>
          <cell r="K6868" t="str">
            <v>YES</v>
          </cell>
        </row>
        <row r="6869">
          <cell r="I6869" t="str">
            <v>V47026</v>
          </cell>
          <cell r="J6869" t="str">
            <v>CTC</v>
          </cell>
          <cell r="K6869" t="str">
            <v>YES</v>
          </cell>
        </row>
        <row r="6870">
          <cell r="I6870" t="str">
            <v>V47499</v>
          </cell>
          <cell r="J6870" t="str">
            <v>CTC</v>
          </cell>
          <cell r="K6870" t="str">
            <v>YES</v>
          </cell>
        </row>
        <row r="6871">
          <cell r="I6871" t="str">
            <v>V47604</v>
          </cell>
          <cell r="J6871" t="str">
            <v>CTC</v>
          </cell>
          <cell r="K6871" t="str">
            <v>YES</v>
          </cell>
        </row>
        <row r="6872">
          <cell r="I6872" t="str">
            <v>V47667</v>
          </cell>
          <cell r="J6872" t="str">
            <v>CTC</v>
          </cell>
          <cell r="K6872" t="str">
            <v>YES</v>
          </cell>
        </row>
        <row r="6873">
          <cell r="I6873" t="str">
            <v>V48714</v>
          </cell>
          <cell r="J6873" t="str">
            <v>CTC</v>
          </cell>
          <cell r="K6873" t="str">
            <v>YES</v>
          </cell>
        </row>
        <row r="6874">
          <cell r="I6874" t="str">
            <v>V49133</v>
          </cell>
          <cell r="J6874" t="str">
            <v>CTC</v>
          </cell>
          <cell r="K6874" t="str">
            <v>YES</v>
          </cell>
        </row>
        <row r="6875">
          <cell r="I6875" t="str">
            <v>V47212</v>
          </cell>
          <cell r="J6875" t="str">
            <v>CTC</v>
          </cell>
          <cell r="K6875" t="str">
            <v>YES</v>
          </cell>
        </row>
        <row r="6876">
          <cell r="I6876" t="str">
            <v>V44625</v>
          </cell>
          <cell r="J6876" t="str">
            <v>CTC</v>
          </cell>
          <cell r="K6876" t="str">
            <v>YES</v>
          </cell>
        </row>
        <row r="6877">
          <cell r="I6877" t="str">
            <v>V47493</v>
          </cell>
          <cell r="J6877" t="str">
            <v>CTC</v>
          </cell>
          <cell r="K6877" t="str">
            <v>YES</v>
          </cell>
        </row>
        <row r="6878">
          <cell r="I6878" t="str">
            <v>V47996</v>
          </cell>
          <cell r="J6878" t="str">
            <v>CTC</v>
          </cell>
          <cell r="K6878" t="str">
            <v>YES</v>
          </cell>
        </row>
        <row r="6879">
          <cell r="I6879" t="str">
            <v>V48108</v>
          </cell>
          <cell r="J6879" t="str">
            <v>CTC</v>
          </cell>
          <cell r="K6879" t="str">
            <v>YES</v>
          </cell>
        </row>
        <row r="6880">
          <cell r="I6880" t="str">
            <v>V48089</v>
          </cell>
          <cell r="J6880" t="str">
            <v>CTC</v>
          </cell>
          <cell r="K6880" t="str">
            <v>YES</v>
          </cell>
        </row>
        <row r="6881">
          <cell r="I6881" t="str">
            <v>V47675</v>
          </cell>
          <cell r="J6881" t="str">
            <v>CTC</v>
          </cell>
          <cell r="K6881" t="str">
            <v>YES</v>
          </cell>
        </row>
        <row r="6882">
          <cell r="I6882" t="str">
            <v>V49461</v>
          </cell>
          <cell r="J6882" t="str">
            <v>CTC</v>
          </cell>
          <cell r="K6882" t="str">
            <v>YES</v>
          </cell>
        </row>
        <row r="6883">
          <cell r="I6883" t="str">
            <v>V49463</v>
          </cell>
          <cell r="J6883" t="str">
            <v>CTC</v>
          </cell>
          <cell r="K6883" t="str">
            <v>YES</v>
          </cell>
        </row>
        <row r="6884">
          <cell r="I6884" t="str">
            <v>V45995</v>
          </cell>
          <cell r="J6884" t="str">
            <v>CTC</v>
          </cell>
          <cell r="K6884" t="str">
            <v>YES</v>
          </cell>
        </row>
        <row r="6885">
          <cell r="I6885" t="str">
            <v>V48962</v>
          </cell>
          <cell r="J6885" t="str">
            <v>CTC</v>
          </cell>
          <cell r="K6885" t="str">
            <v>YES</v>
          </cell>
        </row>
        <row r="6886">
          <cell r="I6886" t="str">
            <v>V48756</v>
          </cell>
          <cell r="J6886" t="str">
            <v>CTC</v>
          </cell>
          <cell r="K6886" t="str">
            <v>YES</v>
          </cell>
        </row>
        <row r="6887">
          <cell r="I6887" t="str">
            <v>V47099</v>
          </cell>
          <cell r="J6887" t="str">
            <v>CTC</v>
          </cell>
          <cell r="K6887" t="str">
            <v>YES</v>
          </cell>
        </row>
        <row r="6888">
          <cell r="I6888" t="str">
            <v>V47577</v>
          </cell>
          <cell r="J6888" t="str">
            <v>CTC</v>
          </cell>
          <cell r="K6888" t="str">
            <v>YES</v>
          </cell>
        </row>
        <row r="6889">
          <cell r="I6889" t="str">
            <v>V45820</v>
          </cell>
          <cell r="J6889" t="str">
            <v>CTC</v>
          </cell>
          <cell r="K6889" t="str">
            <v>YES</v>
          </cell>
        </row>
        <row r="6890">
          <cell r="I6890" t="str">
            <v>V46729</v>
          </cell>
          <cell r="J6890" t="str">
            <v>CTC</v>
          </cell>
          <cell r="K6890" t="str">
            <v>YES</v>
          </cell>
        </row>
        <row r="6891">
          <cell r="I6891" t="str">
            <v>V46812</v>
          </cell>
          <cell r="J6891" t="str">
            <v>CTC</v>
          </cell>
          <cell r="K6891" t="str">
            <v>YES</v>
          </cell>
        </row>
        <row r="6892">
          <cell r="I6892" t="str">
            <v>V46813</v>
          </cell>
          <cell r="J6892" t="str">
            <v>CTC</v>
          </cell>
          <cell r="K6892" t="str">
            <v>YES</v>
          </cell>
        </row>
        <row r="6893">
          <cell r="I6893" t="str">
            <v>V48328</v>
          </cell>
          <cell r="J6893" t="str">
            <v>CTC</v>
          </cell>
          <cell r="K6893" t="str">
            <v>YES</v>
          </cell>
        </row>
        <row r="6894">
          <cell r="I6894" t="str">
            <v>V51721</v>
          </cell>
          <cell r="J6894" t="str">
            <v>CTC</v>
          </cell>
          <cell r="K6894" t="str">
            <v>YES</v>
          </cell>
        </row>
        <row r="6895">
          <cell r="I6895" t="str">
            <v>V45039</v>
          </cell>
          <cell r="J6895" t="str">
            <v>CTC</v>
          </cell>
          <cell r="K6895" t="str">
            <v>YES</v>
          </cell>
        </row>
        <row r="6896">
          <cell r="I6896" t="str">
            <v>V47606</v>
          </cell>
          <cell r="J6896" t="str">
            <v>CTC</v>
          </cell>
          <cell r="K6896" t="str">
            <v>YES</v>
          </cell>
        </row>
        <row r="6897">
          <cell r="I6897" t="str">
            <v>V45629</v>
          </cell>
          <cell r="J6897" t="str">
            <v>CTC</v>
          </cell>
          <cell r="K6897" t="str">
            <v>YES</v>
          </cell>
        </row>
        <row r="6898">
          <cell r="I6898" t="str">
            <v>V45499</v>
          </cell>
          <cell r="J6898" t="str">
            <v>CTC</v>
          </cell>
          <cell r="K6898" t="str">
            <v>YES</v>
          </cell>
        </row>
        <row r="6899">
          <cell r="I6899" t="str">
            <v>V46811</v>
          </cell>
          <cell r="J6899" t="str">
            <v>CTC</v>
          </cell>
          <cell r="K6899" t="str">
            <v>YES</v>
          </cell>
        </row>
        <row r="6900">
          <cell r="I6900" t="str">
            <v>V47517</v>
          </cell>
          <cell r="J6900" t="str">
            <v>CTC</v>
          </cell>
          <cell r="K6900" t="str">
            <v>YES</v>
          </cell>
        </row>
        <row r="6901">
          <cell r="I6901" t="str">
            <v>V46241</v>
          </cell>
          <cell r="J6901" t="str">
            <v>CTC</v>
          </cell>
          <cell r="K6901" t="str">
            <v>YES</v>
          </cell>
        </row>
        <row r="6902">
          <cell r="I6902" t="str">
            <v>V47440</v>
          </cell>
          <cell r="J6902" t="str">
            <v>CTC</v>
          </cell>
          <cell r="K6902" t="str">
            <v>YES</v>
          </cell>
        </row>
        <row r="6903">
          <cell r="I6903" t="str">
            <v>V48107</v>
          </cell>
          <cell r="J6903" t="str">
            <v>CTC</v>
          </cell>
          <cell r="K6903" t="str">
            <v>YES</v>
          </cell>
        </row>
        <row r="6904">
          <cell r="I6904" t="str">
            <v>V46954</v>
          </cell>
          <cell r="J6904" t="str">
            <v>CTC</v>
          </cell>
          <cell r="K6904" t="str">
            <v>YES</v>
          </cell>
        </row>
        <row r="6905">
          <cell r="I6905" t="str">
            <v>V46759</v>
          </cell>
          <cell r="J6905" t="str">
            <v>CTC</v>
          </cell>
          <cell r="K6905" t="str">
            <v>YES</v>
          </cell>
        </row>
        <row r="6906">
          <cell r="I6906" t="str">
            <v>V46164</v>
          </cell>
          <cell r="J6906" t="str">
            <v>CTC</v>
          </cell>
          <cell r="K6906" t="str">
            <v>YES</v>
          </cell>
        </row>
        <row r="6907">
          <cell r="I6907" t="str">
            <v>V44705</v>
          </cell>
          <cell r="J6907" t="str">
            <v>CTC</v>
          </cell>
          <cell r="K6907" t="str">
            <v>YES</v>
          </cell>
        </row>
        <row r="6908">
          <cell r="I6908" t="str">
            <v>V46381</v>
          </cell>
          <cell r="J6908" t="str">
            <v>CTC</v>
          </cell>
          <cell r="K6908" t="str">
            <v>YES</v>
          </cell>
        </row>
        <row r="6909">
          <cell r="I6909" t="str">
            <v>V49924</v>
          </cell>
          <cell r="J6909" t="str">
            <v>CTC</v>
          </cell>
          <cell r="K6909" t="str">
            <v>YES</v>
          </cell>
        </row>
        <row r="6910">
          <cell r="I6910" t="str">
            <v>V48079</v>
          </cell>
          <cell r="J6910" t="str">
            <v>CTC</v>
          </cell>
          <cell r="K6910" t="str">
            <v>YES</v>
          </cell>
        </row>
        <row r="6911">
          <cell r="I6911" t="str">
            <v>V46398</v>
          </cell>
          <cell r="J6911" t="str">
            <v>CTC</v>
          </cell>
          <cell r="K6911" t="str">
            <v>YES</v>
          </cell>
        </row>
        <row r="6912">
          <cell r="I6912" t="str">
            <v>V49689</v>
          </cell>
          <cell r="J6912" t="str">
            <v>CTC</v>
          </cell>
          <cell r="K6912" t="str">
            <v>YES</v>
          </cell>
        </row>
        <row r="6913">
          <cell r="I6913" t="str">
            <v>V47349</v>
          </cell>
          <cell r="J6913" t="str">
            <v>CTC</v>
          </cell>
          <cell r="K6913" t="str">
            <v>YES</v>
          </cell>
        </row>
        <row r="6914">
          <cell r="I6914" t="str">
            <v>V46400</v>
          </cell>
          <cell r="J6914" t="str">
            <v>CTC</v>
          </cell>
          <cell r="K6914" t="str">
            <v>YES</v>
          </cell>
        </row>
        <row r="6915">
          <cell r="I6915" t="str">
            <v>V52164</v>
          </cell>
          <cell r="J6915" t="str">
            <v>CTC</v>
          </cell>
          <cell r="K6915" t="str">
            <v>YES</v>
          </cell>
        </row>
        <row r="6916">
          <cell r="I6916" t="str">
            <v>V46541</v>
          </cell>
          <cell r="J6916" t="str">
            <v>CTC</v>
          </cell>
          <cell r="K6916" t="str">
            <v>YES</v>
          </cell>
        </row>
        <row r="6917">
          <cell r="I6917" t="str">
            <v>V48032</v>
          </cell>
          <cell r="J6917" t="str">
            <v>CTC</v>
          </cell>
          <cell r="K6917" t="str">
            <v>YES</v>
          </cell>
        </row>
        <row r="6918">
          <cell r="I6918" t="str">
            <v>V49173</v>
          </cell>
          <cell r="J6918" t="str">
            <v>CTC</v>
          </cell>
          <cell r="K6918" t="str">
            <v>YES</v>
          </cell>
        </row>
        <row r="6919">
          <cell r="I6919" t="str">
            <v>V47605</v>
          </cell>
          <cell r="J6919" t="str">
            <v>CTC</v>
          </cell>
          <cell r="K6919" t="str">
            <v>YES</v>
          </cell>
        </row>
        <row r="6920">
          <cell r="I6920" t="str">
            <v>V47336</v>
          </cell>
          <cell r="J6920" t="str">
            <v>CTC</v>
          </cell>
          <cell r="K6920" t="str">
            <v>YES</v>
          </cell>
        </row>
        <row r="6921">
          <cell r="I6921" t="str">
            <v>V46925</v>
          </cell>
          <cell r="J6921" t="str">
            <v>CTC</v>
          </cell>
          <cell r="K6921" t="str">
            <v>YES</v>
          </cell>
        </row>
        <row r="6922">
          <cell r="I6922" t="str">
            <v>V47416</v>
          </cell>
          <cell r="J6922" t="str">
            <v>CTC</v>
          </cell>
          <cell r="K6922" t="str">
            <v>YES</v>
          </cell>
        </row>
        <row r="6923">
          <cell r="I6923" t="str">
            <v>V47529</v>
          </cell>
          <cell r="J6923" t="str">
            <v>CTC</v>
          </cell>
          <cell r="K6923" t="str">
            <v>YES</v>
          </cell>
        </row>
        <row r="6924">
          <cell r="I6924" t="str">
            <v>V48228</v>
          </cell>
          <cell r="J6924" t="str">
            <v>CTC</v>
          </cell>
          <cell r="K6924" t="str">
            <v>YES</v>
          </cell>
        </row>
        <row r="6925">
          <cell r="I6925" t="str">
            <v>V51693</v>
          </cell>
          <cell r="J6925" t="str">
            <v>CTC</v>
          </cell>
          <cell r="K6925" t="str">
            <v>YES</v>
          </cell>
        </row>
        <row r="6926">
          <cell r="I6926" t="str">
            <v>V44149</v>
          </cell>
          <cell r="J6926" t="str">
            <v>CTC</v>
          </cell>
          <cell r="K6926" t="str">
            <v>YES</v>
          </cell>
        </row>
        <row r="6927">
          <cell r="I6927" t="str">
            <v>V47987</v>
          </cell>
          <cell r="J6927" t="str">
            <v>CTC</v>
          </cell>
          <cell r="K6927" t="str">
            <v>YES</v>
          </cell>
        </row>
        <row r="6928">
          <cell r="I6928" t="str">
            <v>V46854</v>
          </cell>
          <cell r="J6928" t="str">
            <v>CTC</v>
          </cell>
          <cell r="K6928" t="str">
            <v>YES</v>
          </cell>
        </row>
        <row r="6929">
          <cell r="I6929" t="str">
            <v>V49602</v>
          </cell>
          <cell r="J6929" t="str">
            <v>CTC</v>
          </cell>
          <cell r="K6929" t="str">
            <v>YES</v>
          </cell>
        </row>
        <row r="6930">
          <cell r="I6930" t="str">
            <v>V44259</v>
          </cell>
          <cell r="J6930" t="str">
            <v>CTC</v>
          </cell>
          <cell r="K6930" t="str">
            <v>YES</v>
          </cell>
        </row>
        <row r="6931">
          <cell r="I6931" t="str">
            <v>V46713</v>
          </cell>
          <cell r="J6931" t="str">
            <v>CTC</v>
          </cell>
          <cell r="K6931" t="str">
            <v>YES</v>
          </cell>
        </row>
        <row r="6932">
          <cell r="I6932" t="str">
            <v>V47226</v>
          </cell>
          <cell r="J6932" t="str">
            <v>CTC</v>
          </cell>
          <cell r="K6932" t="str">
            <v>YES</v>
          </cell>
        </row>
        <row r="6933">
          <cell r="I6933" t="str">
            <v>V48774</v>
          </cell>
          <cell r="J6933" t="str">
            <v>CTC</v>
          </cell>
          <cell r="K6933" t="str">
            <v>YES</v>
          </cell>
        </row>
        <row r="6934">
          <cell r="I6934" t="str">
            <v>V48485</v>
          </cell>
          <cell r="J6934" t="str">
            <v>CTC</v>
          </cell>
          <cell r="K6934" t="str">
            <v>YES</v>
          </cell>
        </row>
        <row r="6935">
          <cell r="I6935" t="str">
            <v>V50081</v>
          </cell>
          <cell r="J6935" t="str">
            <v>CTC</v>
          </cell>
          <cell r="K6935" t="str">
            <v>YES</v>
          </cell>
        </row>
        <row r="6936">
          <cell r="I6936" t="str">
            <v>V49727</v>
          </cell>
          <cell r="J6936" t="str">
            <v>CTC</v>
          </cell>
          <cell r="K6936" t="str">
            <v>YES</v>
          </cell>
        </row>
        <row r="6937">
          <cell r="I6937" t="str">
            <v>V46855</v>
          </cell>
          <cell r="J6937" t="str">
            <v>CTC</v>
          </cell>
          <cell r="K6937" t="str">
            <v>YES</v>
          </cell>
        </row>
        <row r="6938">
          <cell r="I6938" t="str">
            <v>V46016</v>
          </cell>
          <cell r="J6938" t="str">
            <v>CTC</v>
          </cell>
          <cell r="K6938" t="str">
            <v>YES</v>
          </cell>
        </row>
        <row r="6939">
          <cell r="I6939" t="str">
            <v>V47036</v>
          </cell>
          <cell r="J6939" t="str">
            <v>CTC</v>
          </cell>
          <cell r="K6939" t="str">
            <v>YES</v>
          </cell>
        </row>
        <row r="6940">
          <cell r="I6940" t="str">
            <v>V45660</v>
          </cell>
          <cell r="J6940" t="str">
            <v>CTC</v>
          </cell>
          <cell r="K6940" t="str">
            <v>YES</v>
          </cell>
        </row>
        <row r="6941">
          <cell r="I6941" t="str">
            <v>V48017</v>
          </cell>
          <cell r="J6941" t="str">
            <v>CTC</v>
          </cell>
          <cell r="K6941" t="str">
            <v>YES</v>
          </cell>
        </row>
        <row r="6942">
          <cell r="I6942" t="str">
            <v>V49263</v>
          </cell>
          <cell r="J6942" t="str">
            <v>CTC</v>
          </cell>
          <cell r="K6942" t="str">
            <v>YES</v>
          </cell>
        </row>
        <row r="6943">
          <cell r="I6943" t="str">
            <v>V45511</v>
          </cell>
          <cell r="J6943" t="str">
            <v>CTC</v>
          </cell>
          <cell r="K6943" t="str">
            <v>YES</v>
          </cell>
        </row>
        <row r="6944">
          <cell r="I6944" t="str">
            <v>V48580</v>
          </cell>
          <cell r="J6944" t="str">
            <v>CTC</v>
          </cell>
          <cell r="K6944" t="str">
            <v>YES</v>
          </cell>
        </row>
        <row r="6945">
          <cell r="I6945" t="str">
            <v>V47362</v>
          </cell>
          <cell r="J6945" t="str">
            <v>CTC</v>
          </cell>
          <cell r="K6945" t="str">
            <v>YES</v>
          </cell>
        </row>
        <row r="6946">
          <cell r="I6946" t="str">
            <v>V47159</v>
          </cell>
          <cell r="J6946" t="str">
            <v>CTC</v>
          </cell>
          <cell r="K6946" t="str">
            <v>YES</v>
          </cell>
        </row>
        <row r="6947">
          <cell r="I6947" t="str">
            <v>V46730</v>
          </cell>
          <cell r="J6947" t="str">
            <v>CTC</v>
          </cell>
          <cell r="K6947" t="str">
            <v>YES</v>
          </cell>
        </row>
        <row r="6948">
          <cell r="I6948" t="str">
            <v>V46766</v>
          </cell>
          <cell r="J6948" t="str">
            <v>CTC</v>
          </cell>
          <cell r="K6948" t="str">
            <v>YES</v>
          </cell>
        </row>
        <row r="6949">
          <cell r="I6949" t="str">
            <v>V46977</v>
          </cell>
          <cell r="J6949" t="str">
            <v>CTC</v>
          </cell>
          <cell r="K6949" t="str">
            <v>YES</v>
          </cell>
        </row>
        <row r="6950">
          <cell r="I6950" t="str">
            <v>V46978</v>
          </cell>
          <cell r="J6950" t="str">
            <v>CTC</v>
          </cell>
          <cell r="K6950" t="str">
            <v>YES</v>
          </cell>
        </row>
        <row r="6951">
          <cell r="I6951" t="str">
            <v>V47715</v>
          </cell>
          <cell r="J6951" t="str">
            <v>CTC</v>
          </cell>
          <cell r="K6951" t="str">
            <v>YES</v>
          </cell>
        </row>
        <row r="6952">
          <cell r="I6952" t="str">
            <v>V46450</v>
          </cell>
          <cell r="J6952" t="str">
            <v>CTC</v>
          </cell>
          <cell r="K6952" t="str">
            <v>YES</v>
          </cell>
        </row>
        <row r="6953">
          <cell r="I6953" t="str">
            <v>V47120</v>
          </cell>
          <cell r="J6953" t="str">
            <v>CTC</v>
          </cell>
          <cell r="K6953" t="str">
            <v>YES</v>
          </cell>
        </row>
        <row r="6954">
          <cell r="I6954" t="str">
            <v>V49735</v>
          </cell>
          <cell r="J6954" t="str">
            <v>CTC</v>
          </cell>
          <cell r="K6954" t="str">
            <v>YES</v>
          </cell>
        </row>
        <row r="6955">
          <cell r="I6955" t="str">
            <v>V47945</v>
          </cell>
          <cell r="J6955" t="str">
            <v>CTC</v>
          </cell>
          <cell r="K6955" t="str">
            <v>YES</v>
          </cell>
        </row>
        <row r="6956">
          <cell r="I6956" t="str">
            <v>V49085</v>
          </cell>
          <cell r="J6956" t="str">
            <v>CTC</v>
          </cell>
          <cell r="K6956" t="str">
            <v>YES</v>
          </cell>
        </row>
        <row r="6957">
          <cell r="I6957" t="str">
            <v>V47401</v>
          </cell>
          <cell r="J6957" t="str">
            <v>CTC</v>
          </cell>
          <cell r="K6957" t="str">
            <v>YES</v>
          </cell>
        </row>
        <row r="6958">
          <cell r="I6958" t="str">
            <v>V48164</v>
          </cell>
          <cell r="J6958" t="str">
            <v>CTC</v>
          </cell>
          <cell r="K6958" t="str">
            <v>YES</v>
          </cell>
        </row>
        <row r="6959">
          <cell r="I6959" t="str">
            <v>V48854</v>
          </cell>
          <cell r="J6959" t="str">
            <v>CTC</v>
          </cell>
          <cell r="K6959" t="str">
            <v>YES</v>
          </cell>
        </row>
        <row r="6960">
          <cell r="I6960" t="str">
            <v>V46528</v>
          </cell>
          <cell r="J6960" t="str">
            <v>CTC</v>
          </cell>
          <cell r="K6960" t="str">
            <v>YES</v>
          </cell>
        </row>
        <row r="6961">
          <cell r="I6961" t="str">
            <v>V46210</v>
          </cell>
          <cell r="J6961" t="str">
            <v>CTC</v>
          </cell>
          <cell r="K6961" t="str">
            <v>YES</v>
          </cell>
        </row>
        <row r="6962">
          <cell r="I6962" t="str">
            <v>V46026</v>
          </cell>
          <cell r="J6962" t="str">
            <v>CTC</v>
          </cell>
          <cell r="K6962" t="str">
            <v>YES</v>
          </cell>
        </row>
        <row r="6963">
          <cell r="I6963" t="str">
            <v>V44424</v>
          </cell>
          <cell r="J6963" t="str">
            <v>CTC</v>
          </cell>
          <cell r="K6963" t="str">
            <v>YES</v>
          </cell>
        </row>
        <row r="6964">
          <cell r="I6964" t="str">
            <v>V46769</v>
          </cell>
          <cell r="J6964" t="str">
            <v>CTC</v>
          </cell>
          <cell r="K6964" t="str">
            <v>YES</v>
          </cell>
        </row>
        <row r="6965">
          <cell r="I6965" t="str">
            <v>V44365</v>
          </cell>
          <cell r="J6965" t="str">
            <v>CTC</v>
          </cell>
          <cell r="K6965" t="str">
            <v>YES</v>
          </cell>
        </row>
        <row r="6966">
          <cell r="I6966" t="str">
            <v>V47495</v>
          </cell>
          <cell r="J6966" t="str">
            <v>CTC</v>
          </cell>
          <cell r="K6966" t="str">
            <v>YES</v>
          </cell>
        </row>
        <row r="6967">
          <cell r="I6967" t="str">
            <v>V47687</v>
          </cell>
          <cell r="J6967" t="str">
            <v>CTC</v>
          </cell>
          <cell r="K6967" t="str">
            <v>YES</v>
          </cell>
        </row>
        <row r="6968">
          <cell r="I6968" t="str">
            <v>V45162</v>
          </cell>
          <cell r="J6968" t="str">
            <v>CTC</v>
          </cell>
          <cell r="K6968" t="str">
            <v>YES</v>
          </cell>
        </row>
        <row r="6969">
          <cell r="I6969" t="str">
            <v>V46418</v>
          </cell>
          <cell r="J6969" t="str">
            <v>CTC</v>
          </cell>
          <cell r="K6969" t="str">
            <v>YES</v>
          </cell>
        </row>
        <row r="6970">
          <cell r="I6970" t="str">
            <v>V49330</v>
          </cell>
          <cell r="J6970" t="str">
            <v>CTC</v>
          </cell>
          <cell r="K6970" t="str">
            <v>YES</v>
          </cell>
        </row>
        <row r="6971">
          <cell r="I6971" t="str">
            <v>V50500</v>
          </cell>
          <cell r="J6971" t="str">
            <v>CTC</v>
          </cell>
          <cell r="K6971" t="str">
            <v>YES</v>
          </cell>
        </row>
        <row r="6972">
          <cell r="I6972" t="str">
            <v>V47921</v>
          </cell>
          <cell r="J6972" t="str">
            <v>CTC</v>
          </cell>
          <cell r="K6972" t="str">
            <v>YES</v>
          </cell>
        </row>
        <row r="6973">
          <cell r="I6973" t="str">
            <v>V46465</v>
          </cell>
          <cell r="J6973" t="str">
            <v>CTC</v>
          </cell>
          <cell r="K6973" t="str">
            <v>YES</v>
          </cell>
        </row>
        <row r="6974">
          <cell r="I6974" t="str">
            <v>V46765</v>
          </cell>
          <cell r="J6974" t="str">
            <v>CTC</v>
          </cell>
          <cell r="K6974" t="str">
            <v>YES</v>
          </cell>
        </row>
        <row r="6975">
          <cell r="I6975" t="str">
            <v>V47915</v>
          </cell>
          <cell r="J6975" t="str">
            <v>CTC</v>
          </cell>
          <cell r="K6975" t="str">
            <v>YES</v>
          </cell>
        </row>
        <row r="6976">
          <cell r="I6976" t="str">
            <v>V47286</v>
          </cell>
          <cell r="J6976" t="str">
            <v>CTC</v>
          </cell>
          <cell r="K6976" t="str">
            <v>YES</v>
          </cell>
        </row>
        <row r="6977">
          <cell r="I6977" t="str">
            <v>V49643</v>
          </cell>
          <cell r="J6977" t="str">
            <v>CTC</v>
          </cell>
          <cell r="K6977" t="str">
            <v>YES</v>
          </cell>
        </row>
        <row r="6978">
          <cell r="I6978" t="str">
            <v>V46634</v>
          </cell>
          <cell r="J6978" t="str">
            <v>CTC</v>
          </cell>
          <cell r="K6978" t="str">
            <v>YES</v>
          </cell>
        </row>
        <row r="6979">
          <cell r="I6979" t="str">
            <v>V46709</v>
          </cell>
          <cell r="J6979" t="str">
            <v>CTC</v>
          </cell>
          <cell r="K6979" t="str">
            <v>YES</v>
          </cell>
        </row>
        <row r="6980">
          <cell r="I6980" t="str">
            <v>V46063</v>
          </cell>
          <cell r="J6980" t="str">
            <v>CTC</v>
          </cell>
          <cell r="K6980" t="str">
            <v>YES</v>
          </cell>
        </row>
        <row r="6981">
          <cell r="I6981" t="str">
            <v>V46695</v>
          </cell>
          <cell r="J6981" t="str">
            <v>CTC</v>
          </cell>
          <cell r="K6981" t="str">
            <v>YES</v>
          </cell>
        </row>
        <row r="6982">
          <cell r="I6982" t="str">
            <v>V47510</v>
          </cell>
          <cell r="J6982" t="str">
            <v>CTC</v>
          </cell>
          <cell r="K6982" t="str">
            <v>YES</v>
          </cell>
        </row>
        <row r="6983">
          <cell r="I6983" t="str">
            <v>V46917</v>
          </cell>
          <cell r="J6983" t="str">
            <v>CTC</v>
          </cell>
          <cell r="K6983" t="str">
            <v>YES</v>
          </cell>
        </row>
        <row r="6984">
          <cell r="I6984" t="str">
            <v>V46504</v>
          </cell>
          <cell r="J6984" t="str">
            <v>CTC</v>
          </cell>
          <cell r="K6984" t="str">
            <v>YES</v>
          </cell>
        </row>
        <row r="6985">
          <cell r="I6985" t="str">
            <v>V45688</v>
          </cell>
          <cell r="J6985" t="str">
            <v>CTC</v>
          </cell>
          <cell r="K6985" t="str">
            <v>YES</v>
          </cell>
        </row>
        <row r="6986">
          <cell r="I6986" t="str">
            <v>V47968</v>
          </cell>
          <cell r="J6986" t="str">
            <v>CTC</v>
          </cell>
          <cell r="K6986" t="str">
            <v>YES</v>
          </cell>
        </row>
        <row r="6987">
          <cell r="I6987" t="str">
            <v>V46823</v>
          </cell>
          <cell r="J6987" t="str">
            <v>CTC</v>
          </cell>
          <cell r="K6987" t="str">
            <v>YES</v>
          </cell>
        </row>
        <row r="6988">
          <cell r="I6988" t="str">
            <v>V49422</v>
          </cell>
          <cell r="J6988" t="str">
            <v>CTC</v>
          </cell>
          <cell r="K6988" t="str">
            <v>YES</v>
          </cell>
        </row>
        <row r="6989">
          <cell r="I6989" t="str">
            <v>V47323</v>
          </cell>
          <cell r="J6989" t="str">
            <v>CTC</v>
          </cell>
          <cell r="K6989" t="str">
            <v>YES</v>
          </cell>
        </row>
        <row r="6990">
          <cell r="I6990" t="str">
            <v>V49132</v>
          </cell>
          <cell r="J6990" t="str">
            <v>CTC</v>
          </cell>
          <cell r="K6990" t="str">
            <v>YES</v>
          </cell>
        </row>
        <row r="6991">
          <cell r="I6991" t="str">
            <v>V49135</v>
          </cell>
          <cell r="J6991" t="str">
            <v>CTC</v>
          </cell>
          <cell r="K6991" t="str">
            <v>YES</v>
          </cell>
        </row>
        <row r="6992">
          <cell r="I6992" t="str">
            <v>V46980</v>
          </cell>
          <cell r="J6992" t="str">
            <v>CTC</v>
          </cell>
          <cell r="K6992" t="str">
            <v>YES</v>
          </cell>
        </row>
        <row r="6993">
          <cell r="I6993" t="str">
            <v>V48255</v>
          </cell>
          <cell r="J6993" t="str">
            <v>CTC</v>
          </cell>
          <cell r="K6993" t="str">
            <v>YES</v>
          </cell>
        </row>
        <row r="6994">
          <cell r="I6994" t="str">
            <v>V47446</v>
          </cell>
          <cell r="J6994" t="str">
            <v>CTC</v>
          </cell>
          <cell r="K6994" t="str">
            <v>YES</v>
          </cell>
        </row>
        <row r="6995">
          <cell r="I6995" t="str">
            <v>V47324</v>
          </cell>
          <cell r="J6995" t="str">
            <v>CTC</v>
          </cell>
          <cell r="K6995" t="str">
            <v>YES</v>
          </cell>
        </row>
        <row r="6996">
          <cell r="I6996" t="str">
            <v>V47447</v>
          </cell>
          <cell r="J6996" t="str">
            <v>CTC</v>
          </cell>
          <cell r="K6996" t="str">
            <v>YES</v>
          </cell>
        </row>
        <row r="6997">
          <cell r="I6997" t="str">
            <v>V47649</v>
          </cell>
          <cell r="J6997" t="str">
            <v>CTC</v>
          </cell>
          <cell r="K6997" t="str">
            <v>YES</v>
          </cell>
        </row>
        <row r="6998">
          <cell r="I6998" t="str">
            <v>V47799</v>
          </cell>
          <cell r="J6998" t="str">
            <v>CTC</v>
          </cell>
          <cell r="K6998" t="str">
            <v>YES</v>
          </cell>
        </row>
        <row r="6999">
          <cell r="I6999" t="str">
            <v>V47801</v>
          </cell>
          <cell r="J6999" t="str">
            <v>CTC</v>
          </cell>
          <cell r="K6999" t="str">
            <v>YES</v>
          </cell>
        </row>
        <row r="7000">
          <cell r="I7000" t="str">
            <v>V47367</v>
          </cell>
          <cell r="J7000" t="str">
            <v>CTC</v>
          </cell>
          <cell r="K7000" t="str">
            <v>YES</v>
          </cell>
        </row>
        <row r="7001">
          <cell r="I7001" t="str">
            <v>V46248</v>
          </cell>
          <cell r="J7001" t="str">
            <v>CTC</v>
          </cell>
          <cell r="K7001" t="str">
            <v>YES</v>
          </cell>
        </row>
        <row r="7002">
          <cell r="I7002" t="str">
            <v>V44839</v>
          </cell>
          <cell r="J7002" t="str">
            <v>CTC</v>
          </cell>
          <cell r="K7002" t="str">
            <v>YES</v>
          </cell>
        </row>
        <row r="7003">
          <cell r="I7003" t="str">
            <v>V48743</v>
          </cell>
          <cell r="J7003" t="str">
            <v>CTC</v>
          </cell>
          <cell r="K7003" t="str">
            <v>YES</v>
          </cell>
        </row>
        <row r="7004">
          <cell r="I7004" t="str">
            <v>V46902</v>
          </cell>
          <cell r="J7004" t="str">
            <v>CTC</v>
          </cell>
          <cell r="K7004" t="str">
            <v>YES</v>
          </cell>
        </row>
        <row r="7005">
          <cell r="I7005" t="str">
            <v>V46539</v>
          </cell>
          <cell r="J7005" t="str">
            <v>CTC</v>
          </cell>
          <cell r="K7005" t="str">
            <v>YES</v>
          </cell>
        </row>
        <row r="7006">
          <cell r="I7006" t="str">
            <v>V51175</v>
          </cell>
          <cell r="J7006" t="str">
            <v>CTC</v>
          </cell>
          <cell r="K7006" t="str">
            <v>YES</v>
          </cell>
        </row>
        <row r="7007">
          <cell r="I7007" t="str">
            <v>V51168</v>
          </cell>
          <cell r="J7007" t="str">
            <v>CTC</v>
          </cell>
          <cell r="K7007" t="str">
            <v>YES</v>
          </cell>
        </row>
        <row r="7008">
          <cell r="I7008" t="str">
            <v>V48498</v>
          </cell>
          <cell r="J7008" t="str">
            <v>CTC</v>
          </cell>
          <cell r="K7008" t="str">
            <v>YES</v>
          </cell>
        </row>
        <row r="7009">
          <cell r="I7009" t="str">
            <v>V45283</v>
          </cell>
          <cell r="J7009" t="str">
            <v>CTC</v>
          </cell>
          <cell r="K7009" t="str">
            <v>YES</v>
          </cell>
        </row>
        <row r="7010">
          <cell r="I7010" t="str">
            <v>V48634</v>
          </cell>
          <cell r="J7010" t="str">
            <v>CTC</v>
          </cell>
          <cell r="K7010" t="str">
            <v>YES</v>
          </cell>
        </row>
        <row r="7011">
          <cell r="I7011" t="str">
            <v>V47160</v>
          </cell>
          <cell r="J7011" t="str">
            <v>CTC</v>
          </cell>
          <cell r="K7011" t="str">
            <v>YES</v>
          </cell>
        </row>
        <row r="7012">
          <cell r="I7012" t="str">
            <v>V47184</v>
          </cell>
          <cell r="J7012" t="str">
            <v>CTC</v>
          </cell>
          <cell r="K7012" t="str">
            <v>YES</v>
          </cell>
        </row>
        <row r="7013">
          <cell r="I7013" t="str">
            <v>V48400</v>
          </cell>
          <cell r="J7013" t="str">
            <v>CTC</v>
          </cell>
          <cell r="K7013" t="str">
            <v>YES</v>
          </cell>
        </row>
        <row r="7014">
          <cell r="I7014" t="str">
            <v>V46696</v>
          </cell>
          <cell r="J7014" t="str">
            <v>CTC</v>
          </cell>
          <cell r="K7014" t="str">
            <v>YES</v>
          </cell>
        </row>
        <row r="7015">
          <cell r="I7015" t="str">
            <v>V46174</v>
          </cell>
          <cell r="J7015" t="str">
            <v>CTC</v>
          </cell>
          <cell r="K7015" t="str">
            <v>YES</v>
          </cell>
        </row>
        <row r="7016">
          <cell r="I7016" t="str">
            <v>V46763</v>
          </cell>
          <cell r="J7016" t="str">
            <v>CTC</v>
          </cell>
          <cell r="K7016" t="str">
            <v>YES</v>
          </cell>
        </row>
        <row r="7017">
          <cell r="I7017" t="str">
            <v>V47115</v>
          </cell>
          <cell r="J7017" t="str">
            <v>CTC</v>
          </cell>
          <cell r="K7017" t="str">
            <v>YES</v>
          </cell>
        </row>
        <row r="7018">
          <cell r="I7018" t="str">
            <v>V47980</v>
          </cell>
          <cell r="J7018" t="str">
            <v>CTC</v>
          </cell>
          <cell r="K7018" t="str">
            <v>YES</v>
          </cell>
        </row>
        <row r="7019">
          <cell r="I7019" t="str">
            <v>V52100</v>
          </cell>
          <cell r="J7019" t="str">
            <v>CTC</v>
          </cell>
          <cell r="K7019" t="str">
            <v>YES</v>
          </cell>
        </row>
        <row r="7020">
          <cell r="I7020" t="str">
            <v>V49730</v>
          </cell>
          <cell r="J7020" t="str">
            <v>CTC</v>
          </cell>
          <cell r="K7020" t="str">
            <v>YES</v>
          </cell>
        </row>
        <row r="7021">
          <cell r="I7021" t="str">
            <v>V47911</v>
          </cell>
          <cell r="J7021" t="str">
            <v>CTC</v>
          </cell>
          <cell r="K7021" t="str">
            <v>YES</v>
          </cell>
        </row>
        <row r="7022">
          <cell r="I7022" t="str">
            <v>V46915</v>
          </cell>
          <cell r="J7022" t="str">
            <v>CTC</v>
          </cell>
          <cell r="K7022" t="str">
            <v>YES</v>
          </cell>
        </row>
        <row r="7023">
          <cell r="I7023" t="str">
            <v>V46467</v>
          </cell>
          <cell r="J7023" t="str">
            <v>CTC</v>
          </cell>
          <cell r="K7023" t="str">
            <v>YES</v>
          </cell>
        </row>
        <row r="7024">
          <cell r="I7024" t="str">
            <v>V46470</v>
          </cell>
          <cell r="J7024" t="str">
            <v>CTC</v>
          </cell>
          <cell r="K7024" t="str">
            <v>YES</v>
          </cell>
        </row>
        <row r="7025">
          <cell r="I7025" t="str">
            <v>V46479</v>
          </cell>
          <cell r="J7025" t="str">
            <v>CTC</v>
          </cell>
          <cell r="K7025" t="str">
            <v>YES</v>
          </cell>
        </row>
        <row r="7026">
          <cell r="I7026" t="str">
            <v>V46480</v>
          </cell>
          <cell r="J7026" t="str">
            <v>CTC</v>
          </cell>
          <cell r="K7026" t="str">
            <v>YES</v>
          </cell>
        </row>
        <row r="7027">
          <cell r="I7027" t="str">
            <v>V46481</v>
          </cell>
          <cell r="J7027" t="str">
            <v>CTC</v>
          </cell>
          <cell r="K7027" t="str">
            <v>YES</v>
          </cell>
        </row>
        <row r="7028">
          <cell r="I7028" t="str">
            <v>V47402</v>
          </cell>
          <cell r="J7028" t="str">
            <v>CTC</v>
          </cell>
          <cell r="K7028" t="str">
            <v>YES</v>
          </cell>
        </row>
        <row r="7029">
          <cell r="I7029" t="str">
            <v>V46351</v>
          </cell>
          <cell r="J7029" t="str">
            <v>CTC</v>
          </cell>
          <cell r="K7029" t="str">
            <v>YES</v>
          </cell>
        </row>
        <row r="7030">
          <cell r="I7030" t="str">
            <v>V46944</v>
          </cell>
          <cell r="J7030" t="str">
            <v>CTC</v>
          </cell>
          <cell r="K7030" t="str">
            <v>YES</v>
          </cell>
        </row>
        <row r="7031">
          <cell r="I7031" t="str">
            <v>V47579</v>
          </cell>
          <cell r="J7031" t="str">
            <v>CTC</v>
          </cell>
          <cell r="K7031" t="str">
            <v>YES</v>
          </cell>
        </row>
        <row r="7032">
          <cell r="I7032" t="str">
            <v>V47379</v>
          </cell>
          <cell r="J7032" t="str">
            <v>CTC</v>
          </cell>
          <cell r="K7032" t="str">
            <v>YES</v>
          </cell>
        </row>
        <row r="7033">
          <cell r="I7033" t="str">
            <v>V48733</v>
          </cell>
          <cell r="J7033" t="str">
            <v>CTC</v>
          </cell>
          <cell r="K7033" t="str">
            <v>YES</v>
          </cell>
        </row>
        <row r="7034">
          <cell r="I7034" t="str">
            <v>V47969</v>
          </cell>
          <cell r="J7034" t="str">
            <v>CTC</v>
          </cell>
          <cell r="K7034" t="str">
            <v>YES</v>
          </cell>
        </row>
        <row r="7035">
          <cell r="I7035" t="str">
            <v>V51669</v>
          </cell>
          <cell r="J7035" t="str">
            <v>CTC</v>
          </cell>
          <cell r="K7035" t="str">
            <v>YES</v>
          </cell>
        </row>
        <row r="7036">
          <cell r="I7036" t="str">
            <v>V49382</v>
          </cell>
          <cell r="J7036" t="str">
            <v>CTC</v>
          </cell>
          <cell r="K7036" t="str">
            <v>YES</v>
          </cell>
        </row>
        <row r="7037">
          <cell r="I7037" t="str">
            <v>V49763</v>
          </cell>
          <cell r="J7037" t="str">
            <v>CTC</v>
          </cell>
          <cell r="K7037" t="str">
            <v>YES</v>
          </cell>
        </row>
        <row r="7038">
          <cell r="I7038" t="str">
            <v>V49751</v>
          </cell>
          <cell r="J7038" t="str">
            <v>CTC</v>
          </cell>
          <cell r="K7038" t="str">
            <v>YES</v>
          </cell>
        </row>
        <row r="7039">
          <cell r="I7039" t="str">
            <v>V48977</v>
          </cell>
          <cell r="J7039" t="str">
            <v>CTC</v>
          </cell>
          <cell r="K7039" t="str">
            <v>YES</v>
          </cell>
        </row>
        <row r="7040">
          <cell r="I7040" t="str">
            <v>V52098</v>
          </cell>
          <cell r="J7040" t="str">
            <v>CTC</v>
          </cell>
          <cell r="K7040" t="str">
            <v>YES</v>
          </cell>
        </row>
        <row r="7041">
          <cell r="I7041" t="str">
            <v>V44150</v>
          </cell>
          <cell r="J7041" t="str">
            <v>CTC</v>
          </cell>
          <cell r="K7041" t="str">
            <v>YES</v>
          </cell>
        </row>
        <row r="7042">
          <cell r="I7042" t="str">
            <v>V46868</v>
          </cell>
          <cell r="J7042" t="str">
            <v>CTC</v>
          </cell>
          <cell r="K7042" t="str">
            <v>YES</v>
          </cell>
        </row>
        <row r="7043">
          <cell r="I7043" t="str">
            <v>V49920</v>
          </cell>
          <cell r="J7043" t="str">
            <v>CTC</v>
          </cell>
          <cell r="K7043" t="str">
            <v>YES</v>
          </cell>
        </row>
        <row r="7044">
          <cell r="I7044" t="str">
            <v>V47875</v>
          </cell>
          <cell r="J7044" t="str">
            <v>CTC</v>
          </cell>
          <cell r="K7044" t="str">
            <v>YES</v>
          </cell>
        </row>
        <row r="7045">
          <cell r="I7045" t="str">
            <v>V46408</v>
          </cell>
          <cell r="J7045" t="str">
            <v>CTC</v>
          </cell>
          <cell r="K7045" t="str">
            <v>YES</v>
          </cell>
        </row>
        <row r="7046">
          <cell r="I7046" t="str">
            <v>V50117</v>
          </cell>
          <cell r="J7046" t="str">
            <v>CTC</v>
          </cell>
          <cell r="K7046" t="str">
            <v>YES</v>
          </cell>
        </row>
        <row r="7047">
          <cell r="I7047" t="str">
            <v>V46002</v>
          </cell>
          <cell r="J7047" t="str">
            <v>CTC</v>
          </cell>
          <cell r="K7047" t="str">
            <v>YES</v>
          </cell>
        </row>
        <row r="7048">
          <cell r="I7048" t="str">
            <v>V46844</v>
          </cell>
          <cell r="J7048" t="str">
            <v>CTC</v>
          </cell>
          <cell r="K7048" t="str">
            <v>YES</v>
          </cell>
        </row>
        <row r="7049">
          <cell r="I7049" t="str">
            <v>V46865</v>
          </cell>
          <cell r="J7049" t="str">
            <v>CTC</v>
          </cell>
          <cell r="K7049" t="str">
            <v>YES</v>
          </cell>
        </row>
        <row r="7050">
          <cell r="I7050" t="str">
            <v>V47721</v>
          </cell>
          <cell r="J7050" t="str">
            <v>CTC</v>
          </cell>
          <cell r="K7050" t="str">
            <v>YES</v>
          </cell>
        </row>
        <row r="7051">
          <cell r="I7051" t="str">
            <v>V48011</v>
          </cell>
          <cell r="J7051" t="str">
            <v>CTC</v>
          </cell>
          <cell r="K7051" t="str">
            <v>YES</v>
          </cell>
        </row>
        <row r="7052">
          <cell r="I7052" t="str">
            <v>V46664</v>
          </cell>
          <cell r="J7052" t="str">
            <v>CTC</v>
          </cell>
          <cell r="K7052" t="str">
            <v>YES</v>
          </cell>
        </row>
        <row r="7053">
          <cell r="I7053" t="str">
            <v>V48264</v>
          </cell>
          <cell r="J7053" t="str">
            <v>CTC</v>
          </cell>
          <cell r="K7053" t="str">
            <v>YES</v>
          </cell>
        </row>
        <row r="7054">
          <cell r="I7054" t="str">
            <v>V47442</v>
          </cell>
          <cell r="J7054" t="str">
            <v>CTC</v>
          </cell>
          <cell r="K7054" t="str">
            <v>YES</v>
          </cell>
        </row>
        <row r="7055">
          <cell r="I7055" t="str">
            <v>V47445</v>
          </cell>
          <cell r="J7055" t="str">
            <v>CTC</v>
          </cell>
          <cell r="K7055" t="str">
            <v>YES</v>
          </cell>
        </row>
        <row r="7056">
          <cell r="I7056" t="str">
            <v>V45605</v>
          </cell>
          <cell r="J7056" t="str">
            <v>CTC</v>
          </cell>
          <cell r="K7056" t="str">
            <v>YES</v>
          </cell>
        </row>
        <row r="7057">
          <cell r="I7057" t="str">
            <v>V49326</v>
          </cell>
          <cell r="J7057" t="str">
            <v>CTC</v>
          </cell>
          <cell r="K7057" t="str">
            <v>YES</v>
          </cell>
        </row>
        <row r="7058">
          <cell r="I7058" t="str">
            <v>V48354</v>
          </cell>
          <cell r="J7058" t="str">
            <v>CTC</v>
          </cell>
          <cell r="K7058" t="str">
            <v>YES</v>
          </cell>
        </row>
        <row r="7059">
          <cell r="I7059" t="str">
            <v>V48357</v>
          </cell>
          <cell r="J7059" t="str">
            <v>CTC</v>
          </cell>
          <cell r="K7059" t="str">
            <v>YES</v>
          </cell>
        </row>
        <row r="7060">
          <cell r="I7060" t="str">
            <v>V47669</v>
          </cell>
          <cell r="J7060" t="str">
            <v>CTC</v>
          </cell>
          <cell r="K7060" t="str">
            <v>YES</v>
          </cell>
        </row>
        <row r="7061">
          <cell r="I7061" t="str">
            <v>V49307</v>
          </cell>
          <cell r="J7061" t="str">
            <v>CTC</v>
          </cell>
          <cell r="K7061" t="str">
            <v>YES</v>
          </cell>
        </row>
        <row r="7062">
          <cell r="I7062" t="str">
            <v>V47020</v>
          </cell>
          <cell r="J7062" t="str">
            <v>CTC</v>
          </cell>
          <cell r="K7062" t="str">
            <v>YES</v>
          </cell>
        </row>
        <row r="7063">
          <cell r="I7063" t="str">
            <v>V50176</v>
          </cell>
          <cell r="J7063" t="str">
            <v>CTC</v>
          </cell>
          <cell r="K7063" t="str">
            <v>YES</v>
          </cell>
        </row>
        <row r="7064">
          <cell r="I7064" t="str">
            <v>V46364</v>
          </cell>
          <cell r="J7064" t="str">
            <v>CTC</v>
          </cell>
          <cell r="K7064" t="str">
            <v>YES</v>
          </cell>
        </row>
        <row r="7065">
          <cell r="I7065" t="str">
            <v>V46920</v>
          </cell>
          <cell r="J7065" t="str">
            <v>CTC</v>
          </cell>
          <cell r="K7065" t="str">
            <v>YES</v>
          </cell>
        </row>
        <row r="7066">
          <cell r="I7066" t="str">
            <v>V46762</v>
          </cell>
          <cell r="J7066" t="str">
            <v>CTC</v>
          </cell>
          <cell r="K7066" t="str">
            <v>YES</v>
          </cell>
        </row>
        <row r="7067">
          <cell r="I7067" t="str">
            <v>V46764</v>
          </cell>
          <cell r="J7067" t="str">
            <v>CTC</v>
          </cell>
          <cell r="K7067" t="str">
            <v>YES</v>
          </cell>
        </row>
        <row r="7068">
          <cell r="I7068" t="str">
            <v>V46919</v>
          </cell>
          <cell r="J7068" t="str">
            <v>CTC</v>
          </cell>
          <cell r="K7068" t="str">
            <v>YES</v>
          </cell>
        </row>
        <row r="7069">
          <cell r="I7069" t="str">
            <v>V49288</v>
          </cell>
          <cell r="J7069" t="str">
            <v>CTC</v>
          </cell>
          <cell r="K7069" t="str">
            <v>YES</v>
          </cell>
        </row>
        <row r="7070">
          <cell r="I7070" t="str">
            <v>V46468</v>
          </cell>
          <cell r="J7070" t="str">
            <v>CTC</v>
          </cell>
          <cell r="K7070" t="str">
            <v>YES</v>
          </cell>
        </row>
        <row r="7071">
          <cell r="I7071" t="str">
            <v>V46793</v>
          </cell>
          <cell r="J7071" t="str">
            <v>CTC</v>
          </cell>
          <cell r="K7071" t="str">
            <v>YES</v>
          </cell>
        </row>
        <row r="7072">
          <cell r="I7072" t="str">
            <v>V47943</v>
          </cell>
          <cell r="J7072" t="str">
            <v>CTC</v>
          </cell>
          <cell r="K7072" t="str">
            <v>YES</v>
          </cell>
        </row>
        <row r="7073">
          <cell r="I7073" t="str">
            <v>V46503</v>
          </cell>
          <cell r="J7073" t="str">
            <v>CTC</v>
          </cell>
          <cell r="K7073" t="str">
            <v>YES</v>
          </cell>
        </row>
        <row r="7074">
          <cell r="I7074" t="str">
            <v>V47691</v>
          </cell>
          <cell r="J7074" t="str">
            <v>CTC</v>
          </cell>
          <cell r="K7074" t="str">
            <v>YES</v>
          </cell>
        </row>
        <row r="7075">
          <cell r="I7075" t="str">
            <v>V47009</v>
          </cell>
          <cell r="J7075" t="str">
            <v>CTC</v>
          </cell>
          <cell r="K7075" t="str">
            <v>YES</v>
          </cell>
        </row>
        <row r="7076">
          <cell r="I7076" t="str">
            <v>V46753</v>
          </cell>
          <cell r="J7076" t="str">
            <v>CTC</v>
          </cell>
          <cell r="K7076" t="str">
            <v>YES</v>
          </cell>
        </row>
        <row r="7077">
          <cell r="I7077" t="str">
            <v>V46908</v>
          </cell>
          <cell r="J7077" t="str">
            <v>CTC</v>
          </cell>
          <cell r="K7077" t="str">
            <v>YES</v>
          </cell>
        </row>
        <row r="7078">
          <cell r="I7078" t="str">
            <v>V50711</v>
          </cell>
          <cell r="J7078" t="str">
            <v>CTC</v>
          </cell>
          <cell r="K7078" t="str">
            <v>YES</v>
          </cell>
        </row>
        <row r="7079">
          <cell r="I7079" t="str">
            <v>V48565</v>
          </cell>
          <cell r="J7079" t="str">
            <v>CTC</v>
          </cell>
          <cell r="K7079" t="str">
            <v>YES</v>
          </cell>
        </row>
        <row r="7080">
          <cell r="I7080" t="str">
            <v>V47035</v>
          </cell>
          <cell r="J7080" t="str">
            <v>CTC</v>
          </cell>
          <cell r="K7080" t="str">
            <v>YES</v>
          </cell>
        </row>
        <row r="7081">
          <cell r="I7081" t="str">
            <v>V47526</v>
          </cell>
          <cell r="J7081" t="str">
            <v>CTC</v>
          </cell>
          <cell r="K7081" t="str">
            <v>YES</v>
          </cell>
        </row>
        <row r="7082">
          <cell r="I7082" t="str">
            <v>V46803</v>
          </cell>
          <cell r="J7082" t="str">
            <v>CTC</v>
          </cell>
          <cell r="K7082" t="str">
            <v>YES</v>
          </cell>
        </row>
        <row r="7083">
          <cell r="I7083" t="str">
            <v>V47299</v>
          </cell>
          <cell r="J7083" t="str">
            <v>CTC</v>
          </cell>
          <cell r="K7083" t="str">
            <v>YES</v>
          </cell>
        </row>
        <row r="7084">
          <cell r="I7084" t="str">
            <v>V47583</v>
          </cell>
          <cell r="J7084" t="str">
            <v>CTC</v>
          </cell>
          <cell r="K7084" t="str">
            <v>YES</v>
          </cell>
        </row>
        <row r="7085">
          <cell r="I7085" t="str">
            <v>V48248</v>
          </cell>
          <cell r="J7085" t="str">
            <v>CTC</v>
          </cell>
          <cell r="K7085" t="str">
            <v>YES</v>
          </cell>
        </row>
        <row r="7086">
          <cell r="I7086" t="str">
            <v>V47387</v>
          </cell>
          <cell r="J7086" t="str">
            <v>CTC</v>
          </cell>
          <cell r="K7086" t="str">
            <v>YES</v>
          </cell>
        </row>
        <row r="7087">
          <cell r="I7087" t="str">
            <v>V49433</v>
          </cell>
          <cell r="J7087" t="str">
            <v>CTC</v>
          </cell>
          <cell r="K7087" t="str">
            <v>YES</v>
          </cell>
        </row>
        <row r="7088">
          <cell r="I7088" t="str">
            <v>V48924</v>
          </cell>
          <cell r="J7088" t="str">
            <v>CTC</v>
          </cell>
          <cell r="K7088" t="str">
            <v>YES</v>
          </cell>
        </row>
        <row r="7089">
          <cell r="I7089" t="str">
            <v>V46743</v>
          </cell>
          <cell r="J7089" t="str">
            <v>CTC</v>
          </cell>
          <cell r="K7089" t="str">
            <v>YES</v>
          </cell>
        </row>
        <row r="7090">
          <cell r="I7090" t="str">
            <v>V49181</v>
          </cell>
          <cell r="J7090" t="str">
            <v>CTC</v>
          </cell>
          <cell r="K7090" t="str">
            <v>YES</v>
          </cell>
        </row>
        <row r="7091">
          <cell r="I7091" t="str">
            <v>V47621</v>
          </cell>
          <cell r="J7091" t="str">
            <v>CTC</v>
          </cell>
          <cell r="K7091" t="str">
            <v>YES</v>
          </cell>
        </row>
        <row r="7092">
          <cell r="I7092" t="str">
            <v>V46802</v>
          </cell>
          <cell r="J7092" t="str">
            <v>CTC</v>
          </cell>
          <cell r="K7092" t="str">
            <v>YES</v>
          </cell>
        </row>
        <row r="7093">
          <cell r="I7093" t="str">
            <v>V44311</v>
          </cell>
          <cell r="J7093" t="str">
            <v>CTC</v>
          </cell>
          <cell r="K7093" t="str">
            <v>YES</v>
          </cell>
        </row>
        <row r="7094">
          <cell r="I7094" t="str">
            <v>V44419</v>
          </cell>
          <cell r="J7094" t="str">
            <v>CTC</v>
          </cell>
          <cell r="K7094" t="str">
            <v>YES</v>
          </cell>
        </row>
        <row r="7095">
          <cell r="I7095" t="str">
            <v>V48100</v>
          </cell>
          <cell r="J7095" t="str">
            <v>CTC</v>
          </cell>
          <cell r="K7095" t="str">
            <v>YES</v>
          </cell>
        </row>
        <row r="7096">
          <cell r="I7096" t="str">
            <v>V48408</v>
          </cell>
          <cell r="J7096" t="str">
            <v>CTC</v>
          </cell>
          <cell r="K7096" t="str">
            <v>YES</v>
          </cell>
        </row>
        <row r="7097">
          <cell r="I7097" t="str">
            <v>V46342</v>
          </cell>
          <cell r="J7097" t="str">
            <v>CTC</v>
          </cell>
          <cell r="K7097" t="str">
            <v>YES</v>
          </cell>
        </row>
        <row r="7098">
          <cell r="I7098" t="str">
            <v>V51189</v>
          </cell>
          <cell r="J7098" t="str">
            <v>CTC</v>
          </cell>
          <cell r="K7098" t="str">
            <v>YES</v>
          </cell>
        </row>
        <row r="7099">
          <cell r="I7099" t="str">
            <v>V49348</v>
          </cell>
          <cell r="J7099" t="str">
            <v>CTC</v>
          </cell>
          <cell r="K7099" t="str">
            <v>YES</v>
          </cell>
        </row>
        <row r="7100">
          <cell r="I7100" t="str">
            <v>V45897</v>
          </cell>
          <cell r="J7100" t="str">
            <v>CTC</v>
          </cell>
          <cell r="K7100" t="str">
            <v>YES</v>
          </cell>
        </row>
        <row r="7101">
          <cell r="I7101" t="str">
            <v>V48060</v>
          </cell>
          <cell r="J7101" t="str">
            <v>CTC</v>
          </cell>
          <cell r="K7101" t="str">
            <v>YES</v>
          </cell>
        </row>
        <row r="7102">
          <cell r="I7102" t="str">
            <v>V46983</v>
          </cell>
          <cell r="J7102" t="str">
            <v>CTC</v>
          </cell>
          <cell r="K7102" t="str">
            <v>YES</v>
          </cell>
        </row>
        <row r="7103">
          <cell r="I7103" t="str">
            <v>V46846</v>
          </cell>
          <cell r="J7103" t="str">
            <v>CTC</v>
          </cell>
          <cell r="K7103" t="str">
            <v>YES</v>
          </cell>
        </row>
        <row r="7104">
          <cell r="I7104" t="str">
            <v>V47131</v>
          </cell>
          <cell r="J7104" t="str">
            <v>CTC</v>
          </cell>
          <cell r="K7104" t="str">
            <v>YES</v>
          </cell>
        </row>
        <row r="7105">
          <cell r="I7105" t="str">
            <v>V47406</v>
          </cell>
          <cell r="J7105" t="str">
            <v>CTC</v>
          </cell>
          <cell r="K7105" t="str">
            <v>YES</v>
          </cell>
        </row>
        <row r="7106">
          <cell r="I7106" t="str">
            <v>V49638</v>
          </cell>
          <cell r="J7106" t="str">
            <v>CTC</v>
          </cell>
          <cell r="K7106" t="str">
            <v>YES</v>
          </cell>
        </row>
        <row r="7107">
          <cell r="I7107" t="str">
            <v>V47250</v>
          </cell>
          <cell r="J7107" t="str">
            <v>CTC</v>
          </cell>
          <cell r="K7107" t="str">
            <v>YES</v>
          </cell>
        </row>
        <row r="7108">
          <cell r="I7108" t="str">
            <v>V47940</v>
          </cell>
          <cell r="J7108" t="str">
            <v>CTC</v>
          </cell>
          <cell r="K7108" t="str">
            <v>YES</v>
          </cell>
        </row>
        <row r="7109">
          <cell r="I7109" t="str">
            <v>V45410</v>
          </cell>
          <cell r="J7109" t="str">
            <v>CTC</v>
          </cell>
          <cell r="K7109" t="str">
            <v>YES</v>
          </cell>
        </row>
        <row r="7110">
          <cell r="I7110" t="str">
            <v>V48814</v>
          </cell>
          <cell r="J7110" t="str">
            <v>CTC</v>
          </cell>
          <cell r="K7110" t="str">
            <v>YES</v>
          </cell>
        </row>
        <row r="7111">
          <cell r="I7111" t="str">
            <v>V50165</v>
          </cell>
          <cell r="J7111" t="str">
            <v>CTC</v>
          </cell>
          <cell r="K7111" t="str">
            <v>YES</v>
          </cell>
        </row>
        <row r="7112">
          <cell r="I7112" t="str">
            <v>V46388</v>
          </cell>
          <cell r="J7112" t="str">
            <v>CTC</v>
          </cell>
          <cell r="K7112" t="str">
            <v>YES</v>
          </cell>
        </row>
        <row r="7113">
          <cell r="I7113" t="str">
            <v>V46755</v>
          </cell>
          <cell r="J7113" t="str">
            <v>CTC</v>
          </cell>
          <cell r="K7113" t="str">
            <v>YES</v>
          </cell>
        </row>
        <row r="7114">
          <cell r="I7114" t="str">
            <v>V49332</v>
          </cell>
          <cell r="J7114" t="str">
            <v>CTC</v>
          </cell>
          <cell r="K7114" t="str">
            <v>YES</v>
          </cell>
        </row>
        <row r="7115">
          <cell r="I7115" t="str">
            <v>V51661</v>
          </cell>
          <cell r="J7115" t="str">
            <v>STAT</v>
          </cell>
          <cell r="K7115" t="str">
            <v>YES</v>
          </cell>
        </row>
        <row r="7116">
          <cell r="I7116" t="str">
            <v>V48407</v>
          </cell>
          <cell r="J7116" t="str">
            <v>CTC</v>
          </cell>
          <cell r="K7116" t="str">
            <v>YES</v>
          </cell>
        </row>
        <row r="7117">
          <cell r="I7117" t="str">
            <v>V47833</v>
          </cell>
          <cell r="J7117" t="str">
            <v>CTC</v>
          </cell>
          <cell r="K7117" t="str">
            <v>YES</v>
          </cell>
        </row>
        <row r="7118">
          <cell r="I7118" t="str">
            <v>V47689</v>
          </cell>
          <cell r="J7118" t="str">
            <v>CTC</v>
          </cell>
          <cell r="K7118" t="str">
            <v>YES</v>
          </cell>
        </row>
        <row r="7119">
          <cell r="I7119" t="str">
            <v>V46923</v>
          </cell>
          <cell r="J7119" t="str">
            <v>CTC</v>
          </cell>
          <cell r="K7119" t="str">
            <v>YES</v>
          </cell>
        </row>
        <row r="7120">
          <cell r="I7120" t="str">
            <v>V47622</v>
          </cell>
          <cell r="J7120" t="str">
            <v>CTC</v>
          </cell>
          <cell r="K7120" t="str">
            <v>YES</v>
          </cell>
        </row>
        <row r="7121">
          <cell r="I7121" t="str">
            <v>V47476</v>
          </cell>
          <cell r="J7121" t="str">
            <v>CTC</v>
          </cell>
          <cell r="K7121" t="str">
            <v>YES</v>
          </cell>
        </row>
        <row r="7122">
          <cell r="I7122" t="str">
            <v>V47424</v>
          </cell>
          <cell r="J7122" t="str">
            <v>CTC</v>
          </cell>
          <cell r="K7122" t="str">
            <v>YES</v>
          </cell>
        </row>
        <row r="7123">
          <cell r="I7123" t="str">
            <v>V48512</v>
          </cell>
          <cell r="J7123" t="str">
            <v>CTC</v>
          </cell>
          <cell r="K7123" t="str">
            <v>YES</v>
          </cell>
        </row>
        <row r="7124">
          <cell r="I7124" t="str">
            <v>V47034</v>
          </cell>
          <cell r="J7124" t="str">
            <v>CTC</v>
          </cell>
          <cell r="K7124" t="str">
            <v>YES</v>
          </cell>
        </row>
        <row r="7125">
          <cell r="I7125" t="str">
            <v>V48076</v>
          </cell>
          <cell r="J7125" t="str">
            <v>CTC</v>
          </cell>
          <cell r="K7125" t="str">
            <v>YES</v>
          </cell>
        </row>
        <row r="7126">
          <cell r="I7126" t="str">
            <v>V49116</v>
          </cell>
          <cell r="J7126" t="str">
            <v>CTC</v>
          </cell>
          <cell r="K7126" t="str">
            <v>YES</v>
          </cell>
        </row>
        <row r="7127">
          <cell r="I7127" t="str">
            <v>V49600</v>
          </cell>
          <cell r="J7127" t="str">
            <v>CTC</v>
          </cell>
          <cell r="K7127" t="str">
            <v>YES</v>
          </cell>
        </row>
        <row r="7128">
          <cell r="I7128" t="str">
            <v>V48288</v>
          </cell>
          <cell r="J7128" t="str">
            <v>CTC</v>
          </cell>
          <cell r="K7128" t="str">
            <v>YES</v>
          </cell>
        </row>
        <row r="7129">
          <cell r="I7129" t="str">
            <v>V45198</v>
          </cell>
          <cell r="J7129" t="str">
            <v>CTC</v>
          </cell>
          <cell r="K7129" t="str">
            <v>YES</v>
          </cell>
        </row>
        <row r="7130">
          <cell r="I7130" t="str">
            <v>V47185</v>
          </cell>
          <cell r="J7130" t="str">
            <v>CTC</v>
          </cell>
          <cell r="K7130" t="str">
            <v>YES</v>
          </cell>
        </row>
        <row r="7131">
          <cell r="I7131" t="str">
            <v>V47513</v>
          </cell>
          <cell r="J7131" t="str">
            <v>CTC</v>
          </cell>
          <cell r="K7131" t="str">
            <v>YES</v>
          </cell>
        </row>
        <row r="7132">
          <cell r="I7132" t="str">
            <v>V47585</v>
          </cell>
          <cell r="J7132" t="str">
            <v>CTC</v>
          </cell>
          <cell r="K7132" t="str">
            <v>YES</v>
          </cell>
        </row>
        <row r="7133">
          <cell r="I7133" t="str">
            <v>V47643</v>
          </cell>
          <cell r="J7133" t="str">
            <v>CTC</v>
          </cell>
          <cell r="K7133" t="str">
            <v>YES</v>
          </cell>
        </row>
        <row r="7134">
          <cell r="I7134" t="str">
            <v>V47653</v>
          </cell>
          <cell r="J7134" t="str">
            <v>CTC</v>
          </cell>
          <cell r="K7134" t="str">
            <v>YES</v>
          </cell>
        </row>
        <row r="7135">
          <cell r="I7135" t="str">
            <v>V46893</v>
          </cell>
          <cell r="J7135" t="str">
            <v>CTC</v>
          </cell>
          <cell r="K7135" t="str">
            <v>YES</v>
          </cell>
        </row>
        <row r="7136">
          <cell r="I7136" t="str">
            <v>V46913</v>
          </cell>
          <cell r="J7136" t="str">
            <v>CTC</v>
          </cell>
          <cell r="K7136" t="str">
            <v>YES</v>
          </cell>
        </row>
        <row r="7137">
          <cell r="I7137" t="str">
            <v>V49367</v>
          </cell>
          <cell r="J7137" t="str">
            <v>CTC</v>
          </cell>
          <cell r="K7137" t="str">
            <v>YES</v>
          </cell>
        </row>
        <row r="7138">
          <cell r="I7138" t="str">
            <v>V47950</v>
          </cell>
          <cell r="J7138" t="str">
            <v>CTC</v>
          </cell>
          <cell r="K7138" t="str">
            <v>YES</v>
          </cell>
        </row>
        <row r="7139">
          <cell r="I7139" t="str">
            <v>V49911</v>
          </cell>
          <cell r="J7139" t="str">
            <v>CTC</v>
          </cell>
          <cell r="K7139" t="str">
            <v>YES</v>
          </cell>
        </row>
        <row r="7140">
          <cell r="I7140" t="str">
            <v>V47763</v>
          </cell>
          <cell r="J7140" t="str">
            <v>CTC</v>
          </cell>
          <cell r="K7140" t="str">
            <v>YES</v>
          </cell>
        </row>
        <row r="7141">
          <cell r="I7141" t="str">
            <v>V48123</v>
          </cell>
          <cell r="J7141" t="str">
            <v>CTC</v>
          </cell>
          <cell r="K7141" t="str">
            <v>YES</v>
          </cell>
        </row>
        <row r="7142">
          <cell r="I7142" t="str">
            <v>V48994</v>
          </cell>
          <cell r="J7142" t="str">
            <v>CTC</v>
          </cell>
          <cell r="K7142" t="str">
            <v>YES</v>
          </cell>
        </row>
        <row r="7143">
          <cell r="I7143" t="str">
            <v>V47697</v>
          </cell>
          <cell r="J7143" t="str">
            <v>CTC</v>
          </cell>
          <cell r="K7143" t="str">
            <v>YES</v>
          </cell>
        </row>
        <row r="7144">
          <cell r="I7144" t="str">
            <v>V47714</v>
          </cell>
          <cell r="J7144" t="str">
            <v>CTC</v>
          </cell>
          <cell r="K7144" t="str">
            <v>YES</v>
          </cell>
        </row>
        <row r="7145">
          <cell r="I7145" t="str">
            <v>V48409</v>
          </cell>
          <cell r="J7145" t="str">
            <v>CTC</v>
          </cell>
          <cell r="K7145" t="str">
            <v>YES</v>
          </cell>
        </row>
        <row r="7146">
          <cell r="I7146" t="str">
            <v>V47840</v>
          </cell>
          <cell r="J7146" t="str">
            <v>CTC</v>
          </cell>
          <cell r="K7146" t="str">
            <v>YES</v>
          </cell>
        </row>
        <row r="7147">
          <cell r="I7147" t="str">
            <v>V46922</v>
          </cell>
          <cell r="J7147" t="str">
            <v>CTC</v>
          </cell>
          <cell r="K7147" t="str">
            <v>YES</v>
          </cell>
        </row>
        <row r="7148">
          <cell r="I7148" t="str">
            <v>V47753</v>
          </cell>
          <cell r="J7148" t="str">
            <v>CTC</v>
          </cell>
          <cell r="K7148" t="str">
            <v>YES</v>
          </cell>
        </row>
        <row r="7149">
          <cell r="I7149" t="str">
            <v>V47237</v>
          </cell>
          <cell r="J7149" t="str">
            <v>CTC</v>
          </cell>
          <cell r="K7149" t="str">
            <v>YES</v>
          </cell>
        </row>
        <row r="7150">
          <cell r="I7150" t="str">
            <v>V47939</v>
          </cell>
          <cell r="J7150" t="str">
            <v>CTC</v>
          </cell>
          <cell r="K7150" t="str">
            <v>YES</v>
          </cell>
        </row>
        <row r="7151">
          <cell r="I7151" t="str">
            <v>V48383</v>
          </cell>
          <cell r="J7151" t="str">
            <v>CTC</v>
          </cell>
          <cell r="K7151" t="str">
            <v>YES</v>
          </cell>
        </row>
        <row r="7152">
          <cell r="I7152" t="str">
            <v>V43924</v>
          </cell>
          <cell r="J7152" t="str">
            <v>CTC</v>
          </cell>
          <cell r="K7152" t="str">
            <v>YES</v>
          </cell>
        </row>
        <row r="7153">
          <cell r="I7153" t="str">
            <v>V46801</v>
          </cell>
          <cell r="J7153" t="str">
            <v>CTC</v>
          </cell>
          <cell r="K7153" t="str">
            <v>YES</v>
          </cell>
        </row>
        <row r="7154">
          <cell r="I7154" t="str">
            <v>V47070</v>
          </cell>
          <cell r="J7154" t="str">
            <v>CTC</v>
          </cell>
          <cell r="K7154" t="str">
            <v>YES</v>
          </cell>
        </row>
        <row r="7155">
          <cell r="I7155" t="str">
            <v>V46896</v>
          </cell>
          <cell r="J7155" t="str">
            <v>CTC</v>
          </cell>
          <cell r="K7155" t="str">
            <v>YES</v>
          </cell>
        </row>
        <row r="7156">
          <cell r="I7156" t="str">
            <v>V48840</v>
          </cell>
          <cell r="J7156" t="str">
            <v>CTC</v>
          </cell>
          <cell r="K7156" t="str">
            <v>YES</v>
          </cell>
        </row>
        <row r="7157">
          <cell r="I7157" t="str">
            <v>V47308</v>
          </cell>
          <cell r="J7157" t="str">
            <v>CTC</v>
          </cell>
          <cell r="K7157" t="str">
            <v>YES</v>
          </cell>
        </row>
        <row r="7158">
          <cell r="I7158" t="str">
            <v>V48544</v>
          </cell>
          <cell r="J7158" t="str">
            <v>CTC</v>
          </cell>
          <cell r="K7158" t="str">
            <v>YES</v>
          </cell>
        </row>
        <row r="7159">
          <cell r="I7159" t="str">
            <v>V48254</v>
          </cell>
          <cell r="J7159" t="str">
            <v>CTC</v>
          </cell>
          <cell r="K7159" t="str">
            <v>YES</v>
          </cell>
        </row>
        <row r="7160">
          <cell r="I7160" t="str">
            <v>V48088</v>
          </cell>
          <cell r="J7160" t="str">
            <v>CTC</v>
          </cell>
          <cell r="K7160" t="str">
            <v>YES</v>
          </cell>
        </row>
        <row r="7161">
          <cell r="I7161" t="str">
            <v>V50895</v>
          </cell>
          <cell r="J7161" t="str">
            <v>STAT</v>
          </cell>
          <cell r="K7161" t="str">
            <v>YES</v>
          </cell>
        </row>
        <row r="7162">
          <cell r="I7162" t="str">
            <v>V47617</v>
          </cell>
          <cell r="J7162" t="str">
            <v>CTC</v>
          </cell>
          <cell r="K7162" t="str">
            <v>YES</v>
          </cell>
        </row>
        <row r="7163">
          <cell r="I7163" t="str">
            <v>V47648</v>
          </cell>
          <cell r="J7163" t="str">
            <v>CTC</v>
          </cell>
          <cell r="K7163" t="str">
            <v>YES</v>
          </cell>
        </row>
        <row r="7164">
          <cell r="I7164" t="str">
            <v>V46815</v>
          </cell>
          <cell r="J7164" t="str">
            <v>CTC</v>
          </cell>
          <cell r="K7164" t="str">
            <v>YES</v>
          </cell>
        </row>
        <row r="7165">
          <cell r="I7165" t="str">
            <v>V49228</v>
          </cell>
          <cell r="J7165" t="str">
            <v>CTC</v>
          </cell>
          <cell r="K7165" t="str">
            <v>YES</v>
          </cell>
        </row>
        <row r="7166">
          <cell r="I7166" t="str">
            <v>V46038</v>
          </cell>
          <cell r="J7166" t="str">
            <v>CTC</v>
          </cell>
          <cell r="K7166" t="str">
            <v>YES</v>
          </cell>
        </row>
        <row r="7167">
          <cell r="I7167" t="str">
            <v>V47530</v>
          </cell>
          <cell r="J7167" t="str">
            <v>CTC</v>
          </cell>
          <cell r="K7167" t="str">
            <v>YES</v>
          </cell>
        </row>
        <row r="7168">
          <cell r="I7168" t="str">
            <v>V48256</v>
          </cell>
          <cell r="J7168" t="str">
            <v>CTC</v>
          </cell>
          <cell r="K7168" t="str">
            <v>YES</v>
          </cell>
        </row>
        <row r="7169">
          <cell r="I7169" t="str">
            <v>V46757</v>
          </cell>
          <cell r="J7169" t="str">
            <v>CTC</v>
          </cell>
          <cell r="K7169" t="str">
            <v>YES</v>
          </cell>
        </row>
        <row r="7170">
          <cell r="I7170" t="str">
            <v>V48516</v>
          </cell>
          <cell r="J7170" t="str">
            <v>CTC</v>
          </cell>
          <cell r="K7170" t="str">
            <v>YES</v>
          </cell>
        </row>
        <row r="7171">
          <cell r="I7171" t="str">
            <v>V48236</v>
          </cell>
          <cell r="J7171" t="str">
            <v>CTC</v>
          </cell>
          <cell r="K7171" t="str">
            <v>YES</v>
          </cell>
        </row>
        <row r="7172">
          <cell r="I7172" t="str">
            <v>V49840</v>
          </cell>
          <cell r="J7172" t="str">
            <v>CTC</v>
          </cell>
          <cell r="K7172" t="str">
            <v>YES</v>
          </cell>
        </row>
        <row r="7173">
          <cell r="I7173" t="str">
            <v>V48137</v>
          </cell>
          <cell r="J7173" t="str">
            <v>CTC</v>
          </cell>
          <cell r="K7173" t="str">
            <v>YES</v>
          </cell>
        </row>
        <row r="7174">
          <cell r="I7174" t="str">
            <v>V47860</v>
          </cell>
          <cell r="J7174" t="str">
            <v>CTC</v>
          </cell>
          <cell r="K7174" t="str">
            <v>YES</v>
          </cell>
        </row>
        <row r="7175">
          <cell r="I7175" t="str">
            <v>V47616</v>
          </cell>
          <cell r="J7175" t="str">
            <v>CTC</v>
          </cell>
          <cell r="K7175" t="str">
            <v>YES</v>
          </cell>
        </row>
        <row r="7176">
          <cell r="I7176" t="str">
            <v>V47713</v>
          </cell>
          <cell r="J7176" t="str">
            <v>CTC</v>
          </cell>
          <cell r="K7176" t="str">
            <v>YES</v>
          </cell>
        </row>
        <row r="7177">
          <cell r="I7177" t="str">
            <v>V47612</v>
          </cell>
          <cell r="J7177" t="str">
            <v>CTC</v>
          </cell>
          <cell r="K7177" t="str">
            <v>YES</v>
          </cell>
        </row>
        <row r="7178">
          <cell r="I7178" t="str">
            <v>V48149</v>
          </cell>
          <cell r="J7178" t="str">
            <v>CTC</v>
          </cell>
          <cell r="K7178" t="str">
            <v>YES</v>
          </cell>
        </row>
        <row r="7179">
          <cell r="I7179" t="str">
            <v>V47380</v>
          </cell>
          <cell r="J7179" t="str">
            <v>CTC</v>
          </cell>
          <cell r="K7179" t="str">
            <v>YES</v>
          </cell>
        </row>
        <row r="7180">
          <cell r="I7180" t="str">
            <v>V47874</v>
          </cell>
          <cell r="J7180" t="str">
            <v>CTC</v>
          </cell>
          <cell r="K7180" t="str">
            <v>YES</v>
          </cell>
        </row>
        <row r="7181">
          <cell r="I7181" t="str">
            <v>V47794</v>
          </cell>
          <cell r="J7181" t="str">
            <v>CTC</v>
          </cell>
          <cell r="K7181" t="str">
            <v>YES</v>
          </cell>
        </row>
        <row r="7182">
          <cell r="I7182" t="str">
            <v>V49331</v>
          </cell>
          <cell r="J7182" t="str">
            <v>CTC</v>
          </cell>
          <cell r="K7182" t="str">
            <v>YES</v>
          </cell>
        </row>
        <row r="7183">
          <cell r="I7183" t="str">
            <v>V49254</v>
          </cell>
          <cell r="J7183" t="str">
            <v>CTC</v>
          </cell>
          <cell r="K7183" t="str">
            <v>YES</v>
          </cell>
        </row>
        <row r="7184">
          <cell r="I7184" t="str">
            <v>V47516</v>
          </cell>
          <cell r="J7184" t="str">
            <v>CTC</v>
          </cell>
          <cell r="K7184" t="str">
            <v>YES</v>
          </cell>
        </row>
        <row r="7185">
          <cell r="I7185" t="str">
            <v>V45925</v>
          </cell>
          <cell r="J7185" t="str">
            <v>CTC</v>
          </cell>
          <cell r="K7185" t="str">
            <v>YES</v>
          </cell>
        </row>
        <row r="7186">
          <cell r="I7186" t="str">
            <v>V48304</v>
          </cell>
          <cell r="J7186" t="str">
            <v>CTC</v>
          </cell>
          <cell r="K7186" t="str">
            <v>YES</v>
          </cell>
        </row>
        <row r="7187">
          <cell r="I7187" t="str">
            <v>V48663</v>
          </cell>
          <cell r="J7187" t="str">
            <v>CTC</v>
          </cell>
          <cell r="K7187" t="str">
            <v>YES</v>
          </cell>
        </row>
        <row r="7188">
          <cell r="I7188" t="str">
            <v>V47281</v>
          </cell>
          <cell r="J7188" t="str">
            <v>CTC</v>
          </cell>
          <cell r="K7188" t="str">
            <v>YES</v>
          </cell>
        </row>
        <row r="7189">
          <cell r="I7189" t="str">
            <v>V47908</v>
          </cell>
          <cell r="J7189" t="str">
            <v>CTC</v>
          </cell>
          <cell r="K7189" t="str">
            <v>YES</v>
          </cell>
        </row>
        <row r="7190">
          <cell r="I7190" t="str">
            <v>V50355</v>
          </cell>
          <cell r="J7190" t="str">
            <v>CTC</v>
          </cell>
          <cell r="K7190" t="str">
            <v>YES</v>
          </cell>
        </row>
        <row r="7191">
          <cell r="I7191" t="str">
            <v>V46530</v>
          </cell>
          <cell r="J7191" t="str">
            <v>CTC</v>
          </cell>
          <cell r="K7191" t="str">
            <v>YES</v>
          </cell>
        </row>
        <row r="7192">
          <cell r="I7192" t="str">
            <v>V48404</v>
          </cell>
          <cell r="J7192" t="str">
            <v>CTC</v>
          </cell>
          <cell r="K7192" t="str">
            <v>YES</v>
          </cell>
        </row>
        <row r="7193">
          <cell r="I7193" t="str">
            <v>V47871</v>
          </cell>
          <cell r="J7193" t="str">
            <v>CTC</v>
          </cell>
          <cell r="K7193" t="str">
            <v>YES</v>
          </cell>
        </row>
        <row r="7194">
          <cell r="I7194" t="str">
            <v>V47637</v>
          </cell>
          <cell r="J7194" t="str">
            <v>CTC</v>
          </cell>
          <cell r="K7194" t="str">
            <v>YES</v>
          </cell>
        </row>
        <row r="7195">
          <cell r="I7195" t="str">
            <v>V48140</v>
          </cell>
          <cell r="J7195" t="str">
            <v>CTC</v>
          </cell>
          <cell r="K7195" t="str">
            <v>YES</v>
          </cell>
        </row>
        <row r="7196">
          <cell r="I7196" t="str">
            <v>V45833</v>
          </cell>
          <cell r="J7196" t="str">
            <v>CTC</v>
          </cell>
          <cell r="K7196" t="str">
            <v>YES</v>
          </cell>
        </row>
        <row r="7197">
          <cell r="I7197" t="str">
            <v>V49617</v>
          </cell>
          <cell r="J7197" t="str">
            <v>CTC</v>
          </cell>
          <cell r="K7197" t="str">
            <v>YES</v>
          </cell>
        </row>
        <row r="7198">
          <cell r="I7198" t="str">
            <v>V47269</v>
          </cell>
          <cell r="J7198" t="str">
            <v>CTC</v>
          </cell>
          <cell r="K7198" t="str">
            <v>YES</v>
          </cell>
        </row>
        <row r="7199">
          <cell r="I7199" t="str">
            <v>V47271</v>
          </cell>
          <cell r="J7199" t="str">
            <v>CTC</v>
          </cell>
          <cell r="K7199" t="str">
            <v>YES</v>
          </cell>
        </row>
        <row r="7200">
          <cell r="I7200" t="str">
            <v>V48179</v>
          </cell>
          <cell r="J7200" t="str">
            <v>CTC</v>
          </cell>
          <cell r="K7200" t="str">
            <v>YES</v>
          </cell>
        </row>
        <row r="7201">
          <cell r="I7201" t="str">
            <v>V48020</v>
          </cell>
          <cell r="J7201" t="str">
            <v>CTC</v>
          </cell>
          <cell r="K7201" t="str">
            <v>YES</v>
          </cell>
        </row>
        <row r="7202">
          <cell r="I7202" t="str">
            <v>V48505</v>
          </cell>
          <cell r="J7202" t="str">
            <v>CTC</v>
          </cell>
          <cell r="K7202" t="str">
            <v>YES</v>
          </cell>
        </row>
        <row r="7203">
          <cell r="I7203" t="str">
            <v>V46191</v>
          </cell>
          <cell r="J7203" t="str">
            <v>CTC</v>
          </cell>
          <cell r="K7203" t="str">
            <v>YES</v>
          </cell>
        </row>
        <row r="7204">
          <cell r="I7204" t="str">
            <v>V47041</v>
          </cell>
          <cell r="J7204" t="str">
            <v>CTC</v>
          </cell>
          <cell r="K7204" t="str">
            <v>YES</v>
          </cell>
        </row>
        <row r="7205">
          <cell r="I7205" t="str">
            <v>V46147</v>
          </cell>
          <cell r="J7205" t="str">
            <v>CTC</v>
          </cell>
          <cell r="K7205" t="str">
            <v>YES</v>
          </cell>
        </row>
        <row r="7206">
          <cell r="I7206" t="str">
            <v>V48401</v>
          </cell>
          <cell r="J7206" t="str">
            <v>CTC</v>
          </cell>
          <cell r="K7206" t="str">
            <v>YES</v>
          </cell>
        </row>
        <row r="7207">
          <cell r="I7207" t="str">
            <v>V49103</v>
          </cell>
          <cell r="J7207" t="str">
            <v>CTC</v>
          </cell>
          <cell r="K7207" t="str">
            <v>YES</v>
          </cell>
        </row>
        <row r="7208">
          <cell r="I7208" t="str">
            <v>V49191</v>
          </cell>
          <cell r="J7208" t="str">
            <v>CTC</v>
          </cell>
          <cell r="K7208" t="str">
            <v>YES</v>
          </cell>
        </row>
        <row r="7209">
          <cell r="I7209" t="str">
            <v>V49377</v>
          </cell>
          <cell r="J7209" t="str">
            <v>CTC</v>
          </cell>
          <cell r="K7209" t="str">
            <v>YES</v>
          </cell>
        </row>
        <row r="7210">
          <cell r="I7210" t="str">
            <v>V47455</v>
          </cell>
          <cell r="J7210" t="str">
            <v>CTC</v>
          </cell>
          <cell r="K7210" t="str">
            <v>YES</v>
          </cell>
        </row>
        <row r="7211">
          <cell r="I7211" t="str">
            <v>V49423</v>
          </cell>
          <cell r="J7211" t="str">
            <v>CTC</v>
          </cell>
          <cell r="K7211" t="str">
            <v>YES</v>
          </cell>
        </row>
        <row r="7212">
          <cell r="I7212" t="str">
            <v>V46365</v>
          </cell>
          <cell r="J7212" t="str">
            <v>CTC</v>
          </cell>
          <cell r="K7212" t="str">
            <v>YES</v>
          </cell>
        </row>
        <row r="7213">
          <cell r="I7213" t="str">
            <v>V46029</v>
          </cell>
          <cell r="J7213" t="str">
            <v>CTC</v>
          </cell>
          <cell r="K7213" t="str">
            <v>YES</v>
          </cell>
        </row>
        <row r="7214">
          <cell r="I7214" t="str">
            <v>V46928</v>
          </cell>
          <cell r="J7214" t="str">
            <v>CTC</v>
          </cell>
          <cell r="K7214" t="str">
            <v>YES</v>
          </cell>
        </row>
        <row r="7215">
          <cell r="I7215" t="str">
            <v>V46734</v>
          </cell>
          <cell r="J7215" t="str">
            <v>CTC</v>
          </cell>
          <cell r="K7215" t="str">
            <v>YES</v>
          </cell>
        </row>
        <row r="7216">
          <cell r="I7216" t="str">
            <v>V48540</v>
          </cell>
          <cell r="J7216" t="str">
            <v>CTC</v>
          </cell>
          <cell r="K7216" t="str">
            <v>YES</v>
          </cell>
        </row>
        <row r="7217">
          <cell r="I7217" t="str">
            <v>V48327</v>
          </cell>
          <cell r="J7217" t="str">
            <v>CTC</v>
          </cell>
          <cell r="K7217" t="str">
            <v>YES</v>
          </cell>
        </row>
        <row r="7218">
          <cell r="I7218" t="str">
            <v>V49033</v>
          </cell>
          <cell r="J7218" t="str">
            <v>CTC</v>
          </cell>
          <cell r="K7218" t="str">
            <v>YES</v>
          </cell>
        </row>
        <row r="7219">
          <cell r="I7219" t="str">
            <v>V46910</v>
          </cell>
          <cell r="J7219" t="str">
            <v>CTC</v>
          </cell>
          <cell r="K7219" t="str">
            <v>YES</v>
          </cell>
        </row>
        <row r="7220">
          <cell r="I7220" t="str">
            <v>V50024</v>
          </cell>
          <cell r="J7220" t="str">
            <v>CTC</v>
          </cell>
          <cell r="K7220" t="str">
            <v>YES</v>
          </cell>
        </row>
        <row r="7221">
          <cell r="I7221" t="str">
            <v>V48055</v>
          </cell>
          <cell r="J7221" t="str">
            <v>CTC</v>
          </cell>
          <cell r="K7221" t="str">
            <v>YES</v>
          </cell>
        </row>
        <row r="7222">
          <cell r="I7222" t="str">
            <v>V49037</v>
          </cell>
          <cell r="J7222" t="str">
            <v>CTC</v>
          </cell>
          <cell r="K7222" t="str">
            <v>YES</v>
          </cell>
        </row>
        <row r="7223">
          <cell r="I7223" t="str">
            <v>V47473</v>
          </cell>
          <cell r="J7223" t="str">
            <v>CTC</v>
          </cell>
          <cell r="K7223" t="str">
            <v>YES</v>
          </cell>
        </row>
        <row r="7224">
          <cell r="I7224" t="str">
            <v>V47474</v>
          </cell>
          <cell r="J7224" t="str">
            <v>CTC</v>
          </cell>
          <cell r="K7224" t="str">
            <v>YES</v>
          </cell>
        </row>
        <row r="7225">
          <cell r="I7225" t="str">
            <v>V49610</v>
          </cell>
          <cell r="J7225" t="str">
            <v>CTC</v>
          </cell>
          <cell r="K7225" t="str">
            <v>YES</v>
          </cell>
        </row>
        <row r="7226">
          <cell r="I7226" t="str">
            <v>V47983</v>
          </cell>
          <cell r="J7226" t="str">
            <v>CTC</v>
          </cell>
          <cell r="K7226" t="str">
            <v>YES</v>
          </cell>
        </row>
        <row r="7227">
          <cell r="I7227" t="str">
            <v>V48098</v>
          </cell>
          <cell r="J7227" t="str">
            <v>CTC</v>
          </cell>
          <cell r="K7227" t="str">
            <v>YES</v>
          </cell>
        </row>
        <row r="7228">
          <cell r="I7228" t="str">
            <v>V47608</v>
          </cell>
          <cell r="J7228" t="str">
            <v>CTC</v>
          </cell>
          <cell r="K7228" t="str">
            <v>YES</v>
          </cell>
        </row>
        <row r="7229">
          <cell r="I7229" t="str">
            <v>V49243</v>
          </cell>
          <cell r="J7229" t="str">
            <v>CTC</v>
          </cell>
          <cell r="K7229" t="str">
            <v>YES</v>
          </cell>
        </row>
        <row r="7230">
          <cell r="I7230" t="str">
            <v>V49734</v>
          </cell>
          <cell r="J7230" t="str">
            <v>CTC</v>
          </cell>
          <cell r="K7230" t="str">
            <v>YES</v>
          </cell>
        </row>
        <row r="7231">
          <cell r="I7231" t="str">
            <v>V47233</v>
          </cell>
          <cell r="J7231" t="str">
            <v>CTC</v>
          </cell>
          <cell r="K7231" t="str">
            <v>YES</v>
          </cell>
        </row>
        <row r="7232">
          <cell r="I7232" t="str">
            <v>V47876</v>
          </cell>
          <cell r="J7232" t="str">
            <v>CTC</v>
          </cell>
          <cell r="K7232" t="str">
            <v>YES</v>
          </cell>
        </row>
        <row r="7233">
          <cell r="I7233" t="str">
            <v>V48003</v>
          </cell>
          <cell r="J7233" t="str">
            <v>CTC</v>
          </cell>
          <cell r="K7233" t="str">
            <v>YES</v>
          </cell>
        </row>
        <row r="7234">
          <cell r="I7234" t="str">
            <v>V48004</v>
          </cell>
          <cell r="J7234" t="str">
            <v>CTC</v>
          </cell>
          <cell r="K7234" t="str">
            <v>YES</v>
          </cell>
        </row>
        <row r="7235">
          <cell r="I7235" t="str">
            <v>V48062</v>
          </cell>
          <cell r="J7235" t="str">
            <v>CTC</v>
          </cell>
          <cell r="K7235" t="str">
            <v>YES</v>
          </cell>
        </row>
        <row r="7236">
          <cell r="I7236" t="str">
            <v>V49546</v>
          </cell>
          <cell r="J7236" t="str">
            <v>CTC</v>
          </cell>
          <cell r="K7236" t="str">
            <v>YES</v>
          </cell>
        </row>
        <row r="7237">
          <cell r="I7237" t="str">
            <v>V47343</v>
          </cell>
          <cell r="J7237" t="str">
            <v>CTC</v>
          </cell>
          <cell r="K7237" t="str">
            <v>YES</v>
          </cell>
        </row>
        <row r="7238">
          <cell r="I7238" t="str">
            <v>V48225</v>
          </cell>
          <cell r="J7238" t="str">
            <v>CTC</v>
          </cell>
          <cell r="K7238" t="str">
            <v>YES</v>
          </cell>
        </row>
        <row r="7239">
          <cell r="I7239" t="str">
            <v>V47152</v>
          </cell>
          <cell r="J7239" t="str">
            <v>CTC</v>
          </cell>
          <cell r="K7239" t="str">
            <v>YES</v>
          </cell>
        </row>
        <row r="7240">
          <cell r="I7240" t="str">
            <v>V45593</v>
          </cell>
          <cell r="J7240" t="str">
            <v>CTC</v>
          </cell>
          <cell r="K7240" t="str">
            <v>YES</v>
          </cell>
        </row>
        <row r="7241">
          <cell r="I7241" t="str">
            <v>V46845</v>
          </cell>
          <cell r="J7241" t="str">
            <v>CTC</v>
          </cell>
          <cell r="K7241" t="str">
            <v>YES</v>
          </cell>
        </row>
        <row r="7242">
          <cell r="I7242" t="str">
            <v>V47629</v>
          </cell>
          <cell r="J7242" t="str">
            <v>CTC</v>
          </cell>
          <cell r="K7242" t="str">
            <v>YES</v>
          </cell>
        </row>
        <row r="7243">
          <cell r="I7243" t="str">
            <v>V50154</v>
          </cell>
          <cell r="J7243" t="str">
            <v>CTC</v>
          </cell>
          <cell r="K7243" t="str">
            <v>YES</v>
          </cell>
        </row>
        <row r="7244">
          <cell r="I7244" t="str">
            <v>V47872</v>
          </cell>
          <cell r="J7244" t="str">
            <v>CTC</v>
          </cell>
          <cell r="K7244" t="str">
            <v>YES</v>
          </cell>
        </row>
        <row r="7245">
          <cell r="I7245" t="str">
            <v>V48036</v>
          </cell>
          <cell r="J7245" t="str">
            <v>CTC</v>
          </cell>
          <cell r="K7245" t="str">
            <v>YES</v>
          </cell>
        </row>
        <row r="7246">
          <cell r="I7246" t="str">
            <v>V48057</v>
          </cell>
          <cell r="J7246" t="str">
            <v>CTC</v>
          </cell>
          <cell r="K7246" t="str">
            <v>YES</v>
          </cell>
        </row>
        <row r="7247">
          <cell r="I7247" t="str">
            <v>V50142</v>
          </cell>
          <cell r="J7247" t="str">
            <v>CTC</v>
          </cell>
          <cell r="K7247" t="str">
            <v>YES</v>
          </cell>
        </row>
        <row r="7248">
          <cell r="I7248" t="str">
            <v>V47855</v>
          </cell>
          <cell r="J7248" t="str">
            <v>CTC</v>
          </cell>
          <cell r="K7248" t="str">
            <v>YES</v>
          </cell>
        </row>
        <row r="7249">
          <cell r="I7249" t="str">
            <v>V46791</v>
          </cell>
          <cell r="J7249" t="str">
            <v>CTC</v>
          </cell>
          <cell r="K7249" t="str">
            <v>YES</v>
          </cell>
        </row>
        <row r="7250">
          <cell r="I7250" t="str">
            <v>V47870</v>
          </cell>
          <cell r="J7250" t="str">
            <v>CTC</v>
          </cell>
          <cell r="K7250" t="str">
            <v>YES</v>
          </cell>
        </row>
        <row r="7251">
          <cell r="I7251" t="str">
            <v>V49021</v>
          </cell>
          <cell r="J7251" t="str">
            <v>CTC</v>
          </cell>
          <cell r="K7251" t="str">
            <v>YES</v>
          </cell>
        </row>
        <row r="7252">
          <cell r="I7252" t="str">
            <v>V49418</v>
          </cell>
          <cell r="J7252" t="str">
            <v>CTC</v>
          </cell>
          <cell r="K7252" t="str">
            <v>YES</v>
          </cell>
        </row>
        <row r="7253">
          <cell r="I7253" t="str">
            <v>V49947</v>
          </cell>
          <cell r="J7253" t="str">
            <v>CTC</v>
          </cell>
          <cell r="K7253" t="str">
            <v>YES</v>
          </cell>
        </row>
        <row r="7254">
          <cell r="I7254" t="str">
            <v>V48566</v>
          </cell>
          <cell r="J7254" t="str">
            <v>CTC</v>
          </cell>
          <cell r="K7254" t="str">
            <v>YES</v>
          </cell>
        </row>
        <row r="7255">
          <cell r="I7255" t="str">
            <v>V48226</v>
          </cell>
          <cell r="J7255" t="str">
            <v>CTC</v>
          </cell>
          <cell r="K7255" t="str">
            <v>YES</v>
          </cell>
        </row>
        <row r="7256">
          <cell r="I7256" t="str">
            <v>V47826</v>
          </cell>
          <cell r="J7256" t="str">
            <v>CTC</v>
          </cell>
          <cell r="K7256" t="str">
            <v>YES</v>
          </cell>
        </row>
        <row r="7257">
          <cell r="I7257" t="str">
            <v>V46271</v>
          </cell>
          <cell r="J7257" t="str">
            <v>CTC</v>
          </cell>
          <cell r="K7257" t="str">
            <v>YES</v>
          </cell>
        </row>
        <row r="7258">
          <cell r="I7258" t="str">
            <v>V48182</v>
          </cell>
          <cell r="J7258" t="str">
            <v>CTC</v>
          </cell>
          <cell r="K7258" t="str">
            <v>YES</v>
          </cell>
        </row>
        <row r="7259">
          <cell r="I7259" t="str">
            <v>V48183</v>
          </cell>
          <cell r="J7259" t="str">
            <v>CTC</v>
          </cell>
          <cell r="K7259" t="str">
            <v>YES</v>
          </cell>
        </row>
        <row r="7260">
          <cell r="I7260" t="str">
            <v>V46888</v>
          </cell>
          <cell r="J7260" t="str">
            <v>CTC</v>
          </cell>
          <cell r="K7260" t="str">
            <v>YES</v>
          </cell>
        </row>
        <row r="7261">
          <cell r="I7261" t="str">
            <v>V48576</v>
          </cell>
          <cell r="J7261" t="str">
            <v>CTC</v>
          </cell>
          <cell r="K7261" t="str">
            <v>YES</v>
          </cell>
        </row>
        <row r="7262">
          <cell r="I7262" t="str">
            <v>V44281</v>
          </cell>
          <cell r="J7262" t="str">
            <v>CTC</v>
          </cell>
          <cell r="K7262" t="str">
            <v>YES</v>
          </cell>
        </row>
        <row r="7263">
          <cell r="I7263" t="str">
            <v>V48361</v>
          </cell>
          <cell r="J7263" t="str">
            <v>CTC</v>
          </cell>
          <cell r="K7263" t="str">
            <v>YES</v>
          </cell>
        </row>
        <row r="7264">
          <cell r="I7264" t="str">
            <v>V47366</v>
          </cell>
          <cell r="J7264" t="str">
            <v>CTC</v>
          </cell>
          <cell r="K7264" t="str">
            <v>YES</v>
          </cell>
        </row>
        <row r="7265">
          <cell r="I7265" t="str">
            <v>V48567</v>
          </cell>
          <cell r="J7265" t="str">
            <v>CTC</v>
          </cell>
          <cell r="K7265" t="str">
            <v>YES</v>
          </cell>
        </row>
        <row r="7266">
          <cell r="I7266" t="str">
            <v>V45850</v>
          </cell>
          <cell r="J7266" t="str">
            <v>CTC</v>
          </cell>
          <cell r="K7266" t="str">
            <v>YES</v>
          </cell>
        </row>
        <row r="7267">
          <cell r="I7267" t="str">
            <v>V47847</v>
          </cell>
          <cell r="J7267" t="str">
            <v>CTC</v>
          </cell>
          <cell r="K7267" t="str">
            <v>YES</v>
          </cell>
        </row>
        <row r="7268">
          <cell r="I7268" t="str">
            <v>V52097</v>
          </cell>
          <cell r="J7268" t="str">
            <v>CTC</v>
          </cell>
          <cell r="K7268" t="str">
            <v>YES</v>
          </cell>
        </row>
        <row r="7269">
          <cell r="I7269" t="str">
            <v>V48101</v>
          </cell>
          <cell r="J7269" t="str">
            <v>CTC</v>
          </cell>
          <cell r="K7269" t="str">
            <v>YES</v>
          </cell>
        </row>
        <row r="7270">
          <cell r="I7270" t="str">
            <v>V47236</v>
          </cell>
          <cell r="J7270" t="str">
            <v>CTC</v>
          </cell>
          <cell r="K7270" t="str">
            <v>YES</v>
          </cell>
        </row>
        <row r="7271">
          <cell r="I7271" t="str">
            <v>V48703</v>
          </cell>
          <cell r="J7271" t="str">
            <v>CTC</v>
          </cell>
          <cell r="K7271" t="str">
            <v>YES</v>
          </cell>
        </row>
        <row r="7272">
          <cell r="I7272" t="str">
            <v>V44304</v>
          </cell>
          <cell r="J7272" t="str">
            <v>CTC</v>
          </cell>
          <cell r="K7272" t="str">
            <v>YES</v>
          </cell>
        </row>
        <row r="7273">
          <cell r="I7273" t="str">
            <v>V47465</v>
          </cell>
          <cell r="J7273" t="str">
            <v>CTC</v>
          </cell>
          <cell r="K7273" t="str">
            <v>YES</v>
          </cell>
        </row>
        <row r="7274">
          <cell r="I7274" t="str">
            <v>V48025</v>
          </cell>
          <cell r="J7274" t="str">
            <v>CTC</v>
          </cell>
          <cell r="K7274" t="str">
            <v>YES</v>
          </cell>
        </row>
        <row r="7275">
          <cell r="I7275" t="str">
            <v>V47154</v>
          </cell>
          <cell r="J7275" t="str">
            <v>CTC</v>
          </cell>
          <cell r="K7275" t="str">
            <v>YES</v>
          </cell>
        </row>
        <row r="7276">
          <cell r="I7276" t="str">
            <v>V50092</v>
          </cell>
          <cell r="J7276" t="str">
            <v>CTC</v>
          </cell>
          <cell r="K7276" t="str">
            <v>YES</v>
          </cell>
        </row>
        <row r="7277">
          <cell r="I7277" t="str">
            <v>V49766</v>
          </cell>
          <cell r="J7277" t="str">
            <v>CTC</v>
          </cell>
          <cell r="K7277" t="str">
            <v>YES</v>
          </cell>
        </row>
        <row r="7278">
          <cell r="I7278" t="str">
            <v>V50392</v>
          </cell>
          <cell r="J7278" t="str">
            <v>CTC</v>
          </cell>
          <cell r="K7278" t="str">
            <v>YES</v>
          </cell>
        </row>
        <row r="7279">
          <cell r="I7279" t="str">
            <v>V49649</v>
          </cell>
          <cell r="J7279" t="str">
            <v>CTC</v>
          </cell>
          <cell r="K7279" t="str">
            <v>YES</v>
          </cell>
        </row>
        <row r="7280">
          <cell r="I7280" t="str">
            <v>V52121</v>
          </cell>
          <cell r="J7280" t="str">
            <v>CTC</v>
          </cell>
          <cell r="K7280" t="str">
            <v>YES</v>
          </cell>
        </row>
        <row r="7281">
          <cell r="I7281" t="str">
            <v>V48271</v>
          </cell>
          <cell r="J7281" t="str">
            <v>CTC</v>
          </cell>
          <cell r="K7281" t="str">
            <v>YES</v>
          </cell>
        </row>
        <row r="7282">
          <cell r="I7282" t="str">
            <v>V47421</v>
          </cell>
          <cell r="J7282" t="str">
            <v>CTC</v>
          </cell>
          <cell r="K7282" t="str">
            <v>YES</v>
          </cell>
        </row>
        <row r="7283">
          <cell r="I7283" t="str">
            <v>V52167</v>
          </cell>
          <cell r="J7283" t="str">
            <v>CTC</v>
          </cell>
          <cell r="K7283" t="str">
            <v>YES</v>
          </cell>
        </row>
        <row r="7284">
          <cell r="I7284" t="str">
            <v>V49206</v>
          </cell>
          <cell r="J7284" t="str">
            <v>CTC</v>
          </cell>
          <cell r="K7284" t="str">
            <v>YES</v>
          </cell>
        </row>
        <row r="7285">
          <cell r="I7285" t="str">
            <v>V48139</v>
          </cell>
          <cell r="J7285" t="str">
            <v>CTC</v>
          </cell>
          <cell r="K7285" t="str">
            <v>YES</v>
          </cell>
        </row>
        <row r="7286">
          <cell r="I7286" t="str">
            <v>V48780</v>
          </cell>
          <cell r="J7286" t="str">
            <v>CTC</v>
          </cell>
          <cell r="K7286" t="str">
            <v>YES</v>
          </cell>
        </row>
        <row r="7287">
          <cell r="I7287" t="str">
            <v>V47133</v>
          </cell>
          <cell r="J7287" t="str">
            <v>CTC</v>
          </cell>
          <cell r="K7287" t="str">
            <v>YES</v>
          </cell>
        </row>
        <row r="7288">
          <cell r="I7288" t="str">
            <v>V48331</v>
          </cell>
          <cell r="J7288" t="str">
            <v>CTC</v>
          </cell>
          <cell r="K7288" t="str">
            <v>YES</v>
          </cell>
        </row>
        <row r="7289">
          <cell r="I7289" t="str">
            <v>V48448</v>
          </cell>
          <cell r="J7289" t="str">
            <v>CTC</v>
          </cell>
          <cell r="K7289" t="str">
            <v>YES</v>
          </cell>
        </row>
        <row r="7290">
          <cell r="I7290" t="str">
            <v>V48068</v>
          </cell>
          <cell r="J7290" t="str">
            <v>CTC</v>
          </cell>
          <cell r="K7290" t="str">
            <v>YES</v>
          </cell>
        </row>
        <row r="7291">
          <cell r="I7291" t="str">
            <v>V47320</v>
          </cell>
          <cell r="J7291" t="str">
            <v>CTC</v>
          </cell>
          <cell r="K7291" t="str">
            <v>YES</v>
          </cell>
        </row>
        <row r="7292">
          <cell r="I7292" t="str">
            <v>V46965</v>
          </cell>
          <cell r="J7292" t="str">
            <v>CTC</v>
          </cell>
          <cell r="K7292" t="str">
            <v>YES</v>
          </cell>
        </row>
        <row r="7293">
          <cell r="I7293" t="str">
            <v>V46196</v>
          </cell>
          <cell r="J7293" t="str">
            <v>CTC</v>
          </cell>
          <cell r="K7293" t="str">
            <v>YES</v>
          </cell>
        </row>
        <row r="7294">
          <cell r="I7294" t="str">
            <v>V48777</v>
          </cell>
          <cell r="J7294" t="str">
            <v>CTC</v>
          </cell>
          <cell r="K7294" t="str">
            <v>YES</v>
          </cell>
        </row>
        <row r="7295">
          <cell r="I7295" t="str">
            <v>V47235</v>
          </cell>
          <cell r="J7295" t="str">
            <v>CTC</v>
          </cell>
          <cell r="K7295" t="str">
            <v>YES</v>
          </cell>
        </row>
        <row r="7296">
          <cell r="I7296" t="str">
            <v>V48535</v>
          </cell>
          <cell r="J7296" t="str">
            <v>CTC</v>
          </cell>
          <cell r="K7296" t="str">
            <v>YES</v>
          </cell>
        </row>
        <row r="7297">
          <cell r="I7297" t="str">
            <v>V49371</v>
          </cell>
          <cell r="J7297" t="str">
            <v>CTC</v>
          </cell>
          <cell r="K7297" t="str">
            <v>YES</v>
          </cell>
        </row>
        <row r="7298">
          <cell r="I7298" t="str">
            <v>V49373</v>
          </cell>
          <cell r="J7298" t="str">
            <v>CTC</v>
          </cell>
          <cell r="K7298" t="str">
            <v>YES</v>
          </cell>
        </row>
        <row r="7299">
          <cell r="I7299" t="str">
            <v>V47225</v>
          </cell>
          <cell r="J7299" t="str">
            <v>CTC</v>
          </cell>
          <cell r="K7299" t="str">
            <v>YES</v>
          </cell>
        </row>
        <row r="7300">
          <cell r="I7300" t="str">
            <v>V52143</v>
          </cell>
          <cell r="J7300" t="str">
            <v>CTC</v>
          </cell>
          <cell r="K7300" t="str">
            <v>YES</v>
          </cell>
        </row>
        <row r="7301">
          <cell r="I7301" t="str">
            <v>V46316</v>
          </cell>
          <cell r="J7301" t="str">
            <v>CTC</v>
          </cell>
          <cell r="K7301" t="str">
            <v>YES</v>
          </cell>
        </row>
        <row r="7302">
          <cell r="I7302" t="str">
            <v>V46293</v>
          </cell>
          <cell r="J7302" t="str">
            <v>CTC</v>
          </cell>
          <cell r="K7302" t="str">
            <v>YES</v>
          </cell>
        </row>
        <row r="7303">
          <cell r="I7303" t="str">
            <v>V48502</v>
          </cell>
          <cell r="J7303" t="str">
            <v>CTC</v>
          </cell>
          <cell r="K7303" t="str">
            <v>YES</v>
          </cell>
        </row>
        <row r="7304">
          <cell r="I7304" t="str">
            <v>V49125</v>
          </cell>
          <cell r="J7304" t="str">
            <v>CTC</v>
          </cell>
          <cell r="K7304" t="str">
            <v>YES</v>
          </cell>
        </row>
        <row r="7305">
          <cell r="I7305" t="str">
            <v>V48070</v>
          </cell>
          <cell r="J7305" t="str">
            <v>CTC</v>
          </cell>
          <cell r="K7305" t="str">
            <v>YES</v>
          </cell>
        </row>
        <row r="7306">
          <cell r="I7306" t="str">
            <v>V49738</v>
          </cell>
          <cell r="J7306" t="str">
            <v>CTC</v>
          </cell>
          <cell r="K7306" t="str">
            <v>YES</v>
          </cell>
        </row>
        <row r="7307">
          <cell r="I7307" t="str">
            <v>V48764</v>
          </cell>
          <cell r="J7307" t="str">
            <v>CTC</v>
          </cell>
          <cell r="K7307" t="str">
            <v>YES</v>
          </cell>
        </row>
        <row r="7308">
          <cell r="I7308" t="str">
            <v>V46297</v>
          </cell>
          <cell r="J7308" t="str">
            <v>CTC</v>
          </cell>
          <cell r="K7308" t="str">
            <v>YES</v>
          </cell>
        </row>
        <row r="7309">
          <cell r="I7309" t="str">
            <v>V47902</v>
          </cell>
          <cell r="J7309" t="str">
            <v>CTC</v>
          </cell>
          <cell r="K7309" t="str">
            <v>YES</v>
          </cell>
        </row>
        <row r="7310">
          <cell r="I7310" t="str">
            <v>V47710</v>
          </cell>
          <cell r="J7310" t="str">
            <v>CTC</v>
          </cell>
          <cell r="K7310" t="str">
            <v>YES</v>
          </cell>
        </row>
        <row r="7311">
          <cell r="I7311" t="str">
            <v>V47716</v>
          </cell>
          <cell r="J7311" t="str">
            <v>CTC</v>
          </cell>
          <cell r="K7311" t="str">
            <v>YES</v>
          </cell>
        </row>
        <row r="7312">
          <cell r="I7312" t="str">
            <v>V47360</v>
          </cell>
          <cell r="J7312" t="str">
            <v>CTC</v>
          </cell>
          <cell r="K7312" t="str">
            <v>YES</v>
          </cell>
        </row>
        <row r="7313">
          <cell r="I7313" t="str">
            <v>V48056</v>
          </cell>
          <cell r="J7313" t="str">
            <v>CTC</v>
          </cell>
          <cell r="K7313" t="str">
            <v>YES</v>
          </cell>
        </row>
        <row r="7314">
          <cell r="I7314" t="str">
            <v>V49059</v>
          </cell>
          <cell r="J7314" t="str">
            <v>CTC</v>
          </cell>
          <cell r="K7314" t="str">
            <v>YES</v>
          </cell>
        </row>
        <row r="7315">
          <cell r="I7315" t="str">
            <v>V49342</v>
          </cell>
          <cell r="J7315" t="str">
            <v>CTC</v>
          </cell>
          <cell r="K7315" t="str">
            <v>YES</v>
          </cell>
        </row>
        <row r="7316">
          <cell r="I7316" t="str">
            <v>V50372</v>
          </cell>
          <cell r="J7316" t="str">
            <v>CTC</v>
          </cell>
          <cell r="K7316" t="str">
            <v>YES</v>
          </cell>
        </row>
        <row r="7317">
          <cell r="I7317" t="str">
            <v>V48874</v>
          </cell>
          <cell r="J7317" t="str">
            <v>CTC</v>
          </cell>
          <cell r="K7317" t="str">
            <v>YES</v>
          </cell>
        </row>
        <row r="7318">
          <cell r="I7318" t="str">
            <v>V47709</v>
          </cell>
          <cell r="J7318" t="str">
            <v>CTC</v>
          </cell>
          <cell r="K7318" t="str">
            <v>YES</v>
          </cell>
        </row>
        <row r="7319">
          <cell r="I7319" t="str">
            <v>V47742</v>
          </cell>
          <cell r="J7319" t="str">
            <v>CTC</v>
          </cell>
          <cell r="K7319" t="str">
            <v>YES</v>
          </cell>
        </row>
        <row r="7320">
          <cell r="I7320" t="str">
            <v>V49688</v>
          </cell>
          <cell r="J7320" t="str">
            <v>CTC</v>
          </cell>
          <cell r="K7320" t="str">
            <v>YES</v>
          </cell>
        </row>
        <row r="7321">
          <cell r="I7321" t="str">
            <v>V49329</v>
          </cell>
          <cell r="J7321" t="str">
            <v>CTC</v>
          </cell>
          <cell r="K7321" t="str">
            <v>YES</v>
          </cell>
        </row>
        <row r="7322">
          <cell r="I7322" t="str">
            <v>V50518</v>
          </cell>
          <cell r="J7322" t="str">
            <v>CTC</v>
          </cell>
          <cell r="K7322" t="str">
            <v>YES</v>
          </cell>
        </row>
        <row r="7323">
          <cell r="I7323" t="str">
            <v>V48233</v>
          </cell>
          <cell r="J7323" t="str">
            <v>CTC</v>
          </cell>
          <cell r="K7323" t="str">
            <v>YES</v>
          </cell>
        </row>
        <row r="7324">
          <cell r="I7324" t="str">
            <v>V48246</v>
          </cell>
          <cell r="J7324" t="str">
            <v>CTC</v>
          </cell>
          <cell r="K7324" t="str">
            <v>YES</v>
          </cell>
        </row>
        <row r="7325">
          <cell r="I7325" t="str">
            <v>V48473</v>
          </cell>
          <cell r="J7325" t="str">
            <v>CTC</v>
          </cell>
          <cell r="K7325" t="str">
            <v>YES</v>
          </cell>
        </row>
        <row r="7326">
          <cell r="I7326" t="str">
            <v>V48160</v>
          </cell>
          <cell r="J7326" t="str">
            <v>CTC</v>
          </cell>
          <cell r="K7326" t="str">
            <v>YES</v>
          </cell>
        </row>
        <row r="7327">
          <cell r="I7327" t="str">
            <v>V46570</v>
          </cell>
          <cell r="J7327" t="str">
            <v>CTC</v>
          </cell>
          <cell r="K7327" t="str">
            <v>YES</v>
          </cell>
        </row>
        <row r="7328">
          <cell r="I7328" t="str">
            <v>V47820</v>
          </cell>
          <cell r="J7328" t="str">
            <v>CTC</v>
          </cell>
          <cell r="K7328" t="str">
            <v>YES</v>
          </cell>
        </row>
        <row r="7329">
          <cell r="I7329" t="str">
            <v>V48345</v>
          </cell>
          <cell r="J7329" t="str">
            <v>CTC</v>
          </cell>
          <cell r="K7329" t="str">
            <v>YES</v>
          </cell>
        </row>
        <row r="7330">
          <cell r="I7330" t="str">
            <v>V48732</v>
          </cell>
          <cell r="J7330" t="str">
            <v>CTC</v>
          </cell>
          <cell r="K7330" t="str">
            <v>YES</v>
          </cell>
        </row>
        <row r="7331">
          <cell r="I7331" t="str">
            <v>V46171</v>
          </cell>
          <cell r="J7331" t="str">
            <v>CTC</v>
          </cell>
          <cell r="K7331" t="str">
            <v>YES</v>
          </cell>
        </row>
        <row r="7332">
          <cell r="I7332" t="str">
            <v>V48292</v>
          </cell>
          <cell r="J7332" t="str">
            <v>CTC</v>
          </cell>
          <cell r="K7332" t="str">
            <v>YES</v>
          </cell>
        </row>
        <row r="7333">
          <cell r="I7333" t="str">
            <v>V49315</v>
          </cell>
          <cell r="J7333" t="str">
            <v>CTC</v>
          </cell>
          <cell r="K7333" t="str">
            <v>YES</v>
          </cell>
        </row>
        <row r="7334">
          <cell r="I7334" t="str">
            <v>V50195</v>
          </cell>
          <cell r="J7334" t="str">
            <v>CTC</v>
          </cell>
          <cell r="K7334" t="str">
            <v>YES</v>
          </cell>
        </row>
        <row r="7335">
          <cell r="I7335" t="str">
            <v>V48382</v>
          </cell>
          <cell r="J7335" t="str">
            <v>CTC</v>
          </cell>
          <cell r="K7335" t="str">
            <v>YES</v>
          </cell>
        </row>
        <row r="7336">
          <cell r="I7336" t="str">
            <v>V48534</v>
          </cell>
          <cell r="J7336" t="str">
            <v>CTC</v>
          </cell>
          <cell r="K7336" t="str">
            <v>YES</v>
          </cell>
        </row>
        <row r="7337">
          <cell r="I7337" t="str">
            <v>V46183</v>
          </cell>
          <cell r="J7337" t="str">
            <v>CTC</v>
          </cell>
          <cell r="K7337" t="str">
            <v>YES</v>
          </cell>
        </row>
        <row r="7338">
          <cell r="I7338" t="str">
            <v>V49333</v>
          </cell>
          <cell r="J7338" t="str">
            <v>CTC</v>
          </cell>
          <cell r="K7338" t="str">
            <v>YES</v>
          </cell>
        </row>
        <row r="7339">
          <cell r="I7339" t="str">
            <v>V50119</v>
          </cell>
          <cell r="J7339" t="str">
            <v>CTC</v>
          </cell>
          <cell r="K7339" t="str">
            <v>YES</v>
          </cell>
        </row>
        <row r="7340">
          <cell r="I7340" t="str">
            <v>V48457</v>
          </cell>
          <cell r="J7340" t="str">
            <v>CTC</v>
          </cell>
          <cell r="K7340" t="str">
            <v>YES</v>
          </cell>
        </row>
        <row r="7341">
          <cell r="I7341" t="str">
            <v>V48087</v>
          </cell>
          <cell r="J7341" t="str">
            <v>CTC</v>
          </cell>
          <cell r="K7341" t="str">
            <v>YES</v>
          </cell>
        </row>
        <row r="7342">
          <cell r="I7342" t="str">
            <v>V47640</v>
          </cell>
          <cell r="J7342" t="str">
            <v>CTC</v>
          </cell>
          <cell r="K7342" t="str">
            <v>YES</v>
          </cell>
        </row>
        <row r="7343">
          <cell r="I7343" t="str">
            <v>V46992</v>
          </cell>
          <cell r="J7343" t="str">
            <v>CTC</v>
          </cell>
          <cell r="K7343" t="str">
            <v>YES</v>
          </cell>
        </row>
        <row r="7344">
          <cell r="I7344" t="str">
            <v>V47718</v>
          </cell>
          <cell r="J7344" t="str">
            <v>CTC</v>
          </cell>
          <cell r="K7344" t="str">
            <v>YES</v>
          </cell>
        </row>
        <row r="7345">
          <cell r="I7345" t="str">
            <v>V48394</v>
          </cell>
          <cell r="J7345" t="str">
            <v>CTC</v>
          </cell>
          <cell r="K7345" t="str">
            <v>YES</v>
          </cell>
        </row>
        <row r="7346">
          <cell r="I7346" t="str">
            <v>V46825</v>
          </cell>
          <cell r="J7346" t="str">
            <v>CTC</v>
          </cell>
          <cell r="K7346" t="str">
            <v>YES</v>
          </cell>
        </row>
        <row r="7347">
          <cell r="I7347" t="str">
            <v>V47422</v>
          </cell>
          <cell r="J7347" t="str">
            <v>CTC</v>
          </cell>
          <cell r="K7347" t="str">
            <v>YES</v>
          </cell>
        </row>
        <row r="7348">
          <cell r="I7348" t="str">
            <v>V47436</v>
          </cell>
          <cell r="J7348" t="str">
            <v>CTC</v>
          </cell>
          <cell r="K7348" t="str">
            <v>YES</v>
          </cell>
        </row>
        <row r="7349">
          <cell r="I7349" t="str">
            <v>V48501</v>
          </cell>
          <cell r="J7349" t="str">
            <v>CTC</v>
          </cell>
          <cell r="K7349" t="str">
            <v>YES</v>
          </cell>
        </row>
        <row r="7350">
          <cell r="I7350" t="str">
            <v>V46249</v>
          </cell>
          <cell r="J7350" t="str">
            <v>CTC</v>
          </cell>
          <cell r="K7350" t="str">
            <v>YES</v>
          </cell>
        </row>
        <row r="7351">
          <cell r="I7351" t="str">
            <v>V46306</v>
          </cell>
          <cell r="J7351" t="str">
            <v>CTC</v>
          </cell>
          <cell r="K7351" t="str">
            <v>YES</v>
          </cell>
        </row>
        <row r="7352">
          <cell r="I7352" t="str">
            <v>V47738</v>
          </cell>
          <cell r="J7352" t="str">
            <v>CTC</v>
          </cell>
          <cell r="K7352" t="str">
            <v>YES</v>
          </cell>
        </row>
        <row r="7353">
          <cell r="I7353" t="str">
            <v>V47435</v>
          </cell>
          <cell r="J7353" t="str">
            <v>CTC</v>
          </cell>
          <cell r="K7353" t="str">
            <v>YES</v>
          </cell>
        </row>
        <row r="7354">
          <cell r="I7354" t="str">
            <v>V46193</v>
          </cell>
          <cell r="J7354" t="str">
            <v>CTC</v>
          </cell>
          <cell r="K7354" t="str">
            <v>YES</v>
          </cell>
        </row>
        <row r="7355">
          <cell r="I7355" t="str">
            <v>V48243</v>
          </cell>
          <cell r="J7355" t="str">
            <v>CTC</v>
          </cell>
          <cell r="K7355" t="str">
            <v>YES</v>
          </cell>
        </row>
        <row r="7356">
          <cell r="I7356" t="str">
            <v>V49736</v>
          </cell>
          <cell r="J7356" t="str">
            <v>CTC</v>
          </cell>
          <cell r="K7356" t="str">
            <v>YES</v>
          </cell>
        </row>
        <row r="7357">
          <cell r="I7357" t="str">
            <v>V48684</v>
          </cell>
          <cell r="J7357" t="str">
            <v>CTC</v>
          </cell>
          <cell r="K7357" t="str">
            <v>YES</v>
          </cell>
        </row>
        <row r="7358">
          <cell r="I7358" t="str">
            <v>V49414</v>
          </cell>
          <cell r="J7358" t="str">
            <v>CTC</v>
          </cell>
          <cell r="K7358" t="str">
            <v>YES</v>
          </cell>
        </row>
        <row r="7359">
          <cell r="I7359" t="str">
            <v>V47835</v>
          </cell>
          <cell r="J7359" t="str">
            <v>CTC</v>
          </cell>
          <cell r="K7359" t="str">
            <v>YES</v>
          </cell>
        </row>
        <row r="7360">
          <cell r="I7360" t="str">
            <v>V49873</v>
          </cell>
          <cell r="J7360" t="str">
            <v>CTC</v>
          </cell>
          <cell r="K7360" t="str">
            <v>YES</v>
          </cell>
        </row>
        <row r="7361">
          <cell r="I7361" t="str">
            <v>V47766</v>
          </cell>
          <cell r="J7361" t="str">
            <v>CTC</v>
          </cell>
          <cell r="K7361" t="str">
            <v>YES</v>
          </cell>
        </row>
        <row r="7362">
          <cell r="I7362" t="str">
            <v>V48325</v>
          </cell>
          <cell r="J7362" t="str">
            <v>CTC</v>
          </cell>
          <cell r="K7362" t="str">
            <v>YES</v>
          </cell>
        </row>
        <row r="7363">
          <cell r="I7363" t="str">
            <v>V47331</v>
          </cell>
          <cell r="J7363" t="str">
            <v>CTC</v>
          </cell>
          <cell r="K7363" t="str">
            <v>YES</v>
          </cell>
        </row>
        <row r="7364">
          <cell r="I7364" t="str">
            <v>V47673</v>
          </cell>
          <cell r="J7364" t="str">
            <v>CTC</v>
          </cell>
          <cell r="K7364" t="str">
            <v>YES</v>
          </cell>
        </row>
        <row r="7365">
          <cell r="I7365" t="str">
            <v>V47982</v>
          </cell>
          <cell r="J7365" t="str">
            <v>CTC</v>
          </cell>
          <cell r="K7365" t="str">
            <v>YES</v>
          </cell>
        </row>
        <row r="7366">
          <cell r="I7366" t="str">
            <v>V48341</v>
          </cell>
          <cell r="J7366" t="str">
            <v>CTC</v>
          </cell>
          <cell r="K7366" t="str">
            <v>YES</v>
          </cell>
        </row>
        <row r="7367">
          <cell r="I7367" t="str">
            <v>V46526</v>
          </cell>
          <cell r="J7367" t="str">
            <v>CTC</v>
          </cell>
          <cell r="K7367" t="str">
            <v>YES</v>
          </cell>
        </row>
        <row r="7368">
          <cell r="I7368" t="str">
            <v>V48974</v>
          </cell>
          <cell r="J7368" t="str">
            <v>CTC</v>
          </cell>
          <cell r="K7368" t="str">
            <v>YES</v>
          </cell>
        </row>
        <row r="7369">
          <cell r="I7369" t="str">
            <v>V50349</v>
          </cell>
          <cell r="J7369" t="str">
            <v>CTC</v>
          </cell>
          <cell r="K7369" t="str">
            <v>YES</v>
          </cell>
        </row>
        <row r="7370">
          <cell r="I7370" t="str">
            <v>V46282</v>
          </cell>
          <cell r="J7370" t="str">
            <v>CTC</v>
          </cell>
          <cell r="K7370" t="str">
            <v>YES</v>
          </cell>
        </row>
        <row r="7371">
          <cell r="I7371" t="str">
            <v>V49683</v>
          </cell>
          <cell r="J7371" t="str">
            <v>CTC</v>
          </cell>
          <cell r="K7371" t="str">
            <v>YES</v>
          </cell>
        </row>
        <row r="7372">
          <cell r="I7372" t="str">
            <v>V50553</v>
          </cell>
          <cell r="J7372" t="str">
            <v>CTC</v>
          </cell>
          <cell r="K7372" t="str">
            <v>YES</v>
          </cell>
        </row>
        <row r="7373">
          <cell r="I7373" t="str">
            <v>V47244</v>
          </cell>
          <cell r="J7373" t="str">
            <v>CTC</v>
          </cell>
          <cell r="K7373" t="str">
            <v>YES</v>
          </cell>
        </row>
        <row r="7374">
          <cell r="I7374" t="str">
            <v>V47246</v>
          </cell>
          <cell r="J7374" t="str">
            <v>CTC</v>
          </cell>
          <cell r="K7374" t="str">
            <v>YES</v>
          </cell>
        </row>
        <row r="7375">
          <cell r="I7375" t="str">
            <v>V48879</v>
          </cell>
          <cell r="J7375" t="str">
            <v>CTC</v>
          </cell>
          <cell r="K7375" t="str">
            <v>YES</v>
          </cell>
        </row>
        <row r="7376">
          <cell r="I7376" t="str">
            <v>V48291</v>
          </cell>
          <cell r="J7376" t="str">
            <v>CTC</v>
          </cell>
          <cell r="K7376" t="str">
            <v>YES</v>
          </cell>
        </row>
        <row r="7377">
          <cell r="I7377" t="str">
            <v>V48451</v>
          </cell>
          <cell r="J7377" t="str">
            <v>CTC</v>
          </cell>
          <cell r="K7377" t="str">
            <v>YES</v>
          </cell>
        </row>
        <row r="7378">
          <cell r="I7378" t="str">
            <v>V47796</v>
          </cell>
          <cell r="J7378" t="str">
            <v>CTC</v>
          </cell>
          <cell r="K7378" t="str">
            <v>YES</v>
          </cell>
        </row>
        <row r="7379">
          <cell r="I7379" t="str">
            <v>V48218</v>
          </cell>
          <cell r="J7379" t="str">
            <v>CTC</v>
          </cell>
          <cell r="K7379" t="str">
            <v>YES</v>
          </cell>
        </row>
        <row r="7380">
          <cell r="I7380" t="str">
            <v>V48026</v>
          </cell>
          <cell r="J7380" t="str">
            <v>CTC</v>
          </cell>
          <cell r="K7380" t="str">
            <v>YES</v>
          </cell>
        </row>
        <row r="7381">
          <cell r="I7381" t="str">
            <v>V48027</v>
          </cell>
          <cell r="J7381" t="str">
            <v>CTC</v>
          </cell>
          <cell r="K7381" t="str">
            <v>YES</v>
          </cell>
        </row>
        <row r="7382">
          <cell r="I7382" t="str">
            <v>V49376</v>
          </cell>
          <cell r="J7382" t="str">
            <v>CTC</v>
          </cell>
          <cell r="K7382" t="str">
            <v>YES</v>
          </cell>
        </row>
        <row r="7383">
          <cell r="I7383" t="str">
            <v>V47162</v>
          </cell>
          <cell r="J7383" t="str">
            <v>CTC</v>
          </cell>
          <cell r="K7383" t="str">
            <v>YES</v>
          </cell>
        </row>
        <row r="7384">
          <cell r="I7384" t="str">
            <v>V48384</v>
          </cell>
          <cell r="J7384" t="str">
            <v>CTC</v>
          </cell>
          <cell r="K7384" t="str">
            <v>YES</v>
          </cell>
        </row>
        <row r="7385">
          <cell r="I7385" t="str">
            <v>V49882</v>
          </cell>
          <cell r="J7385" t="str">
            <v>CTC</v>
          </cell>
          <cell r="K7385" t="str">
            <v>YES</v>
          </cell>
        </row>
        <row r="7386">
          <cell r="I7386" t="str">
            <v>V49966</v>
          </cell>
          <cell r="J7386" t="str">
            <v>CTC</v>
          </cell>
          <cell r="K7386" t="str">
            <v>YES</v>
          </cell>
        </row>
        <row r="7387">
          <cell r="I7387" t="str">
            <v>V48191</v>
          </cell>
          <cell r="J7387" t="str">
            <v>CTC</v>
          </cell>
          <cell r="K7387" t="str">
            <v>YES</v>
          </cell>
        </row>
        <row r="7388">
          <cell r="I7388" t="str">
            <v>V48222</v>
          </cell>
          <cell r="J7388" t="str">
            <v>CTC</v>
          </cell>
          <cell r="K7388" t="str">
            <v>YES</v>
          </cell>
        </row>
        <row r="7389">
          <cell r="I7389" t="str">
            <v>V47519</v>
          </cell>
          <cell r="J7389" t="str">
            <v>CTC</v>
          </cell>
          <cell r="K7389" t="str">
            <v>YES</v>
          </cell>
        </row>
        <row r="7390">
          <cell r="I7390" t="str">
            <v>V46150</v>
          </cell>
          <cell r="J7390" t="str">
            <v>CTC</v>
          </cell>
          <cell r="K7390" t="str">
            <v>YES</v>
          </cell>
        </row>
        <row r="7391">
          <cell r="I7391" t="str">
            <v>V47848</v>
          </cell>
          <cell r="J7391" t="str">
            <v>CTC</v>
          </cell>
          <cell r="K7391" t="str">
            <v>YES</v>
          </cell>
        </row>
        <row r="7392">
          <cell r="I7392" t="str">
            <v>V48605</v>
          </cell>
          <cell r="J7392" t="str">
            <v>CTC</v>
          </cell>
          <cell r="K7392" t="str">
            <v>YES</v>
          </cell>
        </row>
        <row r="7393">
          <cell r="I7393" t="str">
            <v>V47942</v>
          </cell>
          <cell r="J7393" t="str">
            <v>CTC</v>
          </cell>
          <cell r="K7393" t="str">
            <v>YES</v>
          </cell>
        </row>
        <row r="7394">
          <cell r="I7394" t="str">
            <v>V49205</v>
          </cell>
          <cell r="J7394" t="str">
            <v>CTC</v>
          </cell>
          <cell r="K7394" t="str">
            <v>YES</v>
          </cell>
        </row>
        <row r="7395">
          <cell r="I7395" t="str">
            <v>V47639</v>
          </cell>
          <cell r="J7395" t="str">
            <v>CTC</v>
          </cell>
          <cell r="K7395" t="str">
            <v>YES</v>
          </cell>
        </row>
        <row r="7396">
          <cell r="I7396" t="str">
            <v>V48475</v>
          </cell>
          <cell r="J7396" t="str">
            <v>CTC</v>
          </cell>
          <cell r="K7396" t="str">
            <v>YES</v>
          </cell>
        </row>
        <row r="7397">
          <cell r="I7397" t="str">
            <v>V49534</v>
          </cell>
          <cell r="J7397" t="str">
            <v>CTC</v>
          </cell>
          <cell r="K7397" t="str">
            <v>YES</v>
          </cell>
        </row>
        <row r="7398">
          <cell r="I7398" t="str">
            <v>V48173</v>
          </cell>
          <cell r="J7398" t="str">
            <v>CTC</v>
          </cell>
          <cell r="K7398" t="str">
            <v>YES</v>
          </cell>
        </row>
        <row r="7399">
          <cell r="I7399" t="str">
            <v>V46161</v>
          </cell>
          <cell r="J7399" t="str">
            <v>CTC</v>
          </cell>
          <cell r="K7399" t="str">
            <v>YES</v>
          </cell>
        </row>
        <row r="7400">
          <cell r="I7400" t="str">
            <v>V48190</v>
          </cell>
          <cell r="J7400" t="str">
            <v>CTC</v>
          </cell>
          <cell r="K7400" t="str">
            <v>YES</v>
          </cell>
        </row>
        <row r="7401">
          <cell r="I7401" t="str">
            <v>V47777</v>
          </cell>
          <cell r="J7401" t="str">
            <v>CTC</v>
          </cell>
          <cell r="K7401" t="str">
            <v>YES</v>
          </cell>
        </row>
        <row r="7402">
          <cell r="I7402" t="str">
            <v>V48949</v>
          </cell>
          <cell r="J7402" t="str">
            <v>CTC</v>
          </cell>
          <cell r="K7402" t="str">
            <v>YES</v>
          </cell>
        </row>
        <row r="7403">
          <cell r="I7403" t="str">
            <v>V49944</v>
          </cell>
          <cell r="J7403" t="str">
            <v>CTC</v>
          </cell>
          <cell r="K7403" t="str">
            <v>YES</v>
          </cell>
        </row>
        <row r="7404">
          <cell r="I7404" t="str">
            <v>V49886</v>
          </cell>
          <cell r="J7404" t="str">
            <v>CTC</v>
          </cell>
          <cell r="K7404" t="str">
            <v>YES</v>
          </cell>
        </row>
        <row r="7405">
          <cell r="I7405" t="str">
            <v>V48283</v>
          </cell>
          <cell r="J7405" t="str">
            <v>CTC</v>
          </cell>
          <cell r="K7405" t="str">
            <v>YES</v>
          </cell>
        </row>
        <row r="7406">
          <cell r="I7406" t="str">
            <v>V51666</v>
          </cell>
          <cell r="J7406" t="str">
            <v>CTC</v>
          </cell>
          <cell r="K7406" t="str">
            <v>YES</v>
          </cell>
        </row>
        <row r="7407">
          <cell r="I7407" t="str">
            <v>V48577</v>
          </cell>
          <cell r="J7407" t="str">
            <v>CTC</v>
          </cell>
          <cell r="K7407" t="str">
            <v>YES</v>
          </cell>
        </row>
        <row r="7408">
          <cell r="I7408" t="str">
            <v>V48578</v>
          </cell>
          <cell r="J7408" t="str">
            <v>CTC</v>
          </cell>
          <cell r="K7408" t="str">
            <v>YES</v>
          </cell>
        </row>
        <row r="7409">
          <cell r="I7409" t="str">
            <v>V50581</v>
          </cell>
          <cell r="J7409" t="str">
            <v>CTC</v>
          </cell>
          <cell r="K7409" t="str">
            <v>YES</v>
          </cell>
        </row>
        <row r="7410">
          <cell r="I7410" t="str">
            <v>V50552</v>
          </cell>
          <cell r="J7410" t="str">
            <v>CTC</v>
          </cell>
          <cell r="K7410" t="str">
            <v>YES</v>
          </cell>
        </row>
        <row r="7411">
          <cell r="I7411" t="str">
            <v>V48350</v>
          </cell>
          <cell r="J7411" t="str">
            <v>CTC</v>
          </cell>
          <cell r="K7411" t="str">
            <v>YES</v>
          </cell>
        </row>
        <row r="7412">
          <cell r="I7412" t="str">
            <v>V48880</v>
          </cell>
          <cell r="J7412" t="str">
            <v>CTC</v>
          </cell>
          <cell r="K7412" t="str">
            <v>YES</v>
          </cell>
        </row>
        <row r="7413">
          <cell r="I7413" t="str">
            <v>V50759</v>
          </cell>
          <cell r="J7413" t="str">
            <v>CTC</v>
          </cell>
          <cell r="K7413" t="str">
            <v>YES</v>
          </cell>
        </row>
        <row r="7414">
          <cell r="I7414" t="str">
            <v>V46911</v>
          </cell>
          <cell r="J7414" t="str">
            <v>CTC</v>
          </cell>
          <cell r="K7414" t="str">
            <v>YES</v>
          </cell>
        </row>
        <row r="7415">
          <cell r="I7415" t="str">
            <v>V47774</v>
          </cell>
          <cell r="J7415" t="str">
            <v>CTC</v>
          </cell>
          <cell r="K7415" t="str">
            <v>YES</v>
          </cell>
        </row>
        <row r="7416">
          <cell r="I7416" t="str">
            <v>V47909</v>
          </cell>
          <cell r="J7416" t="str">
            <v>CTC</v>
          </cell>
          <cell r="K7416" t="str">
            <v>YES</v>
          </cell>
        </row>
        <row r="7417">
          <cell r="I7417" t="str">
            <v>V49797</v>
          </cell>
          <cell r="J7417" t="str">
            <v>CTC</v>
          </cell>
          <cell r="K7417" t="str">
            <v>YES</v>
          </cell>
        </row>
        <row r="7418">
          <cell r="I7418" t="str">
            <v>V46165</v>
          </cell>
          <cell r="J7418" t="str">
            <v>CTC</v>
          </cell>
          <cell r="K7418" t="str">
            <v>YES</v>
          </cell>
        </row>
        <row r="7419">
          <cell r="I7419" t="str">
            <v>V48739</v>
          </cell>
          <cell r="J7419" t="str">
            <v>CTC</v>
          </cell>
          <cell r="K7419" t="str">
            <v>YES</v>
          </cell>
        </row>
        <row r="7420">
          <cell r="I7420" t="str">
            <v>V47711</v>
          </cell>
          <cell r="J7420" t="str">
            <v>CTC</v>
          </cell>
          <cell r="K7420" t="str">
            <v>YES</v>
          </cell>
        </row>
        <row r="7421">
          <cell r="I7421" t="str">
            <v>V50329</v>
          </cell>
          <cell r="J7421" t="str">
            <v>CTC</v>
          </cell>
          <cell r="K7421" t="str">
            <v>YES</v>
          </cell>
        </row>
        <row r="7422">
          <cell r="I7422" t="str">
            <v>V48086</v>
          </cell>
          <cell r="J7422" t="str">
            <v>CTC</v>
          </cell>
          <cell r="K7422" t="str">
            <v>YES</v>
          </cell>
        </row>
        <row r="7423">
          <cell r="I7423" t="str">
            <v>V48167</v>
          </cell>
          <cell r="J7423" t="str">
            <v>CTC</v>
          </cell>
          <cell r="K7423" t="str">
            <v>YES</v>
          </cell>
        </row>
        <row r="7424">
          <cell r="I7424" t="str">
            <v>V48349</v>
          </cell>
          <cell r="J7424" t="str">
            <v>CTC</v>
          </cell>
          <cell r="K7424" t="str">
            <v>YES</v>
          </cell>
        </row>
        <row r="7425">
          <cell r="I7425" t="str">
            <v>V46725</v>
          </cell>
          <cell r="J7425" t="str">
            <v>CTC</v>
          </cell>
          <cell r="K7425" t="str">
            <v>YES</v>
          </cell>
        </row>
        <row r="7426">
          <cell r="I7426" t="str">
            <v>V48417</v>
          </cell>
          <cell r="J7426" t="str">
            <v>CTC</v>
          </cell>
          <cell r="K7426" t="str">
            <v>YES</v>
          </cell>
        </row>
        <row r="7427">
          <cell r="I7427" t="str">
            <v>V48920</v>
          </cell>
          <cell r="J7427" t="str">
            <v>CTC</v>
          </cell>
          <cell r="K7427" t="str">
            <v>YES</v>
          </cell>
        </row>
        <row r="7428">
          <cell r="I7428" t="str">
            <v>V48767</v>
          </cell>
          <cell r="J7428" t="str">
            <v>CTC</v>
          </cell>
          <cell r="K7428" t="str">
            <v>YES</v>
          </cell>
        </row>
        <row r="7429">
          <cell r="I7429" t="str">
            <v>V46319</v>
          </cell>
          <cell r="J7429" t="str">
            <v>CTC</v>
          </cell>
          <cell r="K7429" t="str">
            <v>YES</v>
          </cell>
        </row>
        <row r="7430">
          <cell r="I7430" t="str">
            <v>V48081</v>
          </cell>
          <cell r="J7430" t="str">
            <v>CTC</v>
          </cell>
          <cell r="K7430" t="str">
            <v>YES</v>
          </cell>
        </row>
        <row r="7431">
          <cell r="I7431" t="str">
            <v>V48759</v>
          </cell>
          <cell r="J7431" t="str">
            <v>CTC</v>
          </cell>
          <cell r="K7431" t="str">
            <v>YES</v>
          </cell>
        </row>
        <row r="7432">
          <cell r="I7432" t="str">
            <v>V50411</v>
          </cell>
          <cell r="J7432" t="str">
            <v>CTC</v>
          </cell>
          <cell r="K7432" t="str">
            <v>YES</v>
          </cell>
        </row>
        <row r="7433">
          <cell r="I7433" t="str">
            <v>V47961</v>
          </cell>
          <cell r="J7433" t="str">
            <v>CTC</v>
          </cell>
          <cell r="K7433" t="str">
            <v>YES</v>
          </cell>
        </row>
        <row r="7434">
          <cell r="I7434" t="str">
            <v>V47502</v>
          </cell>
          <cell r="J7434" t="str">
            <v>CTC</v>
          </cell>
          <cell r="K7434" t="str">
            <v>YES</v>
          </cell>
        </row>
        <row r="7435">
          <cell r="I7435" t="str">
            <v>V49687</v>
          </cell>
          <cell r="J7435" t="str">
            <v>CTC</v>
          </cell>
          <cell r="K7435" t="str">
            <v>YES</v>
          </cell>
        </row>
        <row r="7436">
          <cell r="I7436" t="str">
            <v>V49213</v>
          </cell>
          <cell r="J7436" t="str">
            <v>CTC</v>
          </cell>
          <cell r="K7436" t="str">
            <v>YES</v>
          </cell>
        </row>
        <row r="7437">
          <cell r="I7437" t="str">
            <v>V44106</v>
          </cell>
          <cell r="J7437" t="str">
            <v>CTC</v>
          </cell>
          <cell r="K7437" t="str">
            <v>YES</v>
          </cell>
        </row>
        <row r="7438">
          <cell r="I7438" t="str">
            <v>V47165</v>
          </cell>
          <cell r="J7438" t="str">
            <v>CTC</v>
          </cell>
          <cell r="K7438" t="str">
            <v>YES</v>
          </cell>
        </row>
        <row r="7439">
          <cell r="I7439" t="str">
            <v>V48171</v>
          </cell>
          <cell r="J7439" t="str">
            <v>CTC</v>
          </cell>
          <cell r="K7439" t="str">
            <v>YES</v>
          </cell>
        </row>
        <row r="7440">
          <cell r="I7440" t="str">
            <v>V47737</v>
          </cell>
          <cell r="J7440" t="str">
            <v>CTC</v>
          </cell>
          <cell r="K7440" t="str">
            <v>YES</v>
          </cell>
        </row>
        <row r="7441">
          <cell r="I7441" t="str">
            <v>V48197</v>
          </cell>
          <cell r="J7441" t="str">
            <v>CTC</v>
          </cell>
          <cell r="K7441" t="str">
            <v>YES</v>
          </cell>
        </row>
        <row r="7442">
          <cell r="I7442" t="str">
            <v>V48315</v>
          </cell>
          <cell r="J7442" t="str">
            <v>CTC</v>
          </cell>
          <cell r="K7442" t="str">
            <v>YES</v>
          </cell>
        </row>
        <row r="7443">
          <cell r="I7443" t="str">
            <v>V47773</v>
          </cell>
          <cell r="J7443" t="str">
            <v>CTC</v>
          </cell>
          <cell r="K7443" t="str">
            <v>YES</v>
          </cell>
        </row>
        <row r="7444">
          <cell r="I7444" t="str">
            <v>V48418</v>
          </cell>
          <cell r="J7444" t="str">
            <v>CTC</v>
          </cell>
          <cell r="K7444" t="str">
            <v>YES</v>
          </cell>
        </row>
        <row r="7445">
          <cell r="I7445" t="str">
            <v>V48967</v>
          </cell>
          <cell r="J7445" t="str">
            <v>CTC</v>
          </cell>
          <cell r="K7445" t="str">
            <v>YES</v>
          </cell>
        </row>
        <row r="7446">
          <cell r="I7446" t="str">
            <v>V48968</v>
          </cell>
          <cell r="J7446" t="str">
            <v>CTC</v>
          </cell>
          <cell r="K7446" t="str">
            <v>YES</v>
          </cell>
        </row>
        <row r="7447">
          <cell r="I7447" t="str">
            <v>V48976</v>
          </cell>
          <cell r="J7447" t="str">
            <v>CTC</v>
          </cell>
          <cell r="K7447" t="str">
            <v>YES</v>
          </cell>
        </row>
        <row r="7448">
          <cell r="I7448" t="str">
            <v>V49004</v>
          </cell>
          <cell r="J7448" t="str">
            <v>CTC</v>
          </cell>
          <cell r="K7448" t="str">
            <v>YES</v>
          </cell>
        </row>
        <row r="7449">
          <cell r="I7449" t="str">
            <v>V49011</v>
          </cell>
          <cell r="J7449" t="str">
            <v>CTC</v>
          </cell>
          <cell r="K7449" t="str">
            <v>YES</v>
          </cell>
        </row>
        <row r="7450">
          <cell r="I7450" t="str">
            <v>V49013</v>
          </cell>
          <cell r="J7450" t="str">
            <v>CTC</v>
          </cell>
          <cell r="K7450" t="str">
            <v>YES</v>
          </cell>
        </row>
        <row r="7451">
          <cell r="I7451" t="str">
            <v>V49016</v>
          </cell>
          <cell r="J7451" t="str">
            <v>CTC</v>
          </cell>
          <cell r="K7451" t="str">
            <v>YES</v>
          </cell>
        </row>
        <row r="7452">
          <cell r="I7452" t="str">
            <v>V49019</v>
          </cell>
          <cell r="J7452" t="str">
            <v>CTC</v>
          </cell>
          <cell r="K7452" t="str">
            <v>YES</v>
          </cell>
        </row>
        <row r="7453">
          <cell r="I7453" t="str">
            <v>V49044</v>
          </cell>
          <cell r="J7453" t="str">
            <v>CTC</v>
          </cell>
          <cell r="K7453" t="str">
            <v>YES</v>
          </cell>
        </row>
        <row r="7454">
          <cell r="I7454" t="str">
            <v>V49083</v>
          </cell>
          <cell r="J7454" t="str">
            <v>CTC</v>
          </cell>
          <cell r="K7454" t="str">
            <v>YES</v>
          </cell>
        </row>
        <row r="7455">
          <cell r="I7455" t="str">
            <v>V49087</v>
          </cell>
          <cell r="J7455" t="str">
            <v>CTC</v>
          </cell>
          <cell r="K7455" t="str">
            <v>YES</v>
          </cell>
        </row>
        <row r="7456">
          <cell r="I7456" t="str">
            <v>V49090</v>
          </cell>
          <cell r="J7456" t="str">
            <v>CTC</v>
          </cell>
          <cell r="K7456" t="str">
            <v>YES</v>
          </cell>
        </row>
        <row r="7457">
          <cell r="I7457" t="str">
            <v>V47412</v>
          </cell>
          <cell r="J7457" t="str">
            <v>CTC</v>
          </cell>
          <cell r="K7457" t="str">
            <v>YES</v>
          </cell>
        </row>
        <row r="7458">
          <cell r="I7458" t="str">
            <v>V49325</v>
          </cell>
          <cell r="J7458" t="str">
            <v>CTC</v>
          </cell>
          <cell r="K7458" t="str">
            <v>YES</v>
          </cell>
        </row>
        <row r="7459">
          <cell r="I7459" t="str">
            <v>V49607</v>
          </cell>
          <cell r="J7459" t="str">
            <v>CTC</v>
          </cell>
          <cell r="K7459" t="str">
            <v>YES</v>
          </cell>
        </row>
        <row r="7460">
          <cell r="I7460" t="str">
            <v>V48981</v>
          </cell>
          <cell r="J7460" t="str">
            <v>CTC</v>
          </cell>
          <cell r="K7460" t="str">
            <v>YES</v>
          </cell>
        </row>
        <row r="7461">
          <cell r="I7461" t="str">
            <v>V47780</v>
          </cell>
          <cell r="J7461" t="str">
            <v>CTC</v>
          </cell>
          <cell r="K7461" t="str">
            <v>YES</v>
          </cell>
        </row>
        <row r="7462">
          <cell r="I7462" t="str">
            <v>V48083</v>
          </cell>
          <cell r="J7462" t="str">
            <v>CTC</v>
          </cell>
          <cell r="K7462" t="str">
            <v>YES</v>
          </cell>
        </row>
        <row r="7463">
          <cell r="I7463" t="str">
            <v>V48295</v>
          </cell>
          <cell r="J7463" t="str">
            <v>CTC</v>
          </cell>
          <cell r="K7463" t="str">
            <v>YES</v>
          </cell>
        </row>
        <row r="7464">
          <cell r="I7464" t="str">
            <v>V49006</v>
          </cell>
          <cell r="J7464" t="str">
            <v>CTC</v>
          </cell>
          <cell r="K7464" t="str">
            <v>YES</v>
          </cell>
        </row>
        <row r="7465">
          <cell r="I7465" t="str">
            <v>V49010</v>
          </cell>
          <cell r="J7465" t="str">
            <v>CTC</v>
          </cell>
          <cell r="K7465" t="str">
            <v>YES</v>
          </cell>
        </row>
        <row r="7466">
          <cell r="I7466" t="str">
            <v>V49082</v>
          </cell>
          <cell r="J7466" t="str">
            <v>CTC</v>
          </cell>
          <cell r="K7466" t="str">
            <v>YES</v>
          </cell>
        </row>
        <row r="7467">
          <cell r="I7467" t="str">
            <v>V51881</v>
          </cell>
          <cell r="J7467" t="str">
            <v>STAT</v>
          </cell>
          <cell r="K7467" t="str">
            <v>YES</v>
          </cell>
        </row>
        <row r="7468">
          <cell r="I7468" t="str">
            <v>V47728</v>
          </cell>
          <cell r="J7468" t="str">
            <v>CTC</v>
          </cell>
          <cell r="K7468" t="str">
            <v>YES</v>
          </cell>
        </row>
        <row r="7469">
          <cell r="I7469" t="str">
            <v>V47786</v>
          </cell>
          <cell r="J7469" t="str">
            <v>CTC</v>
          </cell>
          <cell r="K7469" t="str">
            <v>YES</v>
          </cell>
        </row>
        <row r="7470">
          <cell r="I7470" t="str">
            <v>V48507</v>
          </cell>
          <cell r="J7470" t="str">
            <v>CTC</v>
          </cell>
          <cell r="K7470" t="str">
            <v>YES</v>
          </cell>
        </row>
        <row r="7471">
          <cell r="I7471" t="str">
            <v>V48043</v>
          </cell>
          <cell r="J7471" t="str">
            <v>CTC</v>
          </cell>
          <cell r="K7471" t="str">
            <v>YES</v>
          </cell>
        </row>
        <row r="7472">
          <cell r="I7472" t="str">
            <v>V48769</v>
          </cell>
          <cell r="J7472" t="str">
            <v>CTC</v>
          </cell>
          <cell r="K7472" t="str">
            <v>YES</v>
          </cell>
        </row>
        <row r="7473">
          <cell r="I7473" t="str">
            <v>V48427</v>
          </cell>
          <cell r="J7473" t="str">
            <v>CTC</v>
          </cell>
          <cell r="K7473" t="str">
            <v>YES</v>
          </cell>
        </row>
        <row r="7474">
          <cell r="I7474" t="str">
            <v>V48491</v>
          </cell>
          <cell r="J7474" t="str">
            <v>CTC</v>
          </cell>
          <cell r="K7474" t="str">
            <v>YES</v>
          </cell>
        </row>
        <row r="7475">
          <cell r="I7475" t="str">
            <v>V48748</v>
          </cell>
          <cell r="J7475" t="str">
            <v>CTC</v>
          </cell>
          <cell r="K7475" t="str">
            <v>YES</v>
          </cell>
        </row>
        <row r="7476">
          <cell r="I7476" t="str">
            <v>V47739</v>
          </cell>
          <cell r="J7476" t="str">
            <v>CTC</v>
          </cell>
          <cell r="K7476" t="str">
            <v>YES</v>
          </cell>
        </row>
        <row r="7477">
          <cell r="I7477" t="str">
            <v>V48419</v>
          </cell>
          <cell r="J7477" t="str">
            <v>CTC</v>
          </cell>
          <cell r="K7477" t="str">
            <v>YES</v>
          </cell>
        </row>
        <row r="7478">
          <cell r="I7478" t="str">
            <v>V51200</v>
          </cell>
          <cell r="J7478" t="str">
            <v>STAT</v>
          </cell>
          <cell r="K7478" t="str">
            <v>YES</v>
          </cell>
        </row>
        <row r="7479">
          <cell r="I7479" t="str">
            <v>V48744</v>
          </cell>
          <cell r="J7479" t="str">
            <v>CTC</v>
          </cell>
          <cell r="K7479" t="str">
            <v>YES</v>
          </cell>
        </row>
        <row r="7480">
          <cell r="I7480" t="str">
            <v>V49169</v>
          </cell>
          <cell r="J7480" t="str">
            <v>CTC</v>
          </cell>
          <cell r="K7480" t="str">
            <v>YES</v>
          </cell>
        </row>
        <row r="7481">
          <cell r="I7481" t="str">
            <v>V49588</v>
          </cell>
          <cell r="J7481" t="str">
            <v>CTC</v>
          </cell>
          <cell r="K7481" t="str">
            <v>YES</v>
          </cell>
        </row>
        <row r="7482">
          <cell r="I7482" t="str">
            <v>V48617</v>
          </cell>
          <cell r="J7482" t="str">
            <v>CTC</v>
          </cell>
          <cell r="K7482" t="str">
            <v>YES</v>
          </cell>
        </row>
        <row r="7483">
          <cell r="I7483" t="str">
            <v>V49008</v>
          </cell>
          <cell r="J7483" t="str">
            <v>CTC</v>
          </cell>
          <cell r="K7483" t="str">
            <v>YES</v>
          </cell>
        </row>
        <row r="7484">
          <cell r="I7484" t="str">
            <v>V48702</v>
          </cell>
          <cell r="J7484" t="str">
            <v>CTC</v>
          </cell>
          <cell r="K7484" t="str">
            <v>YES</v>
          </cell>
        </row>
        <row r="7485">
          <cell r="I7485" t="str">
            <v>V43774</v>
          </cell>
          <cell r="J7485" t="str">
            <v>CTC</v>
          </cell>
          <cell r="K7485" t="str">
            <v>YES</v>
          </cell>
        </row>
        <row r="7486">
          <cell r="I7486" t="str">
            <v>V48239</v>
          </cell>
          <cell r="J7486" t="str">
            <v>CTC</v>
          </cell>
          <cell r="K7486" t="str">
            <v>YES</v>
          </cell>
        </row>
        <row r="7487">
          <cell r="I7487" t="str">
            <v>V50645</v>
          </cell>
          <cell r="J7487" t="str">
            <v>CTC</v>
          </cell>
          <cell r="K7487" t="str">
            <v>YES</v>
          </cell>
        </row>
        <row r="7488">
          <cell r="I7488" t="str">
            <v>V48825</v>
          </cell>
          <cell r="J7488" t="str">
            <v>CTC</v>
          </cell>
          <cell r="K7488" t="str">
            <v>YES</v>
          </cell>
        </row>
        <row r="7489">
          <cell r="I7489" t="str">
            <v>V50155</v>
          </cell>
          <cell r="J7489" t="str">
            <v>CTC</v>
          </cell>
          <cell r="K7489" t="str">
            <v>YES</v>
          </cell>
        </row>
        <row r="7490">
          <cell r="I7490" t="str">
            <v>V49656</v>
          </cell>
          <cell r="J7490" t="str">
            <v>CTC</v>
          </cell>
          <cell r="K7490" t="str">
            <v>YES</v>
          </cell>
        </row>
        <row r="7491">
          <cell r="I7491" t="str">
            <v>V50211</v>
          </cell>
          <cell r="J7491" t="str">
            <v>CTC</v>
          </cell>
          <cell r="K7491" t="str">
            <v>YES</v>
          </cell>
        </row>
        <row r="7492">
          <cell r="I7492" t="str">
            <v>V48181</v>
          </cell>
          <cell r="J7492" t="str">
            <v>CTC</v>
          </cell>
          <cell r="K7492" t="str">
            <v>YES</v>
          </cell>
        </row>
        <row r="7493">
          <cell r="I7493" t="str">
            <v>V47528</v>
          </cell>
          <cell r="J7493" t="str">
            <v>CTC</v>
          </cell>
          <cell r="K7493" t="str">
            <v>YES</v>
          </cell>
        </row>
        <row r="7494">
          <cell r="I7494" t="str">
            <v>V48719</v>
          </cell>
          <cell r="J7494" t="str">
            <v>CTC</v>
          </cell>
          <cell r="K7494" t="str">
            <v>YES</v>
          </cell>
        </row>
        <row r="7495">
          <cell r="I7495" t="str">
            <v>V47803</v>
          </cell>
          <cell r="J7495" t="str">
            <v>CTC</v>
          </cell>
          <cell r="K7495" t="str">
            <v>YES</v>
          </cell>
        </row>
        <row r="7496">
          <cell r="I7496" t="str">
            <v>V47952</v>
          </cell>
          <cell r="J7496" t="str">
            <v>CTC</v>
          </cell>
          <cell r="K7496" t="str">
            <v>YES</v>
          </cell>
        </row>
        <row r="7497">
          <cell r="I7497" t="str">
            <v>V49007</v>
          </cell>
          <cell r="J7497" t="str">
            <v>CTC</v>
          </cell>
          <cell r="K7497" t="str">
            <v>YES</v>
          </cell>
        </row>
        <row r="7498">
          <cell r="I7498" t="str">
            <v>V48860</v>
          </cell>
          <cell r="J7498" t="str">
            <v>CTC</v>
          </cell>
          <cell r="K7498" t="str">
            <v>YES</v>
          </cell>
        </row>
        <row r="7499">
          <cell r="I7499" t="str">
            <v>V49839</v>
          </cell>
          <cell r="J7499" t="str">
            <v>CTC</v>
          </cell>
          <cell r="K7499" t="str">
            <v>YES</v>
          </cell>
        </row>
        <row r="7500">
          <cell r="I7500" t="str">
            <v>V48829</v>
          </cell>
          <cell r="J7500" t="str">
            <v>CTC</v>
          </cell>
          <cell r="K7500" t="str">
            <v>YES</v>
          </cell>
        </row>
        <row r="7501">
          <cell r="I7501" t="str">
            <v>V49528</v>
          </cell>
          <cell r="J7501" t="str">
            <v>CTC</v>
          </cell>
          <cell r="K7501" t="str">
            <v>YES</v>
          </cell>
        </row>
        <row r="7502">
          <cell r="I7502" t="str">
            <v>V48470</v>
          </cell>
          <cell r="J7502" t="str">
            <v>CTC</v>
          </cell>
          <cell r="K7502" t="str">
            <v>YES</v>
          </cell>
        </row>
        <row r="7503">
          <cell r="I7503" t="str">
            <v>V48184</v>
          </cell>
          <cell r="J7503" t="str">
            <v>CTC</v>
          </cell>
          <cell r="K7503" t="str">
            <v>YES</v>
          </cell>
        </row>
        <row r="7504">
          <cell r="I7504" t="str">
            <v>V48220</v>
          </cell>
          <cell r="J7504" t="str">
            <v>CTC</v>
          </cell>
          <cell r="K7504" t="str">
            <v>YES</v>
          </cell>
        </row>
        <row r="7505">
          <cell r="I7505" t="str">
            <v>V48207</v>
          </cell>
          <cell r="J7505" t="str">
            <v>CTC</v>
          </cell>
          <cell r="K7505" t="str">
            <v>YES</v>
          </cell>
        </row>
        <row r="7506">
          <cell r="I7506" t="str">
            <v>V48403</v>
          </cell>
          <cell r="J7506" t="str">
            <v>CTC</v>
          </cell>
          <cell r="K7506" t="str">
            <v>YES</v>
          </cell>
        </row>
        <row r="7507">
          <cell r="I7507" t="str">
            <v>V47957</v>
          </cell>
          <cell r="J7507" t="str">
            <v>CTC</v>
          </cell>
          <cell r="K7507" t="str">
            <v>YES</v>
          </cell>
        </row>
        <row r="7508">
          <cell r="I7508" t="str">
            <v>V48996</v>
          </cell>
          <cell r="J7508" t="str">
            <v>CTC</v>
          </cell>
          <cell r="K7508" t="str">
            <v>YES</v>
          </cell>
        </row>
        <row r="7509">
          <cell r="I7509" t="str">
            <v>V48998</v>
          </cell>
          <cell r="J7509" t="str">
            <v>CTC</v>
          </cell>
          <cell r="K7509" t="str">
            <v>YES</v>
          </cell>
        </row>
        <row r="7510">
          <cell r="I7510" t="str">
            <v>V50245</v>
          </cell>
          <cell r="J7510" t="str">
            <v>CTC</v>
          </cell>
          <cell r="K7510" t="str">
            <v>YES</v>
          </cell>
        </row>
        <row r="7511">
          <cell r="I7511" t="str">
            <v>V48662</v>
          </cell>
          <cell r="J7511" t="str">
            <v>CTC</v>
          </cell>
          <cell r="K7511" t="str">
            <v>YES</v>
          </cell>
        </row>
        <row r="7512">
          <cell r="I7512" t="str">
            <v>V49047</v>
          </cell>
          <cell r="J7512" t="str">
            <v>CTC</v>
          </cell>
          <cell r="K7512" t="str">
            <v>YES</v>
          </cell>
        </row>
        <row r="7513">
          <cell r="I7513" t="str">
            <v>V49958</v>
          </cell>
          <cell r="J7513" t="str">
            <v>CTC</v>
          </cell>
          <cell r="K7513" t="str">
            <v>YES</v>
          </cell>
        </row>
        <row r="7514">
          <cell r="I7514" t="str">
            <v>V48682</v>
          </cell>
          <cell r="J7514" t="str">
            <v>CTC</v>
          </cell>
          <cell r="K7514" t="str">
            <v>YES</v>
          </cell>
        </row>
        <row r="7515">
          <cell r="I7515" t="str">
            <v>V50006</v>
          </cell>
          <cell r="J7515" t="str">
            <v>CTC</v>
          </cell>
          <cell r="K7515" t="str">
            <v>YES</v>
          </cell>
        </row>
        <row r="7516">
          <cell r="I7516" t="str">
            <v>V44484</v>
          </cell>
          <cell r="J7516" t="str">
            <v>CTC</v>
          </cell>
          <cell r="K7516" t="str">
            <v>YES</v>
          </cell>
        </row>
        <row r="7517">
          <cell r="I7517" t="str">
            <v>V49064</v>
          </cell>
          <cell r="J7517" t="str">
            <v>CTC</v>
          </cell>
          <cell r="K7517" t="str">
            <v>YES</v>
          </cell>
        </row>
        <row r="7518">
          <cell r="I7518" t="str">
            <v>V51163</v>
          </cell>
          <cell r="J7518" t="str">
            <v>CTC</v>
          </cell>
          <cell r="K7518" t="str">
            <v>YES</v>
          </cell>
        </row>
        <row r="7519">
          <cell r="I7519" t="str">
            <v>V48919</v>
          </cell>
          <cell r="J7519" t="str">
            <v>CTC</v>
          </cell>
          <cell r="K7519" t="str">
            <v>YES</v>
          </cell>
        </row>
        <row r="7520">
          <cell r="I7520" t="str">
            <v>V49884</v>
          </cell>
          <cell r="J7520" t="str">
            <v>CTC</v>
          </cell>
          <cell r="K7520" t="str">
            <v>YES</v>
          </cell>
        </row>
        <row r="7521">
          <cell r="I7521" t="str">
            <v>V48490</v>
          </cell>
          <cell r="J7521" t="str">
            <v>CTC</v>
          </cell>
          <cell r="K7521" t="str">
            <v>YES</v>
          </cell>
        </row>
        <row r="7522">
          <cell r="I7522" t="str">
            <v>V50643</v>
          </cell>
          <cell r="J7522" t="str">
            <v>CTC</v>
          </cell>
          <cell r="K7522" t="str">
            <v>YES</v>
          </cell>
        </row>
        <row r="7523">
          <cell r="I7523" t="str">
            <v>V49669</v>
          </cell>
          <cell r="J7523" t="str">
            <v>CTC</v>
          </cell>
          <cell r="K7523" t="str">
            <v>YES</v>
          </cell>
        </row>
        <row r="7524">
          <cell r="I7524" t="str">
            <v>V48147</v>
          </cell>
          <cell r="J7524" t="str">
            <v>CTC</v>
          </cell>
          <cell r="K7524" t="str">
            <v>YES</v>
          </cell>
        </row>
        <row r="7525">
          <cell r="I7525" t="str">
            <v>V48298</v>
          </cell>
          <cell r="J7525" t="str">
            <v>CTC</v>
          </cell>
          <cell r="K7525" t="str">
            <v>YES</v>
          </cell>
        </row>
        <row r="7526">
          <cell r="I7526" t="str">
            <v>V48614</v>
          </cell>
          <cell r="J7526" t="str">
            <v>CTC</v>
          </cell>
          <cell r="K7526" t="str">
            <v>YES</v>
          </cell>
        </row>
        <row r="7527">
          <cell r="I7527" t="str">
            <v>V50567</v>
          </cell>
          <cell r="J7527" t="str">
            <v>STAT</v>
          </cell>
          <cell r="K7527" t="str">
            <v>YES</v>
          </cell>
        </row>
        <row r="7528">
          <cell r="I7528" t="str">
            <v>V48008</v>
          </cell>
          <cell r="J7528" t="str">
            <v>CTC</v>
          </cell>
          <cell r="K7528" t="str">
            <v>YES</v>
          </cell>
        </row>
        <row r="7529">
          <cell r="I7529" t="str">
            <v>V47051</v>
          </cell>
          <cell r="J7529" t="str">
            <v>CTC</v>
          </cell>
          <cell r="K7529" t="str">
            <v>YES</v>
          </cell>
        </row>
        <row r="7530">
          <cell r="I7530" t="str">
            <v>V47850</v>
          </cell>
          <cell r="J7530" t="str">
            <v>CTC</v>
          </cell>
          <cell r="K7530" t="str">
            <v>YES</v>
          </cell>
        </row>
        <row r="7531">
          <cell r="I7531" t="str">
            <v>V48200</v>
          </cell>
          <cell r="J7531" t="str">
            <v>CTC</v>
          </cell>
          <cell r="K7531" t="str">
            <v>YES</v>
          </cell>
        </row>
        <row r="7532">
          <cell r="I7532" t="str">
            <v>V48736</v>
          </cell>
          <cell r="J7532" t="str">
            <v>CTC</v>
          </cell>
          <cell r="K7532" t="str">
            <v>YES</v>
          </cell>
        </row>
        <row r="7533">
          <cell r="I7533" t="str">
            <v>V46884</v>
          </cell>
          <cell r="J7533" t="str">
            <v>CTC</v>
          </cell>
          <cell r="K7533" t="str">
            <v>YES</v>
          </cell>
        </row>
        <row r="7534">
          <cell r="I7534" t="str">
            <v>V50362</v>
          </cell>
          <cell r="J7534" t="str">
            <v>CTC</v>
          </cell>
          <cell r="K7534" t="str">
            <v>YES</v>
          </cell>
        </row>
        <row r="7535">
          <cell r="I7535" t="str">
            <v>V48635</v>
          </cell>
          <cell r="J7535" t="str">
            <v>CTC</v>
          </cell>
          <cell r="K7535" t="str">
            <v>YES</v>
          </cell>
        </row>
        <row r="7536">
          <cell r="I7536" t="str">
            <v>V48903</v>
          </cell>
          <cell r="J7536" t="str">
            <v>CTC</v>
          </cell>
          <cell r="K7536" t="str">
            <v>YES</v>
          </cell>
        </row>
        <row r="7537">
          <cell r="I7537" t="str">
            <v>V48629</v>
          </cell>
          <cell r="J7537" t="str">
            <v>CTC</v>
          </cell>
          <cell r="K7537" t="str">
            <v>YES</v>
          </cell>
        </row>
        <row r="7538">
          <cell r="I7538" t="str">
            <v>V48704</v>
          </cell>
          <cell r="J7538" t="str">
            <v>CTC</v>
          </cell>
          <cell r="K7538" t="str">
            <v>YES</v>
          </cell>
        </row>
        <row r="7539">
          <cell r="I7539" t="str">
            <v>V49150</v>
          </cell>
          <cell r="J7539" t="str">
            <v>CTC</v>
          </cell>
          <cell r="K7539" t="str">
            <v>YES</v>
          </cell>
        </row>
        <row r="7540">
          <cell r="I7540" t="str">
            <v>V49187</v>
          </cell>
          <cell r="J7540" t="str">
            <v>CTC</v>
          </cell>
          <cell r="K7540" t="str">
            <v>YES</v>
          </cell>
        </row>
        <row r="7541">
          <cell r="I7541" t="str">
            <v>V49162</v>
          </cell>
          <cell r="J7541" t="str">
            <v>CTC</v>
          </cell>
          <cell r="K7541" t="str">
            <v>YES</v>
          </cell>
        </row>
        <row r="7542">
          <cell r="I7542" t="str">
            <v>V47164</v>
          </cell>
          <cell r="J7542" t="str">
            <v>CTC</v>
          </cell>
          <cell r="K7542" t="str">
            <v>YES</v>
          </cell>
        </row>
        <row r="7543">
          <cell r="I7543" t="str">
            <v>V46890</v>
          </cell>
          <cell r="J7543" t="str">
            <v>CTC</v>
          </cell>
          <cell r="K7543" t="str">
            <v>YES</v>
          </cell>
        </row>
        <row r="7544">
          <cell r="I7544" t="str">
            <v>V48122</v>
          </cell>
          <cell r="J7544" t="str">
            <v>CTC</v>
          </cell>
          <cell r="K7544" t="str">
            <v>YES</v>
          </cell>
        </row>
        <row r="7545">
          <cell r="I7545" t="str">
            <v>V48012</v>
          </cell>
          <cell r="J7545" t="str">
            <v>CTC</v>
          </cell>
          <cell r="K7545" t="str">
            <v>YES</v>
          </cell>
        </row>
        <row r="7546">
          <cell r="I7546" t="str">
            <v>V49357</v>
          </cell>
          <cell r="J7546" t="str">
            <v>CTC</v>
          </cell>
          <cell r="K7546" t="str">
            <v>YES</v>
          </cell>
        </row>
        <row r="7547">
          <cell r="I7547" t="str">
            <v>V48923</v>
          </cell>
          <cell r="J7547" t="str">
            <v>CTC</v>
          </cell>
          <cell r="K7547" t="str">
            <v>YES</v>
          </cell>
        </row>
        <row r="7548">
          <cell r="I7548" t="str">
            <v>V48112</v>
          </cell>
          <cell r="J7548" t="str">
            <v>CTC</v>
          </cell>
          <cell r="K7548" t="str">
            <v>YES</v>
          </cell>
        </row>
        <row r="7549">
          <cell r="I7549" t="str">
            <v>V50383</v>
          </cell>
          <cell r="J7549" t="str">
            <v>CTC</v>
          </cell>
          <cell r="K7549" t="str">
            <v>YES</v>
          </cell>
        </row>
        <row r="7550">
          <cell r="I7550" t="str">
            <v>V48152</v>
          </cell>
          <cell r="J7550" t="str">
            <v>CTC</v>
          </cell>
          <cell r="K7550" t="str">
            <v>YES</v>
          </cell>
        </row>
        <row r="7551">
          <cell r="I7551" t="str">
            <v>V47958</v>
          </cell>
          <cell r="J7551" t="str">
            <v>CTC</v>
          </cell>
          <cell r="K7551" t="str">
            <v>YES</v>
          </cell>
        </row>
        <row r="7552">
          <cell r="I7552" t="str">
            <v>V48186</v>
          </cell>
          <cell r="J7552" t="str">
            <v>CTC</v>
          </cell>
          <cell r="K7552" t="str">
            <v>YES</v>
          </cell>
        </row>
        <row r="7553">
          <cell r="I7553" t="str">
            <v>V50398</v>
          </cell>
          <cell r="J7553" t="str">
            <v>CTC</v>
          </cell>
          <cell r="K7553" t="str">
            <v>YES</v>
          </cell>
        </row>
        <row r="7554">
          <cell r="I7554" t="str">
            <v>V50325</v>
          </cell>
          <cell r="J7554" t="str">
            <v>CTC</v>
          </cell>
          <cell r="K7554" t="str">
            <v>YES</v>
          </cell>
        </row>
        <row r="7555">
          <cell r="I7555" t="str">
            <v>V47543</v>
          </cell>
          <cell r="J7555" t="str">
            <v>CTC</v>
          </cell>
          <cell r="K7555" t="str">
            <v>YES</v>
          </cell>
        </row>
        <row r="7556">
          <cell r="I7556" t="str">
            <v>V48297</v>
          </cell>
          <cell r="J7556" t="str">
            <v>CTC</v>
          </cell>
          <cell r="K7556" t="str">
            <v>YES</v>
          </cell>
        </row>
        <row r="7557">
          <cell r="I7557" t="str">
            <v>V47454</v>
          </cell>
          <cell r="J7557" t="str">
            <v>CTC</v>
          </cell>
          <cell r="K7557" t="str">
            <v>YES</v>
          </cell>
        </row>
        <row r="7558">
          <cell r="I7558" t="str">
            <v>V49102</v>
          </cell>
          <cell r="J7558" t="str">
            <v>CTC</v>
          </cell>
          <cell r="K7558" t="str">
            <v>YES</v>
          </cell>
        </row>
        <row r="7559">
          <cell r="I7559" t="str">
            <v>V48761</v>
          </cell>
          <cell r="J7559" t="str">
            <v>CTC</v>
          </cell>
          <cell r="K7559" t="str">
            <v>YES</v>
          </cell>
        </row>
        <row r="7560">
          <cell r="I7560" t="str">
            <v>V49283</v>
          </cell>
          <cell r="J7560" t="str">
            <v>CTC</v>
          </cell>
          <cell r="K7560" t="str">
            <v>YES</v>
          </cell>
        </row>
        <row r="7561">
          <cell r="I7561" t="str">
            <v>V48909</v>
          </cell>
          <cell r="J7561" t="str">
            <v>CTC</v>
          </cell>
          <cell r="K7561" t="str">
            <v>YES</v>
          </cell>
        </row>
        <row r="7562">
          <cell r="I7562" t="str">
            <v>V48775</v>
          </cell>
          <cell r="J7562" t="str">
            <v>CTC</v>
          </cell>
          <cell r="K7562" t="str">
            <v>YES</v>
          </cell>
        </row>
        <row r="7563">
          <cell r="I7563" t="str">
            <v>V50521</v>
          </cell>
          <cell r="J7563" t="str">
            <v>STAT</v>
          </cell>
          <cell r="K7563" t="str">
            <v>YES</v>
          </cell>
        </row>
        <row r="7564">
          <cell r="I7564" t="str">
            <v>V47877</v>
          </cell>
          <cell r="J7564" t="str">
            <v>CTC</v>
          </cell>
          <cell r="K7564" t="str">
            <v>YES</v>
          </cell>
        </row>
        <row r="7565">
          <cell r="I7565" t="str">
            <v>V49299</v>
          </cell>
          <cell r="J7565" t="str">
            <v>CTC</v>
          </cell>
          <cell r="K7565" t="str">
            <v>YES</v>
          </cell>
        </row>
        <row r="7566">
          <cell r="I7566" t="str">
            <v>V48587</v>
          </cell>
          <cell r="J7566" t="str">
            <v>CTC</v>
          </cell>
          <cell r="K7566" t="str">
            <v>YES</v>
          </cell>
        </row>
        <row r="7567">
          <cell r="I7567" t="str">
            <v>V48600</v>
          </cell>
          <cell r="J7567" t="str">
            <v>CTC</v>
          </cell>
          <cell r="K7567" t="str">
            <v>YES</v>
          </cell>
        </row>
        <row r="7568">
          <cell r="I7568" t="str">
            <v>V48828</v>
          </cell>
          <cell r="J7568" t="str">
            <v>CTC</v>
          </cell>
          <cell r="K7568" t="str">
            <v>YES</v>
          </cell>
        </row>
        <row r="7569">
          <cell r="I7569" t="str">
            <v>V48914</v>
          </cell>
          <cell r="J7569" t="str">
            <v>CTC</v>
          </cell>
          <cell r="K7569" t="str">
            <v>YES</v>
          </cell>
        </row>
        <row r="7570">
          <cell r="I7570" t="str">
            <v>V47134</v>
          </cell>
          <cell r="J7570" t="str">
            <v>CTC</v>
          </cell>
          <cell r="K7570" t="str">
            <v>YES</v>
          </cell>
        </row>
        <row r="7571">
          <cell r="I7571" t="str">
            <v>V50539</v>
          </cell>
          <cell r="J7571" t="str">
            <v>CTC</v>
          </cell>
          <cell r="K7571" t="str">
            <v>YES</v>
          </cell>
        </row>
        <row r="7572">
          <cell r="I7572" t="str">
            <v>V48201</v>
          </cell>
          <cell r="J7572" t="str">
            <v>CTC</v>
          </cell>
          <cell r="K7572" t="str">
            <v>YES</v>
          </cell>
        </row>
        <row r="7573">
          <cell r="I7573" t="str">
            <v>V50037</v>
          </cell>
          <cell r="J7573" t="str">
            <v>CTC</v>
          </cell>
          <cell r="K7573" t="str">
            <v>YES</v>
          </cell>
        </row>
        <row r="7574">
          <cell r="I7574" t="str">
            <v>V46172</v>
          </cell>
          <cell r="J7574" t="str">
            <v>CTC</v>
          </cell>
          <cell r="K7574" t="str">
            <v>YES</v>
          </cell>
        </row>
        <row r="7575">
          <cell r="I7575" t="str">
            <v>V48691</v>
          </cell>
          <cell r="J7575" t="str">
            <v>CTC</v>
          </cell>
          <cell r="K7575" t="str">
            <v>YES</v>
          </cell>
        </row>
        <row r="7576">
          <cell r="I7576" t="str">
            <v>V47294</v>
          </cell>
          <cell r="J7576" t="str">
            <v>CTC</v>
          </cell>
          <cell r="K7576" t="str">
            <v>YES</v>
          </cell>
        </row>
        <row r="7577">
          <cell r="I7577" t="str">
            <v>V48752</v>
          </cell>
          <cell r="J7577" t="str">
            <v>CTC</v>
          </cell>
          <cell r="K7577" t="str">
            <v>YES</v>
          </cell>
        </row>
        <row r="7578">
          <cell r="I7578" t="str">
            <v>V50250</v>
          </cell>
          <cell r="J7578" t="str">
            <v>CTC</v>
          </cell>
          <cell r="K7578" t="str">
            <v>YES</v>
          </cell>
        </row>
        <row r="7579">
          <cell r="I7579" t="str">
            <v>V48590</v>
          </cell>
          <cell r="J7579" t="str">
            <v>CTC</v>
          </cell>
          <cell r="K7579" t="str">
            <v>YES</v>
          </cell>
        </row>
        <row r="7580">
          <cell r="I7580" t="str">
            <v>V47948</v>
          </cell>
          <cell r="J7580" t="str">
            <v>CTC</v>
          </cell>
          <cell r="K7580" t="str">
            <v>YES</v>
          </cell>
        </row>
        <row r="7581">
          <cell r="I7581" t="str">
            <v>V49883</v>
          </cell>
          <cell r="J7581" t="str">
            <v>CTC</v>
          </cell>
          <cell r="K7581" t="str">
            <v>YES</v>
          </cell>
        </row>
        <row r="7582">
          <cell r="I7582" t="str">
            <v>V48899</v>
          </cell>
          <cell r="J7582" t="str">
            <v>CTC</v>
          </cell>
          <cell r="K7582" t="str">
            <v>YES</v>
          </cell>
        </row>
        <row r="7583">
          <cell r="I7583" t="str">
            <v>V48084</v>
          </cell>
          <cell r="J7583" t="str">
            <v>CTC</v>
          </cell>
          <cell r="K7583" t="str">
            <v>YES</v>
          </cell>
        </row>
        <row r="7584">
          <cell r="I7584" t="str">
            <v>V48497</v>
          </cell>
          <cell r="J7584" t="str">
            <v>CTC</v>
          </cell>
          <cell r="K7584" t="str">
            <v>YES</v>
          </cell>
        </row>
        <row r="7585">
          <cell r="I7585" t="str">
            <v>V49112</v>
          </cell>
          <cell r="J7585" t="str">
            <v>CTC</v>
          </cell>
          <cell r="K7585" t="str">
            <v>YES</v>
          </cell>
        </row>
        <row r="7586">
          <cell r="I7586" t="str">
            <v>V48138</v>
          </cell>
          <cell r="J7586" t="str">
            <v>CTC</v>
          </cell>
          <cell r="K7586" t="str">
            <v>YES</v>
          </cell>
        </row>
        <row r="7587">
          <cell r="I7587" t="str">
            <v>V49757</v>
          </cell>
          <cell r="J7587" t="str">
            <v>CTC</v>
          </cell>
          <cell r="K7587" t="str">
            <v>YES</v>
          </cell>
        </row>
        <row r="7588">
          <cell r="I7588" t="str">
            <v>V48830</v>
          </cell>
          <cell r="J7588" t="str">
            <v>CTC</v>
          </cell>
          <cell r="K7588" t="str">
            <v>YES</v>
          </cell>
        </row>
        <row r="7589">
          <cell r="I7589" t="str">
            <v>V47917</v>
          </cell>
          <cell r="J7589" t="str">
            <v>CTC</v>
          </cell>
          <cell r="K7589" t="str">
            <v>YES</v>
          </cell>
        </row>
        <row r="7590">
          <cell r="I7590" t="str">
            <v>V48773</v>
          </cell>
          <cell r="J7590" t="str">
            <v>CTC</v>
          </cell>
          <cell r="K7590" t="str">
            <v>YES</v>
          </cell>
        </row>
        <row r="7591">
          <cell r="I7591" t="str">
            <v>V50529</v>
          </cell>
          <cell r="J7591" t="str">
            <v>STAT</v>
          </cell>
          <cell r="K7591" t="str">
            <v>YES</v>
          </cell>
        </row>
        <row r="7592">
          <cell r="I7592" t="str">
            <v>V48563</v>
          </cell>
          <cell r="J7592" t="str">
            <v>CTC</v>
          </cell>
          <cell r="K7592" t="str">
            <v>YES</v>
          </cell>
        </row>
        <row r="7593">
          <cell r="I7593" t="str">
            <v>V48659</v>
          </cell>
          <cell r="J7593" t="str">
            <v>CTC</v>
          </cell>
          <cell r="K7593" t="str">
            <v>YES</v>
          </cell>
        </row>
        <row r="7594">
          <cell r="I7594" t="str">
            <v>V48660</v>
          </cell>
          <cell r="J7594" t="str">
            <v>CTC</v>
          </cell>
          <cell r="K7594" t="str">
            <v>YES</v>
          </cell>
        </row>
        <row r="7595">
          <cell r="I7595" t="str">
            <v>V48651</v>
          </cell>
          <cell r="J7595" t="str">
            <v>CTC</v>
          </cell>
          <cell r="K7595" t="str">
            <v>YES</v>
          </cell>
        </row>
        <row r="7596">
          <cell r="I7596" t="str">
            <v>V48821</v>
          </cell>
          <cell r="J7596" t="str">
            <v>CTC</v>
          </cell>
          <cell r="K7596" t="str">
            <v>YES</v>
          </cell>
        </row>
        <row r="7597">
          <cell r="I7597" t="str">
            <v>V49257</v>
          </cell>
          <cell r="J7597" t="str">
            <v>CTC</v>
          </cell>
          <cell r="K7597" t="str">
            <v>YES</v>
          </cell>
        </row>
        <row r="7598">
          <cell r="I7598" t="str">
            <v>V48997</v>
          </cell>
          <cell r="J7598" t="str">
            <v>CTC</v>
          </cell>
          <cell r="K7598" t="str">
            <v>YES</v>
          </cell>
        </row>
        <row r="7599">
          <cell r="I7599" t="str">
            <v>V48958</v>
          </cell>
          <cell r="J7599" t="str">
            <v>CTC</v>
          </cell>
          <cell r="K7599" t="str">
            <v>YES</v>
          </cell>
        </row>
        <row r="7600">
          <cell r="I7600" t="str">
            <v>V52529</v>
          </cell>
          <cell r="J7600" t="str">
            <v>STAT</v>
          </cell>
          <cell r="K7600" t="str">
            <v>YES</v>
          </cell>
        </row>
        <row r="7601">
          <cell r="I7601" t="str">
            <v>V48859</v>
          </cell>
          <cell r="J7601" t="str">
            <v>CTC</v>
          </cell>
          <cell r="K7601" t="str">
            <v>YES</v>
          </cell>
        </row>
        <row r="7602">
          <cell r="I7602" t="str">
            <v>V48648</v>
          </cell>
          <cell r="J7602" t="str">
            <v>CTC</v>
          </cell>
          <cell r="K7602" t="str">
            <v>YES</v>
          </cell>
        </row>
        <row r="7603">
          <cell r="I7603" t="str">
            <v>V48653</v>
          </cell>
          <cell r="J7603" t="str">
            <v>CTC</v>
          </cell>
          <cell r="K7603" t="str">
            <v>YES</v>
          </cell>
        </row>
        <row r="7604">
          <cell r="I7604" t="str">
            <v>V47193</v>
          </cell>
          <cell r="J7604" t="str">
            <v>CTC</v>
          </cell>
          <cell r="K7604" t="str">
            <v>YES</v>
          </cell>
        </row>
        <row r="7605">
          <cell r="I7605" t="str">
            <v>V48155</v>
          </cell>
          <cell r="J7605" t="str">
            <v>CTC</v>
          </cell>
          <cell r="K7605" t="str">
            <v>YES</v>
          </cell>
        </row>
        <row r="7606">
          <cell r="I7606" t="str">
            <v>V49166</v>
          </cell>
          <cell r="J7606" t="str">
            <v>CTC</v>
          </cell>
          <cell r="K7606" t="str">
            <v>YES</v>
          </cell>
        </row>
        <row r="7607">
          <cell r="I7607" t="str">
            <v>V49603</v>
          </cell>
          <cell r="J7607" t="str">
            <v>CTC</v>
          </cell>
          <cell r="K7607" t="str">
            <v>YES</v>
          </cell>
        </row>
        <row r="7608">
          <cell r="I7608" t="str">
            <v>V48961</v>
          </cell>
          <cell r="J7608" t="str">
            <v>CTC</v>
          </cell>
          <cell r="K7608" t="str">
            <v>YES</v>
          </cell>
        </row>
        <row r="7609">
          <cell r="I7609" t="str">
            <v>V48591</v>
          </cell>
          <cell r="J7609" t="str">
            <v>CTC</v>
          </cell>
          <cell r="K7609" t="str">
            <v>YES</v>
          </cell>
        </row>
        <row r="7610">
          <cell r="I7610" t="str">
            <v>V49060</v>
          </cell>
          <cell r="J7610" t="str">
            <v>CTC</v>
          </cell>
          <cell r="K7610" t="str">
            <v>YES</v>
          </cell>
        </row>
        <row r="7611">
          <cell r="I7611" t="str">
            <v>V49444</v>
          </cell>
          <cell r="J7611" t="str">
            <v>CTC</v>
          </cell>
          <cell r="K7611" t="str">
            <v>YES</v>
          </cell>
        </row>
        <row r="7612">
          <cell r="I7612" t="str">
            <v>V48665</v>
          </cell>
          <cell r="J7612" t="str">
            <v>CTC</v>
          </cell>
          <cell r="K7612" t="str">
            <v>YES</v>
          </cell>
        </row>
        <row r="7613">
          <cell r="I7613" t="str">
            <v>V48436</v>
          </cell>
          <cell r="J7613" t="str">
            <v>CTC</v>
          </cell>
          <cell r="K7613" t="str">
            <v>YES</v>
          </cell>
        </row>
        <row r="7614">
          <cell r="I7614" t="str">
            <v>V49061</v>
          </cell>
          <cell r="J7614" t="str">
            <v>CTC</v>
          </cell>
          <cell r="K7614" t="str">
            <v>YES</v>
          </cell>
        </row>
        <row r="7615">
          <cell r="I7615" t="str">
            <v>V48377</v>
          </cell>
          <cell r="J7615" t="str">
            <v>CTC</v>
          </cell>
          <cell r="K7615" t="str">
            <v>YES</v>
          </cell>
        </row>
        <row r="7616">
          <cell r="I7616" t="str">
            <v>V48296</v>
          </cell>
          <cell r="J7616" t="str">
            <v>CTC</v>
          </cell>
          <cell r="K7616" t="str">
            <v>YES</v>
          </cell>
        </row>
        <row r="7617">
          <cell r="I7617" t="str">
            <v>V49806</v>
          </cell>
          <cell r="J7617" t="str">
            <v>CTC</v>
          </cell>
          <cell r="K7617" t="str">
            <v>YES</v>
          </cell>
        </row>
        <row r="7618">
          <cell r="I7618" t="str">
            <v>V49768</v>
          </cell>
          <cell r="J7618" t="str">
            <v>CTC</v>
          </cell>
          <cell r="K7618" t="str">
            <v>YES</v>
          </cell>
        </row>
        <row r="7619">
          <cell r="I7619" t="str">
            <v>V48820</v>
          </cell>
          <cell r="J7619" t="str">
            <v>CTC</v>
          </cell>
          <cell r="K7619" t="str">
            <v>YES</v>
          </cell>
        </row>
        <row r="7620">
          <cell r="I7620" t="str">
            <v>V48831</v>
          </cell>
          <cell r="J7620" t="str">
            <v>CTC</v>
          </cell>
          <cell r="K7620" t="str">
            <v>YES</v>
          </cell>
        </row>
        <row r="7621">
          <cell r="I7621" t="str">
            <v>V49054</v>
          </cell>
          <cell r="J7621" t="str">
            <v>CTC</v>
          </cell>
          <cell r="K7621" t="str">
            <v>YES</v>
          </cell>
        </row>
        <row r="7622">
          <cell r="I7622" t="str">
            <v>V48729</v>
          </cell>
          <cell r="J7622" t="str">
            <v>CTC</v>
          </cell>
          <cell r="K7622" t="str">
            <v>YES</v>
          </cell>
        </row>
        <row r="7623">
          <cell r="I7623" t="str">
            <v>V50814</v>
          </cell>
          <cell r="J7623" t="str">
            <v>STAT</v>
          </cell>
          <cell r="K7623" t="str">
            <v>YES</v>
          </cell>
        </row>
        <row r="7624">
          <cell r="I7624" t="str">
            <v>V50198</v>
          </cell>
          <cell r="J7624" t="str">
            <v>CTC</v>
          </cell>
          <cell r="K7624" t="str">
            <v>YES</v>
          </cell>
        </row>
        <row r="7625">
          <cell r="I7625" t="str">
            <v>V48364</v>
          </cell>
          <cell r="J7625" t="str">
            <v>CTC</v>
          </cell>
          <cell r="K7625" t="str">
            <v>YES</v>
          </cell>
        </row>
        <row r="7626">
          <cell r="I7626" t="str">
            <v>V48922</v>
          </cell>
          <cell r="J7626" t="str">
            <v>CTC</v>
          </cell>
          <cell r="K7626" t="str">
            <v>YES</v>
          </cell>
        </row>
        <row r="7627">
          <cell r="I7627" t="str">
            <v>V48339</v>
          </cell>
          <cell r="J7627" t="str">
            <v>CTC</v>
          </cell>
          <cell r="K7627" t="str">
            <v>YES</v>
          </cell>
        </row>
        <row r="7628">
          <cell r="I7628" t="str">
            <v>V48430</v>
          </cell>
          <cell r="J7628" t="str">
            <v>CTC</v>
          </cell>
          <cell r="K7628" t="str">
            <v>YES</v>
          </cell>
        </row>
        <row r="7629">
          <cell r="I7629" t="str">
            <v>V49514</v>
          </cell>
          <cell r="J7629" t="str">
            <v>CTC</v>
          </cell>
          <cell r="K7629" t="str">
            <v>YES</v>
          </cell>
        </row>
        <row r="7630">
          <cell r="I7630" t="str">
            <v>V48579</v>
          </cell>
          <cell r="J7630" t="str">
            <v>CTC</v>
          </cell>
          <cell r="K7630" t="str">
            <v>YES</v>
          </cell>
        </row>
        <row r="7631">
          <cell r="I7631" t="str">
            <v>V49216</v>
          </cell>
          <cell r="J7631" t="str">
            <v>CTC</v>
          </cell>
          <cell r="K7631" t="str">
            <v>YES</v>
          </cell>
        </row>
        <row r="7632">
          <cell r="I7632" t="str">
            <v>V48262</v>
          </cell>
          <cell r="J7632" t="str">
            <v>CTC</v>
          </cell>
          <cell r="K7632" t="str">
            <v>YES</v>
          </cell>
        </row>
        <row r="7633">
          <cell r="I7633" t="str">
            <v>V49149</v>
          </cell>
          <cell r="J7633" t="str">
            <v>CTC</v>
          </cell>
          <cell r="K7633" t="str">
            <v>YES</v>
          </cell>
        </row>
        <row r="7634">
          <cell r="I7634" t="str">
            <v>V50166</v>
          </cell>
          <cell r="J7634" t="str">
            <v>CTC</v>
          </cell>
          <cell r="K7634" t="str">
            <v>YES</v>
          </cell>
        </row>
        <row r="7635">
          <cell r="I7635" t="str">
            <v>V48754</v>
          </cell>
          <cell r="J7635" t="str">
            <v>CTC</v>
          </cell>
          <cell r="K7635" t="str">
            <v>YES</v>
          </cell>
        </row>
        <row r="7636">
          <cell r="I7636" t="str">
            <v>V48992</v>
          </cell>
          <cell r="J7636" t="str">
            <v>CTC</v>
          </cell>
          <cell r="K7636" t="str">
            <v>YES</v>
          </cell>
        </row>
        <row r="7637">
          <cell r="I7637" t="str">
            <v>V49359</v>
          </cell>
          <cell r="J7637" t="str">
            <v>CTC</v>
          </cell>
          <cell r="K7637" t="str">
            <v>YES</v>
          </cell>
        </row>
        <row r="7638">
          <cell r="I7638" t="str">
            <v>V49164</v>
          </cell>
          <cell r="J7638" t="str">
            <v>CTC</v>
          </cell>
          <cell r="K7638" t="str">
            <v>YES</v>
          </cell>
        </row>
        <row r="7639">
          <cell r="I7639" t="str">
            <v>V50426</v>
          </cell>
          <cell r="J7639" t="str">
            <v>CTC</v>
          </cell>
          <cell r="K7639" t="str">
            <v>YES</v>
          </cell>
        </row>
        <row r="7640">
          <cell r="I7640" t="str">
            <v>V48320</v>
          </cell>
          <cell r="J7640" t="str">
            <v>CTC</v>
          </cell>
          <cell r="K7640" t="str">
            <v>YES</v>
          </cell>
        </row>
        <row r="7641">
          <cell r="I7641" t="str">
            <v>V48530</v>
          </cell>
          <cell r="J7641" t="str">
            <v>CTC</v>
          </cell>
          <cell r="K7641" t="str">
            <v>YES</v>
          </cell>
        </row>
        <row r="7642">
          <cell r="I7642" t="str">
            <v>V48673</v>
          </cell>
          <cell r="J7642" t="str">
            <v>CTC</v>
          </cell>
          <cell r="K7642" t="str">
            <v>YES</v>
          </cell>
        </row>
        <row r="7643">
          <cell r="I7643" t="str">
            <v>V47568</v>
          </cell>
          <cell r="J7643" t="str">
            <v>CTC</v>
          </cell>
          <cell r="K7643" t="str">
            <v>YES</v>
          </cell>
        </row>
        <row r="7644">
          <cell r="I7644" t="str">
            <v>V50779</v>
          </cell>
          <cell r="J7644" t="str">
            <v>STAT</v>
          </cell>
          <cell r="K7644" t="str">
            <v>YES</v>
          </cell>
        </row>
        <row r="7645">
          <cell r="I7645" t="str">
            <v>V48007</v>
          </cell>
          <cell r="J7645" t="str">
            <v>CTC</v>
          </cell>
          <cell r="K7645" t="str">
            <v>YES</v>
          </cell>
        </row>
        <row r="7646">
          <cell r="I7646" t="str">
            <v>V49168</v>
          </cell>
          <cell r="J7646" t="str">
            <v>CTC</v>
          </cell>
          <cell r="K7646" t="str">
            <v>YES</v>
          </cell>
        </row>
        <row r="7647">
          <cell r="I7647" t="str">
            <v>V49361</v>
          </cell>
          <cell r="J7647" t="str">
            <v>CTC</v>
          </cell>
          <cell r="K7647" t="str">
            <v>YES</v>
          </cell>
        </row>
        <row r="7648">
          <cell r="I7648" t="str">
            <v>V49431</v>
          </cell>
          <cell r="J7648" t="str">
            <v>CTC</v>
          </cell>
          <cell r="K7648" t="str">
            <v>YES</v>
          </cell>
        </row>
        <row r="7649">
          <cell r="I7649" t="str">
            <v>V48952</v>
          </cell>
          <cell r="J7649" t="str">
            <v>CTC</v>
          </cell>
          <cell r="K7649" t="str">
            <v>YES</v>
          </cell>
        </row>
        <row r="7650">
          <cell r="I7650" t="str">
            <v>V48986</v>
          </cell>
          <cell r="J7650" t="str">
            <v>CTC</v>
          </cell>
          <cell r="K7650" t="str">
            <v>YES</v>
          </cell>
        </row>
        <row r="7651">
          <cell r="I7651" t="str">
            <v>V49717</v>
          </cell>
          <cell r="J7651" t="str">
            <v>CTC</v>
          </cell>
          <cell r="K7651" t="str">
            <v>YES</v>
          </cell>
        </row>
        <row r="7652">
          <cell r="I7652" t="str">
            <v>V50210</v>
          </cell>
          <cell r="J7652" t="str">
            <v>CTC</v>
          </cell>
          <cell r="K7652" t="str">
            <v>YES</v>
          </cell>
        </row>
        <row r="7653">
          <cell r="I7653" t="str">
            <v>V50100</v>
          </cell>
          <cell r="J7653" t="str">
            <v>CTC</v>
          </cell>
          <cell r="K7653" t="str">
            <v>YES</v>
          </cell>
        </row>
        <row r="7654">
          <cell r="I7654" t="str">
            <v>V49290</v>
          </cell>
          <cell r="J7654" t="str">
            <v>CTC</v>
          </cell>
          <cell r="K7654" t="str">
            <v>YES</v>
          </cell>
        </row>
        <row r="7655">
          <cell r="I7655" t="str">
            <v>V49843</v>
          </cell>
          <cell r="J7655" t="str">
            <v>CTC</v>
          </cell>
          <cell r="K7655" t="str">
            <v>YES</v>
          </cell>
        </row>
        <row r="7656">
          <cell r="I7656" t="str">
            <v>V48768</v>
          </cell>
          <cell r="J7656" t="str">
            <v>CTC</v>
          </cell>
          <cell r="K7656" t="str">
            <v>YES</v>
          </cell>
        </row>
        <row r="7657">
          <cell r="I7657" t="str">
            <v>V48428</v>
          </cell>
          <cell r="J7657" t="str">
            <v>CTC</v>
          </cell>
          <cell r="K7657" t="str">
            <v>YES</v>
          </cell>
        </row>
        <row r="7658">
          <cell r="I7658" t="str">
            <v>V52135</v>
          </cell>
          <cell r="J7658" t="str">
            <v>CTC</v>
          </cell>
          <cell r="K7658" t="str">
            <v>YES</v>
          </cell>
        </row>
        <row r="7659">
          <cell r="I7659" t="str">
            <v>V46861</v>
          </cell>
          <cell r="J7659" t="str">
            <v>CTC</v>
          </cell>
          <cell r="K7659" t="str">
            <v>YES</v>
          </cell>
        </row>
        <row r="7660">
          <cell r="I7660" t="str">
            <v>V48365</v>
          </cell>
          <cell r="J7660" t="str">
            <v>CTC</v>
          </cell>
          <cell r="K7660" t="str">
            <v>YES</v>
          </cell>
        </row>
        <row r="7661">
          <cell r="I7661" t="str">
            <v>V48458</v>
          </cell>
          <cell r="J7661" t="str">
            <v>CTC</v>
          </cell>
          <cell r="K7661" t="str">
            <v>YES</v>
          </cell>
        </row>
        <row r="7662">
          <cell r="I7662" t="str">
            <v>V48494</v>
          </cell>
          <cell r="J7662" t="str">
            <v>CTC</v>
          </cell>
          <cell r="K7662" t="str">
            <v>YES</v>
          </cell>
        </row>
        <row r="7663">
          <cell r="I7663" t="str">
            <v>V49425</v>
          </cell>
          <cell r="J7663" t="str">
            <v>CTC</v>
          </cell>
          <cell r="K7663" t="str">
            <v>YES</v>
          </cell>
        </row>
        <row r="7664">
          <cell r="I7664" t="str">
            <v>V48900</v>
          </cell>
          <cell r="J7664" t="str">
            <v>CTC</v>
          </cell>
          <cell r="K7664" t="str">
            <v>YES</v>
          </cell>
        </row>
        <row r="7665">
          <cell r="I7665" t="str">
            <v>V48699</v>
          </cell>
          <cell r="J7665" t="str">
            <v>CTC</v>
          </cell>
          <cell r="K7665" t="str">
            <v>YES</v>
          </cell>
        </row>
        <row r="7666">
          <cell r="I7666" t="str">
            <v>V48321</v>
          </cell>
          <cell r="J7666" t="str">
            <v>CTC</v>
          </cell>
          <cell r="K7666" t="str">
            <v>YES</v>
          </cell>
        </row>
        <row r="7667">
          <cell r="I7667" t="str">
            <v>V48792</v>
          </cell>
          <cell r="J7667" t="str">
            <v>CTC</v>
          </cell>
          <cell r="K7667" t="str">
            <v>YES</v>
          </cell>
        </row>
        <row r="7668">
          <cell r="I7668" t="str">
            <v>V48671</v>
          </cell>
          <cell r="J7668" t="str">
            <v>CTC</v>
          </cell>
          <cell r="K7668" t="str">
            <v>YES</v>
          </cell>
        </row>
        <row r="7669">
          <cell r="I7669" t="str">
            <v>V48543</v>
          </cell>
          <cell r="J7669" t="str">
            <v>CTC</v>
          </cell>
          <cell r="K7669" t="str">
            <v>YES</v>
          </cell>
        </row>
        <row r="7670">
          <cell r="I7670" t="str">
            <v>V49221</v>
          </cell>
          <cell r="J7670" t="str">
            <v>CTC</v>
          </cell>
          <cell r="K7670" t="str">
            <v>YES</v>
          </cell>
        </row>
        <row r="7671">
          <cell r="I7671" t="str">
            <v>V48337</v>
          </cell>
          <cell r="J7671" t="str">
            <v>CTC</v>
          </cell>
          <cell r="K7671" t="str">
            <v>YES</v>
          </cell>
        </row>
        <row r="7672">
          <cell r="I7672" t="str">
            <v>V49427</v>
          </cell>
          <cell r="J7672" t="str">
            <v>CTC</v>
          </cell>
          <cell r="K7672" t="str">
            <v>YES</v>
          </cell>
        </row>
        <row r="7673">
          <cell r="I7673" t="str">
            <v>V48437</v>
          </cell>
          <cell r="J7673" t="str">
            <v>CTC</v>
          </cell>
          <cell r="K7673" t="str">
            <v>YES</v>
          </cell>
        </row>
        <row r="7674">
          <cell r="I7674" t="str">
            <v>V41736</v>
          </cell>
          <cell r="J7674" t="str">
            <v>CTC</v>
          </cell>
          <cell r="K7674" t="str">
            <v>YES</v>
          </cell>
        </row>
        <row r="7675">
          <cell r="I7675" t="str">
            <v>V49595</v>
          </cell>
          <cell r="J7675" t="str">
            <v>CTC</v>
          </cell>
          <cell r="K7675" t="str">
            <v>YES</v>
          </cell>
        </row>
        <row r="7676">
          <cell r="I7676" t="str">
            <v>V49156</v>
          </cell>
          <cell r="J7676" t="str">
            <v>CTC</v>
          </cell>
          <cell r="K7676" t="str">
            <v>YES</v>
          </cell>
        </row>
        <row r="7677">
          <cell r="I7677" t="str">
            <v>V47208</v>
          </cell>
          <cell r="J7677" t="str">
            <v>CTC</v>
          </cell>
          <cell r="K7677" t="str">
            <v>YES</v>
          </cell>
        </row>
        <row r="7678">
          <cell r="I7678" t="str">
            <v>V41836</v>
          </cell>
          <cell r="J7678" t="str">
            <v>CTC</v>
          </cell>
          <cell r="K7678" t="str">
            <v>YES</v>
          </cell>
        </row>
        <row r="7679">
          <cell r="I7679" t="str">
            <v>V48204</v>
          </cell>
          <cell r="J7679" t="str">
            <v>CTC</v>
          </cell>
          <cell r="K7679" t="str">
            <v>YES</v>
          </cell>
        </row>
        <row r="7680">
          <cell r="I7680" t="str">
            <v>V49652</v>
          </cell>
          <cell r="J7680" t="str">
            <v>CTC</v>
          </cell>
          <cell r="K7680" t="str">
            <v>YES</v>
          </cell>
        </row>
        <row r="7681">
          <cell r="I7681" t="str">
            <v>V47423</v>
          </cell>
          <cell r="J7681" t="str">
            <v>CTC</v>
          </cell>
          <cell r="K7681" t="str">
            <v>YES</v>
          </cell>
        </row>
        <row r="7682">
          <cell r="I7682" t="str">
            <v>V47399</v>
          </cell>
          <cell r="J7682" t="str">
            <v>CTC</v>
          </cell>
          <cell r="K7682" t="str">
            <v>YES</v>
          </cell>
        </row>
        <row r="7683">
          <cell r="I7683" t="str">
            <v>V49353</v>
          </cell>
          <cell r="J7683" t="str">
            <v>CTC</v>
          </cell>
          <cell r="K7683" t="str">
            <v>YES</v>
          </cell>
        </row>
        <row r="7684">
          <cell r="I7684" t="str">
            <v>V47540</v>
          </cell>
          <cell r="J7684" t="str">
            <v>CTC</v>
          </cell>
          <cell r="K7684" t="str">
            <v>YES</v>
          </cell>
        </row>
        <row r="7685">
          <cell r="I7685" t="str">
            <v>V49778</v>
          </cell>
          <cell r="J7685" t="str">
            <v>CTC</v>
          </cell>
          <cell r="K7685" t="str">
            <v>YES</v>
          </cell>
        </row>
        <row r="7686">
          <cell r="I7686" t="str">
            <v>V48273</v>
          </cell>
          <cell r="J7686" t="str">
            <v>CTC</v>
          </cell>
          <cell r="K7686" t="str">
            <v>YES</v>
          </cell>
        </row>
        <row r="7687">
          <cell r="I7687" t="str">
            <v>V50128</v>
          </cell>
          <cell r="J7687" t="str">
            <v>CTC</v>
          </cell>
          <cell r="K7687" t="str">
            <v>YES</v>
          </cell>
        </row>
        <row r="7688">
          <cell r="I7688" t="str">
            <v>V50095</v>
          </cell>
          <cell r="J7688" t="str">
            <v>CTC</v>
          </cell>
          <cell r="K7688" t="str">
            <v>YES</v>
          </cell>
        </row>
        <row r="7689">
          <cell r="I7689" t="str">
            <v>V50601</v>
          </cell>
          <cell r="J7689" t="str">
            <v>STAT</v>
          </cell>
          <cell r="K7689" t="str">
            <v>YES</v>
          </cell>
        </row>
        <row r="7690">
          <cell r="I7690" t="str">
            <v>V47778</v>
          </cell>
          <cell r="J7690" t="str">
            <v>CTC</v>
          </cell>
          <cell r="K7690" t="str">
            <v>YES</v>
          </cell>
        </row>
        <row r="7691">
          <cell r="I7691" t="str">
            <v>V48528</v>
          </cell>
          <cell r="J7691" t="str">
            <v>CTC</v>
          </cell>
          <cell r="K7691" t="str">
            <v>YES</v>
          </cell>
        </row>
        <row r="7692">
          <cell r="I7692" t="str">
            <v>V47981</v>
          </cell>
          <cell r="J7692" t="str">
            <v>CTC</v>
          </cell>
          <cell r="K7692" t="str">
            <v>YES</v>
          </cell>
        </row>
        <row r="7693">
          <cell r="I7693" t="str">
            <v>V52110</v>
          </cell>
          <cell r="J7693" t="str">
            <v>CTC</v>
          </cell>
          <cell r="K7693" t="str">
            <v>YES</v>
          </cell>
        </row>
        <row r="7694">
          <cell r="I7694" t="str">
            <v>V48993</v>
          </cell>
          <cell r="J7694" t="str">
            <v>CTC</v>
          </cell>
          <cell r="K7694" t="str">
            <v>YES</v>
          </cell>
        </row>
        <row r="7695">
          <cell r="I7695" t="str">
            <v>V48360</v>
          </cell>
          <cell r="J7695" t="str">
            <v>CTC</v>
          </cell>
          <cell r="K7695" t="str">
            <v>YES</v>
          </cell>
        </row>
        <row r="7696">
          <cell r="I7696" t="str">
            <v>V49718</v>
          </cell>
          <cell r="J7696" t="str">
            <v>CTC</v>
          </cell>
          <cell r="K7696" t="str">
            <v>YES</v>
          </cell>
        </row>
        <row r="7697">
          <cell r="I7697" t="str">
            <v>V48944</v>
          </cell>
          <cell r="J7697" t="str">
            <v>CTC</v>
          </cell>
          <cell r="K7697" t="str">
            <v>YES</v>
          </cell>
        </row>
        <row r="7698">
          <cell r="I7698" t="str">
            <v>V48521</v>
          </cell>
          <cell r="J7698" t="str">
            <v>CTC</v>
          </cell>
          <cell r="K7698" t="str">
            <v>YES</v>
          </cell>
        </row>
        <row r="7699">
          <cell r="I7699" t="str">
            <v>V49253</v>
          </cell>
          <cell r="J7699" t="str">
            <v>CTC</v>
          </cell>
          <cell r="K7699" t="str">
            <v>YES</v>
          </cell>
        </row>
        <row r="7700">
          <cell r="I7700" t="str">
            <v>V50126</v>
          </cell>
          <cell r="J7700" t="str">
            <v>CTC</v>
          </cell>
          <cell r="K7700" t="str">
            <v>YES</v>
          </cell>
        </row>
        <row r="7701">
          <cell r="I7701" t="str">
            <v>V47541</v>
          </cell>
          <cell r="J7701" t="str">
            <v>CTC</v>
          </cell>
          <cell r="K7701" t="str">
            <v>YES</v>
          </cell>
        </row>
        <row r="7702">
          <cell r="I7702" t="str">
            <v>V48815</v>
          </cell>
          <cell r="J7702" t="str">
            <v>CTC</v>
          </cell>
          <cell r="K7702" t="str">
            <v>YES</v>
          </cell>
        </row>
        <row r="7703">
          <cell r="I7703" t="str">
            <v>V49936</v>
          </cell>
          <cell r="J7703" t="str">
            <v>CTC</v>
          </cell>
          <cell r="K7703" t="str">
            <v>YES</v>
          </cell>
        </row>
        <row r="7704">
          <cell r="I7704" t="str">
            <v>V50583</v>
          </cell>
          <cell r="J7704" t="str">
            <v>STAT</v>
          </cell>
          <cell r="K7704" t="str">
            <v>YES</v>
          </cell>
        </row>
        <row r="7705">
          <cell r="I7705" t="str">
            <v>V49000</v>
          </cell>
          <cell r="J7705" t="str">
            <v>CTC</v>
          </cell>
          <cell r="K7705" t="str">
            <v>YES</v>
          </cell>
        </row>
        <row r="7706">
          <cell r="I7706" t="str">
            <v>V49227</v>
          </cell>
          <cell r="J7706" t="str">
            <v>CTC</v>
          </cell>
          <cell r="K7706" t="str">
            <v>YES</v>
          </cell>
        </row>
        <row r="7707">
          <cell r="I7707" t="str">
            <v>V48827</v>
          </cell>
          <cell r="J7707" t="str">
            <v>CTC</v>
          </cell>
          <cell r="K7707" t="str">
            <v>YES</v>
          </cell>
        </row>
        <row r="7708">
          <cell r="I7708" t="str">
            <v>V49289</v>
          </cell>
          <cell r="J7708" t="str">
            <v>CTC</v>
          </cell>
          <cell r="K7708" t="str">
            <v>YES</v>
          </cell>
        </row>
        <row r="7709">
          <cell r="I7709" t="str">
            <v>V49989</v>
          </cell>
          <cell r="J7709" t="str">
            <v>CTC</v>
          </cell>
          <cell r="K7709" t="str">
            <v>YES</v>
          </cell>
        </row>
        <row r="7710">
          <cell r="I7710" t="str">
            <v>V47431</v>
          </cell>
          <cell r="J7710" t="str">
            <v>CTC</v>
          </cell>
          <cell r="K7710" t="str">
            <v>YES</v>
          </cell>
        </row>
        <row r="7711">
          <cell r="I7711" t="str">
            <v>V48381</v>
          </cell>
          <cell r="J7711" t="str">
            <v>CTC</v>
          </cell>
          <cell r="K7711" t="str">
            <v>YES</v>
          </cell>
        </row>
        <row r="7712">
          <cell r="I7712" t="str">
            <v>V48876</v>
          </cell>
          <cell r="J7712" t="str">
            <v>CTC</v>
          </cell>
          <cell r="K7712" t="str">
            <v>YES</v>
          </cell>
        </row>
        <row r="7713">
          <cell r="I7713" t="str">
            <v>V50745</v>
          </cell>
          <cell r="J7713" t="str">
            <v>CTC</v>
          </cell>
          <cell r="K7713" t="str">
            <v>YES</v>
          </cell>
        </row>
        <row r="7714">
          <cell r="I7714" t="str">
            <v>V49154</v>
          </cell>
          <cell r="J7714" t="str">
            <v>CTC</v>
          </cell>
          <cell r="K7714" t="str">
            <v>YES</v>
          </cell>
        </row>
        <row r="7715">
          <cell r="I7715" t="str">
            <v>V49248</v>
          </cell>
          <cell r="J7715" t="str">
            <v>CTC</v>
          </cell>
          <cell r="K7715" t="str">
            <v>YES</v>
          </cell>
        </row>
        <row r="7716">
          <cell r="I7716" t="str">
            <v>V49209</v>
          </cell>
          <cell r="J7716" t="str">
            <v>CTC</v>
          </cell>
          <cell r="K7716" t="str">
            <v>YES</v>
          </cell>
        </row>
        <row r="7717">
          <cell r="I7717" t="str">
            <v>V49424</v>
          </cell>
          <cell r="J7717" t="str">
            <v>CTC</v>
          </cell>
          <cell r="K7717" t="str">
            <v>YES</v>
          </cell>
        </row>
        <row r="7718">
          <cell r="I7718" t="str">
            <v>V49807</v>
          </cell>
          <cell r="J7718" t="str">
            <v>CTC</v>
          </cell>
          <cell r="K7718" t="str">
            <v>YES</v>
          </cell>
        </row>
        <row r="7719">
          <cell r="I7719" t="str">
            <v>V50235</v>
          </cell>
          <cell r="J7719" t="str">
            <v>CTC</v>
          </cell>
          <cell r="K7719" t="str">
            <v>YES</v>
          </cell>
        </row>
        <row r="7720">
          <cell r="I7720" t="str">
            <v>V50835</v>
          </cell>
          <cell r="J7720" t="str">
            <v>CTC</v>
          </cell>
          <cell r="K7720" t="str">
            <v>YES</v>
          </cell>
        </row>
        <row r="7721">
          <cell r="I7721" t="str">
            <v>V49225</v>
          </cell>
          <cell r="J7721" t="str">
            <v>CTC</v>
          </cell>
          <cell r="K7721" t="str">
            <v>YES</v>
          </cell>
        </row>
        <row r="7722">
          <cell r="I7722" t="str">
            <v>V48274</v>
          </cell>
          <cell r="J7722" t="str">
            <v>CTC</v>
          </cell>
          <cell r="K7722" t="str">
            <v>YES</v>
          </cell>
        </row>
        <row r="7723">
          <cell r="I7723" t="str">
            <v>V47004</v>
          </cell>
          <cell r="J7723" t="str">
            <v>CTC</v>
          </cell>
          <cell r="K7723" t="str">
            <v>YES</v>
          </cell>
        </row>
        <row r="7724">
          <cell r="I7724" t="str">
            <v>V51021</v>
          </cell>
          <cell r="J7724" t="str">
            <v>CTC</v>
          </cell>
          <cell r="K7724" t="str">
            <v>YES</v>
          </cell>
        </row>
        <row r="7725">
          <cell r="I7725" t="str">
            <v>V50054</v>
          </cell>
          <cell r="J7725" t="str">
            <v>CTC</v>
          </cell>
          <cell r="K7725" t="str">
            <v>YES</v>
          </cell>
        </row>
        <row r="7726">
          <cell r="I7726" t="str">
            <v>V50146</v>
          </cell>
          <cell r="J7726" t="str">
            <v>CTC</v>
          </cell>
          <cell r="K7726" t="str">
            <v>YES</v>
          </cell>
        </row>
        <row r="7727">
          <cell r="I7727" t="str">
            <v>V49252</v>
          </cell>
          <cell r="J7727" t="str">
            <v>CTC</v>
          </cell>
          <cell r="K7727" t="str">
            <v>YES</v>
          </cell>
        </row>
        <row r="7728">
          <cell r="I7728" t="str">
            <v>V48484</v>
          </cell>
          <cell r="J7728" t="str">
            <v>CTC</v>
          </cell>
          <cell r="K7728" t="str">
            <v>YES</v>
          </cell>
        </row>
        <row r="7729">
          <cell r="I7729" t="str">
            <v>V52099</v>
          </cell>
          <cell r="J7729" t="str">
            <v>CTC</v>
          </cell>
          <cell r="K7729" t="str">
            <v>YES</v>
          </cell>
        </row>
        <row r="7730">
          <cell r="I7730" t="str">
            <v>V49800</v>
          </cell>
          <cell r="J7730" t="str">
            <v>CTC</v>
          </cell>
          <cell r="K7730" t="str">
            <v>YES</v>
          </cell>
        </row>
        <row r="7731">
          <cell r="I7731" t="str">
            <v>V49264</v>
          </cell>
          <cell r="J7731" t="str">
            <v>CTC</v>
          </cell>
          <cell r="K7731" t="str">
            <v>YES</v>
          </cell>
        </row>
        <row r="7732">
          <cell r="I7732" t="str">
            <v>V44706</v>
          </cell>
          <cell r="J7732" t="str">
            <v>CTC</v>
          </cell>
          <cell r="K7732" t="str">
            <v>YES</v>
          </cell>
        </row>
        <row r="7733">
          <cell r="I7733" t="str">
            <v>V47865</v>
          </cell>
          <cell r="J7733" t="str">
            <v>CTC</v>
          </cell>
          <cell r="K7733" t="str">
            <v>YES</v>
          </cell>
        </row>
        <row r="7734">
          <cell r="I7734" t="str">
            <v>V49159</v>
          </cell>
          <cell r="J7734" t="str">
            <v>CTC</v>
          </cell>
          <cell r="K7734" t="str">
            <v>YES</v>
          </cell>
        </row>
        <row r="7735">
          <cell r="I7735" t="str">
            <v>V48520</v>
          </cell>
          <cell r="J7735" t="str">
            <v>CTC</v>
          </cell>
          <cell r="K7735" t="str">
            <v>YES</v>
          </cell>
        </row>
        <row r="7736">
          <cell r="I7736" t="str">
            <v>V46685</v>
          </cell>
          <cell r="J7736" t="str">
            <v>CTC</v>
          </cell>
          <cell r="K7736" t="str">
            <v>YES</v>
          </cell>
        </row>
        <row r="7737">
          <cell r="I7737" t="str">
            <v>V49226</v>
          </cell>
          <cell r="J7737" t="str">
            <v>CTC</v>
          </cell>
          <cell r="K7737" t="str">
            <v>YES</v>
          </cell>
        </row>
        <row r="7738">
          <cell r="I7738" t="str">
            <v>V48871</v>
          </cell>
          <cell r="J7738" t="str">
            <v>CTC</v>
          </cell>
          <cell r="K7738" t="str">
            <v>YES</v>
          </cell>
        </row>
        <row r="7739">
          <cell r="I7739" t="str">
            <v>V48908</v>
          </cell>
          <cell r="J7739" t="str">
            <v>CTC</v>
          </cell>
          <cell r="K7739" t="str">
            <v>YES</v>
          </cell>
        </row>
        <row r="7740">
          <cell r="I7740" t="str">
            <v>V49250</v>
          </cell>
          <cell r="J7740" t="str">
            <v>CTC</v>
          </cell>
          <cell r="K7740" t="str">
            <v>YES</v>
          </cell>
        </row>
        <row r="7741">
          <cell r="I7741" t="str">
            <v>V49069</v>
          </cell>
          <cell r="J7741" t="str">
            <v>CTC</v>
          </cell>
          <cell r="K7741" t="str">
            <v>YES</v>
          </cell>
        </row>
        <row r="7742">
          <cell r="I7742" t="str">
            <v>V49952</v>
          </cell>
          <cell r="J7742" t="str">
            <v>CTC</v>
          </cell>
          <cell r="K7742" t="str">
            <v>YES</v>
          </cell>
        </row>
        <row r="7743">
          <cell r="I7743" t="str">
            <v>V50490</v>
          </cell>
          <cell r="J7743" t="str">
            <v>CTC</v>
          </cell>
          <cell r="K7743" t="str">
            <v>YES</v>
          </cell>
        </row>
        <row r="7744">
          <cell r="I7744" t="str">
            <v>V49106</v>
          </cell>
          <cell r="J7744" t="str">
            <v>CTC</v>
          </cell>
          <cell r="K7744" t="str">
            <v>YES</v>
          </cell>
        </row>
        <row r="7745">
          <cell r="I7745" t="str">
            <v>V48180</v>
          </cell>
          <cell r="J7745" t="str">
            <v>CTC</v>
          </cell>
          <cell r="K7745" t="str">
            <v>YES</v>
          </cell>
        </row>
        <row r="7746">
          <cell r="I7746" t="str">
            <v>V50159</v>
          </cell>
          <cell r="J7746" t="str">
            <v>CTC</v>
          </cell>
          <cell r="K7746" t="str">
            <v>YES</v>
          </cell>
        </row>
        <row r="7747">
          <cell r="I7747" t="str">
            <v>V49251</v>
          </cell>
          <cell r="J7747" t="str">
            <v>CTC</v>
          </cell>
          <cell r="K7747" t="str">
            <v>YES</v>
          </cell>
        </row>
        <row r="7748">
          <cell r="I7748" t="str">
            <v>V38483</v>
          </cell>
          <cell r="J7748" t="str">
            <v>CTC</v>
          </cell>
          <cell r="K7748" t="str">
            <v>YES</v>
          </cell>
        </row>
        <row r="7749">
          <cell r="I7749" t="str">
            <v>V49182</v>
          </cell>
          <cell r="J7749" t="str">
            <v>CTC</v>
          </cell>
          <cell r="K7749" t="str">
            <v>YES</v>
          </cell>
        </row>
        <row r="7750">
          <cell r="I7750" t="str">
            <v>V48930</v>
          </cell>
          <cell r="J7750" t="str">
            <v>CTC</v>
          </cell>
          <cell r="K7750" t="str">
            <v>YES</v>
          </cell>
        </row>
        <row r="7751">
          <cell r="I7751" t="str">
            <v>V48753</v>
          </cell>
          <cell r="J7751" t="str">
            <v>CTC</v>
          </cell>
          <cell r="K7751" t="str">
            <v>YES</v>
          </cell>
        </row>
        <row r="7752">
          <cell r="I7752" t="str">
            <v>V48429</v>
          </cell>
          <cell r="J7752" t="str">
            <v>CTC</v>
          </cell>
          <cell r="K7752" t="str">
            <v>YES</v>
          </cell>
        </row>
        <row r="7753">
          <cell r="I7753" t="str">
            <v>V48545</v>
          </cell>
          <cell r="J7753" t="str">
            <v>CTC</v>
          </cell>
          <cell r="K7753" t="str">
            <v>YES</v>
          </cell>
        </row>
        <row r="7754">
          <cell r="I7754" t="str">
            <v>V49185</v>
          </cell>
          <cell r="J7754" t="str">
            <v>CTC</v>
          </cell>
          <cell r="K7754" t="str">
            <v>YES</v>
          </cell>
        </row>
        <row r="7755">
          <cell r="I7755" t="str">
            <v>V50765</v>
          </cell>
          <cell r="J7755" t="str">
            <v>CTC</v>
          </cell>
          <cell r="K7755" t="str">
            <v>YES</v>
          </cell>
        </row>
        <row r="7756">
          <cell r="I7756" t="str">
            <v>V50077</v>
          </cell>
          <cell r="J7756" t="str">
            <v>CTC</v>
          </cell>
          <cell r="K7756" t="str">
            <v>YES</v>
          </cell>
        </row>
        <row r="7757">
          <cell r="I7757" t="str">
            <v>V50363</v>
          </cell>
          <cell r="J7757" t="str">
            <v>CTC</v>
          </cell>
          <cell r="K7757" t="str">
            <v>YES</v>
          </cell>
        </row>
        <row r="7758">
          <cell r="I7758" t="str">
            <v>V51172</v>
          </cell>
          <cell r="J7758" t="str">
            <v>CTC</v>
          </cell>
          <cell r="K7758" t="str">
            <v>YES</v>
          </cell>
        </row>
        <row r="7759">
          <cell r="I7759" t="str">
            <v>V47924</v>
          </cell>
          <cell r="J7759" t="str">
            <v>CTC</v>
          </cell>
          <cell r="K7759" t="str">
            <v>YES</v>
          </cell>
        </row>
        <row r="7760">
          <cell r="I7760" t="str">
            <v>V48006</v>
          </cell>
          <cell r="J7760" t="str">
            <v>CTC</v>
          </cell>
          <cell r="K7760" t="str">
            <v>YES</v>
          </cell>
        </row>
        <row r="7761">
          <cell r="I7761" t="str">
            <v>V48989</v>
          </cell>
          <cell r="J7761" t="str">
            <v>CTC</v>
          </cell>
          <cell r="K7761" t="str">
            <v>YES</v>
          </cell>
        </row>
        <row r="7762">
          <cell r="I7762" t="str">
            <v>V47730</v>
          </cell>
          <cell r="J7762" t="str">
            <v>CTC</v>
          </cell>
          <cell r="K7762" t="str">
            <v>YES</v>
          </cell>
        </row>
        <row r="7763">
          <cell r="I7763" t="str">
            <v>V47267</v>
          </cell>
          <cell r="J7763" t="str">
            <v>CTC</v>
          </cell>
          <cell r="K7763" t="str">
            <v>YES</v>
          </cell>
        </row>
        <row r="7764">
          <cell r="I7764" t="str">
            <v>V49961</v>
          </cell>
          <cell r="J7764" t="str">
            <v>CTC</v>
          </cell>
          <cell r="K7764" t="str">
            <v>YES</v>
          </cell>
        </row>
        <row r="7765">
          <cell r="I7765" t="str">
            <v>V49530</v>
          </cell>
          <cell r="J7765" t="str">
            <v>CTC</v>
          </cell>
          <cell r="K7765" t="str">
            <v>YES</v>
          </cell>
        </row>
        <row r="7766">
          <cell r="I7766" t="str">
            <v>V48613</v>
          </cell>
          <cell r="J7766" t="str">
            <v>CTC</v>
          </cell>
          <cell r="K7766" t="str">
            <v>YES</v>
          </cell>
        </row>
        <row r="7767">
          <cell r="I7767" t="str">
            <v>V48788</v>
          </cell>
          <cell r="J7767" t="str">
            <v>CTC</v>
          </cell>
          <cell r="K7767" t="str">
            <v>YES</v>
          </cell>
        </row>
        <row r="7768">
          <cell r="I7768" t="str">
            <v>V48904</v>
          </cell>
          <cell r="J7768" t="str">
            <v>CTC</v>
          </cell>
          <cell r="K7768" t="str">
            <v>YES</v>
          </cell>
        </row>
        <row r="7769">
          <cell r="I7769" t="str">
            <v>V50624</v>
          </cell>
          <cell r="J7769" t="str">
            <v>CTC</v>
          </cell>
          <cell r="K7769" t="str">
            <v>YES</v>
          </cell>
        </row>
        <row r="7770">
          <cell r="I7770" t="str">
            <v>V50294</v>
          </cell>
          <cell r="J7770" t="str">
            <v>CTC</v>
          </cell>
          <cell r="K7770" t="str">
            <v>YES</v>
          </cell>
        </row>
        <row r="7771">
          <cell r="I7771" t="str">
            <v>V48811</v>
          </cell>
          <cell r="J7771" t="str">
            <v>CTC</v>
          </cell>
          <cell r="K7771" t="str">
            <v>YES</v>
          </cell>
        </row>
        <row r="7772">
          <cell r="I7772" t="str">
            <v>V49719</v>
          </cell>
          <cell r="J7772" t="str">
            <v>CTC</v>
          </cell>
          <cell r="K7772" t="str">
            <v>YES</v>
          </cell>
        </row>
        <row r="7773">
          <cell r="I7773" t="str">
            <v>V47591</v>
          </cell>
          <cell r="J7773" t="str">
            <v>CTC</v>
          </cell>
          <cell r="K7773" t="str">
            <v>YES</v>
          </cell>
        </row>
        <row r="7774">
          <cell r="I7774" t="str">
            <v>V49092</v>
          </cell>
          <cell r="J7774" t="str">
            <v>CTC</v>
          </cell>
          <cell r="K7774" t="str">
            <v>YES</v>
          </cell>
        </row>
        <row r="7775">
          <cell r="I7775" t="str">
            <v>V48305</v>
          </cell>
          <cell r="J7775" t="str">
            <v>CTC</v>
          </cell>
          <cell r="K7775" t="str">
            <v>YES</v>
          </cell>
        </row>
        <row r="7776">
          <cell r="I7776" t="str">
            <v>V49853</v>
          </cell>
          <cell r="J7776" t="str">
            <v>CTC</v>
          </cell>
          <cell r="K7776" t="str">
            <v>YES</v>
          </cell>
        </row>
        <row r="7777">
          <cell r="I7777" t="str">
            <v>V48873</v>
          </cell>
          <cell r="J7777" t="str">
            <v>CTC</v>
          </cell>
          <cell r="K7777" t="str">
            <v>YES</v>
          </cell>
        </row>
        <row r="7778">
          <cell r="I7778" t="str">
            <v>V48649</v>
          </cell>
          <cell r="J7778" t="str">
            <v>CTC</v>
          </cell>
          <cell r="K7778" t="str">
            <v>YES</v>
          </cell>
        </row>
        <row r="7779">
          <cell r="I7779" t="str">
            <v>V50145</v>
          </cell>
          <cell r="J7779" t="str">
            <v>CTC</v>
          </cell>
          <cell r="K7779" t="str">
            <v>YES</v>
          </cell>
        </row>
        <row r="7780">
          <cell r="I7780" t="str">
            <v>V48028</v>
          </cell>
          <cell r="J7780" t="str">
            <v>CTC</v>
          </cell>
          <cell r="K7780" t="str">
            <v>YES</v>
          </cell>
        </row>
        <row r="7781">
          <cell r="I7781" t="str">
            <v>V52535</v>
          </cell>
          <cell r="J7781" t="str">
            <v>STAT</v>
          </cell>
          <cell r="K7781" t="str">
            <v>YES</v>
          </cell>
        </row>
        <row r="7782">
          <cell r="I7782" t="str">
            <v>V52555</v>
          </cell>
          <cell r="J7782" t="str">
            <v>STAT</v>
          </cell>
          <cell r="K7782" t="str">
            <v>YES</v>
          </cell>
        </row>
        <row r="7783">
          <cell r="I7783" t="str">
            <v>V50754</v>
          </cell>
          <cell r="J7783" t="str">
            <v>STAT</v>
          </cell>
          <cell r="K7783" t="str">
            <v>YES</v>
          </cell>
        </row>
        <row r="7784">
          <cell r="I7784" t="str">
            <v>V48698</v>
          </cell>
          <cell r="J7784" t="str">
            <v>CTC</v>
          </cell>
          <cell r="K7784" t="str">
            <v>YES</v>
          </cell>
        </row>
        <row r="7785">
          <cell r="I7785" t="str">
            <v>V47518</v>
          </cell>
          <cell r="J7785" t="str">
            <v>CTC</v>
          </cell>
          <cell r="K7785" t="str">
            <v>YES</v>
          </cell>
        </row>
        <row r="7786">
          <cell r="I7786" t="str">
            <v>V49443</v>
          </cell>
          <cell r="J7786" t="str">
            <v>CTC</v>
          </cell>
          <cell r="K7786" t="str">
            <v>YES</v>
          </cell>
        </row>
        <row r="7787">
          <cell r="I7787" t="str">
            <v>V48936</v>
          </cell>
          <cell r="J7787" t="str">
            <v>CTC</v>
          </cell>
          <cell r="K7787" t="str">
            <v>YES</v>
          </cell>
        </row>
        <row r="7788">
          <cell r="I7788" t="str">
            <v>V49040</v>
          </cell>
          <cell r="J7788" t="str">
            <v>CTC</v>
          </cell>
          <cell r="K7788" t="str">
            <v>YES</v>
          </cell>
        </row>
        <row r="7789">
          <cell r="I7789" t="str">
            <v>V49081</v>
          </cell>
          <cell r="J7789" t="str">
            <v>CTC</v>
          </cell>
          <cell r="K7789" t="str">
            <v>YES</v>
          </cell>
        </row>
        <row r="7790">
          <cell r="I7790" t="str">
            <v>V50664</v>
          </cell>
          <cell r="J7790" t="str">
            <v>CTC</v>
          </cell>
          <cell r="K7790" t="str">
            <v>YES</v>
          </cell>
        </row>
        <row r="7791">
          <cell r="I7791" t="str">
            <v>V50170</v>
          </cell>
          <cell r="J7791" t="str">
            <v>CTC</v>
          </cell>
          <cell r="K7791" t="str">
            <v>YES</v>
          </cell>
        </row>
        <row r="7792">
          <cell r="I7792" t="str">
            <v>V48939</v>
          </cell>
          <cell r="J7792" t="str">
            <v>CTC</v>
          </cell>
          <cell r="K7792" t="str">
            <v>YES</v>
          </cell>
        </row>
        <row r="7793">
          <cell r="I7793" t="str">
            <v>V49764</v>
          </cell>
          <cell r="J7793" t="str">
            <v>CTC</v>
          </cell>
          <cell r="K7793" t="str">
            <v>YES</v>
          </cell>
        </row>
        <row r="7794">
          <cell r="I7794" t="str">
            <v>V47899</v>
          </cell>
          <cell r="J7794" t="str">
            <v>CTC</v>
          </cell>
          <cell r="K7794" t="str">
            <v>YES</v>
          </cell>
        </row>
        <row r="7795">
          <cell r="I7795" t="str">
            <v>V49880</v>
          </cell>
          <cell r="J7795" t="str">
            <v>CTC</v>
          </cell>
          <cell r="K7795" t="str">
            <v>YES</v>
          </cell>
        </row>
        <row r="7796">
          <cell r="I7796" t="str">
            <v>V49365</v>
          </cell>
          <cell r="J7796" t="str">
            <v>CTC</v>
          </cell>
          <cell r="K7796" t="str">
            <v>YES</v>
          </cell>
        </row>
        <row r="7797">
          <cell r="I7797" t="str">
            <v>V48823</v>
          </cell>
          <cell r="J7797" t="str">
            <v>CTC</v>
          </cell>
          <cell r="K7797" t="str">
            <v>YES</v>
          </cell>
        </row>
        <row r="7798">
          <cell r="I7798" t="str">
            <v>V50766</v>
          </cell>
          <cell r="J7798" t="str">
            <v>CTC</v>
          </cell>
          <cell r="K7798" t="str">
            <v>YES</v>
          </cell>
        </row>
        <row r="7799">
          <cell r="I7799" t="str">
            <v>V47845</v>
          </cell>
          <cell r="J7799" t="str">
            <v>CTC</v>
          </cell>
          <cell r="K7799" t="str">
            <v>YES</v>
          </cell>
        </row>
        <row r="7800">
          <cell r="I7800" t="str">
            <v>V48446</v>
          </cell>
          <cell r="J7800" t="str">
            <v>CTC</v>
          </cell>
          <cell r="K7800" t="str">
            <v>YES</v>
          </cell>
        </row>
        <row r="7801">
          <cell r="I7801" t="str">
            <v>V47764</v>
          </cell>
          <cell r="J7801" t="str">
            <v>CTC</v>
          </cell>
          <cell r="K7801" t="str">
            <v>YES</v>
          </cell>
        </row>
        <row r="7802">
          <cell r="I7802" t="str">
            <v>V49053</v>
          </cell>
          <cell r="J7802" t="str">
            <v>CTC</v>
          </cell>
          <cell r="K7802" t="str">
            <v>YES</v>
          </cell>
        </row>
        <row r="7803">
          <cell r="I7803" t="str">
            <v>V48102</v>
          </cell>
          <cell r="J7803" t="str">
            <v>CTC</v>
          </cell>
          <cell r="K7803" t="str">
            <v>YES</v>
          </cell>
        </row>
        <row r="7804">
          <cell r="I7804" t="str">
            <v>V48638</v>
          </cell>
          <cell r="J7804" t="str">
            <v>CTC</v>
          </cell>
          <cell r="K7804" t="str">
            <v>YES</v>
          </cell>
        </row>
        <row r="7805">
          <cell r="I7805" t="str">
            <v>V50333</v>
          </cell>
          <cell r="J7805" t="str">
            <v>CTC</v>
          </cell>
          <cell r="K7805" t="str">
            <v>YES</v>
          </cell>
        </row>
        <row r="7806">
          <cell r="I7806" t="str">
            <v>V49100</v>
          </cell>
          <cell r="J7806" t="str">
            <v>CTC</v>
          </cell>
          <cell r="K7806" t="str">
            <v>YES</v>
          </cell>
        </row>
        <row r="7807">
          <cell r="I7807" t="str">
            <v>V45929</v>
          </cell>
          <cell r="J7807" t="str">
            <v>CTC</v>
          </cell>
          <cell r="K7807" t="str">
            <v>YES</v>
          </cell>
        </row>
        <row r="7808">
          <cell r="I7808" t="str">
            <v>V48926</v>
          </cell>
          <cell r="J7808" t="str">
            <v>STAT</v>
          </cell>
          <cell r="K7808" t="str">
            <v>YES</v>
          </cell>
        </row>
        <row r="7809">
          <cell r="I7809" t="str">
            <v>V48610</v>
          </cell>
          <cell r="J7809" t="str">
            <v>CTC</v>
          </cell>
          <cell r="K7809" t="str">
            <v>YES</v>
          </cell>
        </row>
        <row r="7810">
          <cell r="I7810" t="str">
            <v>V50911</v>
          </cell>
          <cell r="J7810" t="str">
            <v>CTC</v>
          </cell>
          <cell r="K7810" t="str">
            <v>YES</v>
          </cell>
        </row>
        <row r="7811">
          <cell r="I7811" t="str">
            <v>V50787</v>
          </cell>
          <cell r="J7811" t="str">
            <v>CTC</v>
          </cell>
          <cell r="K7811" t="str">
            <v>YES</v>
          </cell>
        </row>
        <row r="7812">
          <cell r="I7812" t="str">
            <v>V50933</v>
          </cell>
          <cell r="J7812" t="str">
            <v>CTC</v>
          </cell>
          <cell r="K7812" t="str">
            <v>YES</v>
          </cell>
        </row>
        <row r="7813">
          <cell r="I7813" t="str">
            <v>V49097</v>
          </cell>
          <cell r="J7813" t="str">
            <v>CTC</v>
          </cell>
          <cell r="K7813" t="str">
            <v>YES</v>
          </cell>
        </row>
        <row r="7814">
          <cell r="I7814" t="str">
            <v>V49309</v>
          </cell>
          <cell r="J7814" t="str">
            <v>CTC</v>
          </cell>
          <cell r="K7814" t="str">
            <v>YES</v>
          </cell>
        </row>
        <row r="7815">
          <cell r="I7815" t="str">
            <v>V49436</v>
          </cell>
          <cell r="J7815" t="str">
            <v>CTC</v>
          </cell>
          <cell r="K7815" t="str">
            <v>YES</v>
          </cell>
        </row>
        <row r="7816">
          <cell r="I7816" t="str">
            <v>V48907</v>
          </cell>
          <cell r="J7816" t="str">
            <v>CTC</v>
          </cell>
          <cell r="K7816" t="str">
            <v>YES</v>
          </cell>
        </row>
        <row r="7817">
          <cell r="I7817" t="str">
            <v>V49247</v>
          </cell>
          <cell r="J7817" t="str">
            <v>CTC</v>
          </cell>
          <cell r="K7817" t="str">
            <v>YES</v>
          </cell>
        </row>
        <row r="7818">
          <cell r="I7818" t="str">
            <v>V49498</v>
          </cell>
          <cell r="J7818" t="str">
            <v>CTC</v>
          </cell>
          <cell r="K7818" t="str">
            <v>YES</v>
          </cell>
        </row>
        <row r="7819">
          <cell r="I7819" t="str">
            <v>V49123</v>
          </cell>
          <cell r="J7819" t="str">
            <v>CTC</v>
          </cell>
          <cell r="K7819" t="str">
            <v>YES</v>
          </cell>
        </row>
        <row r="7820">
          <cell r="I7820" t="str">
            <v>V49217</v>
          </cell>
          <cell r="J7820" t="str">
            <v>CTC</v>
          </cell>
          <cell r="K7820" t="str">
            <v>YES</v>
          </cell>
        </row>
        <row r="7821">
          <cell r="I7821" t="str">
            <v>V49921</v>
          </cell>
          <cell r="J7821" t="str">
            <v>CTC</v>
          </cell>
          <cell r="K7821" t="str">
            <v>YES</v>
          </cell>
        </row>
        <row r="7822">
          <cell r="I7822" t="str">
            <v>V51697</v>
          </cell>
          <cell r="J7822" t="str">
            <v>CTC</v>
          </cell>
          <cell r="K7822" t="str">
            <v>YES</v>
          </cell>
        </row>
        <row r="7823">
          <cell r="I7823" t="str">
            <v>V47745</v>
          </cell>
          <cell r="J7823" t="str">
            <v>CTC</v>
          </cell>
          <cell r="K7823" t="str">
            <v>YES</v>
          </cell>
        </row>
        <row r="7824">
          <cell r="I7824" t="str">
            <v>V50764</v>
          </cell>
          <cell r="J7824" t="str">
            <v>CTC</v>
          </cell>
          <cell r="K7824" t="str">
            <v>YES</v>
          </cell>
        </row>
        <row r="7825">
          <cell r="I7825" t="str">
            <v>V49402</v>
          </cell>
          <cell r="J7825" t="str">
            <v>CTC</v>
          </cell>
          <cell r="K7825" t="str">
            <v>YES</v>
          </cell>
        </row>
        <row r="7826">
          <cell r="I7826" t="str">
            <v>V50172</v>
          </cell>
          <cell r="J7826" t="str">
            <v>CTC</v>
          </cell>
          <cell r="K7826" t="str">
            <v>YES</v>
          </cell>
        </row>
        <row r="7827">
          <cell r="I7827" t="str">
            <v>V49152</v>
          </cell>
          <cell r="J7827" t="str">
            <v>CTC</v>
          </cell>
          <cell r="K7827" t="str">
            <v>YES</v>
          </cell>
        </row>
        <row r="7828">
          <cell r="I7828" t="str">
            <v>V48848</v>
          </cell>
          <cell r="J7828" t="str">
            <v>CTC</v>
          </cell>
          <cell r="K7828" t="str">
            <v>YES</v>
          </cell>
        </row>
        <row r="7829">
          <cell r="I7829" t="str">
            <v>V48202</v>
          </cell>
          <cell r="J7829" t="str">
            <v>CTC</v>
          </cell>
          <cell r="K7829" t="str">
            <v>YES</v>
          </cell>
        </row>
        <row r="7830">
          <cell r="I7830" t="str">
            <v>V52935</v>
          </cell>
          <cell r="J7830" t="str">
            <v>CTC</v>
          </cell>
          <cell r="K7830" t="str">
            <v>YES</v>
          </cell>
        </row>
        <row r="7831">
          <cell r="I7831" t="str">
            <v>V49127</v>
          </cell>
          <cell r="J7831" t="str">
            <v>CTC</v>
          </cell>
          <cell r="K7831" t="str">
            <v>YES</v>
          </cell>
        </row>
        <row r="7832">
          <cell r="I7832" t="str">
            <v>V49464</v>
          </cell>
          <cell r="J7832" t="str">
            <v>CTC</v>
          </cell>
          <cell r="K7832" t="str">
            <v>YES</v>
          </cell>
        </row>
        <row r="7833">
          <cell r="I7833" t="str">
            <v>V50000</v>
          </cell>
          <cell r="J7833" t="str">
            <v>CTC</v>
          </cell>
          <cell r="K7833" t="str">
            <v>YES</v>
          </cell>
        </row>
        <row r="7834">
          <cell r="I7834" t="str">
            <v>V47542</v>
          </cell>
          <cell r="J7834" t="str">
            <v>CTC</v>
          </cell>
          <cell r="K7834" t="str">
            <v>YES</v>
          </cell>
        </row>
        <row r="7835">
          <cell r="I7835" t="str">
            <v>V47588</v>
          </cell>
          <cell r="J7835" t="str">
            <v>CTC</v>
          </cell>
          <cell r="K7835" t="str">
            <v>YES</v>
          </cell>
        </row>
        <row r="7836">
          <cell r="I7836" t="str">
            <v>V48594</v>
          </cell>
          <cell r="J7836" t="str">
            <v>CTC</v>
          </cell>
          <cell r="K7836" t="str">
            <v>YES</v>
          </cell>
        </row>
        <row r="7837">
          <cell r="I7837" t="str">
            <v>V50520</v>
          </cell>
          <cell r="J7837" t="str">
            <v>STAT</v>
          </cell>
          <cell r="K7837" t="str">
            <v>YES</v>
          </cell>
        </row>
        <row r="7838">
          <cell r="I7838" t="str">
            <v>V49758</v>
          </cell>
          <cell r="J7838" t="str">
            <v>CTC</v>
          </cell>
          <cell r="K7838" t="str">
            <v>YES</v>
          </cell>
        </row>
        <row r="7839">
          <cell r="I7839" t="str">
            <v>V49291</v>
          </cell>
          <cell r="J7839" t="str">
            <v>CTC</v>
          </cell>
          <cell r="K7839" t="str">
            <v>YES</v>
          </cell>
        </row>
        <row r="7840">
          <cell r="I7840" t="str">
            <v>V49349</v>
          </cell>
          <cell r="J7840" t="str">
            <v>CTC</v>
          </cell>
          <cell r="K7840" t="str">
            <v>YES</v>
          </cell>
        </row>
        <row r="7841">
          <cell r="I7841" t="str">
            <v>V48145</v>
          </cell>
          <cell r="J7841" t="str">
            <v>CTC</v>
          </cell>
          <cell r="K7841" t="str">
            <v>YES</v>
          </cell>
        </row>
        <row r="7842">
          <cell r="I7842" t="str">
            <v>V48680</v>
          </cell>
          <cell r="J7842" t="str">
            <v>CTC</v>
          </cell>
          <cell r="K7842" t="str">
            <v>YES</v>
          </cell>
        </row>
        <row r="7843">
          <cell r="I7843" t="str">
            <v>V49490</v>
          </cell>
          <cell r="J7843" t="str">
            <v>CTC</v>
          </cell>
          <cell r="K7843" t="str">
            <v>YES</v>
          </cell>
        </row>
        <row r="7844">
          <cell r="I7844" t="str">
            <v>V48150</v>
          </cell>
          <cell r="J7844" t="str">
            <v>CTC</v>
          </cell>
          <cell r="K7844" t="str">
            <v>YES</v>
          </cell>
        </row>
        <row r="7845">
          <cell r="I7845" t="str">
            <v>V50747</v>
          </cell>
          <cell r="J7845" t="str">
            <v>CTC</v>
          </cell>
          <cell r="K7845" t="str">
            <v>YES</v>
          </cell>
        </row>
        <row r="7846">
          <cell r="I7846" t="str">
            <v>V50756</v>
          </cell>
          <cell r="J7846" t="str">
            <v>CTC</v>
          </cell>
          <cell r="K7846" t="str">
            <v>YES</v>
          </cell>
        </row>
        <row r="7847">
          <cell r="I7847" t="str">
            <v>V50731</v>
          </cell>
          <cell r="J7847" t="str">
            <v>STAT</v>
          </cell>
          <cell r="K7847" t="str">
            <v>YES</v>
          </cell>
        </row>
        <row r="7848">
          <cell r="I7848" t="str">
            <v>V50215</v>
          </cell>
          <cell r="J7848" t="str">
            <v>CTC</v>
          </cell>
          <cell r="K7848" t="str">
            <v>YES</v>
          </cell>
        </row>
        <row r="7849">
          <cell r="I7849" t="str">
            <v>V49521</v>
          </cell>
          <cell r="J7849" t="str">
            <v>CTC</v>
          </cell>
          <cell r="K7849" t="str">
            <v>YES</v>
          </cell>
        </row>
        <row r="7850">
          <cell r="I7850" t="str">
            <v>V48973</v>
          </cell>
          <cell r="J7850" t="str">
            <v>CTC</v>
          </cell>
          <cell r="K7850" t="str">
            <v>YES</v>
          </cell>
        </row>
        <row r="7851">
          <cell r="I7851" t="str">
            <v>V48166</v>
          </cell>
          <cell r="J7851" t="str">
            <v>CTC</v>
          </cell>
          <cell r="K7851" t="str">
            <v>YES</v>
          </cell>
        </row>
        <row r="7852">
          <cell r="I7852" t="str">
            <v>V51460</v>
          </cell>
          <cell r="J7852" t="str">
            <v>CTC</v>
          </cell>
          <cell r="K7852" t="str">
            <v>YES</v>
          </cell>
        </row>
        <row r="7853">
          <cell r="I7853" t="str">
            <v>V49658</v>
          </cell>
          <cell r="J7853" t="str">
            <v>CTC</v>
          </cell>
          <cell r="K7853" t="str">
            <v>YES</v>
          </cell>
        </row>
        <row r="7854">
          <cell r="I7854" t="str">
            <v>V47587</v>
          </cell>
          <cell r="J7854" t="str">
            <v>CTC</v>
          </cell>
          <cell r="K7854" t="str">
            <v>YES</v>
          </cell>
        </row>
        <row r="7855">
          <cell r="I7855" t="str">
            <v>V46955</v>
          </cell>
          <cell r="J7855" t="str">
            <v>CTC</v>
          </cell>
          <cell r="K7855" t="str">
            <v>YES</v>
          </cell>
        </row>
        <row r="7856">
          <cell r="I7856" t="str">
            <v>V52130</v>
          </cell>
          <cell r="J7856" t="str">
            <v>CTC</v>
          </cell>
          <cell r="K7856" t="str">
            <v>YES</v>
          </cell>
        </row>
        <row r="7857">
          <cell r="I7857" t="str">
            <v>V49621</v>
          </cell>
          <cell r="J7857" t="str">
            <v>CTC</v>
          </cell>
          <cell r="K7857" t="str">
            <v>YES</v>
          </cell>
        </row>
        <row r="7858">
          <cell r="I7858" t="str">
            <v>V47139</v>
          </cell>
          <cell r="J7858" t="str">
            <v>CTC</v>
          </cell>
          <cell r="K7858" t="str">
            <v>YES</v>
          </cell>
        </row>
        <row r="7859">
          <cell r="I7859" t="str">
            <v>V49945</v>
          </cell>
          <cell r="J7859" t="str">
            <v>CTC</v>
          </cell>
          <cell r="K7859" t="str">
            <v>YES</v>
          </cell>
        </row>
        <row r="7860">
          <cell r="I7860" t="str">
            <v>V47632</v>
          </cell>
          <cell r="J7860" t="str">
            <v>CTC</v>
          </cell>
          <cell r="K7860" t="str">
            <v>YES</v>
          </cell>
        </row>
        <row r="7861">
          <cell r="I7861" t="str">
            <v>V47633</v>
          </cell>
          <cell r="J7861" t="str">
            <v>CTC</v>
          </cell>
          <cell r="K7861" t="str">
            <v>YES</v>
          </cell>
        </row>
        <row r="7862">
          <cell r="I7862" t="str">
            <v>V46996</v>
          </cell>
          <cell r="J7862" t="str">
            <v>CTC</v>
          </cell>
          <cell r="K7862" t="str">
            <v>YES</v>
          </cell>
        </row>
        <row r="7863">
          <cell r="I7863" t="str">
            <v>V46997</v>
          </cell>
          <cell r="J7863" t="str">
            <v>CTC</v>
          </cell>
          <cell r="K7863" t="str">
            <v>YES</v>
          </cell>
        </row>
        <row r="7864">
          <cell r="I7864" t="str">
            <v>V46998</v>
          </cell>
          <cell r="J7864" t="str">
            <v>CTC</v>
          </cell>
          <cell r="K7864" t="str">
            <v>YES</v>
          </cell>
        </row>
        <row r="7865">
          <cell r="I7865" t="str">
            <v>V47001</v>
          </cell>
          <cell r="J7865" t="str">
            <v>CTC</v>
          </cell>
          <cell r="K7865" t="str">
            <v>YES</v>
          </cell>
        </row>
        <row r="7866">
          <cell r="I7866" t="str">
            <v>V47199</v>
          </cell>
          <cell r="J7866" t="str">
            <v>CTC</v>
          </cell>
          <cell r="K7866" t="str">
            <v>YES</v>
          </cell>
        </row>
        <row r="7867">
          <cell r="I7867" t="str">
            <v>V48454</v>
          </cell>
          <cell r="J7867" t="str">
            <v>CTC</v>
          </cell>
          <cell r="K7867" t="str">
            <v>YES</v>
          </cell>
        </row>
        <row r="7868">
          <cell r="I7868" t="str">
            <v>V50769</v>
          </cell>
          <cell r="J7868" t="str">
            <v>CTC</v>
          </cell>
          <cell r="K7868" t="str">
            <v>YES</v>
          </cell>
        </row>
        <row r="7869">
          <cell r="I7869" t="str">
            <v>V47941</v>
          </cell>
          <cell r="J7869" t="str">
            <v>CTC</v>
          </cell>
          <cell r="K7869" t="str">
            <v>YES</v>
          </cell>
        </row>
        <row r="7870">
          <cell r="I7870" t="str">
            <v>V49296</v>
          </cell>
          <cell r="J7870" t="str">
            <v>CTC</v>
          </cell>
          <cell r="K7870" t="str">
            <v>YES</v>
          </cell>
        </row>
        <row r="7871">
          <cell r="I7871" t="str">
            <v>V50695</v>
          </cell>
          <cell r="J7871" t="str">
            <v>CTC</v>
          </cell>
          <cell r="K7871" t="str">
            <v>YES</v>
          </cell>
        </row>
        <row r="7872">
          <cell r="I7872" t="str">
            <v>V50673</v>
          </cell>
          <cell r="J7872" t="str">
            <v>CTC</v>
          </cell>
          <cell r="K7872" t="str">
            <v>YES</v>
          </cell>
        </row>
        <row r="7873">
          <cell r="I7873" t="str">
            <v>V48158</v>
          </cell>
          <cell r="J7873" t="str">
            <v>CTC</v>
          </cell>
          <cell r="K7873" t="str">
            <v>YES</v>
          </cell>
        </row>
        <row r="7874">
          <cell r="I7874" t="str">
            <v>V49351</v>
          </cell>
          <cell r="J7874" t="str">
            <v>CTC</v>
          </cell>
          <cell r="K7874" t="str">
            <v>YES</v>
          </cell>
        </row>
        <row r="7875">
          <cell r="I7875" t="str">
            <v>V47744</v>
          </cell>
          <cell r="J7875" t="str">
            <v>CTC</v>
          </cell>
          <cell r="K7875" t="str">
            <v>YES</v>
          </cell>
        </row>
        <row r="7876">
          <cell r="I7876" t="str">
            <v>V49312</v>
          </cell>
          <cell r="J7876" t="str">
            <v>CTC</v>
          </cell>
          <cell r="K7876" t="str">
            <v>YES</v>
          </cell>
        </row>
        <row r="7877">
          <cell r="I7877" t="str">
            <v>V49099</v>
          </cell>
          <cell r="J7877" t="str">
            <v>CTC</v>
          </cell>
          <cell r="K7877" t="str">
            <v>YES</v>
          </cell>
        </row>
        <row r="7878">
          <cell r="I7878" t="str">
            <v>V47580</v>
          </cell>
          <cell r="J7878" t="str">
            <v>CTC</v>
          </cell>
          <cell r="K7878" t="str">
            <v>YES</v>
          </cell>
        </row>
        <row r="7879">
          <cell r="I7879" t="str">
            <v>V49304</v>
          </cell>
          <cell r="J7879" t="str">
            <v>CTC</v>
          </cell>
          <cell r="K7879" t="str">
            <v>YES</v>
          </cell>
        </row>
        <row r="7880">
          <cell r="I7880" t="str">
            <v>V47760</v>
          </cell>
          <cell r="J7880" t="str">
            <v>CTC</v>
          </cell>
          <cell r="K7880" t="str">
            <v>YES</v>
          </cell>
        </row>
        <row r="7881">
          <cell r="I7881" t="str">
            <v>V49686</v>
          </cell>
          <cell r="J7881" t="str">
            <v>CTC</v>
          </cell>
          <cell r="K7881" t="str">
            <v>YES</v>
          </cell>
        </row>
        <row r="7882">
          <cell r="I7882" t="str">
            <v>V49808</v>
          </cell>
          <cell r="J7882" t="str">
            <v>CTC</v>
          </cell>
          <cell r="K7882" t="str">
            <v>YES</v>
          </cell>
        </row>
        <row r="7883">
          <cell r="I7883" t="str">
            <v>V48031</v>
          </cell>
          <cell r="J7883" t="str">
            <v>CTC</v>
          </cell>
          <cell r="K7883" t="str">
            <v>YES</v>
          </cell>
        </row>
        <row r="7884">
          <cell r="I7884" t="str">
            <v>V49098</v>
          </cell>
          <cell r="J7884" t="str">
            <v>CTC</v>
          </cell>
          <cell r="K7884" t="str">
            <v>YES</v>
          </cell>
        </row>
        <row r="7885">
          <cell r="I7885" t="str">
            <v>V49846</v>
          </cell>
          <cell r="J7885" t="str">
            <v>CTC</v>
          </cell>
          <cell r="K7885" t="str">
            <v>YES</v>
          </cell>
        </row>
        <row r="7886">
          <cell r="I7886" t="str">
            <v>V50008</v>
          </cell>
          <cell r="J7886" t="str">
            <v>CTC</v>
          </cell>
          <cell r="K7886" t="str">
            <v>YES</v>
          </cell>
        </row>
        <row r="7887">
          <cell r="I7887" t="str">
            <v>V48707</v>
          </cell>
          <cell r="J7887" t="str">
            <v>CTC</v>
          </cell>
          <cell r="K7887" t="str">
            <v>YES</v>
          </cell>
        </row>
        <row r="7888">
          <cell r="I7888" t="str">
            <v>V49153</v>
          </cell>
          <cell r="J7888" t="str">
            <v>CTC</v>
          </cell>
          <cell r="K7888" t="str">
            <v>YES</v>
          </cell>
        </row>
        <row r="7889">
          <cell r="I7889" t="str">
            <v>V49091</v>
          </cell>
          <cell r="J7889" t="str">
            <v>CTC</v>
          </cell>
          <cell r="K7889" t="str">
            <v>YES</v>
          </cell>
        </row>
        <row r="7890">
          <cell r="I7890" t="str">
            <v>V47316</v>
          </cell>
          <cell r="J7890" t="str">
            <v>CTC</v>
          </cell>
          <cell r="K7890" t="str">
            <v>YES</v>
          </cell>
        </row>
        <row r="7891">
          <cell r="I7891" t="str">
            <v>V48206</v>
          </cell>
          <cell r="J7891" t="str">
            <v>CTC</v>
          </cell>
          <cell r="K7891" t="str">
            <v>YES</v>
          </cell>
        </row>
        <row r="7892">
          <cell r="I7892" t="str">
            <v>V47846</v>
          </cell>
          <cell r="J7892" t="str">
            <v>CTC</v>
          </cell>
          <cell r="K7892" t="str">
            <v>YES</v>
          </cell>
        </row>
        <row r="7893">
          <cell r="I7893" t="str">
            <v>V48172</v>
          </cell>
          <cell r="J7893" t="str">
            <v>CTC</v>
          </cell>
          <cell r="K7893" t="str">
            <v>YES</v>
          </cell>
        </row>
        <row r="7894">
          <cell r="I7894" t="str">
            <v>V48940</v>
          </cell>
          <cell r="J7894" t="str">
            <v>CTC</v>
          </cell>
          <cell r="K7894" t="str">
            <v>YES</v>
          </cell>
        </row>
        <row r="7895">
          <cell r="I7895" t="str">
            <v>V50173</v>
          </cell>
          <cell r="J7895" t="str">
            <v>CTC</v>
          </cell>
          <cell r="K7895" t="str">
            <v>YES</v>
          </cell>
        </row>
        <row r="7896">
          <cell r="I7896" t="str">
            <v>V48999</v>
          </cell>
          <cell r="J7896" t="str">
            <v>CTC</v>
          </cell>
          <cell r="K7896" t="str">
            <v>YES</v>
          </cell>
        </row>
        <row r="7897">
          <cell r="I7897" t="str">
            <v>V50161</v>
          </cell>
          <cell r="J7897" t="str">
            <v>CTC</v>
          </cell>
          <cell r="K7897" t="str">
            <v>YES</v>
          </cell>
        </row>
        <row r="7898">
          <cell r="I7898" t="str">
            <v>V49310</v>
          </cell>
          <cell r="J7898" t="str">
            <v>CTC</v>
          </cell>
          <cell r="K7898" t="str">
            <v>YES</v>
          </cell>
        </row>
        <row r="7899">
          <cell r="I7899" t="str">
            <v>V49648</v>
          </cell>
          <cell r="J7899" t="str">
            <v>CTC</v>
          </cell>
          <cell r="K7899" t="str">
            <v>YES</v>
          </cell>
        </row>
        <row r="7900">
          <cell r="I7900" t="str">
            <v>V48745</v>
          </cell>
          <cell r="J7900" t="str">
            <v>CTC</v>
          </cell>
          <cell r="K7900" t="str">
            <v>YES</v>
          </cell>
        </row>
        <row r="7901">
          <cell r="I7901" t="str">
            <v>V50356</v>
          </cell>
          <cell r="J7901" t="str">
            <v>STAT</v>
          </cell>
          <cell r="K7901" t="str">
            <v>YES</v>
          </cell>
        </row>
        <row r="7902">
          <cell r="I7902" t="str">
            <v>V50823</v>
          </cell>
          <cell r="J7902" t="str">
            <v>CTC</v>
          </cell>
          <cell r="K7902" t="str">
            <v>YES</v>
          </cell>
        </row>
        <row r="7903">
          <cell r="I7903" t="str">
            <v>V50482</v>
          </cell>
          <cell r="J7903" t="str">
            <v>CTC</v>
          </cell>
          <cell r="K7903" t="str">
            <v>YES</v>
          </cell>
        </row>
        <row r="7904">
          <cell r="I7904" t="str">
            <v>V49517</v>
          </cell>
          <cell r="J7904" t="str">
            <v>CTC</v>
          </cell>
          <cell r="K7904" t="str">
            <v>YES</v>
          </cell>
        </row>
        <row r="7905">
          <cell r="I7905" t="str">
            <v>V48366</v>
          </cell>
          <cell r="J7905" t="str">
            <v>CTC</v>
          </cell>
          <cell r="K7905" t="str">
            <v>YES</v>
          </cell>
        </row>
        <row r="7906">
          <cell r="I7906" t="str">
            <v>V49555</v>
          </cell>
          <cell r="J7906" t="str">
            <v>CTC</v>
          </cell>
          <cell r="K7906" t="str">
            <v>YES</v>
          </cell>
        </row>
        <row r="7907">
          <cell r="I7907" t="str">
            <v>V48705</v>
          </cell>
          <cell r="J7907" t="str">
            <v>CTC</v>
          </cell>
          <cell r="K7907" t="str">
            <v>YES</v>
          </cell>
        </row>
        <row r="7908">
          <cell r="I7908" t="str">
            <v>V48995</v>
          </cell>
          <cell r="J7908" t="str">
            <v>CTC</v>
          </cell>
          <cell r="K7908" t="str">
            <v>YES</v>
          </cell>
        </row>
        <row r="7909">
          <cell r="I7909" t="str">
            <v>V49628</v>
          </cell>
          <cell r="J7909" t="str">
            <v>CTC</v>
          </cell>
          <cell r="K7909" t="str">
            <v>YES</v>
          </cell>
        </row>
        <row r="7910">
          <cell r="I7910" t="str">
            <v>V49564</v>
          </cell>
          <cell r="J7910" t="str">
            <v>CTC</v>
          </cell>
          <cell r="K7910" t="str">
            <v>YES</v>
          </cell>
        </row>
        <row r="7911">
          <cell r="I7911" t="str">
            <v>V50944</v>
          </cell>
          <cell r="J7911" t="str">
            <v>CTC</v>
          </cell>
          <cell r="K7911" t="str">
            <v>YES</v>
          </cell>
        </row>
        <row r="7912">
          <cell r="I7912" t="str">
            <v>V49747</v>
          </cell>
          <cell r="J7912" t="str">
            <v>CTC</v>
          </cell>
          <cell r="K7912" t="str">
            <v>YES</v>
          </cell>
        </row>
        <row r="7913">
          <cell r="I7913" t="str">
            <v>V47293</v>
          </cell>
          <cell r="J7913" t="str">
            <v>CTC</v>
          </cell>
          <cell r="K7913" t="str">
            <v>YES</v>
          </cell>
        </row>
        <row r="7914">
          <cell r="I7914" t="str">
            <v>V49622</v>
          </cell>
          <cell r="J7914" t="str">
            <v>CTC</v>
          </cell>
          <cell r="K7914" t="str">
            <v>YES</v>
          </cell>
        </row>
        <row r="7915">
          <cell r="I7915" t="str">
            <v>V51128</v>
          </cell>
          <cell r="J7915" t="str">
            <v>CTC</v>
          </cell>
          <cell r="K7915" t="str">
            <v>YES</v>
          </cell>
        </row>
        <row r="7916">
          <cell r="I7916" t="str">
            <v>V49122</v>
          </cell>
          <cell r="J7916" t="str">
            <v>CTC</v>
          </cell>
          <cell r="K7916" t="str">
            <v>YES</v>
          </cell>
        </row>
        <row r="7917">
          <cell r="I7917" t="str">
            <v>V51289</v>
          </cell>
          <cell r="J7917" t="str">
            <v>STAT</v>
          </cell>
          <cell r="K7917" t="str">
            <v>YES</v>
          </cell>
        </row>
        <row r="7918">
          <cell r="I7918" t="str">
            <v>V49862</v>
          </cell>
          <cell r="J7918" t="str">
            <v>CTC</v>
          </cell>
          <cell r="K7918" t="str">
            <v>YES</v>
          </cell>
        </row>
        <row r="7919">
          <cell r="I7919" t="str">
            <v>V49919</v>
          </cell>
          <cell r="J7919" t="str">
            <v>CTC</v>
          </cell>
          <cell r="K7919" t="str">
            <v>YES</v>
          </cell>
        </row>
        <row r="7920">
          <cell r="I7920" t="str">
            <v>V49916</v>
          </cell>
          <cell r="J7920" t="str">
            <v>CTC</v>
          </cell>
          <cell r="K7920" t="str">
            <v>YES</v>
          </cell>
        </row>
        <row r="7921">
          <cell r="I7921" t="str">
            <v>V49556</v>
          </cell>
          <cell r="J7921" t="str">
            <v>CTC</v>
          </cell>
          <cell r="K7921" t="str">
            <v>YES</v>
          </cell>
        </row>
        <row r="7922">
          <cell r="I7922" t="str">
            <v>V51111</v>
          </cell>
          <cell r="J7922" t="str">
            <v>CTC</v>
          </cell>
          <cell r="K7922" t="str">
            <v>YES</v>
          </cell>
        </row>
        <row r="7923">
          <cell r="I7923" t="str">
            <v>V51142</v>
          </cell>
          <cell r="J7923" t="str">
            <v>CTC</v>
          </cell>
          <cell r="K7923" t="str">
            <v>YES</v>
          </cell>
        </row>
        <row r="7924">
          <cell r="I7924" t="str">
            <v>V51143</v>
          </cell>
          <cell r="J7924" t="str">
            <v>CTC</v>
          </cell>
          <cell r="K7924" t="str">
            <v>YES</v>
          </cell>
        </row>
        <row r="7925">
          <cell r="I7925" t="str">
            <v>V48712</v>
          </cell>
          <cell r="J7925" t="str">
            <v>CTC</v>
          </cell>
          <cell r="K7925" t="str">
            <v>YES</v>
          </cell>
        </row>
        <row r="7926">
          <cell r="I7926" t="str">
            <v>V48927</v>
          </cell>
          <cell r="J7926" t="str">
            <v>CTC</v>
          </cell>
          <cell r="K7926" t="str">
            <v>YES</v>
          </cell>
        </row>
        <row r="7927">
          <cell r="I7927" t="str">
            <v>V49753</v>
          </cell>
          <cell r="J7927" t="str">
            <v>CTC</v>
          </cell>
          <cell r="K7927" t="str">
            <v>YES</v>
          </cell>
        </row>
        <row r="7928">
          <cell r="I7928" t="str">
            <v>V48358</v>
          </cell>
          <cell r="J7928" t="str">
            <v>CTC</v>
          </cell>
          <cell r="K7928" t="str">
            <v>YES</v>
          </cell>
        </row>
        <row r="7929">
          <cell r="I7929" t="str">
            <v>V48080</v>
          </cell>
          <cell r="J7929" t="str">
            <v>CTC</v>
          </cell>
          <cell r="K7929" t="str">
            <v>YES</v>
          </cell>
        </row>
        <row r="7930">
          <cell r="I7930" t="str">
            <v>V49195</v>
          </cell>
          <cell r="J7930" t="str">
            <v>CTC</v>
          </cell>
          <cell r="K7930" t="str">
            <v>YES</v>
          </cell>
        </row>
        <row r="7931">
          <cell r="I7931" t="str">
            <v>V49141</v>
          </cell>
          <cell r="J7931" t="str">
            <v>CTC</v>
          </cell>
          <cell r="K7931" t="str">
            <v>YES</v>
          </cell>
        </row>
        <row r="7932">
          <cell r="I7932" t="str">
            <v>V49350</v>
          </cell>
          <cell r="J7932" t="str">
            <v>CTC</v>
          </cell>
          <cell r="K7932" t="str">
            <v>YES</v>
          </cell>
        </row>
        <row r="7933">
          <cell r="I7933" t="str">
            <v>V50025</v>
          </cell>
          <cell r="J7933" t="str">
            <v>CTC</v>
          </cell>
          <cell r="K7933" t="str">
            <v>YES</v>
          </cell>
        </row>
        <row r="7934">
          <cell r="I7934" t="str">
            <v>V51027</v>
          </cell>
          <cell r="J7934" t="str">
            <v>CTC</v>
          </cell>
          <cell r="K7934" t="str">
            <v>YES</v>
          </cell>
        </row>
        <row r="7935">
          <cell r="I7935" t="str">
            <v>V47914</v>
          </cell>
          <cell r="J7935" t="str">
            <v>CTC</v>
          </cell>
          <cell r="K7935" t="str">
            <v>YES</v>
          </cell>
        </row>
        <row r="7936">
          <cell r="I7936" t="str">
            <v>V47002</v>
          </cell>
          <cell r="J7936" t="str">
            <v>CTC</v>
          </cell>
          <cell r="K7936" t="str">
            <v>YES</v>
          </cell>
        </row>
        <row r="7937">
          <cell r="I7937" t="str">
            <v>V50278</v>
          </cell>
          <cell r="J7937" t="str">
            <v>CTC</v>
          </cell>
          <cell r="K7937" t="str">
            <v>YES</v>
          </cell>
        </row>
        <row r="7938">
          <cell r="I7938" t="str">
            <v>V50122</v>
          </cell>
          <cell r="J7938" t="str">
            <v>CTC</v>
          </cell>
          <cell r="K7938" t="str">
            <v>YES</v>
          </cell>
        </row>
        <row r="7939">
          <cell r="I7939" t="str">
            <v>V47836</v>
          </cell>
          <cell r="J7939" t="str">
            <v>CTC</v>
          </cell>
          <cell r="K7939" t="str">
            <v>YES</v>
          </cell>
        </row>
        <row r="7940">
          <cell r="I7940" t="str">
            <v>V50732</v>
          </cell>
          <cell r="J7940" t="str">
            <v>CTC</v>
          </cell>
          <cell r="K7940" t="str">
            <v>YES</v>
          </cell>
        </row>
        <row r="7941">
          <cell r="I7941" t="str">
            <v>V49338</v>
          </cell>
          <cell r="J7941" t="str">
            <v>CTC</v>
          </cell>
          <cell r="K7941" t="str">
            <v>YES</v>
          </cell>
        </row>
        <row r="7942">
          <cell r="I7942" t="str">
            <v>V49852</v>
          </cell>
          <cell r="J7942" t="str">
            <v>CTC</v>
          </cell>
          <cell r="K7942" t="str">
            <v>YES</v>
          </cell>
        </row>
        <row r="7943">
          <cell r="I7943" t="str">
            <v>V49553</v>
          </cell>
          <cell r="J7943" t="str">
            <v>CTC</v>
          </cell>
          <cell r="K7943" t="str">
            <v>YES</v>
          </cell>
        </row>
        <row r="7944">
          <cell r="I7944" t="str">
            <v>V51138</v>
          </cell>
          <cell r="J7944" t="str">
            <v>CTC</v>
          </cell>
          <cell r="K7944" t="str">
            <v>YES</v>
          </cell>
        </row>
        <row r="7945">
          <cell r="I7945" t="str">
            <v>V49913</v>
          </cell>
          <cell r="J7945" t="str">
            <v>CTC</v>
          </cell>
          <cell r="K7945" t="str">
            <v>YES</v>
          </cell>
        </row>
        <row r="7946">
          <cell r="I7946" t="str">
            <v>V49177</v>
          </cell>
          <cell r="J7946" t="str">
            <v>CTC</v>
          </cell>
          <cell r="K7946" t="str">
            <v>YES</v>
          </cell>
        </row>
        <row r="7947">
          <cell r="I7947" t="str">
            <v>V49684</v>
          </cell>
          <cell r="J7947" t="str">
            <v>CTC</v>
          </cell>
          <cell r="K7947" t="str">
            <v>YES</v>
          </cell>
        </row>
        <row r="7948">
          <cell r="I7948" t="str">
            <v>V48887</v>
          </cell>
          <cell r="J7948" t="str">
            <v>CTC</v>
          </cell>
          <cell r="K7948" t="str">
            <v>YES</v>
          </cell>
        </row>
        <row r="7949">
          <cell r="I7949" t="str">
            <v>V49255</v>
          </cell>
          <cell r="J7949" t="str">
            <v>CTC</v>
          </cell>
          <cell r="K7949" t="str">
            <v>YES</v>
          </cell>
        </row>
        <row r="7950">
          <cell r="I7950" t="str">
            <v>V47765</v>
          </cell>
          <cell r="J7950" t="str">
            <v>CTC</v>
          </cell>
          <cell r="K7950" t="str">
            <v>YES</v>
          </cell>
        </row>
        <row r="7951">
          <cell r="I7951" t="str">
            <v>V48902</v>
          </cell>
          <cell r="J7951" t="str">
            <v>CTC</v>
          </cell>
          <cell r="K7951" t="str">
            <v>YES</v>
          </cell>
        </row>
        <row r="7952">
          <cell r="I7952" t="str">
            <v>V50036</v>
          </cell>
          <cell r="J7952" t="str">
            <v>CTC</v>
          </cell>
          <cell r="K7952" t="str">
            <v>YES</v>
          </cell>
        </row>
        <row r="7953">
          <cell r="I7953" t="str">
            <v>V47006</v>
          </cell>
          <cell r="J7953" t="str">
            <v>CTC</v>
          </cell>
          <cell r="K7953" t="str">
            <v>YES</v>
          </cell>
        </row>
        <row r="7954">
          <cell r="I7954" t="str">
            <v>V50134</v>
          </cell>
          <cell r="J7954" t="str">
            <v>CTC</v>
          </cell>
          <cell r="K7954" t="str">
            <v>YES</v>
          </cell>
        </row>
        <row r="7955">
          <cell r="I7955" t="str">
            <v>V49429</v>
          </cell>
          <cell r="J7955" t="str">
            <v>CTC</v>
          </cell>
          <cell r="K7955" t="str">
            <v>YES</v>
          </cell>
        </row>
        <row r="7956">
          <cell r="I7956" t="str">
            <v>V50931</v>
          </cell>
          <cell r="J7956" t="str">
            <v>CTC</v>
          </cell>
          <cell r="K7956" t="str">
            <v>YES</v>
          </cell>
        </row>
        <row r="7957">
          <cell r="I7957" t="str">
            <v>V49647</v>
          </cell>
          <cell r="J7957" t="str">
            <v>CTC</v>
          </cell>
          <cell r="K7957" t="str">
            <v>YES</v>
          </cell>
        </row>
        <row r="7958">
          <cell r="I7958" t="str">
            <v>V51127</v>
          </cell>
          <cell r="J7958" t="str">
            <v>CTC</v>
          </cell>
          <cell r="K7958" t="str">
            <v>YES</v>
          </cell>
        </row>
        <row r="7959">
          <cell r="I7959" t="str">
            <v>V49833</v>
          </cell>
          <cell r="J7959" t="str">
            <v>CTC</v>
          </cell>
          <cell r="K7959" t="str">
            <v>YES</v>
          </cell>
        </row>
        <row r="7960">
          <cell r="I7960" t="str">
            <v>V49043</v>
          </cell>
          <cell r="J7960" t="str">
            <v>CTC</v>
          </cell>
          <cell r="K7960" t="str">
            <v>YES</v>
          </cell>
        </row>
        <row r="7961">
          <cell r="I7961" t="str">
            <v>V50755</v>
          </cell>
          <cell r="J7961" t="str">
            <v>CTC</v>
          </cell>
          <cell r="K7961" t="str">
            <v>YES</v>
          </cell>
        </row>
        <row r="7962">
          <cell r="I7962" t="str">
            <v>V50065</v>
          </cell>
          <cell r="J7962" t="str">
            <v>CTC</v>
          </cell>
          <cell r="K7962" t="str">
            <v>YES</v>
          </cell>
        </row>
        <row r="7963">
          <cell r="I7963" t="str">
            <v>V50770</v>
          </cell>
          <cell r="J7963" t="str">
            <v>CTC</v>
          </cell>
          <cell r="K7963" t="str">
            <v>YES</v>
          </cell>
        </row>
        <row r="7964">
          <cell r="I7964" t="str">
            <v>V49398</v>
          </cell>
          <cell r="J7964" t="str">
            <v>CTC</v>
          </cell>
          <cell r="K7964" t="str">
            <v>YES</v>
          </cell>
        </row>
        <row r="7965">
          <cell r="I7965" t="str">
            <v>V48593</v>
          </cell>
          <cell r="J7965" t="str">
            <v>CTC</v>
          </cell>
          <cell r="K7965" t="str">
            <v>YES</v>
          </cell>
        </row>
        <row r="7966">
          <cell r="I7966" t="str">
            <v>V49925</v>
          </cell>
          <cell r="J7966" t="str">
            <v>CTC</v>
          </cell>
          <cell r="K7966" t="str">
            <v>YES</v>
          </cell>
        </row>
        <row r="7967">
          <cell r="I7967" t="str">
            <v>V48942</v>
          </cell>
          <cell r="J7967" t="str">
            <v>CTC</v>
          </cell>
          <cell r="K7967" t="str">
            <v>YES</v>
          </cell>
        </row>
        <row r="7968">
          <cell r="I7968" t="str">
            <v>V48626</v>
          </cell>
          <cell r="J7968" t="str">
            <v>CTC</v>
          </cell>
          <cell r="K7968" t="str">
            <v>YES</v>
          </cell>
        </row>
        <row r="7969">
          <cell r="I7969" t="str">
            <v>V50459</v>
          </cell>
          <cell r="J7969" t="str">
            <v>STAT</v>
          </cell>
          <cell r="K7969" t="str">
            <v>YES</v>
          </cell>
        </row>
        <row r="7970">
          <cell r="I7970" t="str">
            <v>V49237</v>
          </cell>
          <cell r="J7970" t="str">
            <v>CTC</v>
          </cell>
          <cell r="K7970" t="str">
            <v>YES</v>
          </cell>
        </row>
        <row r="7971">
          <cell r="I7971" t="str">
            <v>V49659</v>
          </cell>
          <cell r="J7971" t="str">
            <v>CTC</v>
          </cell>
          <cell r="K7971" t="str">
            <v>YES</v>
          </cell>
        </row>
        <row r="7972">
          <cell r="I7972" t="str">
            <v>V49703</v>
          </cell>
          <cell r="J7972" t="str">
            <v>CTC</v>
          </cell>
          <cell r="K7972" t="str">
            <v>YES</v>
          </cell>
        </row>
        <row r="7973">
          <cell r="I7973" t="str">
            <v>V48402</v>
          </cell>
          <cell r="J7973" t="str">
            <v>CTC</v>
          </cell>
          <cell r="K7973" t="str">
            <v>YES</v>
          </cell>
        </row>
        <row r="7974">
          <cell r="I7974" t="str">
            <v>V49690</v>
          </cell>
          <cell r="J7974" t="str">
            <v>CTC</v>
          </cell>
          <cell r="K7974" t="str">
            <v>YES</v>
          </cell>
        </row>
        <row r="7975">
          <cell r="I7975" t="str">
            <v>V49426</v>
          </cell>
          <cell r="J7975" t="str">
            <v>CTC</v>
          </cell>
          <cell r="K7975" t="str">
            <v>YES</v>
          </cell>
        </row>
        <row r="7976">
          <cell r="I7976" t="str">
            <v>V48957</v>
          </cell>
          <cell r="J7976" t="str">
            <v>CTC</v>
          </cell>
          <cell r="K7976" t="str">
            <v>YES</v>
          </cell>
        </row>
        <row r="7977">
          <cell r="I7977" t="str">
            <v>V52546</v>
          </cell>
          <cell r="J7977" t="str">
            <v>STAT</v>
          </cell>
          <cell r="K7977" t="str">
            <v>YES</v>
          </cell>
        </row>
        <row r="7978">
          <cell r="I7978" t="str">
            <v>V48802</v>
          </cell>
          <cell r="J7978" t="str">
            <v>CTC</v>
          </cell>
          <cell r="K7978" t="str">
            <v>YES</v>
          </cell>
        </row>
        <row r="7979">
          <cell r="I7979" t="str">
            <v>V50856</v>
          </cell>
          <cell r="J7979" t="str">
            <v>CTC</v>
          </cell>
          <cell r="K7979" t="str">
            <v>YES</v>
          </cell>
        </row>
        <row r="7980">
          <cell r="I7980" t="str">
            <v>V50073</v>
          </cell>
          <cell r="J7980" t="str">
            <v>CTC</v>
          </cell>
          <cell r="K7980" t="str">
            <v>YES</v>
          </cell>
        </row>
        <row r="7981">
          <cell r="I7981" t="str">
            <v>V51112</v>
          </cell>
          <cell r="J7981" t="str">
            <v>CTC</v>
          </cell>
          <cell r="K7981" t="str">
            <v>YES</v>
          </cell>
        </row>
        <row r="7982">
          <cell r="I7982" t="str">
            <v>V49691</v>
          </cell>
          <cell r="J7982" t="str">
            <v>CTC</v>
          </cell>
          <cell r="K7982" t="str">
            <v>YES</v>
          </cell>
        </row>
        <row r="7983">
          <cell r="I7983" t="str">
            <v>V49229</v>
          </cell>
          <cell r="J7983" t="str">
            <v>CTC</v>
          </cell>
          <cell r="K7983" t="str">
            <v>YES</v>
          </cell>
        </row>
        <row r="7984">
          <cell r="I7984" t="str">
            <v>V49183</v>
          </cell>
          <cell r="J7984" t="str">
            <v>CTC</v>
          </cell>
          <cell r="K7984" t="str">
            <v>YES</v>
          </cell>
        </row>
        <row r="7985">
          <cell r="I7985" t="str">
            <v>V51076</v>
          </cell>
          <cell r="J7985" t="str">
            <v>CTC</v>
          </cell>
          <cell r="K7985" t="str">
            <v>YES</v>
          </cell>
        </row>
        <row r="7986">
          <cell r="I7986" t="str">
            <v>V46228</v>
          </cell>
          <cell r="J7986" t="str">
            <v>CTC</v>
          </cell>
          <cell r="K7986" t="str">
            <v>YES</v>
          </cell>
        </row>
        <row r="7987">
          <cell r="I7987" t="str">
            <v>V50373</v>
          </cell>
          <cell r="J7987" t="str">
            <v>CTC</v>
          </cell>
          <cell r="K7987" t="str">
            <v>YES</v>
          </cell>
        </row>
        <row r="7988">
          <cell r="I7988" t="str">
            <v>V50401</v>
          </cell>
          <cell r="J7988" t="str">
            <v>CTC</v>
          </cell>
          <cell r="K7988" t="str">
            <v>YES</v>
          </cell>
        </row>
        <row r="7989">
          <cell r="I7989" t="str">
            <v>V49625</v>
          </cell>
          <cell r="J7989" t="str">
            <v>CTC</v>
          </cell>
          <cell r="K7989" t="str">
            <v>YES</v>
          </cell>
        </row>
        <row r="7990">
          <cell r="I7990" t="str">
            <v>V49408</v>
          </cell>
          <cell r="J7990" t="str">
            <v>CTC</v>
          </cell>
          <cell r="K7990" t="str">
            <v>YES</v>
          </cell>
        </row>
        <row r="7991">
          <cell r="I7991" t="str">
            <v>V49724</v>
          </cell>
          <cell r="J7991" t="str">
            <v>CTC</v>
          </cell>
          <cell r="K7991" t="str">
            <v>YES</v>
          </cell>
        </row>
        <row r="7992">
          <cell r="I7992" t="str">
            <v>V49762</v>
          </cell>
          <cell r="J7992" t="str">
            <v>CTC</v>
          </cell>
          <cell r="K7992" t="str">
            <v>YES</v>
          </cell>
        </row>
        <row r="7993">
          <cell r="I7993" t="str">
            <v>V50468</v>
          </cell>
          <cell r="J7993" t="str">
            <v>STAT</v>
          </cell>
          <cell r="K7993" t="str">
            <v>YES</v>
          </cell>
        </row>
        <row r="7994">
          <cell r="I7994" t="str">
            <v>V49174</v>
          </cell>
          <cell r="J7994" t="str">
            <v>CTC</v>
          </cell>
          <cell r="K7994" t="str">
            <v>YES</v>
          </cell>
        </row>
        <row r="7995">
          <cell r="I7995" t="str">
            <v>V49980</v>
          </cell>
          <cell r="J7995" t="str">
            <v>CTC</v>
          </cell>
          <cell r="K7995" t="str">
            <v>YES</v>
          </cell>
        </row>
        <row r="7996">
          <cell r="I7996" t="str">
            <v>V48434</v>
          </cell>
          <cell r="J7996" t="str">
            <v>CTC</v>
          </cell>
          <cell r="K7996" t="str">
            <v>YES</v>
          </cell>
        </row>
        <row r="7997">
          <cell r="I7997" t="str">
            <v>V49666</v>
          </cell>
          <cell r="J7997" t="str">
            <v>CTC</v>
          </cell>
          <cell r="K7997" t="str">
            <v>YES</v>
          </cell>
        </row>
        <row r="7998">
          <cell r="I7998" t="str">
            <v>V50563</v>
          </cell>
          <cell r="J7998" t="str">
            <v>STAT</v>
          </cell>
          <cell r="K7998" t="str">
            <v>YES</v>
          </cell>
        </row>
        <row r="7999">
          <cell r="I7999" t="str">
            <v>V50783</v>
          </cell>
          <cell r="J7999" t="str">
            <v>CTC</v>
          </cell>
          <cell r="K7999" t="str">
            <v>YES</v>
          </cell>
        </row>
        <row r="8000">
          <cell r="I8000" t="str">
            <v>V48153</v>
          </cell>
          <cell r="J8000" t="str">
            <v>CTC</v>
          </cell>
          <cell r="K8000" t="str">
            <v>YES</v>
          </cell>
        </row>
        <row r="8001">
          <cell r="I8001" t="str">
            <v>V49175</v>
          </cell>
          <cell r="J8001" t="str">
            <v>CTC</v>
          </cell>
          <cell r="K8001" t="str">
            <v>YES</v>
          </cell>
        </row>
        <row r="8002">
          <cell r="I8002" t="str">
            <v>V49512</v>
          </cell>
          <cell r="J8002" t="str">
            <v>CTC</v>
          </cell>
          <cell r="K8002" t="str">
            <v>YES</v>
          </cell>
        </row>
        <row r="8003">
          <cell r="I8003" t="str">
            <v>V50505</v>
          </cell>
          <cell r="J8003" t="str">
            <v>CTC</v>
          </cell>
          <cell r="K8003" t="str">
            <v>YES</v>
          </cell>
        </row>
        <row r="8004">
          <cell r="I8004" t="str">
            <v>V49726</v>
          </cell>
          <cell r="J8004" t="str">
            <v>CTC</v>
          </cell>
          <cell r="K8004" t="str">
            <v>YES</v>
          </cell>
        </row>
        <row r="8005">
          <cell r="I8005" t="str">
            <v>V50838</v>
          </cell>
          <cell r="J8005" t="str">
            <v>CTC</v>
          </cell>
          <cell r="K8005" t="str">
            <v>YES</v>
          </cell>
        </row>
        <row r="8006">
          <cell r="I8006" t="str">
            <v>V49300</v>
          </cell>
          <cell r="J8006" t="str">
            <v>STAT</v>
          </cell>
          <cell r="K8006" t="str">
            <v>YES</v>
          </cell>
        </row>
        <row r="8007">
          <cell r="I8007" t="str">
            <v>V51486</v>
          </cell>
          <cell r="J8007" t="str">
            <v>CTC</v>
          </cell>
          <cell r="K8007" t="str">
            <v>YES</v>
          </cell>
        </row>
        <row r="8008">
          <cell r="I8008" t="str">
            <v>V51612</v>
          </cell>
          <cell r="J8008" t="str">
            <v>CTC</v>
          </cell>
          <cell r="K8008" t="str">
            <v>YES</v>
          </cell>
        </row>
        <row r="8009">
          <cell r="I8009" t="str">
            <v>V49858</v>
          </cell>
          <cell r="J8009" t="str">
            <v>CTC</v>
          </cell>
          <cell r="K8009" t="str">
            <v>YES</v>
          </cell>
        </row>
        <row r="8010">
          <cell r="I8010" t="str">
            <v>V48696</v>
          </cell>
          <cell r="J8010" t="str">
            <v>CTC</v>
          </cell>
          <cell r="K8010" t="str">
            <v>YES</v>
          </cell>
        </row>
        <row r="8011">
          <cell r="I8011" t="str">
            <v>V48640</v>
          </cell>
          <cell r="J8011" t="str">
            <v>CTC</v>
          </cell>
          <cell r="K8011" t="str">
            <v>YES</v>
          </cell>
        </row>
        <row r="8012">
          <cell r="I8012" t="str">
            <v>V47564</v>
          </cell>
          <cell r="J8012" t="str">
            <v>CTC</v>
          </cell>
          <cell r="K8012" t="str">
            <v>YES</v>
          </cell>
        </row>
        <row r="8013">
          <cell r="I8013" t="str">
            <v>V50103</v>
          </cell>
          <cell r="J8013" t="str">
            <v>CTC</v>
          </cell>
          <cell r="K8013" t="str">
            <v>YES</v>
          </cell>
        </row>
        <row r="8014">
          <cell r="I8014" t="str">
            <v>V50116</v>
          </cell>
          <cell r="J8014" t="str">
            <v>CTC</v>
          </cell>
          <cell r="K8014" t="str">
            <v>YES</v>
          </cell>
        </row>
        <row r="8015">
          <cell r="I8015" t="str">
            <v>V49557</v>
          </cell>
          <cell r="J8015" t="str">
            <v>CTC</v>
          </cell>
          <cell r="K8015" t="str">
            <v>YES</v>
          </cell>
        </row>
        <row r="8016">
          <cell r="I8016" t="str">
            <v>V49891</v>
          </cell>
          <cell r="J8016" t="str">
            <v>CTC</v>
          </cell>
          <cell r="K8016" t="str">
            <v>YES</v>
          </cell>
        </row>
        <row r="8017">
          <cell r="I8017" t="str">
            <v>V47330</v>
          </cell>
          <cell r="J8017" t="str">
            <v>CTC</v>
          </cell>
          <cell r="K8017" t="str">
            <v>YES</v>
          </cell>
        </row>
        <row r="8018">
          <cell r="I8018" t="str">
            <v>V49335</v>
          </cell>
          <cell r="J8018" t="str">
            <v>CTC</v>
          </cell>
          <cell r="K8018" t="str">
            <v>YES</v>
          </cell>
        </row>
        <row r="8019">
          <cell r="I8019" t="str">
            <v>V49847</v>
          </cell>
          <cell r="J8019" t="str">
            <v>CTC</v>
          </cell>
          <cell r="K8019" t="str">
            <v>YES</v>
          </cell>
        </row>
        <row r="8020">
          <cell r="I8020" t="str">
            <v>V49818</v>
          </cell>
          <cell r="J8020" t="str">
            <v>CTC</v>
          </cell>
          <cell r="K8020" t="str">
            <v>YES</v>
          </cell>
        </row>
        <row r="8021">
          <cell r="I8021" t="str">
            <v>V49909</v>
          </cell>
          <cell r="J8021" t="str">
            <v>CTC</v>
          </cell>
          <cell r="K8021" t="str">
            <v>YES</v>
          </cell>
        </row>
        <row r="8022">
          <cell r="I8022" t="str">
            <v>V49571</v>
          </cell>
          <cell r="J8022" t="str">
            <v>CTC</v>
          </cell>
          <cell r="K8022" t="str">
            <v>YES</v>
          </cell>
        </row>
        <row r="8023">
          <cell r="I8023" t="str">
            <v>V49620</v>
          </cell>
          <cell r="J8023" t="str">
            <v>CTC</v>
          </cell>
          <cell r="K8023" t="str">
            <v>YES</v>
          </cell>
        </row>
        <row r="8024">
          <cell r="I8024" t="str">
            <v>V48959</v>
          </cell>
          <cell r="J8024" t="str">
            <v>CTC</v>
          </cell>
          <cell r="K8024" t="str">
            <v>YES</v>
          </cell>
        </row>
        <row r="8025">
          <cell r="I8025" t="str">
            <v>V49410</v>
          </cell>
          <cell r="J8025" t="str">
            <v>CTC</v>
          </cell>
          <cell r="K8025" t="str">
            <v>YES</v>
          </cell>
        </row>
        <row r="8026">
          <cell r="I8026" t="str">
            <v>V49505</v>
          </cell>
          <cell r="J8026" t="str">
            <v>CTC</v>
          </cell>
          <cell r="K8026" t="str">
            <v>YES</v>
          </cell>
        </row>
        <row r="8027">
          <cell r="I8027" t="str">
            <v>V48789</v>
          </cell>
          <cell r="J8027" t="str">
            <v>CTC</v>
          </cell>
          <cell r="K8027" t="str">
            <v>YES</v>
          </cell>
        </row>
        <row r="8028">
          <cell r="I8028" t="str">
            <v>V49860</v>
          </cell>
          <cell r="J8028" t="str">
            <v>CTC</v>
          </cell>
          <cell r="K8028" t="str">
            <v>YES</v>
          </cell>
        </row>
        <row r="8029">
          <cell r="I8029" t="str">
            <v>V50916</v>
          </cell>
          <cell r="J8029" t="str">
            <v>CTC</v>
          </cell>
          <cell r="K8029" t="str">
            <v>YES</v>
          </cell>
        </row>
        <row r="8030">
          <cell r="I8030" t="str">
            <v>V50819</v>
          </cell>
          <cell r="J8030" t="str">
            <v>CTC</v>
          </cell>
          <cell r="K8030" t="str">
            <v>YES</v>
          </cell>
        </row>
        <row r="8031">
          <cell r="I8031" t="str">
            <v>V50778</v>
          </cell>
          <cell r="J8031" t="str">
            <v>CTC</v>
          </cell>
          <cell r="K8031" t="str">
            <v>YES</v>
          </cell>
        </row>
        <row r="8032">
          <cell r="I8032" t="str">
            <v>V50144</v>
          </cell>
          <cell r="J8032" t="str">
            <v>CTC</v>
          </cell>
          <cell r="K8032" t="str">
            <v>YES</v>
          </cell>
        </row>
        <row r="8033">
          <cell r="I8033" t="str">
            <v>V50223</v>
          </cell>
          <cell r="J8033" t="str">
            <v>CTC</v>
          </cell>
          <cell r="K8033" t="str">
            <v>YES</v>
          </cell>
        </row>
        <row r="8034">
          <cell r="I8034" t="str">
            <v>V50009</v>
          </cell>
          <cell r="J8034" t="str">
            <v>CTC</v>
          </cell>
          <cell r="K8034" t="str">
            <v>YES</v>
          </cell>
        </row>
        <row r="8035">
          <cell r="I8035" t="str">
            <v>V49080</v>
          </cell>
          <cell r="J8035" t="str">
            <v>CTC</v>
          </cell>
          <cell r="K8035" t="str">
            <v>YES</v>
          </cell>
        </row>
        <row r="8036">
          <cell r="I8036" t="str">
            <v>V51293</v>
          </cell>
          <cell r="J8036" t="str">
            <v>CTC</v>
          </cell>
          <cell r="K8036" t="str">
            <v>YES</v>
          </cell>
        </row>
        <row r="8037">
          <cell r="I8037" t="str">
            <v>V50736</v>
          </cell>
          <cell r="J8037" t="str">
            <v>CTC</v>
          </cell>
          <cell r="K8037" t="str">
            <v>YES</v>
          </cell>
        </row>
        <row r="8038">
          <cell r="I8038" t="str">
            <v>V48424</v>
          </cell>
          <cell r="J8038" t="str">
            <v>CTC</v>
          </cell>
          <cell r="K8038" t="str">
            <v>YES</v>
          </cell>
        </row>
        <row r="8039">
          <cell r="I8039" t="str">
            <v>V49699</v>
          </cell>
          <cell r="J8039" t="str">
            <v>CTC</v>
          </cell>
          <cell r="K8039" t="str">
            <v>YES</v>
          </cell>
        </row>
        <row r="8040">
          <cell r="I8040" t="str">
            <v>V47743</v>
          </cell>
          <cell r="J8040" t="str">
            <v>CTC</v>
          </cell>
          <cell r="K8040" t="str">
            <v>YES</v>
          </cell>
        </row>
        <row r="8041">
          <cell r="I8041" t="str">
            <v>V51468</v>
          </cell>
          <cell r="J8041" t="str">
            <v>CTC</v>
          </cell>
          <cell r="K8041" t="str">
            <v>YES</v>
          </cell>
        </row>
        <row r="8042">
          <cell r="I8042" t="str">
            <v>V49856</v>
          </cell>
          <cell r="J8042" t="str">
            <v>CTC</v>
          </cell>
          <cell r="K8042" t="str">
            <v>YES</v>
          </cell>
        </row>
        <row r="8043">
          <cell r="I8043" t="str">
            <v>V49710</v>
          </cell>
          <cell r="J8043" t="str">
            <v>CTC</v>
          </cell>
          <cell r="K8043" t="str">
            <v>YES</v>
          </cell>
        </row>
        <row r="8044">
          <cell r="I8044" t="str">
            <v>V49220</v>
          </cell>
          <cell r="J8044" t="str">
            <v>CTC</v>
          </cell>
          <cell r="K8044" t="str">
            <v>YES</v>
          </cell>
        </row>
        <row r="8045">
          <cell r="I8045" t="str">
            <v>V49383</v>
          </cell>
          <cell r="J8045" t="str">
            <v>CTC</v>
          </cell>
          <cell r="K8045" t="str">
            <v>YES</v>
          </cell>
        </row>
        <row r="8046">
          <cell r="I8046" t="str">
            <v>V48431</v>
          </cell>
          <cell r="J8046" t="str">
            <v>CTC</v>
          </cell>
          <cell r="K8046" t="str">
            <v>YES</v>
          </cell>
        </row>
        <row r="8047">
          <cell r="I8047" t="str">
            <v>V50085</v>
          </cell>
          <cell r="J8047" t="str">
            <v>CTC</v>
          </cell>
          <cell r="K8047" t="str">
            <v>YES</v>
          </cell>
        </row>
        <row r="8048">
          <cell r="I8048" t="str">
            <v>V51520</v>
          </cell>
          <cell r="J8048" t="str">
            <v>CTC</v>
          </cell>
          <cell r="K8048" t="str">
            <v>YES</v>
          </cell>
        </row>
        <row r="8049">
          <cell r="I8049" t="str">
            <v>V50545</v>
          </cell>
          <cell r="J8049" t="str">
            <v>CTC</v>
          </cell>
          <cell r="K8049" t="str">
            <v>YES</v>
          </cell>
        </row>
        <row r="8050">
          <cell r="I8050" t="str">
            <v>V49544</v>
          </cell>
          <cell r="J8050" t="str">
            <v>CTC</v>
          </cell>
          <cell r="K8050" t="str">
            <v>YES</v>
          </cell>
        </row>
        <row r="8051">
          <cell r="I8051" t="str">
            <v>V49275</v>
          </cell>
          <cell r="J8051" t="str">
            <v>CTC</v>
          </cell>
          <cell r="K8051" t="str">
            <v>YES</v>
          </cell>
        </row>
        <row r="8052">
          <cell r="I8052" t="str">
            <v>V50268</v>
          </cell>
          <cell r="J8052" t="str">
            <v>STAT</v>
          </cell>
          <cell r="K8052" t="str">
            <v>YES</v>
          </cell>
        </row>
        <row r="8053">
          <cell r="I8053" t="str">
            <v>V47920</v>
          </cell>
          <cell r="J8053" t="str">
            <v>CTC</v>
          </cell>
          <cell r="K8053" t="str">
            <v>YES</v>
          </cell>
        </row>
        <row r="8054">
          <cell r="I8054" t="str">
            <v>V48508</v>
          </cell>
          <cell r="J8054" t="str">
            <v>CTC</v>
          </cell>
          <cell r="K8054" t="str">
            <v>YES</v>
          </cell>
        </row>
        <row r="8055">
          <cell r="I8055" t="str">
            <v>V49513</v>
          </cell>
          <cell r="J8055" t="str">
            <v>CTC</v>
          </cell>
          <cell r="K8055" t="str">
            <v>YES</v>
          </cell>
        </row>
        <row r="8056">
          <cell r="I8056" t="str">
            <v>V51443</v>
          </cell>
          <cell r="J8056" t="str">
            <v>STAT</v>
          </cell>
          <cell r="K8056" t="str">
            <v>YES</v>
          </cell>
        </row>
        <row r="8057">
          <cell r="I8057" t="str">
            <v>V50938</v>
          </cell>
          <cell r="J8057" t="str">
            <v>CTC</v>
          </cell>
          <cell r="K8057" t="str">
            <v>YES</v>
          </cell>
        </row>
        <row r="8058">
          <cell r="I8058" t="str">
            <v>V50806</v>
          </cell>
          <cell r="J8058" t="str">
            <v>CTC</v>
          </cell>
          <cell r="K8058" t="str">
            <v>YES</v>
          </cell>
        </row>
        <row r="8059">
          <cell r="I8059" t="str">
            <v>V49829</v>
          </cell>
          <cell r="J8059" t="str">
            <v>CTC</v>
          </cell>
          <cell r="K8059" t="str">
            <v>YES</v>
          </cell>
        </row>
        <row r="8060">
          <cell r="I8060" t="str">
            <v>V49582</v>
          </cell>
          <cell r="J8060" t="str">
            <v>CTC</v>
          </cell>
          <cell r="K8060" t="str">
            <v>YES</v>
          </cell>
        </row>
        <row r="8061">
          <cell r="I8061" t="str">
            <v>V49756</v>
          </cell>
          <cell r="J8061" t="str">
            <v>CTC</v>
          </cell>
          <cell r="K8061" t="str">
            <v>YES</v>
          </cell>
        </row>
        <row r="8062">
          <cell r="I8062" t="str">
            <v>V50573</v>
          </cell>
          <cell r="J8062" t="str">
            <v>STAT</v>
          </cell>
          <cell r="K8062" t="str">
            <v>YES</v>
          </cell>
        </row>
        <row r="8063">
          <cell r="I8063" t="str">
            <v>V48154</v>
          </cell>
          <cell r="J8063" t="str">
            <v>CTC</v>
          </cell>
          <cell r="K8063" t="str">
            <v>YES</v>
          </cell>
        </row>
        <row r="8064">
          <cell r="I8064" t="str">
            <v>V49646</v>
          </cell>
          <cell r="J8064" t="str">
            <v>CTC</v>
          </cell>
          <cell r="K8064" t="str">
            <v>YES</v>
          </cell>
        </row>
        <row r="8065">
          <cell r="I8065" t="str">
            <v>V48221</v>
          </cell>
          <cell r="J8065" t="str">
            <v>CTC</v>
          </cell>
          <cell r="K8065" t="str">
            <v>YES</v>
          </cell>
        </row>
        <row r="8066">
          <cell r="I8066" t="str">
            <v>V49580</v>
          </cell>
          <cell r="J8066" t="str">
            <v>CTC</v>
          </cell>
          <cell r="K8066" t="str">
            <v>YES</v>
          </cell>
        </row>
        <row r="8067">
          <cell r="I8067" t="str">
            <v>V50422</v>
          </cell>
          <cell r="J8067" t="str">
            <v>CTC</v>
          </cell>
          <cell r="K8067" t="str">
            <v>YES</v>
          </cell>
        </row>
        <row r="8068">
          <cell r="I8068" t="str">
            <v>V50203</v>
          </cell>
          <cell r="J8068" t="str">
            <v>CTC</v>
          </cell>
          <cell r="K8068" t="str">
            <v>YES</v>
          </cell>
        </row>
        <row r="8069">
          <cell r="I8069" t="str">
            <v>V49641</v>
          </cell>
          <cell r="J8069" t="str">
            <v>CTC</v>
          </cell>
          <cell r="K8069" t="str">
            <v>YES</v>
          </cell>
        </row>
        <row r="8070">
          <cell r="I8070" t="str">
            <v>V49644</v>
          </cell>
          <cell r="J8070" t="str">
            <v>CTC</v>
          </cell>
          <cell r="K8070" t="str">
            <v>YES</v>
          </cell>
        </row>
        <row r="8071">
          <cell r="I8071" t="str">
            <v>V50174</v>
          </cell>
          <cell r="J8071" t="str">
            <v>CTC</v>
          </cell>
          <cell r="K8071" t="str">
            <v>YES</v>
          </cell>
        </row>
        <row r="8072">
          <cell r="I8072" t="str">
            <v>V50178</v>
          </cell>
          <cell r="J8072" t="str">
            <v>CTC</v>
          </cell>
          <cell r="K8072" t="str">
            <v>YES</v>
          </cell>
        </row>
        <row r="8073">
          <cell r="I8073" t="str">
            <v>V48322</v>
          </cell>
          <cell r="J8073" t="str">
            <v>CTC</v>
          </cell>
          <cell r="K8073" t="str">
            <v>YES</v>
          </cell>
        </row>
        <row r="8074">
          <cell r="I8074" t="str">
            <v>V48517</v>
          </cell>
          <cell r="J8074" t="str">
            <v>CTC</v>
          </cell>
          <cell r="K8074" t="str">
            <v>YES</v>
          </cell>
        </row>
        <row r="8075">
          <cell r="I8075" t="str">
            <v>V48282</v>
          </cell>
          <cell r="J8075" t="str">
            <v>CTC</v>
          </cell>
          <cell r="K8075" t="str">
            <v>YES</v>
          </cell>
        </row>
        <row r="8076">
          <cell r="I8076" t="str">
            <v>V49626</v>
          </cell>
          <cell r="J8076" t="str">
            <v>CTC</v>
          </cell>
          <cell r="K8076" t="str">
            <v>YES</v>
          </cell>
        </row>
        <row r="8077">
          <cell r="I8077" t="str">
            <v>V50376</v>
          </cell>
          <cell r="J8077" t="str">
            <v>CTC</v>
          </cell>
          <cell r="K8077" t="str">
            <v>YES</v>
          </cell>
        </row>
        <row r="8078">
          <cell r="I8078" t="str">
            <v>V49702</v>
          </cell>
          <cell r="J8078" t="str">
            <v>CTC</v>
          </cell>
          <cell r="K8078" t="str">
            <v>YES</v>
          </cell>
        </row>
        <row r="8079">
          <cell r="I8079" t="str">
            <v>V49270</v>
          </cell>
          <cell r="J8079" t="str">
            <v>CTC</v>
          </cell>
          <cell r="K8079" t="str">
            <v>YES</v>
          </cell>
        </row>
        <row r="8080">
          <cell r="I8080" t="str">
            <v>V50366</v>
          </cell>
          <cell r="J8080" t="str">
            <v>CTC</v>
          </cell>
          <cell r="K8080" t="str">
            <v>YES</v>
          </cell>
        </row>
        <row r="8081">
          <cell r="I8081" t="str">
            <v>V51296</v>
          </cell>
          <cell r="J8081" t="str">
            <v>CTC</v>
          </cell>
          <cell r="K8081" t="str">
            <v>YES</v>
          </cell>
        </row>
        <row r="8082">
          <cell r="I8082" t="str">
            <v>V49834</v>
          </cell>
          <cell r="J8082" t="str">
            <v>CTC</v>
          </cell>
          <cell r="K8082" t="str">
            <v>YES</v>
          </cell>
        </row>
        <row r="8083">
          <cell r="I8083" t="str">
            <v>V50936</v>
          </cell>
          <cell r="J8083" t="str">
            <v>CTC</v>
          </cell>
          <cell r="K8083" t="str">
            <v>YES</v>
          </cell>
        </row>
        <row r="8084">
          <cell r="I8084" t="str">
            <v>V49803</v>
          </cell>
          <cell r="J8084" t="str">
            <v>STAT</v>
          </cell>
          <cell r="K8084" t="str">
            <v>YES</v>
          </cell>
        </row>
        <row r="8085">
          <cell r="I8085" t="str">
            <v>V48917</v>
          </cell>
          <cell r="J8085" t="str">
            <v>CTC</v>
          </cell>
          <cell r="K8085" t="str">
            <v>YES</v>
          </cell>
        </row>
        <row r="8086">
          <cell r="I8086" t="str">
            <v>V49327</v>
          </cell>
          <cell r="J8086" t="str">
            <v>CTC</v>
          </cell>
          <cell r="K8086" t="str">
            <v>YES</v>
          </cell>
        </row>
        <row r="8087">
          <cell r="I8087" t="str">
            <v>V49537</v>
          </cell>
          <cell r="J8087" t="str">
            <v>CTC</v>
          </cell>
          <cell r="K8087" t="str">
            <v>YES</v>
          </cell>
        </row>
        <row r="8088">
          <cell r="I8088" t="str">
            <v>V49194</v>
          </cell>
          <cell r="J8088" t="str">
            <v>CTC</v>
          </cell>
          <cell r="K8088" t="str">
            <v>YES</v>
          </cell>
        </row>
        <row r="8089">
          <cell r="I8089" t="str">
            <v>V48607</v>
          </cell>
          <cell r="J8089" t="str">
            <v>CTC</v>
          </cell>
          <cell r="K8089" t="str">
            <v>YES</v>
          </cell>
        </row>
        <row r="8090">
          <cell r="I8090" t="str">
            <v>V50182</v>
          </cell>
          <cell r="J8090" t="str">
            <v>CTC</v>
          </cell>
          <cell r="K8090" t="str">
            <v>YES</v>
          </cell>
        </row>
        <row r="8091">
          <cell r="I8091" t="str">
            <v>V49667</v>
          </cell>
          <cell r="J8091" t="str">
            <v>CTC</v>
          </cell>
          <cell r="K8091" t="str">
            <v>YES</v>
          </cell>
        </row>
        <row r="8092">
          <cell r="I8092" t="str">
            <v>V49668</v>
          </cell>
          <cell r="J8092" t="str">
            <v>CTC</v>
          </cell>
          <cell r="K8092" t="str">
            <v>YES</v>
          </cell>
        </row>
        <row r="8093">
          <cell r="I8093" t="str">
            <v>V49711</v>
          </cell>
          <cell r="J8093" t="str">
            <v>CTC</v>
          </cell>
          <cell r="K8093" t="str">
            <v>YES</v>
          </cell>
        </row>
        <row r="8094">
          <cell r="I8094" t="str">
            <v>V50418</v>
          </cell>
          <cell r="J8094" t="str">
            <v>CTC</v>
          </cell>
          <cell r="K8094" t="str">
            <v>YES</v>
          </cell>
        </row>
        <row r="8095">
          <cell r="I8095" t="str">
            <v>V49633</v>
          </cell>
          <cell r="J8095" t="str">
            <v>CTC</v>
          </cell>
          <cell r="K8095" t="str">
            <v>YES</v>
          </cell>
        </row>
        <row r="8096">
          <cell r="I8096" t="str">
            <v>V49877</v>
          </cell>
          <cell r="J8096" t="str">
            <v>CTC</v>
          </cell>
          <cell r="K8096" t="str">
            <v>YES</v>
          </cell>
        </row>
        <row r="8097">
          <cell r="I8097" t="str">
            <v>V48240</v>
          </cell>
          <cell r="J8097" t="str">
            <v>CTC</v>
          </cell>
          <cell r="K8097" t="str">
            <v>YES</v>
          </cell>
        </row>
        <row r="8098">
          <cell r="I8098" t="str">
            <v>V49523</v>
          </cell>
          <cell r="J8098" t="str">
            <v>CTC</v>
          </cell>
          <cell r="K8098" t="str">
            <v>YES</v>
          </cell>
        </row>
        <row r="8099">
          <cell r="I8099" t="str">
            <v>V49981</v>
          </cell>
          <cell r="J8099" t="str">
            <v>CTC</v>
          </cell>
          <cell r="K8099" t="str">
            <v>YES</v>
          </cell>
        </row>
        <row r="8100">
          <cell r="I8100" t="str">
            <v>V49631</v>
          </cell>
          <cell r="J8100" t="str">
            <v>CTC</v>
          </cell>
          <cell r="K8100" t="str">
            <v>YES</v>
          </cell>
        </row>
        <row r="8101">
          <cell r="I8101" t="str">
            <v>V49531</v>
          </cell>
          <cell r="J8101" t="str">
            <v>CTC</v>
          </cell>
          <cell r="K8101" t="str">
            <v>YES</v>
          </cell>
        </row>
        <row r="8102">
          <cell r="I8102" t="str">
            <v>V50114</v>
          </cell>
          <cell r="J8102" t="str">
            <v>CTC</v>
          </cell>
          <cell r="K8102" t="str">
            <v>YES</v>
          </cell>
        </row>
        <row r="8103">
          <cell r="I8103" t="str">
            <v>V50136</v>
          </cell>
          <cell r="J8103" t="str">
            <v>CTC</v>
          </cell>
          <cell r="K8103" t="str">
            <v>YES</v>
          </cell>
        </row>
        <row r="8104">
          <cell r="I8104" t="str">
            <v>V50236</v>
          </cell>
          <cell r="J8104" t="str">
            <v>CTC</v>
          </cell>
          <cell r="K8104" t="str">
            <v>YES</v>
          </cell>
        </row>
        <row r="8105">
          <cell r="I8105" t="str">
            <v>V49842</v>
          </cell>
          <cell r="J8105" t="str">
            <v>CTC</v>
          </cell>
          <cell r="K8105" t="str">
            <v>YES</v>
          </cell>
        </row>
        <row r="8106">
          <cell r="I8106" t="str">
            <v>V50402</v>
          </cell>
          <cell r="J8106" t="str">
            <v>CTC</v>
          </cell>
          <cell r="K8106" t="str">
            <v>YES</v>
          </cell>
        </row>
        <row r="8107">
          <cell r="I8107" t="str">
            <v>V49774</v>
          </cell>
          <cell r="J8107" t="str">
            <v>CTC</v>
          </cell>
          <cell r="K8107" t="str">
            <v>YES</v>
          </cell>
        </row>
        <row r="8108">
          <cell r="I8108" t="str">
            <v>V49341</v>
          </cell>
          <cell r="J8108" t="str">
            <v>CTC</v>
          </cell>
          <cell r="K8108" t="str">
            <v>YES</v>
          </cell>
        </row>
        <row r="8109">
          <cell r="I8109" t="str">
            <v>V49964</v>
          </cell>
          <cell r="J8109" t="str">
            <v>CTC</v>
          </cell>
          <cell r="K8109" t="str">
            <v>YES</v>
          </cell>
        </row>
        <row r="8110">
          <cell r="I8110" t="str">
            <v>V51398</v>
          </cell>
          <cell r="J8110" t="str">
            <v>STAT</v>
          </cell>
          <cell r="K8110" t="str">
            <v>YES</v>
          </cell>
        </row>
        <row r="8111">
          <cell r="I8111" t="str">
            <v>V49624</v>
          </cell>
          <cell r="J8111" t="str">
            <v>CTC</v>
          </cell>
          <cell r="K8111" t="str">
            <v>YES</v>
          </cell>
        </row>
        <row r="8112">
          <cell r="I8112" t="str">
            <v>V49027</v>
          </cell>
          <cell r="J8112" t="str">
            <v>CTC</v>
          </cell>
          <cell r="K8112" t="str">
            <v>YES</v>
          </cell>
        </row>
        <row r="8113">
          <cell r="I8113" t="str">
            <v>V49791</v>
          </cell>
          <cell r="J8113" t="str">
            <v>CTC</v>
          </cell>
          <cell r="K8113" t="str">
            <v>YES</v>
          </cell>
        </row>
        <row r="8114">
          <cell r="I8114" t="str">
            <v>V49805</v>
          </cell>
          <cell r="J8114" t="str">
            <v>STAT</v>
          </cell>
          <cell r="K8114" t="str">
            <v>YES</v>
          </cell>
        </row>
        <row r="8115">
          <cell r="I8115" t="str">
            <v>V50029</v>
          </cell>
          <cell r="J8115" t="str">
            <v>CTC</v>
          </cell>
          <cell r="K8115" t="str">
            <v>YES</v>
          </cell>
        </row>
        <row r="8116">
          <cell r="I8116" t="str">
            <v>V50988</v>
          </cell>
          <cell r="J8116" t="str">
            <v>CTC</v>
          </cell>
          <cell r="K8116" t="str">
            <v>YES</v>
          </cell>
        </row>
        <row r="8117">
          <cell r="I8117" t="str">
            <v>V50798</v>
          </cell>
          <cell r="J8117" t="str">
            <v>CTC</v>
          </cell>
          <cell r="K8117" t="str">
            <v>YES</v>
          </cell>
        </row>
        <row r="8118">
          <cell r="I8118" t="str">
            <v>V49614</v>
          </cell>
          <cell r="J8118" t="str">
            <v>CTC</v>
          </cell>
          <cell r="K8118" t="str">
            <v>YES</v>
          </cell>
        </row>
        <row r="8119">
          <cell r="I8119" t="str">
            <v>V50538</v>
          </cell>
          <cell r="J8119" t="str">
            <v>STAT</v>
          </cell>
          <cell r="K8119" t="str">
            <v>YES</v>
          </cell>
        </row>
        <row r="8120">
          <cell r="I8120" t="str">
            <v>V52934</v>
          </cell>
          <cell r="J8120" t="str">
            <v>STAT</v>
          </cell>
          <cell r="K8120" t="str">
            <v>YES</v>
          </cell>
        </row>
        <row r="8121">
          <cell r="I8121" t="str">
            <v>V49704</v>
          </cell>
          <cell r="J8121" t="str">
            <v>CTC</v>
          </cell>
          <cell r="K8121" t="str">
            <v>YES</v>
          </cell>
        </row>
        <row r="8122">
          <cell r="I8122" t="str">
            <v>V49705</v>
          </cell>
          <cell r="J8122" t="str">
            <v>CTC</v>
          </cell>
          <cell r="K8122" t="str">
            <v>YES</v>
          </cell>
        </row>
        <row r="8123">
          <cell r="I8123" t="str">
            <v>V49776</v>
          </cell>
          <cell r="J8123" t="str">
            <v>CTC</v>
          </cell>
          <cell r="K8123" t="str">
            <v>YES</v>
          </cell>
        </row>
        <row r="8124">
          <cell r="I8124" t="str">
            <v>V49352</v>
          </cell>
          <cell r="J8124" t="str">
            <v>CTC</v>
          </cell>
          <cell r="K8124" t="str">
            <v>YES</v>
          </cell>
        </row>
        <row r="8125">
          <cell r="I8125" t="str">
            <v>V49788</v>
          </cell>
          <cell r="J8125" t="str">
            <v>CTC</v>
          </cell>
          <cell r="K8125" t="str">
            <v>YES</v>
          </cell>
        </row>
        <row r="8126">
          <cell r="I8126" t="str">
            <v>V50120</v>
          </cell>
          <cell r="J8126" t="str">
            <v>STAT</v>
          </cell>
          <cell r="K8126" t="str">
            <v>YES</v>
          </cell>
        </row>
        <row r="8127">
          <cell r="I8127" t="str">
            <v>V33942</v>
          </cell>
          <cell r="J8127" t="str">
            <v>CTC</v>
          </cell>
          <cell r="K8127" t="str">
            <v>YES</v>
          </cell>
        </row>
        <row r="8128">
          <cell r="I8128" t="str">
            <v>V50569</v>
          </cell>
          <cell r="J8128" t="str">
            <v>CTC</v>
          </cell>
          <cell r="K8128" t="str">
            <v>YES</v>
          </cell>
        </row>
        <row r="8129">
          <cell r="I8129" t="str">
            <v>V16451</v>
          </cell>
          <cell r="J8129" t="str">
            <v>CTC</v>
          </cell>
          <cell r="K8129" t="str">
            <v>YES</v>
          </cell>
        </row>
        <row r="8130">
          <cell r="I8130" t="str">
            <v>V50254</v>
          </cell>
          <cell r="J8130" t="str">
            <v>CTC</v>
          </cell>
          <cell r="K8130" t="str">
            <v>YES</v>
          </cell>
        </row>
        <row r="8131">
          <cell r="I8131" t="str">
            <v>V49590</v>
          </cell>
          <cell r="J8131" t="str">
            <v>CTC</v>
          </cell>
          <cell r="K8131" t="str">
            <v>YES</v>
          </cell>
        </row>
        <row r="8132">
          <cell r="I8132" t="str">
            <v>V50478</v>
          </cell>
          <cell r="J8132" t="str">
            <v>STAT</v>
          </cell>
          <cell r="K8132" t="str">
            <v>YES</v>
          </cell>
        </row>
        <row r="8133">
          <cell r="I8133" t="str">
            <v>V49515</v>
          </cell>
          <cell r="J8133" t="str">
            <v>CTC</v>
          </cell>
          <cell r="K8133" t="str">
            <v>YES</v>
          </cell>
        </row>
        <row r="8134">
          <cell r="I8134" t="str">
            <v>V50153</v>
          </cell>
          <cell r="J8134" t="str">
            <v>CTC</v>
          </cell>
          <cell r="K8134" t="str">
            <v>YES</v>
          </cell>
        </row>
        <row r="8135">
          <cell r="I8135" t="str">
            <v>V48872</v>
          </cell>
          <cell r="J8135" t="str">
            <v>CTC</v>
          </cell>
          <cell r="K8135" t="str">
            <v>YES</v>
          </cell>
        </row>
        <row r="8136">
          <cell r="I8136" t="str">
            <v>V48439</v>
          </cell>
          <cell r="J8136" t="str">
            <v>CTC</v>
          </cell>
          <cell r="K8136" t="str">
            <v>YES</v>
          </cell>
        </row>
        <row r="8137">
          <cell r="I8137" t="str">
            <v>V51263</v>
          </cell>
          <cell r="J8137" t="str">
            <v>CTC</v>
          </cell>
          <cell r="K8137" t="str">
            <v>YES</v>
          </cell>
        </row>
        <row r="8138">
          <cell r="I8138" t="str">
            <v>V49940</v>
          </cell>
          <cell r="J8138" t="str">
            <v>CTC</v>
          </cell>
          <cell r="K8138" t="str">
            <v>YES</v>
          </cell>
        </row>
        <row r="8139">
          <cell r="I8139" t="str">
            <v>V50143</v>
          </cell>
          <cell r="J8139" t="str">
            <v>CTC</v>
          </cell>
          <cell r="K8139" t="str">
            <v>YES</v>
          </cell>
        </row>
        <row r="8140">
          <cell r="I8140" t="str">
            <v>V50219</v>
          </cell>
          <cell r="J8140" t="str">
            <v>CTC</v>
          </cell>
          <cell r="K8140" t="str">
            <v>YES</v>
          </cell>
        </row>
        <row r="8141">
          <cell r="I8141" t="str">
            <v>V49575</v>
          </cell>
          <cell r="J8141" t="str">
            <v>CTC</v>
          </cell>
          <cell r="K8141" t="str">
            <v>YES</v>
          </cell>
        </row>
        <row r="8142">
          <cell r="I8142" t="str">
            <v>V51614</v>
          </cell>
          <cell r="J8142" t="str">
            <v>CTC</v>
          </cell>
          <cell r="K8142" t="str">
            <v>YES</v>
          </cell>
        </row>
        <row r="8143">
          <cell r="I8143" t="str">
            <v>V48644</v>
          </cell>
          <cell r="J8143" t="str">
            <v>CTC</v>
          </cell>
          <cell r="K8143" t="str">
            <v>YES</v>
          </cell>
        </row>
        <row r="8144">
          <cell r="I8144" t="str">
            <v>V50022</v>
          </cell>
          <cell r="J8144" t="str">
            <v>CTC</v>
          </cell>
          <cell r="K8144" t="str">
            <v>YES</v>
          </cell>
        </row>
        <row r="8145">
          <cell r="I8145" t="str">
            <v>V50597</v>
          </cell>
          <cell r="J8145" t="str">
            <v>STAT</v>
          </cell>
          <cell r="K8145" t="str">
            <v>YES</v>
          </cell>
        </row>
        <row r="8146">
          <cell r="I8146" t="str">
            <v>V50637</v>
          </cell>
          <cell r="J8146" t="str">
            <v>CTC</v>
          </cell>
          <cell r="K8146" t="str">
            <v>YES</v>
          </cell>
        </row>
        <row r="8147">
          <cell r="I8147" t="str">
            <v>V51490</v>
          </cell>
          <cell r="J8147" t="str">
            <v>CTC</v>
          </cell>
          <cell r="K8147" t="str">
            <v>YES</v>
          </cell>
        </row>
        <row r="8148">
          <cell r="I8148" t="str">
            <v>V51177</v>
          </cell>
          <cell r="J8148" t="str">
            <v>CTC</v>
          </cell>
          <cell r="K8148" t="str">
            <v>YES</v>
          </cell>
        </row>
        <row r="8149">
          <cell r="I8149" t="str">
            <v>V51165</v>
          </cell>
          <cell r="J8149" t="str">
            <v>CTC</v>
          </cell>
          <cell r="K8149" t="str">
            <v>YES</v>
          </cell>
        </row>
        <row r="8150">
          <cell r="I8150" t="str">
            <v>V50133</v>
          </cell>
          <cell r="J8150" t="str">
            <v>CTC</v>
          </cell>
          <cell r="K8150" t="str">
            <v>YES</v>
          </cell>
        </row>
        <row r="8151">
          <cell r="I8151" t="str">
            <v>V50218</v>
          </cell>
          <cell r="J8151" t="str">
            <v>CTC</v>
          </cell>
          <cell r="K8151" t="str">
            <v>YES</v>
          </cell>
        </row>
        <row r="8152">
          <cell r="I8152" t="str">
            <v>V49930</v>
          </cell>
          <cell r="J8152" t="str">
            <v>CTC</v>
          </cell>
          <cell r="K8152" t="str">
            <v>YES</v>
          </cell>
        </row>
        <row r="8153">
          <cell r="I8153" t="str">
            <v>V50307</v>
          </cell>
          <cell r="J8153" t="str">
            <v>CTC</v>
          </cell>
          <cell r="K8153" t="str">
            <v>YES</v>
          </cell>
        </row>
        <row r="8154">
          <cell r="I8154" t="str">
            <v>V49605</v>
          </cell>
          <cell r="J8154" t="str">
            <v>CTC</v>
          </cell>
          <cell r="K8154" t="str">
            <v>YES</v>
          </cell>
        </row>
        <row r="8155">
          <cell r="I8155" t="str">
            <v>V50323</v>
          </cell>
          <cell r="J8155" t="str">
            <v>CTC</v>
          </cell>
          <cell r="K8155" t="str">
            <v>YES</v>
          </cell>
        </row>
        <row r="8156">
          <cell r="I8156" t="str">
            <v>V49777</v>
          </cell>
          <cell r="J8156" t="str">
            <v>CTC</v>
          </cell>
          <cell r="K8156" t="str">
            <v>YES</v>
          </cell>
        </row>
        <row r="8157">
          <cell r="I8157" t="str">
            <v>V49466</v>
          </cell>
          <cell r="J8157" t="str">
            <v>CTC</v>
          </cell>
          <cell r="K8157" t="str">
            <v>YES</v>
          </cell>
        </row>
        <row r="8158">
          <cell r="I8158" t="str">
            <v>V49612</v>
          </cell>
          <cell r="J8158" t="str">
            <v>CTC</v>
          </cell>
          <cell r="K8158" t="str">
            <v>YES</v>
          </cell>
        </row>
        <row r="8159">
          <cell r="I8159" t="str">
            <v>V50994</v>
          </cell>
          <cell r="J8159" t="str">
            <v>STAT</v>
          </cell>
          <cell r="K8159" t="str">
            <v>YES</v>
          </cell>
        </row>
        <row r="8160">
          <cell r="I8160" t="str">
            <v>V50979</v>
          </cell>
          <cell r="J8160" t="str">
            <v>CTC</v>
          </cell>
          <cell r="K8160" t="str">
            <v>YES</v>
          </cell>
        </row>
        <row r="8161">
          <cell r="I8161" t="str">
            <v>V51505</v>
          </cell>
          <cell r="J8161" t="str">
            <v>CTC</v>
          </cell>
          <cell r="K8161" t="str">
            <v>YES</v>
          </cell>
        </row>
        <row r="8162">
          <cell r="I8162" t="str">
            <v>V48963</v>
          </cell>
          <cell r="J8162" t="str">
            <v>CTC</v>
          </cell>
          <cell r="K8162" t="str">
            <v>YES</v>
          </cell>
        </row>
        <row r="8163">
          <cell r="I8163" t="str">
            <v>V48894</v>
          </cell>
          <cell r="J8163" t="str">
            <v>CTC</v>
          </cell>
          <cell r="K8163" t="str">
            <v>YES</v>
          </cell>
        </row>
        <row r="8164">
          <cell r="I8164" t="str">
            <v>V49849</v>
          </cell>
          <cell r="J8164" t="str">
            <v>CTC</v>
          </cell>
          <cell r="K8164" t="str">
            <v>YES</v>
          </cell>
        </row>
        <row r="8165">
          <cell r="I8165" t="str">
            <v>V52138</v>
          </cell>
          <cell r="J8165" t="str">
            <v>CTC</v>
          </cell>
          <cell r="K8165" t="str">
            <v>YES</v>
          </cell>
        </row>
        <row r="8166">
          <cell r="I8166" t="str">
            <v>V50742</v>
          </cell>
          <cell r="J8166" t="str">
            <v>CTC</v>
          </cell>
          <cell r="K8166" t="str">
            <v>YES</v>
          </cell>
        </row>
        <row r="8167">
          <cell r="I8167" t="str">
            <v>V50132</v>
          </cell>
          <cell r="J8167" t="str">
            <v>CTC</v>
          </cell>
          <cell r="K8167" t="str">
            <v>YES</v>
          </cell>
        </row>
        <row r="8168">
          <cell r="I8168" t="str">
            <v>V50882</v>
          </cell>
          <cell r="J8168" t="str">
            <v>CTC</v>
          </cell>
          <cell r="K8168" t="str">
            <v>YES</v>
          </cell>
        </row>
        <row r="8169">
          <cell r="I8169" t="str">
            <v>V51836</v>
          </cell>
          <cell r="J8169" t="str">
            <v>CTC</v>
          </cell>
          <cell r="K8169" t="str">
            <v>YES</v>
          </cell>
        </row>
        <row r="8170">
          <cell r="I8170" t="str">
            <v>V49680</v>
          </cell>
          <cell r="J8170" t="str">
            <v>CTC</v>
          </cell>
          <cell r="K8170" t="str">
            <v>YES</v>
          </cell>
        </row>
        <row r="8171">
          <cell r="I8171" t="str">
            <v>V49411</v>
          </cell>
          <cell r="J8171" t="str">
            <v>CTC</v>
          </cell>
          <cell r="K8171" t="str">
            <v>YES</v>
          </cell>
        </row>
        <row r="8172">
          <cell r="I8172" t="str">
            <v>V50424</v>
          </cell>
          <cell r="J8172" t="str">
            <v>CTC</v>
          </cell>
          <cell r="K8172" t="str">
            <v>YES</v>
          </cell>
        </row>
        <row r="8173">
          <cell r="I8173" t="str">
            <v>V50462</v>
          </cell>
          <cell r="J8173" t="str">
            <v>CTC</v>
          </cell>
          <cell r="K8173" t="str">
            <v>YES</v>
          </cell>
        </row>
        <row r="8174">
          <cell r="I8174" t="str">
            <v>V50923</v>
          </cell>
          <cell r="J8174" t="str">
            <v>CTC</v>
          </cell>
          <cell r="K8174" t="str">
            <v>YES</v>
          </cell>
        </row>
        <row r="8175">
          <cell r="I8175" t="str">
            <v>V50059</v>
          </cell>
          <cell r="J8175" t="str">
            <v>CTC</v>
          </cell>
          <cell r="K8175" t="str">
            <v>YES</v>
          </cell>
        </row>
        <row r="8176">
          <cell r="I8176" t="str">
            <v>V50259</v>
          </cell>
          <cell r="J8176" t="str">
            <v>CTC</v>
          </cell>
          <cell r="K8176" t="str">
            <v>YES</v>
          </cell>
        </row>
        <row r="8177">
          <cell r="I8177" t="str">
            <v>V49836</v>
          </cell>
          <cell r="J8177" t="str">
            <v>CTC</v>
          </cell>
          <cell r="K8177" t="str">
            <v>YES</v>
          </cell>
        </row>
        <row r="8178">
          <cell r="I8178" t="str">
            <v>V50953</v>
          </cell>
          <cell r="J8178" t="str">
            <v>CTC</v>
          </cell>
          <cell r="K8178" t="str">
            <v>YES</v>
          </cell>
        </row>
        <row r="8179">
          <cell r="I8179" t="str">
            <v>V50829</v>
          </cell>
          <cell r="J8179" t="str">
            <v>CTC</v>
          </cell>
          <cell r="K8179" t="str">
            <v>YES</v>
          </cell>
        </row>
        <row r="8180">
          <cell r="I8180" t="str">
            <v>V50516</v>
          </cell>
          <cell r="J8180" t="str">
            <v>CTC</v>
          </cell>
          <cell r="K8180" t="str">
            <v>YES</v>
          </cell>
        </row>
        <row r="8181">
          <cell r="I8181" t="str">
            <v>V50683</v>
          </cell>
          <cell r="J8181" t="str">
            <v>CTC</v>
          </cell>
          <cell r="K8181" t="str">
            <v>YES</v>
          </cell>
        </row>
        <row r="8182">
          <cell r="I8182" t="str">
            <v>V49861</v>
          </cell>
          <cell r="J8182" t="str">
            <v>CTC</v>
          </cell>
          <cell r="K8182" t="str">
            <v>YES</v>
          </cell>
        </row>
        <row r="8183">
          <cell r="I8183" t="str">
            <v>V48343</v>
          </cell>
          <cell r="J8183" t="str">
            <v>CTC</v>
          </cell>
          <cell r="K8183" t="str">
            <v>YES</v>
          </cell>
        </row>
        <row r="8184">
          <cell r="I8184" t="str">
            <v>V50004</v>
          </cell>
          <cell r="J8184" t="str">
            <v>CTC</v>
          </cell>
          <cell r="K8184" t="str">
            <v>YES</v>
          </cell>
        </row>
        <row r="8185">
          <cell r="I8185" t="str">
            <v>V50230</v>
          </cell>
          <cell r="J8185" t="str">
            <v>STAT</v>
          </cell>
          <cell r="K8185" t="str">
            <v>YES</v>
          </cell>
        </row>
        <row r="8186">
          <cell r="I8186" t="str">
            <v>V48219</v>
          </cell>
          <cell r="J8186" t="str">
            <v>CTC</v>
          </cell>
          <cell r="K8186" t="str">
            <v>YES</v>
          </cell>
        </row>
        <row r="8187">
          <cell r="I8187" t="str">
            <v>V49651</v>
          </cell>
          <cell r="J8187" t="str">
            <v>CTC</v>
          </cell>
          <cell r="K8187" t="str">
            <v>YES</v>
          </cell>
        </row>
        <row r="8188">
          <cell r="I8188" t="str">
            <v>V48466</v>
          </cell>
          <cell r="J8188" t="str">
            <v>CTC</v>
          </cell>
          <cell r="K8188" t="str">
            <v>YES</v>
          </cell>
        </row>
        <row r="8189">
          <cell r="I8189" t="str">
            <v>V51230</v>
          </cell>
          <cell r="J8189" t="str">
            <v>CTC</v>
          </cell>
          <cell r="K8189" t="str">
            <v>YES</v>
          </cell>
        </row>
        <row r="8190">
          <cell r="I8190" t="str">
            <v>V49969</v>
          </cell>
          <cell r="J8190" t="str">
            <v>CTC</v>
          </cell>
          <cell r="K8190" t="str">
            <v>YES</v>
          </cell>
        </row>
        <row r="8191">
          <cell r="I8191" t="str">
            <v>V51305</v>
          </cell>
          <cell r="J8191" t="str">
            <v>CTC</v>
          </cell>
          <cell r="K8191" t="str">
            <v>YES</v>
          </cell>
        </row>
        <row r="8192">
          <cell r="I8192" t="str">
            <v>V51235</v>
          </cell>
          <cell r="J8192" t="str">
            <v>CTC</v>
          </cell>
          <cell r="K8192" t="str">
            <v>YES</v>
          </cell>
        </row>
        <row r="8193">
          <cell r="I8193" t="str">
            <v>V49563</v>
          </cell>
          <cell r="J8193" t="str">
            <v>CTC</v>
          </cell>
          <cell r="K8193" t="str">
            <v>YES</v>
          </cell>
        </row>
        <row r="8194">
          <cell r="I8194" t="str">
            <v>V49645</v>
          </cell>
          <cell r="J8194" t="str">
            <v>CTC</v>
          </cell>
          <cell r="K8194" t="str">
            <v>YES</v>
          </cell>
        </row>
        <row r="8195">
          <cell r="I8195" t="str">
            <v>V49613</v>
          </cell>
          <cell r="J8195" t="str">
            <v>CTC</v>
          </cell>
          <cell r="K8195" t="str">
            <v>YES</v>
          </cell>
        </row>
        <row r="8196">
          <cell r="I8196" t="str">
            <v>V51636</v>
          </cell>
          <cell r="J8196" t="str">
            <v>CTC</v>
          </cell>
          <cell r="K8196" t="str">
            <v>YES</v>
          </cell>
        </row>
        <row r="8197">
          <cell r="I8197" t="str">
            <v>V50135</v>
          </cell>
          <cell r="J8197" t="str">
            <v>CTC</v>
          </cell>
          <cell r="K8197" t="str">
            <v>YES</v>
          </cell>
        </row>
        <row r="8198">
          <cell r="I8198" t="str">
            <v>V50197</v>
          </cell>
          <cell r="J8198" t="str">
            <v>CTC</v>
          </cell>
          <cell r="K8198" t="str">
            <v>YES</v>
          </cell>
        </row>
        <row r="8199">
          <cell r="I8199" t="str">
            <v>V49995</v>
          </cell>
          <cell r="J8199" t="str">
            <v>CTC</v>
          </cell>
          <cell r="K8199" t="str">
            <v>YES</v>
          </cell>
        </row>
        <row r="8200">
          <cell r="I8200" t="str">
            <v>V49366</v>
          </cell>
          <cell r="J8200" t="str">
            <v>CTC</v>
          </cell>
          <cell r="K8200" t="str">
            <v>YES</v>
          </cell>
        </row>
        <row r="8201">
          <cell r="I8201" t="str">
            <v>V48227</v>
          </cell>
          <cell r="J8201" t="str">
            <v>CTC</v>
          </cell>
          <cell r="K8201" t="str">
            <v>YES</v>
          </cell>
        </row>
        <row r="8202">
          <cell r="I8202" t="str">
            <v>V50479</v>
          </cell>
          <cell r="J8202" t="str">
            <v>STAT</v>
          </cell>
          <cell r="K8202" t="str">
            <v>YES</v>
          </cell>
        </row>
        <row r="8203">
          <cell r="I8203" t="str">
            <v>V46689</v>
          </cell>
          <cell r="J8203" t="str">
            <v>CTC</v>
          </cell>
          <cell r="K8203" t="str">
            <v>YES</v>
          </cell>
        </row>
        <row r="8204">
          <cell r="I8204" t="str">
            <v>V50403</v>
          </cell>
          <cell r="J8204" t="str">
            <v>CTC</v>
          </cell>
          <cell r="K8204" t="str">
            <v>YES</v>
          </cell>
        </row>
        <row r="8205">
          <cell r="I8205" t="str">
            <v>V51103</v>
          </cell>
          <cell r="J8205" t="str">
            <v>CTC</v>
          </cell>
          <cell r="K8205" t="str">
            <v>YES</v>
          </cell>
        </row>
        <row r="8206">
          <cell r="I8206" t="str">
            <v>V48806</v>
          </cell>
          <cell r="J8206" t="str">
            <v>CTC</v>
          </cell>
          <cell r="K8206" t="str">
            <v>YES</v>
          </cell>
        </row>
        <row r="8207">
          <cell r="I8207" t="str">
            <v>V50427</v>
          </cell>
          <cell r="J8207" t="str">
            <v>CTC</v>
          </cell>
          <cell r="K8207" t="str">
            <v>YES</v>
          </cell>
        </row>
        <row r="8208">
          <cell r="I8208" t="str">
            <v>V50035</v>
          </cell>
          <cell r="J8208" t="str">
            <v>CTC</v>
          </cell>
          <cell r="K8208" t="str">
            <v>YES</v>
          </cell>
        </row>
        <row r="8209">
          <cell r="I8209" t="str">
            <v>V50207</v>
          </cell>
          <cell r="J8209" t="str">
            <v>CTC</v>
          </cell>
          <cell r="K8209" t="str">
            <v>YES</v>
          </cell>
        </row>
        <row r="8210">
          <cell r="I8210" t="str">
            <v>V49449</v>
          </cell>
          <cell r="J8210" t="str">
            <v>CTC</v>
          </cell>
          <cell r="K8210" t="str">
            <v>YES</v>
          </cell>
        </row>
        <row r="8211">
          <cell r="I8211" t="str">
            <v>V49434</v>
          </cell>
          <cell r="J8211" t="str">
            <v>CTC</v>
          </cell>
          <cell r="K8211" t="str">
            <v>YES</v>
          </cell>
        </row>
        <row r="8212">
          <cell r="I8212" t="str">
            <v>V49372</v>
          </cell>
          <cell r="J8212" t="str">
            <v>CTC</v>
          </cell>
          <cell r="K8212" t="str">
            <v>YES</v>
          </cell>
        </row>
        <row r="8213">
          <cell r="I8213" t="str">
            <v>V50455</v>
          </cell>
          <cell r="J8213" t="str">
            <v>CTC</v>
          </cell>
          <cell r="K8213" t="str">
            <v>YES</v>
          </cell>
        </row>
        <row r="8214">
          <cell r="I8214" t="str">
            <v>V50183</v>
          </cell>
          <cell r="J8214" t="str">
            <v>CTC</v>
          </cell>
          <cell r="K8214" t="str">
            <v>YES</v>
          </cell>
        </row>
        <row r="8215">
          <cell r="I8215" t="str">
            <v>V48818</v>
          </cell>
          <cell r="J8215" t="str">
            <v>CTC</v>
          </cell>
          <cell r="K8215" t="str">
            <v>YES</v>
          </cell>
        </row>
        <row r="8216">
          <cell r="I8216" t="str">
            <v>V50947</v>
          </cell>
          <cell r="J8216" t="str">
            <v>CTC</v>
          </cell>
          <cell r="K8216" t="str">
            <v>YES</v>
          </cell>
        </row>
        <row r="8217">
          <cell r="I8217" t="str">
            <v>V50968</v>
          </cell>
          <cell r="J8217" t="str">
            <v>CTC</v>
          </cell>
          <cell r="K8217" t="str">
            <v>YES</v>
          </cell>
        </row>
        <row r="8218">
          <cell r="I8218" t="str">
            <v>V50688</v>
          </cell>
          <cell r="J8218" t="str">
            <v>CTC</v>
          </cell>
          <cell r="K8218" t="str">
            <v>YES</v>
          </cell>
        </row>
        <row r="8219">
          <cell r="I8219" t="str">
            <v>V50289</v>
          </cell>
          <cell r="J8219" t="str">
            <v>CTC</v>
          </cell>
          <cell r="K8219" t="str">
            <v>YES</v>
          </cell>
        </row>
        <row r="8220">
          <cell r="I8220" t="str">
            <v>V49948</v>
          </cell>
          <cell r="J8220" t="str">
            <v>CTC</v>
          </cell>
          <cell r="K8220" t="str">
            <v>YES</v>
          </cell>
        </row>
        <row r="8221">
          <cell r="I8221" t="str">
            <v>V49525</v>
          </cell>
          <cell r="J8221" t="str">
            <v>CTC</v>
          </cell>
          <cell r="K8221" t="str">
            <v>YES</v>
          </cell>
        </row>
        <row r="8222">
          <cell r="I8222" t="str">
            <v>V49790</v>
          </cell>
          <cell r="J8222" t="str">
            <v>CTC</v>
          </cell>
          <cell r="K8222" t="str">
            <v>YES</v>
          </cell>
        </row>
        <row r="8223">
          <cell r="I8223" t="str">
            <v>V50282</v>
          </cell>
          <cell r="J8223" t="str">
            <v>CTC</v>
          </cell>
          <cell r="K8223" t="str">
            <v>YES</v>
          </cell>
        </row>
        <row r="8224">
          <cell r="I8224" t="str">
            <v>V49063</v>
          </cell>
          <cell r="J8224" t="str">
            <v>CTC</v>
          </cell>
          <cell r="K8224" t="str">
            <v>YES</v>
          </cell>
        </row>
        <row r="8225">
          <cell r="I8225" t="str">
            <v>V50047</v>
          </cell>
          <cell r="J8225" t="str">
            <v>CTC</v>
          </cell>
          <cell r="K8225" t="str">
            <v>YES</v>
          </cell>
        </row>
        <row r="8226">
          <cell r="I8226" t="str">
            <v>V50836</v>
          </cell>
          <cell r="J8226" t="str">
            <v>CTC</v>
          </cell>
          <cell r="K8226" t="str">
            <v>YES</v>
          </cell>
        </row>
        <row r="8227">
          <cell r="I8227" t="str">
            <v>V51616</v>
          </cell>
          <cell r="J8227" t="str">
            <v>CTC</v>
          </cell>
          <cell r="K8227" t="str">
            <v>YES</v>
          </cell>
        </row>
        <row r="8228">
          <cell r="I8228" t="str">
            <v>V49360</v>
          </cell>
          <cell r="J8228" t="str">
            <v>CTC</v>
          </cell>
          <cell r="K8228" t="str">
            <v>YES</v>
          </cell>
        </row>
        <row r="8229">
          <cell r="I8229" t="str">
            <v>V49695</v>
          </cell>
          <cell r="J8229" t="str">
            <v>CTC</v>
          </cell>
          <cell r="K8229" t="str">
            <v>YES</v>
          </cell>
        </row>
        <row r="8230">
          <cell r="I8230" t="str">
            <v>V49722</v>
          </cell>
          <cell r="J8230" t="str">
            <v>CTC</v>
          </cell>
          <cell r="K8230" t="str">
            <v>YES</v>
          </cell>
        </row>
        <row r="8231">
          <cell r="I8231" t="str">
            <v>V47883</v>
          </cell>
          <cell r="J8231" t="str">
            <v>CTC</v>
          </cell>
          <cell r="K8231" t="str">
            <v>YES</v>
          </cell>
        </row>
        <row r="8232">
          <cell r="I8232" t="str">
            <v>V50084</v>
          </cell>
          <cell r="J8232" t="str">
            <v>CTC</v>
          </cell>
          <cell r="K8232" t="str">
            <v>YES</v>
          </cell>
        </row>
        <row r="8233">
          <cell r="I8233" t="str">
            <v>V51730</v>
          </cell>
          <cell r="J8233" t="str">
            <v>CTC</v>
          </cell>
          <cell r="K8233" t="str">
            <v>YES</v>
          </cell>
        </row>
        <row r="8234">
          <cell r="I8234" t="str">
            <v>V49970</v>
          </cell>
          <cell r="J8234" t="str">
            <v>CTC</v>
          </cell>
          <cell r="K8234" t="str">
            <v>YES</v>
          </cell>
        </row>
        <row r="8235">
          <cell r="I8235" t="str">
            <v>V49825</v>
          </cell>
          <cell r="J8235" t="str">
            <v>CTC</v>
          </cell>
          <cell r="K8235" t="str">
            <v>YES</v>
          </cell>
        </row>
        <row r="8236">
          <cell r="I8236" t="str">
            <v>V51588</v>
          </cell>
          <cell r="J8236" t="str">
            <v>CTC</v>
          </cell>
          <cell r="K8236" t="str">
            <v>YES</v>
          </cell>
        </row>
        <row r="8237">
          <cell r="I8237" t="str">
            <v>V50442</v>
          </cell>
          <cell r="J8237" t="str">
            <v>CTC</v>
          </cell>
          <cell r="K8237" t="str">
            <v>YES</v>
          </cell>
        </row>
        <row r="8238">
          <cell r="I8238" t="str">
            <v>V49802</v>
          </cell>
          <cell r="J8238" t="str">
            <v>CTC</v>
          </cell>
          <cell r="K8238" t="str">
            <v>YES</v>
          </cell>
        </row>
        <row r="8239">
          <cell r="I8239" t="str">
            <v>V48971</v>
          </cell>
          <cell r="J8239" t="str">
            <v>CTC</v>
          </cell>
          <cell r="K8239" t="str">
            <v>YES</v>
          </cell>
        </row>
        <row r="8240">
          <cell r="I8240" t="str">
            <v>V50292</v>
          </cell>
          <cell r="J8240" t="str">
            <v>CTC</v>
          </cell>
          <cell r="K8240" t="str">
            <v>YES</v>
          </cell>
        </row>
        <row r="8241">
          <cell r="I8241" t="str">
            <v>V52405</v>
          </cell>
          <cell r="J8241" t="str">
            <v>CTC</v>
          </cell>
          <cell r="K8241" t="str">
            <v>YES</v>
          </cell>
        </row>
        <row r="8242">
          <cell r="I8242" t="str">
            <v>V50943</v>
          </cell>
          <cell r="J8242" t="str">
            <v>CTC</v>
          </cell>
          <cell r="K8242" t="str">
            <v>YES</v>
          </cell>
        </row>
        <row r="8243">
          <cell r="I8243" t="str">
            <v>V49562</v>
          </cell>
          <cell r="J8243" t="str">
            <v>CTC</v>
          </cell>
          <cell r="K8243" t="str">
            <v>YES</v>
          </cell>
        </row>
        <row r="8244">
          <cell r="I8244" t="str">
            <v>V48047</v>
          </cell>
          <cell r="J8244" t="str">
            <v>CTC</v>
          </cell>
          <cell r="K8244" t="str">
            <v>YES</v>
          </cell>
        </row>
        <row r="8245">
          <cell r="I8245" t="str">
            <v>V50320</v>
          </cell>
          <cell r="J8245" t="str">
            <v>STAT</v>
          </cell>
          <cell r="K8245" t="str">
            <v>YES</v>
          </cell>
        </row>
        <row r="8246">
          <cell r="I8246" t="str">
            <v>V50139</v>
          </cell>
          <cell r="J8246" t="str">
            <v>CTC</v>
          </cell>
          <cell r="K8246" t="str">
            <v>YES</v>
          </cell>
        </row>
        <row r="8247">
          <cell r="I8247" t="str">
            <v>V50382</v>
          </cell>
          <cell r="J8247" t="str">
            <v>CTC</v>
          </cell>
          <cell r="K8247" t="str">
            <v>YES</v>
          </cell>
        </row>
        <row r="8248">
          <cell r="I8248" t="str">
            <v>V49694</v>
          </cell>
          <cell r="J8248" t="str">
            <v>CTC</v>
          </cell>
          <cell r="K8248" t="str">
            <v>YES</v>
          </cell>
        </row>
        <row r="8249">
          <cell r="I8249" t="str">
            <v>V50168</v>
          </cell>
          <cell r="J8249" t="str">
            <v>CTC</v>
          </cell>
          <cell r="K8249" t="str">
            <v>YES</v>
          </cell>
        </row>
        <row r="8250">
          <cell r="I8250" t="str">
            <v>V51856</v>
          </cell>
          <cell r="J8250" t="str">
            <v>CTC</v>
          </cell>
          <cell r="K8250" t="str">
            <v>YES</v>
          </cell>
        </row>
        <row r="8251">
          <cell r="I8251" t="str">
            <v>V49721</v>
          </cell>
          <cell r="J8251" t="str">
            <v>CTC</v>
          </cell>
          <cell r="K8251" t="str">
            <v>YES</v>
          </cell>
        </row>
        <row r="8252">
          <cell r="I8252" t="str">
            <v>V48018</v>
          </cell>
          <cell r="J8252" t="str">
            <v>CTC</v>
          </cell>
          <cell r="K8252" t="str">
            <v>YES</v>
          </cell>
        </row>
        <row r="8253">
          <cell r="I8253" t="str">
            <v>V52541</v>
          </cell>
          <cell r="J8253" t="str">
            <v>STAT</v>
          </cell>
          <cell r="K8253" t="str">
            <v>YES</v>
          </cell>
        </row>
        <row r="8254">
          <cell r="I8254" t="str">
            <v>V49446</v>
          </cell>
          <cell r="J8254" t="str">
            <v>CTC</v>
          </cell>
          <cell r="K8254" t="str">
            <v>YES</v>
          </cell>
        </row>
        <row r="8255">
          <cell r="I8255" t="str">
            <v>V50011</v>
          </cell>
          <cell r="J8255" t="str">
            <v>STAT</v>
          </cell>
          <cell r="K8255" t="str">
            <v>YES</v>
          </cell>
        </row>
        <row r="8256">
          <cell r="I8256" t="str">
            <v>V50090</v>
          </cell>
          <cell r="J8256" t="str">
            <v>CTC</v>
          </cell>
          <cell r="K8256" t="str">
            <v>YES</v>
          </cell>
        </row>
        <row r="8257">
          <cell r="I8257" t="str">
            <v>V49380</v>
          </cell>
          <cell r="J8257" t="str">
            <v>CTC</v>
          </cell>
          <cell r="K8257" t="str">
            <v>YES</v>
          </cell>
        </row>
        <row r="8258">
          <cell r="I8258" t="str">
            <v>V51473</v>
          </cell>
          <cell r="J8258" t="str">
            <v>CTC</v>
          </cell>
          <cell r="K8258" t="str">
            <v>YES</v>
          </cell>
        </row>
        <row r="8259">
          <cell r="I8259" t="str">
            <v>V51458</v>
          </cell>
          <cell r="J8259" t="str">
            <v>CTC</v>
          </cell>
          <cell r="K8259" t="str">
            <v>YES</v>
          </cell>
        </row>
        <row r="8260">
          <cell r="I8260" t="str">
            <v>V49499</v>
          </cell>
          <cell r="J8260" t="str">
            <v>CTC</v>
          </cell>
          <cell r="K8260" t="str">
            <v>YES</v>
          </cell>
        </row>
        <row r="8261">
          <cell r="I8261" t="str">
            <v>V50352</v>
          </cell>
          <cell r="J8261" t="str">
            <v>CTC</v>
          </cell>
          <cell r="K8261" t="str">
            <v>YES</v>
          </cell>
        </row>
        <row r="8262">
          <cell r="I8262" t="str">
            <v>V51677</v>
          </cell>
          <cell r="J8262" t="str">
            <v>CTC</v>
          </cell>
          <cell r="K8262" t="str">
            <v>YES</v>
          </cell>
        </row>
        <row r="8263">
          <cell r="I8263" t="str">
            <v>V50257</v>
          </cell>
          <cell r="J8263" t="str">
            <v>CTC</v>
          </cell>
          <cell r="K8263" t="str">
            <v>YES</v>
          </cell>
        </row>
        <row r="8264">
          <cell r="I8264" t="str">
            <v>V49538</v>
          </cell>
          <cell r="J8264" t="str">
            <v>CTC</v>
          </cell>
          <cell r="K8264" t="str">
            <v>YES</v>
          </cell>
        </row>
        <row r="8265">
          <cell r="I8265" t="str">
            <v>V50967</v>
          </cell>
          <cell r="J8265" t="str">
            <v>CTC</v>
          </cell>
          <cell r="K8265" t="str">
            <v>YES</v>
          </cell>
        </row>
        <row r="8266">
          <cell r="I8266" t="str">
            <v>V49566</v>
          </cell>
          <cell r="J8266" t="str">
            <v>CTC</v>
          </cell>
          <cell r="K8266" t="str">
            <v>YES</v>
          </cell>
        </row>
        <row r="8267">
          <cell r="I8267" t="str">
            <v>V49992</v>
          </cell>
          <cell r="J8267" t="str">
            <v>CTC</v>
          </cell>
          <cell r="K8267" t="str">
            <v>YES</v>
          </cell>
        </row>
        <row r="8268">
          <cell r="I8268" t="str">
            <v>V49984</v>
          </cell>
          <cell r="J8268" t="str">
            <v>CTC</v>
          </cell>
          <cell r="K8268" t="str">
            <v>YES</v>
          </cell>
        </row>
        <row r="8269">
          <cell r="I8269" t="str">
            <v>V50069</v>
          </cell>
          <cell r="J8269" t="str">
            <v>CTC</v>
          </cell>
          <cell r="K8269" t="str">
            <v>YES</v>
          </cell>
        </row>
        <row r="8270">
          <cell r="I8270" t="str">
            <v>V50291</v>
          </cell>
          <cell r="J8270" t="str">
            <v>CTC</v>
          </cell>
          <cell r="K8270" t="str">
            <v>YES</v>
          </cell>
        </row>
        <row r="8271">
          <cell r="I8271" t="str">
            <v>V49657</v>
          </cell>
          <cell r="J8271" t="str">
            <v>CTC</v>
          </cell>
          <cell r="K8271" t="str">
            <v>YES</v>
          </cell>
        </row>
        <row r="8272">
          <cell r="I8272" t="str">
            <v>V49993</v>
          </cell>
          <cell r="J8272" t="str">
            <v>CTC</v>
          </cell>
          <cell r="K8272" t="str">
            <v>YES</v>
          </cell>
        </row>
        <row r="8273">
          <cell r="I8273" t="str">
            <v>V50169</v>
          </cell>
          <cell r="J8273" t="str">
            <v>CTC</v>
          </cell>
          <cell r="K8273" t="str">
            <v>YES</v>
          </cell>
        </row>
        <row r="8274">
          <cell r="I8274" t="str">
            <v>V50989</v>
          </cell>
          <cell r="J8274" t="str">
            <v>CTC</v>
          </cell>
          <cell r="K8274" t="str">
            <v>YES</v>
          </cell>
        </row>
        <row r="8275">
          <cell r="I8275" t="str">
            <v>V50981</v>
          </cell>
          <cell r="J8275" t="str">
            <v>CTC</v>
          </cell>
          <cell r="K8275" t="str">
            <v>YES</v>
          </cell>
        </row>
        <row r="8276">
          <cell r="I8276" t="str">
            <v>V50982</v>
          </cell>
          <cell r="J8276" t="str">
            <v>CTC</v>
          </cell>
          <cell r="K8276" t="str">
            <v>YES</v>
          </cell>
        </row>
        <row r="8277">
          <cell r="I8277" t="str">
            <v>V50015</v>
          </cell>
          <cell r="J8277" t="str">
            <v>CTC</v>
          </cell>
          <cell r="K8277" t="str">
            <v>YES</v>
          </cell>
        </row>
        <row r="8278">
          <cell r="I8278" t="str">
            <v>V50461</v>
          </cell>
          <cell r="J8278" t="str">
            <v>STAT</v>
          </cell>
          <cell r="K8278" t="str">
            <v>YES</v>
          </cell>
        </row>
        <row r="8279">
          <cell r="I8279" t="str">
            <v>V49244</v>
          </cell>
          <cell r="J8279" t="str">
            <v>CTC</v>
          </cell>
          <cell r="K8279" t="str">
            <v>YES</v>
          </cell>
        </row>
        <row r="8280">
          <cell r="I8280" t="str">
            <v>V51407</v>
          </cell>
          <cell r="J8280" t="str">
            <v>CTC</v>
          </cell>
          <cell r="K8280" t="str">
            <v>YES</v>
          </cell>
        </row>
        <row r="8281">
          <cell r="I8281" t="str">
            <v>V49927</v>
          </cell>
          <cell r="J8281" t="str">
            <v>CTC</v>
          </cell>
          <cell r="K8281" t="str">
            <v>YES</v>
          </cell>
        </row>
        <row r="8282">
          <cell r="I8282" t="str">
            <v>V50487</v>
          </cell>
          <cell r="J8282" t="str">
            <v>CTC</v>
          </cell>
          <cell r="K8282" t="str">
            <v>YES</v>
          </cell>
        </row>
        <row r="8283">
          <cell r="I8283" t="str">
            <v>V50107</v>
          </cell>
          <cell r="J8283" t="str">
            <v>CTC</v>
          </cell>
          <cell r="K8283" t="str">
            <v>YES</v>
          </cell>
        </row>
        <row r="8284">
          <cell r="I8284" t="str">
            <v>V51151</v>
          </cell>
          <cell r="J8284" t="str">
            <v>CTC</v>
          </cell>
          <cell r="K8284" t="str">
            <v>YES</v>
          </cell>
        </row>
        <row r="8285">
          <cell r="I8285" t="str">
            <v>V49276</v>
          </cell>
          <cell r="J8285" t="str">
            <v>CTC</v>
          </cell>
          <cell r="K8285" t="str">
            <v>YES</v>
          </cell>
        </row>
        <row r="8286">
          <cell r="I8286" t="str">
            <v>V50483</v>
          </cell>
          <cell r="J8286" t="str">
            <v>STAT</v>
          </cell>
          <cell r="K8286" t="str">
            <v>YES</v>
          </cell>
        </row>
        <row r="8287">
          <cell r="I8287" t="str">
            <v>V50644</v>
          </cell>
          <cell r="J8287" t="str">
            <v>CTC</v>
          </cell>
          <cell r="K8287" t="str">
            <v>YES</v>
          </cell>
        </row>
        <row r="8288">
          <cell r="I8288" t="str">
            <v>V50051</v>
          </cell>
          <cell r="J8288" t="str">
            <v>CTC</v>
          </cell>
          <cell r="K8288" t="str">
            <v>YES</v>
          </cell>
        </row>
        <row r="8289">
          <cell r="I8289" t="str">
            <v>V51150</v>
          </cell>
          <cell r="J8289" t="str">
            <v>CTC</v>
          </cell>
          <cell r="K8289" t="str">
            <v>YES</v>
          </cell>
        </row>
        <row r="8290">
          <cell r="I8290" t="str">
            <v>V51640</v>
          </cell>
          <cell r="J8290" t="str">
            <v>CTC</v>
          </cell>
          <cell r="K8290" t="str">
            <v>YES</v>
          </cell>
        </row>
        <row r="8291">
          <cell r="I8291" t="str">
            <v>V50721</v>
          </cell>
          <cell r="J8291" t="str">
            <v>CTC</v>
          </cell>
          <cell r="K8291" t="str">
            <v>YES</v>
          </cell>
        </row>
        <row r="8292">
          <cell r="I8292" t="str">
            <v>V48937</v>
          </cell>
          <cell r="J8292" t="str">
            <v>CTC</v>
          </cell>
          <cell r="K8292" t="str">
            <v>YES</v>
          </cell>
        </row>
        <row r="8293">
          <cell r="I8293" t="str">
            <v>V49305</v>
          </cell>
          <cell r="J8293" t="str">
            <v>CTC</v>
          </cell>
          <cell r="K8293" t="str">
            <v>YES</v>
          </cell>
        </row>
        <row r="8294">
          <cell r="I8294" t="str">
            <v>V50228</v>
          </cell>
          <cell r="J8294" t="str">
            <v>CTC</v>
          </cell>
          <cell r="K8294" t="str">
            <v>YES</v>
          </cell>
        </row>
        <row r="8295">
          <cell r="I8295" t="str">
            <v>V50345</v>
          </cell>
          <cell r="J8295" t="str">
            <v>CTC</v>
          </cell>
          <cell r="K8295" t="str">
            <v>YES</v>
          </cell>
        </row>
        <row r="8296">
          <cell r="I8296" t="str">
            <v>V50071</v>
          </cell>
          <cell r="J8296" t="str">
            <v>CTC</v>
          </cell>
          <cell r="K8296" t="str">
            <v>YES</v>
          </cell>
        </row>
        <row r="8297">
          <cell r="I8297" t="str">
            <v>V50010</v>
          </cell>
          <cell r="J8297" t="str">
            <v>STAT</v>
          </cell>
          <cell r="K8297" t="str">
            <v>YES</v>
          </cell>
        </row>
        <row r="8298">
          <cell r="I8298" t="str">
            <v>V51073</v>
          </cell>
          <cell r="J8298" t="str">
            <v>CTC</v>
          </cell>
          <cell r="K8298" t="str">
            <v>YES</v>
          </cell>
        </row>
        <row r="8299">
          <cell r="I8299" t="str">
            <v>V33171</v>
          </cell>
          <cell r="J8299" t="str">
            <v>CTC</v>
          </cell>
          <cell r="K8299" t="str">
            <v>YES</v>
          </cell>
        </row>
        <row r="8300">
          <cell r="I8300" t="str">
            <v>V49784</v>
          </cell>
          <cell r="J8300" t="str">
            <v>CTC</v>
          </cell>
          <cell r="K8300" t="str">
            <v>YES</v>
          </cell>
        </row>
        <row r="8301">
          <cell r="I8301" t="str">
            <v>V49938</v>
          </cell>
          <cell r="J8301" t="str">
            <v>CTC</v>
          </cell>
          <cell r="K8301" t="str">
            <v>YES</v>
          </cell>
        </row>
        <row r="8302">
          <cell r="I8302" t="str">
            <v>V50321</v>
          </cell>
          <cell r="J8302" t="str">
            <v>CTC</v>
          </cell>
          <cell r="K8302" t="str">
            <v>YES</v>
          </cell>
        </row>
        <row r="8303">
          <cell r="I8303" t="str">
            <v>V49161</v>
          </cell>
          <cell r="J8303" t="str">
            <v>CTC</v>
          </cell>
          <cell r="K8303" t="str">
            <v>YES</v>
          </cell>
        </row>
        <row r="8304">
          <cell r="I8304" t="str">
            <v>V47203</v>
          </cell>
          <cell r="J8304" t="str">
            <v>CTC</v>
          </cell>
          <cell r="K8304" t="str">
            <v>YES</v>
          </cell>
        </row>
        <row r="8305">
          <cell r="I8305" t="str">
            <v>V51434</v>
          </cell>
          <cell r="J8305" t="str">
            <v>CTC</v>
          </cell>
          <cell r="K8305" t="str">
            <v>YES</v>
          </cell>
        </row>
        <row r="8306">
          <cell r="I8306" t="str">
            <v>V49272</v>
          </cell>
          <cell r="J8306" t="str">
            <v>CTC</v>
          </cell>
          <cell r="K8306" t="str">
            <v>YES</v>
          </cell>
        </row>
        <row r="8307">
          <cell r="I8307" t="str">
            <v>V49676</v>
          </cell>
          <cell r="J8307" t="str">
            <v>CTC</v>
          </cell>
          <cell r="K8307" t="str">
            <v>YES</v>
          </cell>
        </row>
        <row r="8308">
          <cell r="I8308" t="str">
            <v>V50296</v>
          </cell>
          <cell r="J8308" t="str">
            <v>CTC</v>
          </cell>
          <cell r="K8308" t="str">
            <v>YES</v>
          </cell>
        </row>
        <row r="8309">
          <cell r="I8309" t="str">
            <v>V50175</v>
          </cell>
          <cell r="J8309" t="str">
            <v>CTC</v>
          </cell>
          <cell r="K8309" t="str">
            <v>YES</v>
          </cell>
        </row>
        <row r="8310">
          <cell r="I8310" t="str">
            <v>V50377</v>
          </cell>
          <cell r="J8310" t="str">
            <v>CTC</v>
          </cell>
          <cell r="K8310" t="str">
            <v>YES</v>
          </cell>
        </row>
        <row r="8311">
          <cell r="I8311" t="str">
            <v>V49673</v>
          </cell>
          <cell r="J8311" t="str">
            <v>CTC</v>
          </cell>
          <cell r="K8311" t="str">
            <v>YES</v>
          </cell>
        </row>
        <row r="8312">
          <cell r="I8312" t="str">
            <v>V52993</v>
          </cell>
          <cell r="J8312" t="str">
            <v>CTC</v>
          </cell>
          <cell r="K8312" t="str">
            <v>YES</v>
          </cell>
        </row>
        <row r="8313">
          <cell r="I8313" t="str">
            <v>V52958</v>
          </cell>
          <cell r="J8313" t="str">
            <v>STAT</v>
          </cell>
          <cell r="K8313" t="str">
            <v>YES</v>
          </cell>
        </row>
        <row r="8314">
          <cell r="I8314" t="str">
            <v>V49093</v>
          </cell>
          <cell r="J8314" t="str">
            <v>CTC</v>
          </cell>
          <cell r="K8314" t="str">
            <v>YES</v>
          </cell>
        </row>
        <row r="8315">
          <cell r="I8315" t="str">
            <v>V51145</v>
          </cell>
          <cell r="J8315" t="str">
            <v>CTC</v>
          </cell>
          <cell r="K8315" t="str">
            <v>YES</v>
          </cell>
        </row>
        <row r="8316">
          <cell r="I8316" t="str">
            <v>V49190</v>
          </cell>
          <cell r="J8316" t="str">
            <v>CTC</v>
          </cell>
          <cell r="K8316" t="str">
            <v>YES</v>
          </cell>
        </row>
        <row r="8317">
          <cell r="I8317" t="str">
            <v>V49611</v>
          </cell>
          <cell r="J8317" t="str">
            <v>CTC</v>
          </cell>
          <cell r="K8317" t="str">
            <v>YES</v>
          </cell>
        </row>
        <row r="8318">
          <cell r="I8318" t="str">
            <v>V50206</v>
          </cell>
          <cell r="J8318" t="str">
            <v>CTC</v>
          </cell>
          <cell r="K8318" t="str">
            <v>YES</v>
          </cell>
        </row>
        <row r="8319">
          <cell r="I8319" t="str">
            <v>V47864</v>
          </cell>
          <cell r="J8319" t="str">
            <v>CTC</v>
          </cell>
          <cell r="K8319" t="str">
            <v>YES</v>
          </cell>
        </row>
        <row r="8320">
          <cell r="I8320" t="str">
            <v>V50003</v>
          </cell>
          <cell r="J8320" t="str">
            <v>CTC</v>
          </cell>
          <cell r="K8320" t="str">
            <v>YES</v>
          </cell>
        </row>
        <row r="8321">
          <cell r="I8321" t="str">
            <v>V48024</v>
          </cell>
          <cell r="J8321" t="str">
            <v>CTC</v>
          </cell>
          <cell r="K8321" t="str">
            <v>YES</v>
          </cell>
        </row>
        <row r="8322">
          <cell r="I8322" t="str">
            <v>V45448</v>
          </cell>
          <cell r="J8322" t="str">
            <v>CTC</v>
          </cell>
          <cell r="K8322" t="str">
            <v>YES</v>
          </cell>
        </row>
        <row r="8323">
          <cell r="I8323" t="str">
            <v>V50834</v>
          </cell>
          <cell r="J8323" t="str">
            <v>CTC</v>
          </cell>
          <cell r="K8323" t="str">
            <v>YES</v>
          </cell>
        </row>
        <row r="8324">
          <cell r="I8324" t="str">
            <v>V51416</v>
          </cell>
          <cell r="J8324" t="str">
            <v>STAT</v>
          </cell>
          <cell r="K8324" t="str">
            <v>YES</v>
          </cell>
        </row>
        <row r="8325">
          <cell r="I8325" t="str">
            <v>V52962</v>
          </cell>
          <cell r="J8325" t="str">
            <v>CTC</v>
          </cell>
          <cell r="K8325" t="str">
            <v>YES</v>
          </cell>
        </row>
        <row r="8326">
          <cell r="I8326" t="str">
            <v>V50522</v>
          </cell>
          <cell r="J8326" t="str">
            <v>CTC</v>
          </cell>
          <cell r="K8326" t="str">
            <v>YES</v>
          </cell>
        </row>
        <row r="8327">
          <cell r="I8327" t="str">
            <v>V48727</v>
          </cell>
          <cell r="J8327" t="str">
            <v>CTC</v>
          </cell>
          <cell r="K8327" t="str">
            <v>YES</v>
          </cell>
        </row>
        <row r="8328">
          <cell r="I8328" t="str">
            <v>V50469</v>
          </cell>
          <cell r="J8328" t="str">
            <v>CTC</v>
          </cell>
          <cell r="K8328" t="str">
            <v>YES</v>
          </cell>
        </row>
        <row r="8329">
          <cell r="I8329" t="str">
            <v>V50304</v>
          </cell>
          <cell r="J8329" t="str">
            <v>CTC</v>
          </cell>
          <cell r="K8329" t="str">
            <v>YES</v>
          </cell>
        </row>
        <row r="8330">
          <cell r="I8330" t="str">
            <v>V48763</v>
          </cell>
          <cell r="J8330" t="str">
            <v>CTC</v>
          </cell>
          <cell r="K8330" t="str">
            <v>YES</v>
          </cell>
        </row>
        <row r="8331">
          <cell r="I8331" t="str">
            <v>V49838</v>
          </cell>
          <cell r="J8331" t="str">
            <v>CTC</v>
          </cell>
          <cell r="K8331" t="str">
            <v>YES</v>
          </cell>
        </row>
        <row r="8332">
          <cell r="I8332" t="str">
            <v>V51472</v>
          </cell>
          <cell r="J8332" t="str">
            <v>CTC</v>
          </cell>
          <cell r="K8332" t="str">
            <v>YES</v>
          </cell>
        </row>
        <row r="8333">
          <cell r="I8333" t="str">
            <v>V50005</v>
          </cell>
          <cell r="J8333" t="str">
            <v>CTC</v>
          </cell>
          <cell r="K8333" t="str">
            <v>YES</v>
          </cell>
        </row>
        <row r="8334">
          <cell r="I8334" t="str">
            <v>V50284</v>
          </cell>
          <cell r="J8334" t="str">
            <v>STAT</v>
          </cell>
          <cell r="K8334" t="str">
            <v>YES</v>
          </cell>
        </row>
        <row r="8335">
          <cell r="I8335" t="str">
            <v>V51370</v>
          </cell>
          <cell r="J8335" t="str">
            <v>CTC</v>
          </cell>
          <cell r="K8335" t="str">
            <v>YES</v>
          </cell>
        </row>
        <row r="8336">
          <cell r="I8336" t="str">
            <v>V50869</v>
          </cell>
          <cell r="J8336" t="str">
            <v>CTC</v>
          </cell>
          <cell r="K8336" t="str">
            <v>YES</v>
          </cell>
        </row>
        <row r="8337">
          <cell r="I8337" t="str">
            <v>V50179</v>
          </cell>
          <cell r="J8337" t="str">
            <v>CTC</v>
          </cell>
          <cell r="K8337" t="str">
            <v>YES</v>
          </cell>
        </row>
        <row r="8338">
          <cell r="I8338" t="str">
            <v>V49204</v>
          </cell>
          <cell r="J8338" t="str">
            <v>CTC</v>
          </cell>
          <cell r="K8338" t="str">
            <v>YES</v>
          </cell>
        </row>
        <row r="8339">
          <cell r="I8339" t="str">
            <v>V48661</v>
          </cell>
          <cell r="J8339" t="str">
            <v>CTC</v>
          </cell>
          <cell r="K8339" t="str">
            <v>YES</v>
          </cell>
        </row>
        <row r="8340">
          <cell r="I8340" t="str">
            <v>V49224</v>
          </cell>
          <cell r="J8340" t="str">
            <v>CTC</v>
          </cell>
          <cell r="K8340" t="str">
            <v>YES</v>
          </cell>
        </row>
        <row r="8341">
          <cell r="I8341" t="str">
            <v>V50293</v>
          </cell>
          <cell r="J8341" t="str">
            <v>CTC</v>
          </cell>
          <cell r="K8341" t="str">
            <v>YES</v>
          </cell>
        </row>
        <row r="8342">
          <cell r="I8342" t="str">
            <v>V49604</v>
          </cell>
          <cell r="J8342" t="str">
            <v>CTC</v>
          </cell>
          <cell r="K8342" t="str">
            <v>YES</v>
          </cell>
        </row>
        <row r="8343">
          <cell r="I8343" t="str">
            <v>V51227</v>
          </cell>
          <cell r="J8343" t="str">
            <v>CTC</v>
          </cell>
          <cell r="K8343" t="str">
            <v>YES</v>
          </cell>
        </row>
        <row r="8344">
          <cell r="I8344" t="str">
            <v>V50671</v>
          </cell>
          <cell r="J8344" t="str">
            <v>STAT</v>
          </cell>
          <cell r="K8344" t="str">
            <v>YES</v>
          </cell>
        </row>
        <row r="8345">
          <cell r="I8345" t="str">
            <v>V52550</v>
          </cell>
          <cell r="J8345" t="str">
            <v>STAT</v>
          </cell>
          <cell r="K8345" t="str">
            <v>YES</v>
          </cell>
        </row>
        <row r="8346">
          <cell r="I8346" t="str">
            <v>V49866</v>
          </cell>
          <cell r="J8346" t="str">
            <v>CTC</v>
          </cell>
          <cell r="K8346" t="str">
            <v>YES</v>
          </cell>
        </row>
        <row r="8347">
          <cell r="I8347" t="str">
            <v>V51859</v>
          </cell>
          <cell r="J8347" t="str">
            <v>CTC</v>
          </cell>
          <cell r="K8347" t="str">
            <v>YES</v>
          </cell>
        </row>
        <row r="8348">
          <cell r="I8348" t="str">
            <v>V49495</v>
          </cell>
          <cell r="J8348" t="str">
            <v>CTC</v>
          </cell>
          <cell r="K8348" t="str">
            <v>YES</v>
          </cell>
        </row>
        <row r="8349">
          <cell r="I8349" t="str">
            <v>V49572</v>
          </cell>
          <cell r="J8349" t="str">
            <v>CTC</v>
          </cell>
          <cell r="K8349" t="str">
            <v>YES</v>
          </cell>
        </row>
        <row r="8350">
          <cell r="I8350" t="str">
            <v>V50706</v>
          </cell>
          <cell r="J8350" t="str">
            <v>CTC</v>
          </cell>
          <cell r="K8350" t="str">
            <v>YES</v>
          </cell>
        </row>
        <row r="8351">
          <cell r="I8351" t="str">
            <v>V51436</v>
          </cell>
          <cell r="J8351" t="str">
            <v>CTC</v>
          </cell>
          <cell r="K8351" t="str">
            <v>YES</v>
          </cell>
        </row>
        <row r="8352">
          <cell r="I8352" t="str">
            <v>V50453</v>
          </cell>
          <cell r="J8352" t="str">
            <v>CTC</v>
          </cell>
          <cell r="K8352" t="str">
            <v>YES</v>
          </cell>
        </row>
        <row r="8353">
          <cell r="I8353" t="str">
            <v>V50604</v>
          </cell>
          <cell r="J8353" t="str">
            <v>CTC</v>
          </cell>
          <cell r="K8353" t="str">
            <v>YES</v>
          </cell>
        </row>
        <row r="8354">
          <cell r="I8354" t="str">
            <v>V49297</v>
          </cell>
          <cell r="J8354" t="str">
            <v>CTC</v>
          </cell>
          <cell r="K8354" t="str">
            <v>YES</v>
          </cell>
        </row>
        <row r="8355">
          <cell r="I8355" t="str">
            <v>V49630</v>
          </cell>
          <cell r="J8355" t="str">
            <v>CTC</v>
          </cell>
          <cell r="K8355" t="str">
            <v>YES</v>
          </cell>
        </row>
        <row r="8356">
          <cell r="I8356" t="str">
            <v>V50471</v>
          </cell>
          <cell r="J8356" t="str">
            <v>CTC</v>
          </cell>
          <cell r="K8356" t="str">
            <v>YES</v>
          </cell>
        </row>
        <row r="8357">
          <cell r="I8357" t="str">
            <v>V48841</v>
          </cell>
          <cell r="J8357" t="str">
            <v>CTC</v>
          </cell>
          <cell r="K8357" t="str">
            <v>YES</v>
          </cell>
        </row>
        <row r="8358">
          <cell r="I8358" t="str">
            <v>V49358</v>
          </cell>
          <cell r="J8358" t="str">
            <v>STAT</v>
          </cell>
          <cell r="K8358" t="str">
            <v>YES</v>
          </cell>
        </row>
        <row r="8359">
          <cell r="I8359" t="str">
            <v>V50298</v>
          </cell>
          <cell r="J8359" t="str">
            <v>CTC</v>
          </cell>
          <cell r="K8359" t="str">
            <v>YES</v>
          </cell>
        </row>
        <row r="8360">
          <cell r="I8360" t="str">
            <v>V52936</v>
          </cell>
          <cell r="J8360" t="str">
            <v>STAT</v>
          </cell>
          <cell r="K8360" t="str">
            <v>YES</v>
          </cell>
        </row>
        <row r="8361">
          <cell r="I8361" t="str">
            <v>V49906</v>
          </cell>
          <cell r="J8361" t="str">
            <v>STAT</v>
          </cell>
          <cell r="K8361" t="str">
            <v>YES</v>
          </cell>
        </row>
        <row r="8362">
          <cell r="I8362" t="str">
            <v>V50309</v>
          </cell>
          <cell r="J8362" t="str">
            <v>CTC</v>
          </cell>
          <cell r="K8362" t="str">
            <v>YES</v>
          </cell>
        </row>
        <row r="8363">
          <cell r="I8363" t="str">
            <v>V47873</v>
          </cell>
          <cell r="J8363" t="str">
            <v>CTC</v>
          </cell>
          <cell r="K8363" t="str">
            <v>YES</v>
          </cell>
        </row>
        <row r="8364">
          <cell r="I8364" t="str">
            <v>V50921</v>
          </cell>
          <cell r="J8364" t="str">
            <v>CTC</v>
          </cell>
          <cell r="K8364" t="str">
            <v>YES</v>
          </cell>
        </row>
        <row r="8365">
          <cell r="I8365" t="str">
            <v>V51626</v>
          </cell>
          <cell r="J8365" t="str">
            <v>CTC</v>
          </cell>
          <cell r="K8365" t="str">
            <v>YES</v>
          </cell>
        </row>
        <row r="8366">
          <cell r="I8366" t="str">
            <v>V52960</v>
          </cell>
          <cell r="J8366" t="str">
            <v>STAT</v>
          </cell>
          <cell r="K8366" t="str">
            <v>YES</v>
          </cell>
        </row>
        <row r="8367">
          <cell r="I8367" t="str">
            <v>V50151</v>
          </cell>
          <cell r="J8367" t="str">
            <v>CTC</v>
          </cell>
          <cell r="K8367" t="str">
            <v>YES</v>
          </cell>
        </row>
        <row r="8368">
          <cell r="I8368" t="str">
            <v>V51432</v>
          </cell>
          <cell r="J8368" t="str">
            <v>CTC</v>
          </cell>
          <cell r="K8368" t="str">
            <v>YES</v>
          </cell>
        </row>
        <row r="8369">
          <cell r="I8369" t="str">
            <v>V49200</v>
          </cell>
          <cell r="J8369" t="str">
            <v>CTC</v>
          </cell>
          <cell r="K8369" t="str">
            <v>YES</v>
          </cell>
        </row>
        <row r="8370">
          <cell r="I8370" t="str">
            <v>V50559</v>
          </cell>
          <cell r="J8370" t="str">
            <v>CTC</v>
          </cell>
          <cell r="K8370" t="str">
            <v>YES</v>
          </cell>
        </row>
        <row r="8371">
          <cell r="I8371" t="str">
            <v>V50560</v>
          </cell>
          <cell r="J8371" t="str">
            <v>CTC</v>
          </cell>
          <cell r="K8371" t="str">
            <v>YES</v>
          </cell>
        </row>
        <row r="8372">
          <cell r="I8372" t="str">
            <v>V50420</v>
          </cell>
          <cell r="J8372" t="str">
            <v>CTC</v>
          </cell>
          <cell r="K8372" t="str">
            <v>YES</v>
          </cell>
        </row>
        <row r="8373">
          <cell r="I8373" t="str">
            <v>V50097</v>
          </cell>
          <cell r="J8373" t="str">
            <v>CTC</v>
          </cell>
          <cell r="K8373" t="str">
            <v>YES</v>
          </cell>
        </row>
        <row r="8374">
          <cell r="I8374" t="str">
            <v>V49302</v>
          </cell>
          <cell r="J8374" t="str">
            <v>CTC</v>
          </cell>
          <cell r="K8374" t="str">
            <v>YES</v>
          </cell>
        </row>
        <row r="8375">
          <cell r="I8375" t="str">
            <v>V49502</v>
          </cell>
          <cell r="J8375" t="str">
            <v>CTC</v>
          </cell>
          <cell r="K8375" t="str">
            <v>YES</v>
          </cell>
        </row>
        <row r="8376">
          <cell r="I8376" t="str">
            <v>V48781</v>
          </cell>
          <cell r="J8376" t="str">
            <v>CTC</v>
          </cell>
          <cell r="K8376" t="str">
            <v>YES</v>
          </cell>
        </row>
        <row r="8377">
          <cell r="I8377" t="str">
            <v>V50508</v>
          </cell>
          <cell r="J8377" t="str">
            <v>CTC</v>
          </cell>
          <cell r="K8377" t="str">
            <v>YES</v>
          </cell>
        </row>
        <row r="8378">
          <cell r="I8378" t="str">
            <v>V50308</v>
          </cell>
          <cell r="J8378" t="str">
            <v>CTC</v>
          </cell>
          <cell r="K8378" t="str">
            <v>YES</v>
          </cell>
        </row>
        <row r="8379">
          <cell r="I8379" t="str">
            <v>V51696</v>
          </cell>
          <cell r="J8379" t="str">
            <v>CTC</v>
          </cell>
          <cell r="K8379" t="str">
            <v>YES</v>
          </cell>
        </row>
        <row r="8380">
          <cell r="I8380" t="str">
            <v>V49754</v>
          </cell>
          <cell r="J8380" t="str">
            <v>STAT</v>
          </cell>
          <cell r="K8380" t="str">
            <v>YES</v>
          </cell>
        </row>
        <row r="8381">
          <cell r="I8381" t="str">
            <v>V50501</v>
          </cell>
          <cell r="J8381" t="str">
            <v>STAT</v>
          </cell>
          <cell r="K8381" t="str">
            <v>YES</v>
          </cell>
        </row>
        <row r="8382">
          <cell r="I8382" t="str">
            <v>V49391</v>
          </cell>
          <cell r="J8382" t="str">
            <v>CTC</v>
          </cell>
          <cell r="K8382" t="str">
            <v>YES</v>
          </cell>
        </row>
        <row r="8383">
          <cell r="I8383" t="str">
            <v>V51833</v>
          </cell>
          <cell r="J8383" t="str">
            <v>CTC</v>
          </cell>
          <cell r="K8383" t="str">
            <v>YES</v>
          </cell>
        </row>
        <row r="8384">
          <cell r="I8384" t="str">
            <v>V50389</v>
          </cell>
          <cell r="J8384" t="str">
            <v>STAT</v>
          </cell>
          <cell r="K8384" t="str">
            <v>YES</v>
          </cell>
        </row>
        <row r="8385">
          <cell r="I8385" t="str">
            <v>V49988</v>
          </cell>
          <cell r="J8385" t="str">
            <v>CTC</v>
          </cell>
          <cell r="K8385" t="str">
            <v>YES</v>
          </cell>
        </row>
        <row r="8386">
          <cell r="I8386" t="str">
            <v>V50454</v>
          </cell>
          <cell r="J8386" t="str">
            <v>STAT</v>
          </cell>
          <cell r="K8386" t="str">
            <v>YES</v>
          </cell>
        </row>
        <row r="8387">
          <cell r="I8387" t="str">
            <v>V51320</v>
          </cell>
          <cell r="J8387" t="str">
            <v>CTC</v>
          </cell>
          <cell r="K8387" t="str">
            <v>YES</v>
          </cell>
        </row>
        <row r="8388">
          <cell r="I8388" t="str">
            <v>V52710</v>
          </cell>
          <cell r="J8388" t="str">
            <v>STAT</v>
          </cell>
          <cell r="K8388" t="str">
            <v>YES</v>
          </cell>
        </row>
        <row r="8389">
          <cell r="I8389" t="str">
            <v>V49567</v>
          </cell>
          <cell r="J8389" t="str">
            <v>CTC</v>
          </cell>
          <cell r="K8389" t="str">
            <v>YES</v>
          </cell>
        </row>
        <row r="8390">
          <cell r="I8390" t="str">
            <v>V50513</v>
          </cell>
          <cell r="J8390" t="str">
            <v>CTC</v>
          </cell>
          <cell r="K8390" t="str">
            <v>YES</v>
          </cell>
        </row>
        <row r="8391">
          <cell r="I8391" t="str">
            <v>V49316</v>
          </cell>
          <cell r="J8391" t="str">
            <v>CTC</v>
          </cell>
          <cell r="K8391" t="str">
            <v>YES</v>
          </cell>
        </row>
        <row r="8392">
          <cell r="I8392" t="str">
            <v>V50364</v>
          </cell>
          <cell r="J8392" t="str">
            <v>CTC</v>
          </cell>
          <cell r="K8392" t="str">
            <v>YES</v>
          </cell>
        </row>
        <row r="8393">
          <cell r="I8393" t="str">
            <v>V50072</v>
          </cell>
          <cell r="J8393" t="str">
            <v>CTC</v>
          </cell>
          <cell r="K8393" t="str">
            <v>YES</v>
          </cell>
        </row>
        <row r="8394">
          <cell r="I8394" t="str">
            <v>V51900</v>
          </cell>
          <cell r="J8394" t="str">
            <v>STAT</v>
          </cell>
          <cell r="K8394" t="str">
            <v>YES</v>
          </cell>
        </row>
        <row r="8395">
          <cell r="I8395" t="str">
            <v>V50046</v>
          </cell>
          <cell r="J8395" t="str">
            <v>STAT</v>
          </cell>
          <cell r="K8395" t="str">
            <v>YES</v>
          </cell>
        </row>
        <row r="8396">
          <cell r="I8396" t="str">
            <v>V49693</v>
          </cell>
          <cell r="J8396" t="str">
            <v>CTC</v>
          </cell>
          <cell r="K8396" t="str">
            <v>YES</v>
          </cell>
        </row>
        <row r="8397">
          <cell r="I8397" t="str">
            <v>V50039</v>
          </cell>
          <cell r="J8397" t="str">
            <v>CTC</v>
          </cell>
          <cell r="K8397" t="str">
            <v>YES</v>
          </cell>
        </row>
        <row r="8398">
          <cell r="I8398" t="str">
            <v>V50078</v>
          </cell>
          <cell r="J8398" t="str">
            <v>CTC</v>
          </cell>
          <cell r="K8398" t="str">
            <v>YES</v>
          </cell>
        </row>
        <row r="8399">
          <cell r="I8399" t="str">
            <v>V50147</v>
          </cell>
          <cell r="J8399" t="str">
            <v>CTC</v>
          </cell>
          <cell r="K8399" t="str">
            <v>YES</v>
          </cell>
        </row>
        <row r="8400">
          <cell r="I8400" t="str">
            <v>V50588</v>
          </cell>
          <cell r="J8400" t="str">
            <v>CTC</v>
          </cell>
          <cell r="K8400" t="str">
            <v>YES</v>
          </cell>
        </row>
        <row r="8401">
          <cell r="I8401" t="str">
            <v>V47758</v>
          </cell>
          <cell r="J8401" t="str">
            <v>CTC</v>
          </cell>
          <cell r="K8401" t="str">
            <v>YES</v>
          </cell>
        </row>
        <row r="8402">
          <cell r="I8402" t="str">
            <v>V50512</v>
          </cell>
          <cell r="J8402" t="str">
            <v>CTC</v>
          </cell>
          <cell r="K8402" t="str">
            <v>YES</v>
          </cell>
        </row>
        <row r="8403">
          <cell r="I8403" t="str">
            <v>V49775</v>
          </cell>
          <cell r="J8403" t="str">
            <v>CTC</v>
          </cell>
          <cell r="K8403" t="str">
            <v>YES</v>
          </cell>
        </row>
        <row r="8404">
          <cell r="I8404" t="str">
            <v>V37008</v>
          </cell>
          <cell r="J8404" t="str">
            <v>CTC</v>
          </cell>
          <cell r="K8404" t="str">
            <v>YES</v>
          </cell>
        </row>
        <row r="8405">
          <cell r="I8405" t="str">
            <v>V50592</v>
          </cell>
          <cell r="J8405" t="str">
            <v>CTC</v>
          </cell>
          <cell r="K8405" t="str">
            <v>YES</v>
          </cell>
        </row>
        <row r="8406">
          <cell r="I8406" t="str">
            <v>V50472</v>
          </cell>
          <cell r="J8406" t="str">
            <v>CTC</v>
          </cell>
          <cell r="K8406" t="str">
            <v>YES</v>
          </cell>
        </row>
        <row r="8407">
          <cell r="I8407" t="str">
            <v>V50844</v>
          </cell>
          <cell r="J8407" t="str">
            <v>STAT</v>
          </cell>
          <cell r="K8407" t="str">
            <v>YES</v>
          </cell>
        </row>
        <row r="8408">
          <cell r="I8408" t="str">
            <v>V51274</v>
          </cell>
          <cell r="J8408" t="str">
            <v>CTC</v>
          </cell>
          <cell r="K8408" t="str">
            <v>YES</v>
          </cell>
        </row>
        <row r="8409">
          <cell r="I8409" t="str">
            <v>V49682</v>
          </cell>
          <cell r="J8409" t="str">
            <v>CTC</v>
          </cell>
          <cell r="K8409" t="str">
            <v>YES</v>
          </cell>
        </row>
        <row r="8410">
          <cell r="I8410" t="str">
            <v>V50866</v>
          </cell>
          <cell r="J8410" t="str">
            <v>CTC</v>
          </cell>
          <cell r="K8410" t="str">
            <v>YES</v>
          </cell>
        </row>
        <row r="8411">
          <cell r="I8411" t="str">
            <v>V51273</v>
          </cell>
          <cell r="J8411" t="str">
            <v>CTC</v>
          </cell>
          <cell r="K8411" t="str">
            <v>YES</v>
          </cell>
        </row>
        <row r="8412">
          <cell r="I8412" t="str">
            <v>V50267</v>
          </cell>
          <cell r="J8412" t="str">
            <v>STAT</v>
          </cell>
          <cell r="K8412" t="str">
            <v>YES</v>
          </cell>
        </row>
        <row r="8413">
          <cell r="I8413" t="str">
            <v>V50238</v>
          </cell>
          <cell r="J8413" t="str">
            <v>STAT</v>
          </cell>
          <cell r="K8413" t="str">
            <v>YES</v>
          </cell>
        </row>
        <row r="8414">
          <cell r="I8414" t="str">
            <v>V49210</v>
          </cell>
          <cell r="J8414" t="str">
            <v>CTC</v>
          </cell>
          <cell r="K8414" t="str">
            <v>YES</v>
          </cell>
        </row>
        <row r="8415">
          <cell r="I8415" t="str">
            <v>V50290</v>
          </cell>
          <cell r="J8415" t="str">
            <v>CTC</v>
          </cell>
          <cell r="K8415" t="str">
            <v>YES</v>
          </cell>
        </row>
        <row r="8416">
          <cell r="I8416" t="str">
            <v>V49594</v>
          </cell>
          <cell r="J8416" t="str">
            <v>CTC</v>
          </cell>
          <cell r="K8416" t="str">
            <v>YES</v>
          </cell>
        </row>
        <row r="8417">
          <cell r="I8417" t="str">
            <v>V50428</v>
          </cell>
          <cell r="J8417" t="str">
            <v>CTC</v>
          </cell>
          <cell r="K8417" t="str">
            <v>YES</v>
          </cell>
        </row>
        <row r="8418">
          <cell r="I8418" t="str">
            <v>V50104</v>
          </cell>
          <cell r="J8418" t="str">
            <v>CTC</v>
          </cell>
          <cell r="K8418" t="str">
            <v>YES</v>
          </cell>
        </row>
        <row r="8419">
          <cell r="I8419" t="str">
            <v>V50634</v>
          </cell>
          <cell r="J8419" t="str">
            <v>CTC</v>
          </cell>
          <cell r="K8419" t="str">
            <v>YES</v>
          </cell>
        </row>
        <row r="8420">
          <cell r="I8420" t="str">
            <v>V49828</v>
          </cell>
          <cell r="J8420" t="str">
            <v>CTC</v>
          </cell>
          <cell r="K8420" t="str">
            <v>YES</v>
          </cell>
        </row>
        <row r="8421">
          <cell r="I8421" t="str">
            <v>V50108</v>
          </cell>
          <cell r="J8421" t="str">
            <v>CTC</v>
          </cell>
          <cell r="K8421" t="str">
            <v>YES</v>
          </cell>
        </row>
        <row r="8422">
          <cell r="I8422" t="str">
            <v>V50726</v>
          </cell>
          <cell r="J8422" t="str">
            <v>CTC</v>
          </cell>
          <cell r="K8422" t="str">
            <v>YES</v>
          </cell>
        </row>
        <row r="8423">
          <cell r="I8423" t="str">
            <v>V50858</v>
          </cell>
          <cell r="J8423" t="str">
            <v>CTC</v>
          </cell>
          <cell r="K8423" t="str">
            <v>YES</v>
          </cell>
        </row>
        <row r="8424">
          <cell r="I8424" t="str">
            <v>V50058</v>
          </cell>
          <cell r="J8424" t="str">
            <v>CTC</v>
          </cell>
          <cell r="K8424" t="str">
            <v>YES</v>
          </cell>
        </row>
        <row r="8425">
          <cell r="I8425" t="str">
            <v>V50094</v>
          </cell>
          <cell r="J8425" t="str">
            <v>CTC</v>
          </cell>
          <cell r="K8425" t="str">
            <v>YES</v>
          </cell>
        </row>
        <row r="8426">
          <cell r="I8426" t="str">
            <v>V50192</v>
          </cell>
          <cell r="J8426" t="str">
            <v>CTC</v>
          </cell>
          <cell r="K8426" t="str">
            <v>YES</v>
          </cell>
        </row>
        <row r="8427">
          <cell r="I8427" t="str">
            <v>V49707</v>
          </cell>
          <cell r="J8427" t="str">
            <v>CTC</v>
          </cell>
          <cell r="K8427" t="str">
            <v>YES</v>
          </cell>
        </row>
        <row r="8428">
          <cell r="I8428" t="str">
            <v>V52392</v>
          </cell>
          <cell r="J8428" t="str">
            <v>CTC</v>
          </cell>
          <cell r="K8428" t="str">
            <v>YES</v>
          </cell>
        </row>
        <row r="8429">
          <cell r="I8429" t="str">
            <v>V48798</v>
          </cell>
          <cell r="J8429" t="str">
            <v>CTC</v>
          </cell>
          <cell r="K8429" t="str">
            <v>YES</v>
          </cell>
        </row>
        <row r="8430">
          <cell r="I8430" t="str">
            <v>V50160</v>
          </cell>
          <cell r="J8430" t="str">
            <v>CTC</v>
          </cell>
          <cell r="K8430" t="str">
            <v>YES</v>
          </cell>
        </row>
        <row r="8431">
          <cell r="I8431" t="str">
            <v>V49274</v>
          </cell>
          <cell r="J8431" t="str">
            <v>CTC</v>
          </cell>
          <cell r="K8431" t="str">
            <v>YES</v>
          </cell>
        </row>
        <row r="8432">
          <cell r="I8432" t="str">
            <v>V52008</v>
          </cell>
          <cell r="J8432" t="str">
            <v>STAT</v>
          </cell>
          <cell r="K8432" t="str">
            <v>YES</v>
          </cell>
        </row>
        <row r="8433">
          <cell r="I8433" t="str">
            <v>V51655</v>
          </cell>
          <cell r="J8433" t="str">
            <v>CTC</v>
          </cell>
          <cell r="K8433" t="str">
            <v>YES</v>
          </cell>
        </row>
        <row r="8434">
          <cell r="I8434" t="str">
            <v>V49785</v>
          </cell>
          <cell r="J8434" t="str">
            <v>CTC</v>
          </cell>
          <cell r="K8434" t="str">
            <v>YES</v>
          </cell>
        </row>
        <row r="8435">
          <cell r="I8435" t="str">
            <v>V49943</v>
          </cell>
          <cell r="J8435" t="str">
            <v>CTC</v>
          </cell>
          <cell r="K8435" t="str">
            <v>YES</v>
          </cell>
        </row>
        <row r="8436">
          <cell r="I8436" t="str">
            <v>V51867</v>
          </cell>
          <cell r="J8436" t="str">
            <v>CTC</v>
          </cell>
          <cell r="K8436" t="str">
            <v>YES</v>
          </cell>
        </row>
        <row r="8437">
          <cell r="I8437" t="str">
            <v>V51297</v>
          </cell>
          <cell r="J8437" t="str">
            <v>CTC</v>
          </cell>
          <cell r="K8437" t="str">
            <v>YES</v>
          </cell>
        </row>
        <row r="8438">
          <cell r="I8438" t="str">
            <v>V50032</v>
          </cell>
          <cell r="J8438" t="str">
            <v>CTC</v>
          </cell>
          <cell r="K8438" t="str">
            <v>YES</v>
          </cell>
        </row>
        <row r="8439">
          <cell r="I8439" t="str">
            <v>V51193</v>
          </cell>
          <cell r="J8439" t="str">
            <v>CTC</v>
          </cell>
          <cell r="K8439" t="str">
            <v>YES</v>
          </cell>
        </row>
        <row r="8440">
          <cell r="I8440" t="str">
            <v>V50241</v>
          </cell>
          <cell r="J8440" t="str">
            <v>CTC</v>
          </cell>
          <cell r="K8440" t="str">
            <v>YES</v>
          </cell>
        </row>
        <row r="8441">
          <cell r="I8441" t="str">
            <v>V49268</v>
          </cell>
          <cell r="J8441" t="str">
            <v>CTC</v>
          </cell>
          <cell r="K8441" t="str">
            <v>YES</v>
          </cell>
        </row>
        <row r="8442">
          <cell r="I8442" t="str">
            <v>V50494</v>
          </cell>
          <cell r="J8442" t="str">
            <v>CTC</v>
          </cell>
          <cell r="K8442" t="str">
            <v>YES</v>
          </cell>
        </row>
        <row r="8443">
          <cell r="I8443" t="str">
            <v>V52551</v>
          </cell>
          <cell r="J8443" t="str">
            <v>STAT</v>
          </cell>
          <cell r="K8443" t="str">
            <v>YES</v>
          </cell>
        </row>
        <row r="8444">
          <cell r="I8444" t="str">
            <v>V50789</v>
          </cell>
          <cell r="J8444" t="str">
            <v>CTC</v>
          </cell>
          <cell r="K8444" t="str">
            <v>YES</v>
          </cell>
        </row>
        <row r="8445">
          <cell r="I8445" t="str">
            <v>V50451</v>
          </cell>
          <cell r="J8445" t="str">
            <v>CTC</v>
          </cell>
          <cell r="K8445" t="str">
            <v>YES</v>
          </cell>
        </row>
        <row r="8446">
          <cell r="I8446" t="str">
            <v>V50220</v>
          </cell>
          <cell r="J8446" t="str">
            <v>CTC</v>
          </cell>
          <cell r="K8446" t="str">
            <v>YES</v>
          </cell>
        </row>
        <row r="8447">
          <cell r="I8447" t="str">
            <v>V50276</v>
          </cell>
          <cell r="J8447" t="str">
            <v>STAT</v>
          </cell>
          <cell r="K8447" t="str">
            <v>YES</v>
          </cell>
        </row>
        <row r="8448">
          <cell r="I8448" t="str">
            <v>V50551</v>
          </cell>
          <cell r="J8448" t="str">
            <v>CTC</v>
          </cell>
          <cell r="K8448" t="str">
            <v>YES</v>
          </cell>
        </row>
        <row r="8449">
          <cell r="I8449" t="str">
            <v>V50897</v>
          </cell>
          <cell r="J8449" t="str">
            <v>CTC</v>
          </cell>
          <cell r="K8449" t="str">
            <v>YES</v>
          </cell>
        </row>
        <row r="8450">
          <cell r="I8450" t="str">
            <v>V50199</v>
          </cell>
          <cell r="J8450" t="str">
            <v>CTC</v>
          </cell>
          <cell r="K8450" t="str">
            <v>YES</v>
          </cell>
        </row>
        <row r="8451">
          <cell r="I8451" t="str">
            <v>V50575</v>
          </cell>
          <cell r="J8451" t="str">
            <v>STAT</v>
          </cell>
          <cell r="K8451" t="str">
            <v>YES</v>
          </cell>
        </row>
        <row r="8452">
          <cell r="I8452" t="str">
            <v>V49142</v>
          </cell>
          <cell r="J8452" t="str">
            <v>CTC</v>
          </cell>
          <cell r="K8452" t="str">
            <v>YES</v>
          </cell>
        </row>
        <row r="8453">
          <cell r="I8453" t="str">
            <v>V49343</v>
          </cell>
          <cell r="J8453" t="str">
            <v>CTC</v>
          </cell>
          <cell r="K8453" t="str">
            <v>YES</v>
          </cell>
        </row>
        <row r="8454">
          <cell r="I8454" t="str">
            <v>V50157</v>
          </cell>
          <cell r="J8454" t="str">
            <v>CTC</v>
          </cell>
          <cell r="K8454" t="str">
            <v>YES</v>
          </cell>
        </row>
        <row r="8455">
          <cell r="I8455" t="str">
            <v>V50951</v>
          </cell>
          <cell r="J8455" t="str">
            <v>CTC</v>
          </cell>
          <cell r="K8455" t="str">
            <v>YES</v>
          </cell>
        </row>
        <row r="8456">
          <cell r="I8456" t="str">
            <v>V51864</v>
          </cell>
          <cell r="J8456" t="str">
            <v>CTC</v>
          </cell>
          <cell r="K8456" t="str">
            <v>YES</v>
          </cell>
        </row>
        <row r="8457">
          <cell r="I8457" t="str">
            <v>V50425</v>
          </cell>
          <cell r="J8457" t="str">
            <v>CTC</v>
          </cell>
          <cell r="K8457" t="str">
            <v>YES</v>
          </cell>
        </row>
        <row r="8458">
          <cell r="I8458" t="str">
            <v>V51547</v>
          </cell>
          <cell r="J8458" t="str">
            <v>CTC</v>
          </cell>
          <cell r="K8458" t="str">
            <v>YES</v>
          </cell>
        </row>
        <row r="8459">
          <cell r="I8459" t="str">
            <v>V52893</v>
          </cell>
          <cell r="J8459" t="str">
            <v>STAT</v>
          </cell>
          <cell r="K8459" t="str">
            <v>YES</v>
          </cell>
        </row>
        <row r="8460">
          <cell r="I8460" t="str">
            <v>V50648</v>
          </cell>
          <cell r="J8460" t="str">
            <v>CTC</v>
          </cell>
          <cell r="K8460" t="str">
            <v>YES</v>
          </cell>
        </row>
        <row r="8461">
          <cell r="I8461" t="str">
            <v>V50780</v>
          </cell>
          <cell r="J8461" t="str">
            <v>STAT</v>
          </cell>
          <cell r="K8461" t="str">
            <v>YES</v>
          </cell>
        </row>
        <row r="8462">
          <cell r="I8462" t="str">
            <v>V49678</v>
          </cell>
          <cell r="J8462" t="str">
            <v>CTC</v>
          </cell>
          <cell r="K8462" t="str">
            <v>YES</v>
          </cell>
        </row>
        <row r="8463">
          <cell r="I8463" t="str">
            <v>V50598</v>
          </cell>
          <cell r="J8463" t="str">
            <v>CTC</v>
          </cell>
          <cell r="K8463" t="str">
            <v>YES</v>
          </cell>
        </row>
        <row r="8464">
          <cell r="I8464" t="str">
            <v>V49242</v>
          </cell>
          <cell r="J8464" t="str">
            <v>CTC</v>
          </cell>
          <cell r="K8464" t="str">
            <v>YES</v>
          </cell>
        </row>
        <row r="8465">
          <cell r="I8465" t="str">
            <v>V50295</v>
          </cell>
          <cell r="J8465" t="str">
            <v>STAT</v>
          </cell>
          <cell r="K8465" t="str">
            <v>YES</v>
          </cell>
        </row>
        <row r="8466">
          <cell r="I8466" t="str">
            <v>V50978</v>
          </cell>
          <cell r="J8466" t="str">
            <v>CTC</v>
          </cell>
          <cell r="K8466" t="str">
            <v>YES</v>
          </cell>
        </row>
        <row r="8467">
          <cell r="I8467" t="str">
            <v>V51300</v>
          </cell>
          <cell r="J8467" t="str">
            <v>CTC</v>
          </cell>
          <cell r="K8467" t="str">
            <v>YES</v>
          </cell>
        </row>
        <row r="8468">
          <cell r="I8468" t="str">
            <v>V50452</v>
          </cell>
          <cell r="J8468" t="str">
            <v>CTC</v>
          </cell>
          <cell r="K8468" t="str">
            <v>YES</v>
          </cell>
        </row>
        <row r="8469">
          <cell r="I8469" t="str">
            <v>V50353</v>
          </cell>
          <cell r="J8469" t="str">
            <v>CTC</v>
          </cell>
          <cell r="K8469" t="str">
            <v>YES</v>
          </cell>
        </row>
        <row r="8470">
          <cell r="I8470" t="str">
            <v>V50491</v>
          </cell>
          <cell r="J8470" t="str">
            <v>CTC</v>
          </cell>
          <cell r="K8470" t="str">
            <v>YES</v>
          </cell>
        </row>
        <row r="8471">
          <cell r="I8471" t="str">
            <v>V50492</v>
          </cell>
          <cell r="J8471" t="str">
            <v>CTC</v>
          </cell>
          <cell r="K8471" t="str">
            <v>YES</v>
          </cell>
        </row>
        <row r="8472">
          <cell r="I8472" t="str">
            <v>V49101</v>
          </cell>
          <cell r="J8472" t="str">
            <v>CTC</v>
          </cell>
          <cell r="K8472" t="str">
            <v>YES</v>
          </cell>
        </row>
        <row r="8473">
          <cell r="I8473" t="str">
            <v>V51350</v>
          </cell>
          <cell r="J8473" t="str">
            <v>CTC</v>
          </cell>
          <cell r="K8473" t="str">
            <v>YES</v>
          </cell>
        </row>
        <row r="8474">
          <cell r="I8474" t="str">
            <v>V51260</v>
          </cell>
          <cell r="J8474" t="str">
            <v>CTC</v>
          </cell>
          <cell r="K8474" t="str">
            <v>YES</v>
          </cell>
        </row>
        <row r="8475">
          <cell r="I8475" t="str">
            <v>V51261</v>
          </cell>
          <cell r="J8475" t="str">
            <v>CTC</v>
          </cell>
          <cell r="K8475" t="str">
            <v>YES</v>
          </cell>
        </row>
        <row r="8476">
          <cell r="I8476" t="str">
            <v>V51225</v>
          </cell>
          <cell r="J8476" t="str">
            <v>CTC</v>
          </cell>
          <cell r="K8476" t="str">
            <v>YES</v>
          </cell>
        </row>
        <row r="8477">
          <cell r="I8477" t="str">
            <v>V49876</v>
          </cell>
          <cell r="J8477" t="str">
            <v>CTC</v>
          </cell>
          <cell r="K8477" t="str">
            <v>YES</v>
          </cell>
        </row>
        <row r="8478">
          <cell r="I8478" t="str">
            <v>V50098</v>
          </cell>
          <cell r="J8478" t="str">
            <v>CTC</v>
          </cell>
          <cell r="K8478" t="str">
            <v>YES</v>
          </cell>
        </row>
        <row r="8479">
          <cell r="I8479" t="str">
            <v>V49914</v>
          </cell>
          <cell r="J8479" t="str">
            <v>STAT</v>
          </cell>
          <cell r="K8479" t="str">
            <v>YES</v>
          </cell>
        </row>
        <row r="8480">
          <cell r="I8480" t="str">
            <v>V50439</v>
          </cell>
          <cell r="J8480" t="str">
            <v>CTC</v>
          </cell>
          <cell r="K8480" t="str">
            <v>YES</v>
          </cell>
        </row>
        <row r="8481">
          <cell r="I8481" t="str">
            <v>V51720</v>
          </cell>
          <cell r="J8481" t="str">
            <v>CTC</v>
          </cell>
          <cell r="K8481" t="str">
            <v>YES</v>
          </cell>
        </row>
        <row r="8482">
          <cell r="I8482" t="str">
            <v>V49249</v>
          </cell>
          <cell r="J8482" t="str">
            <v>CTC</v>
          </cell>
          <cell r="K8482" t="str">
            <v>YES</v>
          </cell>
        </row>
        <row r="8483">
          <cell r="I8483" t="str">
            <v>V50489</v>
          </cell>
          <cell r="J8483" t="str">
            <v>CTC</v>
          </cell>
          <cell r="K8483" t="str">
            <v>YES</v>
          </cell>
        </row>
        <row r="8484">
          <cell r="I8484" t="str">
            <v>V51251</v>
          </cell>
          <cell r="J8484" t="str">
            <v>CTC</v>
          </cell>
          <cell r="K8484" t="str">
            <v>YES</v>
          </cell>
        </row>
        <row r="8485">
          <cell r="I8485" t="str">
            <v>V49831</v>
          </cell>
          <cell r="J8485" t="str">
            <v>CTC</v>
          </cell>
          <cell r="K8485" t="str">
            <v>YES</v>
          </cell>
        </row>
        <row r="8486">
          <cell r="I8486" t="str">
            <v>V50164</v>
          </cell>
          <cell r="J8486" t="str">
            <v>STAT</v>
          </cell>
          <cell r="K8486" t="str">
            <v>YES</v>
          </cell>
        </row>
        <row r="8487">
          <cell r="I8487" t="str">
            <v>V50269</v>
          </cell>
          <cell r="J8487" t="str">
            <v>STAT</v>
          </cell>
          <cell r="K8487" t="str">
            <v>YES</v>
          </cell>
        </row>
        <row r="8488">
          <cell r="I8488" t="str">
            <v>V50272</v>
          </cell>
          <cell r="J8488" t="str">
            <v>STAT</v>
          </cell>
          <cell r="K8488" t="str">
            <v>YES</v>
          </cell>
        </row>
        <row r="8489">
          <cell r="I8489" t="str">
            <v>V50375</v>
          </cell>
          <cell r="J8489" t="str">
            <v>CTC</v>
          </cell>
          <cell r="K8489" t="str">
            <v>YES</v>
          </cell>
        </row>
        <row r="8490">
          <cell r="I8490" t="str">
            <v>V50315</v>
          </cell>
          <cell r="J8490" t="str">
            <v>CTC</v>
          </cell>
          <cell r="K8490" t="str">
            <v>YES</v>
          </cell>
        </row>
        <row r="8491">
          <cell r="I8491" t="str">
            <v>V51417</v>
          </cell>
          <cell r="J8491" t="str">
            <v>CTC</v>
          </cell>
          <cell r="K8491" t="str">
            <v>YES</v>
          </cell>
        </row>
        <row r="8492">
          <cell r="I8492" t="str">
            <v>V50544</v>
          </cell>
          <cell r="J8492" t="str">
            <v>CTC</v>
          </cell>
          <cell r="K8492" t="str">
            <v>YES</v>
          </cell>
        </row>
        <row r="8493">
          <cell r="I8493" t="str">
            <v>V51846</v>
          </cell>
          <cell r="J8493" t="str">
            <v>CTC</v>
          </cell>
          <cell r="K8493" t="str">
            <v>YES</v>
          </cell>
        </row>
        <row r="8494">
          <cell r="I8494" t="str">
            <v>V50421</v>
          </cell>
          <cell r="J8494" t="str">
            <v>CTC</v>
          </cell>
          <cell r="K8494" t="str">
            <v>YES</v>
          </cell>
        </row>
        <row r="8495">
          <cell r="I8495" t="str">
            <v>V50674</v>
          </cell>
          <cell r="J8495" t="str">
            <v>CTC</v>
          </cell>
          <cell r="K8495" t="str">
            <v>YES</v>
          </cell>
        </row>
        <row r="8496">
          <cell r="I8496" t="str">
            <v>V51731</v>
          </cell>
          <cell r="J8496" t="str">
            <v>CTC</v>
          </cell>
          <cell r="K8496" t="str">
            <v>YES</v>
          </cell>
        </row>
        <row r="8497">
          <cell r="I8497" t="str">
            <v>V50600</v>
          </cell>
          <cell r="J8497" t="str">
            <v>CTC</v>
          </cell>
          <cell r="K8497" t="str">
            <v>YES</v>
          </cell>
        </row>
        <row r="8498">
          <cell r="I8498" t="str">
            <v>V50960</v>
          </cell>
          <cell r="J8498" t="str">
            <v>CTC</v>
          </cell>
          <cell r="K8498" t="str">
            <v>YES</v>
          </cell>
        </row>
        <row r="8499">
          <cell r="I8499" t="str">
            <v>V50343</v>
          </cell>
          <cell r="J8499" t="str">
            <v>CTC</v>
          </cell>
          <cell r="K8499" t="str">
            <v>YES</v>
          </cell>
        </row>
        <row r="8500">
          <cell r="I8500" t="str">
            <v>V50548</v>
          </cell>
          <cell r="J8500" t="str">
            <v>CTC</v>
          </cell>
          <cell r="K8500" t="str">
            <v>YES</v>
          </cell>
        </row>
        <row r="8501">
          <cell r="I8501" t="str">
            <v>V50388</v>
          </cell>
          <cell r="J8501" t="str">
            <v>STAT</v>
          </cell>
          <cell r="K8501" t="str">
            <v>YES</v>
          </cell>
        </row>
        <row r="8502">
          <cell r="I8502" t="str">
            <v>V50515</v>
          </cell>
          <cell r="J8502" t="str">
            <v>CTC</v>
          </cell>
          <cell r="K8502" t="str">
            <v>YES</v>
          </cell>
        </row>
        <row r="8503">
          <cell r="I8503" t="str">
            <v>V51535</v>
          </cell>
          <cell r="J8503" t="str">
            <v>CTC</v>
          </cell>
          <cell r="K8503" t="str">
            <v>YES</v>
          </cell>
        </row>
        <row r="8504">
          <cell r="I8504" t="str">
            <v>V49148</v>
          </cell>
          <cell r="J8504" t="str">
            <v>CTC</v>
          </cell>
          <cell r="K8504" t="str">
            <v>YES</v>
          </cell>
        </row>
        <row r="8505">
          <cell r="I8505" t="str">
            <v>V48934</v>
          </cell>
          <cell r="J8505" t="str">
            <v>STAT</v>
          </cell>
          <cell r="K8505" t="str">
            <v>YES</v>
          </cell>
        </row>
        <row r="8506">
          <cell r="I8506" t="str">
            <v>V50374</v>
          </cell>
          <cell r="J8506" t="str">
            <v>CTC</v>
          </cell>
          <cell r="K8506" t="str">
            <v>YES</v>
          </cell>
        </row>
        <row r="8507">
          <cell r="I8507" t="str">
            <v>V50901</v>
          </cell>
          <cell r="J8507" t="str">
            <v>CTC</v>
          </cell>
          <cell r="K8507" t="str">
            <v>YES</v>
          </cell>
        </row>
        <row r="8508">
          <cell r="I8508" t="str">
            <v>V51067</v>
          </cell>
          <cell r="J8508" t="str">
            <v>CTC</v>
          </cell>
          <cell r="K8508" t="str">
            <v>YES</v>
          </cell>
        </row>
        <row r="8509">
          <cell r="I8509" t="str">
            <v>V51414</v>
          </cell>
          <cell r="J8509" t="str">
            <v>CTC</v>
          </cell>
          <cell r="K8509" t="str">
            <v>YES</v>
          </cell>
        </row>
        <row r="8510">
          <cell r="I8510" t="str">
            <v>V50034</v>
          </cell>
          <cell r="J8510" t="str">
            <v>CTC</v>
          </cell>
          <cell r="K8510" t="str">
            <v>YES</v>
          </cell>
        </row>
        <row r="8511">
          <cell r="I8511" t="str">
            <v>V50280</v>
          </cell>
          <cell r="J8511" t="str">
            <v>STAT</v>
          </cell>
          <cell r="K8511" t="str">
            <v>YES</v>
          </cell>
        </row>
        <row r="8512">
          <cell r="I8512" t="str">
            <v>V51511</v>
          </cell>
          <cell r="J8512" t="str">
            <v>CTC</v>
          </cell>
          <cell r="K8512" t="str">
            <v>YES</v>
          </cell>
        </row>
        <row r="8513">
          <cell r="I8513" t="str">
            <v>V51834</v>
          </cell>
          <cell r="J8513" t="str">
            <v>CTC</v>
          </cell>
          <cell r="K8513" t="str">
            <v>YES</v>
          </cell>
        </row>
        <row r="8514">
          <cell r="I8514" t="str">
            <v>V49118</v>
          </cell>
          <cell r="J8514" t="str">
            <v>CTC</v>
          </cell>
          <cell r="K8514" t="str">
            <v>YES</v>
          </cell>
        </row>
        <row r="8515">
          <cell r="I8515" t="str">
            <v>V49937</v>
          </cell>
          <cell r="J8515" t="str">
            <v>CTC</v>
          </cell>
          <cell r="K8515" t="str">
            <v>YES</v>
          </cell>
        </row>
        <row r="8516">
          <cell r="I8516" t="str">
            <v>V51381</v>
          </cell>
          <cell r="J8516" t="str">
            <v>CTC</v>
          </cell>
          <cell r="K8516" t="str">
            <v>YES</v>
          </cell>
        </row>
        <row r="8517">
          <cell r="I8517" t="str">
            <v>V50562</v>
          </cell>
          <cell r="J8517" t="str">
            <v>CTC</v>
          </cell>
          <cell r="K8517" t="str">
            <v>YES</v>
          </cell>
        </row>
        <row r="8518">
          <cell r="I8518" t="str">
            <v>V51855</v>
          </cell>
          <cell r="J8518" t="str">
            <v>CTC</v>
          </cell>
          <cell r="K8518" t="str">
            <v>YES</v>
          </cell>
        </row>
        <row r="8519">
          <cell r="I8519" t="str">
            <v>V52977</v>
          </cell>
          <cell r="J8519" t="str">
            <v>STAT</v>
          </cell>
          <cell r="K8519" t="str">
            <v>YES</v>
          </cell>
        </row>
        <row r="8520">
          <cell r="I8520" t="str">
            <v>V35561</v>
          </cell>
          <cell r="J8520" t="str">
            <v>CTC</v>
          </cell>
          <cell r="K8520" t="str">
            <v>YES</v>
          </cell>
        </row>
        <row r="8521">
          <cell r="I8521" t="str">
            <v>V52007</v>
          </cell>
          <cell r="J8521" t="str">
            <v>CTC</v>
          </cell>
          <cell r="K8521" t="str">
            <v>YES</v>
          </cell>
        </row>
        <row r="8522">
          <cell r="I8522" t="str">
            <v>V50595</v>
          </cell>
          <cell r="J8522" t="str">
            <v>CTC</v>
          </cell>
          <cell r="K8522" t="str">
            <v>YES</v>
          </cell>
        </row>
        <row r="8523">
          <cell r="I8523" t="str">
            <v>V50854</v>
          </cell>
          <cell r="J8523" t="str">
            <v>CTC</v>
          </cell>
          <cell r="K8523" t="str">
            <v>YES</v>
          </cell>
        </row>
        <row r="8524">
          <cell r="I8524" t="str">
            <v>V51280</v>
          </cell>
          <cell r="J8524" t="str">
            <v>STAT</v>
          </cell>
          <cell r="K8524" t="str">
            <v>YES</v>
          </cell>
        </row>
        <row r="8525">
          <cell r="I8525" t="str">
            <v>V50020</v>
          </cell>
          <cell r="J8525" t="str">
            <v>CTC</v>
          </cell>
          <cell r="K8525" t="str">
            <v>YES</v>
          </cell>
        </row>
        <row r="8526">
          <cell r="I8526" t="str">
            <v>V50948</v>
          </cell>
          <cell r="J8526" t="str">
            <v>CTC</v>
          </cell>
          <cell r="K8526" t="str">
            <v>YES</v>
          </cell>
        </row>
        <row r="8527">
          <cell r="I8527" t="str">
            <v>V51649</v>
          </cell>
          <cell r="J8527" t="str">
            <v>CTC</v>
          </cell>
          <cell r="K8527" t="str">
            <v>YES</v>
          </cell>
        </row>
        <row r="8528">
          <cell r="I8528" t="str">
            <v>V49827</v>
          </cell>
          <cell r="J8528" t="str">
            <v>CTC</v>
          </cell>
          <cell r="K8528" t="str">
            <v>YES</v>
          </cell>
        </row>
        <row r="8529">
          <cell r="I8529" t="str">
            <v>V47825</v>
          </cell>
          <cell r="J8529" t="str">
            <v>STAT</v>
          </cell>
          <cell r="K8529" t="str">
            <v>YES</v>
          </cell>
        </row>
        <row r="8530">
          <cell r="I8530" t="str">
            <v>V53596</v>
          </cell>
          <cell r="J8530" t="str">
            <v>CTC</v>
          </cell>
          <cell r="K8530" t="str">
            <v>YES</v>
          </cell>
        </row>
        <row r="8531">
          <cell r="I8531" t="str">
            <v>V53588</v>
          </cell>
          <cell r="J8531" t="str">
            <v>CTC</v>
          </cell>
          <cell r="K8531" t="str">
            <v>YES</v>
          </cell>
        </row>
        <row r="8532">
          <cell r="I8532" t="str">
            <v>V53579</v>
          </cell>
          <cell r="J8532" t="str">
            <v>CTC</v>
          </cell>
          <cell r="K8532" t="str">
            <v>YES</v>
          </cell>
        </row>
        <row r="8533">
          <cell r="I8533" t="str">
            <v>V51539</v>
          </cell>
          <cell r="J8533" t="str">
            <v>STAT</v>
          </cell>
          <cell r="K8533" t="str">
            <v>YES</v>
          </cell>
        </row>
        <row r="8534">
          <cell r="I8534" t="str">
            <v>V51501</v>
          </cell>
          <cell r="J8534" t="str">
            <v>CTC</v>
          </cell>
          <cell r="K8534" t="str">
            <v>YES</v>
          </cell>
        </row>
        <row r="8535">
          <cell r="I8535" t="str">
            <v>V51430</v>
          </cell>
          <cell r="J8535" t="str">
            <v>CTC</v>
          </cell>
          <cell r="K8535" t="str">
            <v>YES</v>
          </cell>
        </row>
        <row r="8536">
          <cell r="I8536" t="str">
            <v>V51654</v>
          </cell>
          <cell r="J8536" t="str">
            <v>CTC</v>
          </cell>
          <cell r="K8536" t="str">
            <v>YES</v>
          </cell>
        </row>
        <row r="8537">
          <cell r="I8537" t="str">
            <v>V51144</v>
          </cell>
          <cell r="J8537" t="str">
            <v>CTC</v>
          </cell>
          <cell r="K8537" t="str">
            <v>YES</v>
          </cell>
        </row>
        <row r="8538">
          <cell r="I8538" t="str">
            <v>V50746</v>
          </cell>
          <cell r="J8538" t="str">
            <v>CTC</v>
          </cell>
          <cell r="K8538" t="str">
            <v>YES</v>
          </cell>
        </row>
        <row r="8539">
          <cell r="I8539" t="str">
            <v>V51005</v>
          </cell>
          <cell r="J8539" t="str">
            <v>CTC</v>
          </cell>
          <cell r="K8539" t="str">
            <v>YES</v>
          </cell>
        </row>
        <row r="8540">
          <cell r="I8540" t="str">
            <v>V50898</v>
          </cell>
          <cell r="J8540" t="str">
            <v>CTC</v>
          </cell>
          <cell r="K8540" t="str">
            <v>YES</v>
          </cell>
        </row>
        <row r="8541">
          <cell r="I8541" t="str">
            <v>V49608</v>
          </cell>
          <cell r="J8541" t="str">
            <v>CTC</v>
          </cell>
          <cell r="K8541" t="str">
            <v>YES</v>
          </cell>
        </row>
        <row r="8542">
          <cell r="I8542" t="str">
            <v>V50270</v>
          </cell>
          <cell r="J8542" t="str">
            <v>CTC</v>
          </cell>
          <cell r="K8542" t="str">
            <v>YES</v>
          </cell>
        </row>
        <row r="8543">
          <cell r="I8543" t="str">
            <v>V52680</v>
          </cell>
          <cell r="J8543" t="str">
            <v>STAT</v>
          </cell>
          <cell r="K8543" t="str">
            <v>YES</v>
          </cell>
        </row>
        <row r="8544">
          <cell r="I8544" t="str">
            <v>V51630</v>
          </cell>
          <cell r="J8544" t="str">
            <v>CTC</v>
          </cell>
          <cell r="K8544" t="str">
            <v>YES</v>
          </cell>
        </row>
        <row r="8545">
          <cell r="I8545" t="str">
            <v>V51590</v>
          </cell>
          <cell r="J8545" t="str">
            <v>CTC</v>
          </cell>
          <cell r="K8545" t="str">
            <v>YES</v>
          </cell>
        </row>
        <row r="8546">
          <cell r="I8546" t="str">
            <v>V51521</v>
          </cell>
          <cell r="J8546" t="str">
            <v>CTC</v>
          </cell>
          <cell r="K8546" t="str">
            <v>YES</v>
          </cell>
        </row>
        <row r="8547">
          <cell r="I8547" t="str">
            <v>V51643</v>
          </cell>
          <cell r="J8547" t="str">
            <v>CTC</v>
          </cell>
          <cell r="K8547" t="str">
            <v>YES</v>
          </cell>
        </row>
        <row r="8548">
          <cell r="I8548" t="str">
            <v>V52600</v>
          </cell>
          <cell r="J8548" t="str">
            <v>STAT</v>
          </cell>
          <cell r="K8548" t="str">
            <v>YES</v>
          </cell>
        </row>
        <row r="8549">
          <cell r="I8549" t="str">
            <v>V53439</v>
          </cell>
          <cell r="J8549" t="str">
            <v>CTC</v>
          </cell>
          <cell r="K8549" t="str">
            <v>YES</v>
          </cell>
        </row>
        <row r="8550">
          <cell r="I8550" t="str">
            <v>V51097</v>
          </cell>
          <cell r="J8550" t="str">
            <v>CTC</v>
          </cell>
          <cell r="K8550" t="str">
            <v>YES</v>
          </cell>
        </row>
        <row r="8551">
          <cell r="I8551" t="str">
            <v>V51098</v>
          </cell>
          <cell r="J8551" t="str">
            <v>STAT</v>
          </cell>
          <cell r="K8551" t="str">
            <v>YES</v>
          </cell>
        </row>
        <row r="8552">
          <cell r="I8552" t="str">
            <v>V51264</v>
          </cell>
          <cell r="J8552" t="str">
            <v>CTC</v>
          </cell>
          <cell r="K8552" t="str">
            <v>YES</v>
          </cell>
        </row>
        <row r="8553">
          <cell r="I8553" t="str">
            <v>V51845</v>
          </cell>
          <cell r="J8553" t="str">
            <v>CTC</v>
          </cell>
          <cell r="K8553" t="str">
            <v>YES</v>
          </cell>
        </row>
        <row r="8554">
          <cell r="I8554" t="str">
            <v>V50041</v>
          </cell>
          <cell r="J8554" t="str">
            <v>CTC</v>
          </cell>
          <cell r="K8554" t="str">
            <v>YES</v>
          </cell>
        </row>
        <row r="8555">
          <cell r="I8555" t="str">
            <v>V51805</v>
          </cell>
          <cell r="J8555" t="str">
            <v>CTC</v>
          </cell>
          <cell r="K8555" t="str">
            <v>YES</v>
          </cell>
        </row>
        <row r="8556">
          <cell r="I8556" t="str">
            <v>V52980</v>
          </cell>
          <cell r="J8556" t="str">
            <v>STAT</v>
          </cell>
          <cell r="K8556" t="str">
            <v>YES</v>
          </cell>
        </row>
        <row r="8557">
          <cell r="I8557" t="str">
            <v>V50265</v>
          </cell>
          <cell r="J8557" t="str">
            <v>STAT</v>
          </cell>
          <cell r="K8557" t="str">
            <v>YES</v>
          </cell>
        </row>
        <row r="8558">
          <cell r="I8558" t="str">
            <v>V50972</v>
          </cell>
          <cell r="J8558" t="str">
            <v>CTC</v>
          </cell>
          <cell r="K8558" t="str">
            <v>YES</v>
          </cell>
        </row>
        <row r="8559">
          <cell r="I8559" t="str">
            <v>V50040</v>
          </cell>
          <cell r="J8559" t="str">
            <v>CTC</v>
          </cell>
          <cell r="K8559" t="str">
            <v>YES</v>
          </cell>
        </row>
        <row r="8560">
          <cell r="I8560" t="str">
            <v>V50042</v>
          </cell>
          <cell r="J8560" t="str">
            <v>CTC</v>
          </cell>
          <cell r="K8560" t="str">
            <v>YES</v>
          </cell>
        </row>
        <row r="8561">
          <cell r="I8561" t="str">
            <v>V50593</v>
          </cell>
          <cell r="J8561" t="str">
            <v>CTC</v>
          </cell>
          <cell r="K8561" t="str">
            <v>YES</v>
          </cell>
        </row>
        <row r="8562">
          <cell r="I8562" t="str">
            <v>V51278</v>
          </cell>
          <cell r="J8562" t="str">
            <v>CTC</v>
          </cell>
          <cell r="K8562" t="str">
            <v>YES</v>
          </cell>
        </row>
        <row r="8563">
          <cell r="I8563" t="str">
            <v>V51250</v>
          </cell>
          <cell r="J8563" t="str">
            <v>CTC</v>
          </cell>
          <cell r="K8563" t="str">
            <v>YES</v>
          </cell>
        </row>
        <row r="8564">
          <cell r="I8564" t="str">
            <v>V50591</v>
          </cell>
          <cell r="J8564" t="str">
            <v>CTC</v>
          </cell>
          <cell r="K8564" t="str">
            <v>YES</v>
          </cell>
        </row>
        <row r="8565">
          <cell r="I8565" t="str">
            <v>V50977</v>
          </cell>
          <cell r="J8565" t="str">
            <v>CTC</v>
          </cell>
          <cell r="K8565" t="str">
            <v>YES</v>
          </cell>
        </row>
        <row r="8566">
          <cell r="I8566" t="str">
            <v>V49926</v>
          </cell>
          <cell r="J8566" t="str">
            <v>CTC</v>
          </cell>
          <cell r="K8566" t="str">
            <v>YES</v>
          </cell>
        </row>
        <row r="8567">
          <cell r="I8567" t="str">
            <v>V53606</v>
          </cell>
          <cell r="J8567" t="str">
            <v>CTC</v>
          </cell>
          <cell r="K8567" t="str">
            <v>YES</v>
          </cell>
        </row>
        <row r="8568">
          <cell r="I8568" t="str">
            <v>V50830</v>
          </cell>
          <cell r="J8568" t="str">
            <v>CTC</v>
          </cell>
          <cell r="K8568" t="str">
            <v>YES</v>
          </cell>
        </row>
        <row r="8569">
          <cell r="I8569" t="str">
            <v>V50227</v>
          </cell>
          <cell r="J8569" t="str">
            <v>CTC</v>
          </cell>
          <cell r="K8569" t="str">
            <v>YES</v>
          </cell>
        </row>
        <row r="8570">
          <cell r="I8570" t="str">
            <v>V50417</v>
          </cell>
          <cell r="J8570" t="str">
            <v>STAT</v>
          </cell>
          <cell r="K8570" t="str">
            <v>YES</v>
          </cell>
        </row>
        <row r="8571">
          <cell r="I8571" t="str">
            <v>V49752</v>
          </cell>
          <cell r="J8571" t="str">
            <v>STAT</v>
          </cell>
          <cell r="K8571" t="str">
            <v>YES</v>
          </cell>
        </row>
        <row r="8572">
          <cell r="I8572" t="str">
            <v>V51574</v>
          </cell>
          <cell r="J8572" t="str">
            <v>CTC</v>
          </cell>
          <cell r="K8572" t="str">
            <v>YES</v>
          </cell>
        </row>
        <row r="8573">
          <cell r="I8573" t="str">
            <v>V51236</v>
          </cell>
          <cell r="J8573" t="str">
            <v>CTC</v>
          </cell>
          <cell r="K8573" t="str">
            <v>YES</v>
          </cell>
        </row>
        <row r="8574">
          <cell r="I8574" t="str">
            <v>V50019</v>
          </cell>
          <cell r="J8574" t="str">
            <v>CTC</v>
          </cell>
          <cell r="K8574" t="str">
            <v>YES</v>
          </cell>
        </row>
        <row r="8575">
          <cell r="I8575" t="str">
            <v>V50675</v>
          </cell>
          <cell r="J8575" t="str">
            <v>CTC</v>
          </cell>
          <cell r="K8575" t="str">
            <v>YES</v>
          </cell>
        </row>
        <row r="8576">
          <cell r="I8576" t="str">
            <v>V49899</v>
          </cell>
          <cell r="J8576" t="str">
            <v>CTC</v>
          </cell>
          <cell r="K8576" t="str">
            <v>YES</v>
          </cell>
        </row>
        <row r="8577">
          <cell r="I8577" t="str">
            <v>V50910</v>
          </cell>
          <cell r="J8577" t="str">
            <v>CTC</v>
          </cell>
          <cell r="K8577" t="str">
            <v>YES</v>
          </cell>
        </row>
        <row r="8578">
          <cell r="I8578" t="str">
            <v>V49405</v>
          </cell>
          <cell r="J8578" t="str">
            <v>CTC</v>
          </cell>
          <cell r="K8578" t="str">
            <v>YES</v>
          </cell>
        </row>
        <row r="8579">
          <cell r="I8579" t="str">
            <v>V51009</v>
          </cell>
          <cell r="J8579" t="str">
            <v>CTC</v>
          </cell>
          <cell r="K8579" t="str">
            <v>YES</v>
          </cell>
        </row>
        <row r="8580">
          <cell r="I8580" t="str">
            <v>V51523</v>
          </cell>
          <cell r="J8580" t="str">
            <v>CTC</v>
          </cell>
          <cell r="K8580" t="str">
            <v>YES</v>
          </cell>
        </row>
        <row r="8581">
          <cell r="I8581" t="str">
            <v>V51469</v>
          </cell>
          <cell r="J8581" t="str">
            <v>CTC</v>
          </cell>
          <cell r="K8581" t="str">
            <v>YES</v>
          </cell>
        </row>
        <row r="8582">
          <cell r="I8582" t="str">
            <v>V51281</v>
          </cell>
          <cell r="J8582" t="str">
            <v>CTC</v>
          </cell>
          <cell r="K8582" t="str">
            <v>YES</v>
          </cell>
        </row>
        <row r="8583">
          <cell r="I8583" t="str">
            <v>V50221</v>
          </cell>
          <cell r="J8583" t="str">
            <v>CTC</v>
          </cell>
          <cell r="K8583" t="str">
            <v>YES</v>
          </cell>
        </row>
        <row r="8584">
          <cell r="I8584" t="str">
            <v>V49568</v>
          </cell>
          <cell r="J8584" t="str">
            <v>CTC</v>
          </cell>
          <cell r="K8584" t="str">
            <v>YES</v>
          </cell>
        </row>
        <row r="8585">
          <cell r="I8585" t="str">
            <v>V51899</v>
          </cell>
          <cell r="J8585" t="str">
            <v>CTC</v>
          </cell>
          <cell r="K8585" t="str">
            <v>YES</v>
          </cell>
        </row>
        <row r="8586">
          <cell r="I8586" t="str">
            <v>V53621</v>
          </cell>
          <cell r="J8586" t="str">
            <v>CTC</v>
          </cell>
          <cell r="K8586" t="str">
            <v>YES</v>
          </cell>
        </row>
        <row r="8587">
          <cell r="I8587" t="str">
            <v>V51423</v>
          </cell>
          <cell r="J8587" t="str">
            <v>CTC</v>
          </cell>
          <cell r="K8587" t="str">
            <v>YES</v>
          </cell>
        </row>
        <row r="8588">
          <cell r="I8588" t="str">
            <v>V51424</v>
          </cell>
          <cell r="J8588" t="str">
            <v>CTC</v>
          </cell>
          <cell r="K8588" t="str">
            <v>YES</v>
          </cell>
        </row>
        <row r="8589">
          <cell r="I8589" t="str">
            <v>V51497</v>
          </cell>
          <cell r="J8589" t="str">
            <v>CTC</v>
          </cell>
          <cell r="K8589" t="str">
            <v>YES</v>
          </cell>
        </row>
        <row r="8590">
          <cell r="I8590" t="str">
            <v>V50524</v>
          </cell>
          <cell r="J8590" t="str">
            <v>CTC</v>
          </cell>
          <cell r="K8590" t="str">
            <v>YES</v>
          </cell>
        </row>
        <row r="8591">
          <cell r="I8591" t="str">
            <v>V51502</v>
          </cell>
          <cell r="J8591" t="str">
            <v>CTC</v>
          </cell>
          <cell r="K8591" t="str">
            <v>YES</v>
          </cell>
        </row>
        <row r="8592">
          <cell r="I8592" t="str">
            <v>V49830</v>
          </cell>
          <cell r="J8592" t="str">
            <v>CTC</v>
          </cell>
          <cell r="K8592" t="str">
            <v>YES</v>
          </cell>
        </row>
        <row r="8593">
          <cell r="I8593" t="str">
            <v>V50318</v>
          </cell>
          <cell r="J8593" t="str">
            <v>CTC</v>
          </cell>
          <cell r="K8593" t="str">
            <v>YES</v>
          </cell>
        </row>
        <row r="8594">
          <cell r="I8594" t="str">
            <v>V51495</v>
          </cell>
          <cell r="J8594" t="str">
            <v>CTC</v>
          </cell>
          <cell r="K8594" t="str">
            <v>YES</v>
          </cell>
        </row>
        <row r="8595">
          <cell r="I8595" t="str">
            <v>V50485</v>
          </cell>
          <cell r="J8595" t="str">
            <v>STAT</v>
          </cell>
          <cell r="K8595" t="str">
            <v>YES</v>
          </cell>
        </row>
        <row r="8596">
          <cell r="I8596" t="str">
            <v>V51068</v>
          </cell>
          <cell r="J8596" t="str">
            <v>CTC</v>
          </cell>
          <cell r="K8596" t="str">
            <v>YES</v>
          </cell>
        </row>
        <row r="8597">
          <cell r="I8597" t="str">
            <v>V50190</v>
          </cell>
          <cell r="J8597" t="str">
            <v>CTC</v>
          </cell>
          <cell r="K8597" t="str">
            <v>YES</v>
          </cell>
        </row>
        <row r="8598">
          <cell r="I8598" t="str">
            <v>V50191</v>
          </cell>
          <cell r="J8598" t="str">
            <v>CTC</v>
          </cell>
          <cell r="K8598" t="str">
            <v>YES</v>
          </cell>
        </row>
        <row r="8599">
          <cell r="I8599" t="str">
            <v>V51146</v>
          </cell>
          <cell r="J8599" t="str">
            <v>STAT</v>
          </cell>
          <cell r="K8599" t="str">
            <v>YES</v>
          </cell>
        </row>
        <row r="8600">
          <cell r="I8600" t="str">
            <v>V50311</v>
          </cell>
          <cell r="J8600" t="str">
            <v>CTC</v>
          </cell>
          <cell r="K8600" t="str">
            <v>YES</v>
          </cell>
        </row>
        <row r="8601">
          <cell r="I8601" t="str">
            <v>V51428</v>
          </cell>
          <cell r="J8601" t="str">
            <v>CTC</v>
          </cell>
          <cell r="K8601" t="str">
            <v>YES</v>
          </cell>
        </row>
        <row r="8602">
          <cell r="I8602" t="str">
            <v>V49990</v>
          </cell>
          <cell r="J8602" t="str">
            <v>CTC</v>
          </cell>
          <cell r="K8602" t="str">
            <v>YES</v>
          </cell>
        </row>
        <row r="8603">
          <cell r="I8603" t="str">
            <v>V51781</v>
          </cell>
          <cell r="J8603" t="str">
            <v>CTC</v>
          </cell>
          <cell r="K8603" t="str">
            <v>YES</v>
          </cell>
        </row>
        <row r="8604">
          <cell r="I8604" t="str">
            <v>V51004</v>
          </cell>
          <cell r="J8604" t="str">
            <v>CTC</v>
          </cell>
          <cell r="K8604" t="str">
            <v>YES</v>
          </cell>
        </row>
        <row r="8605">
          <cell r="I8605" t="str">
            <v>V50248</v>
          </cell>
          <cell r="J8605" t="str">
            <v>CTC</v>
          </cell>
          <cell r="K8605" t="str">
            <v>YES</v>
          </cell>
        </row>
        <row r="8606">
          <cell r="I8606" t="str">
            <v>V50048</v>
          </cell>
          <cell r="J8606" t="str">
            <v>STAT</v>
          </cell>
          <cell r="K8606" t="str">
            <v>YES</v>
          </cell>
        </row>
        <row r="8607">
          <cell r="I8607" t="str">
            <v>V51964</v>
          </cell>
          <cell r="J8607" t="str">
            <v>CTC</v>
          </cell>
          <cell r="K8607" t="str">
            <v>YES</v>
          </cell>
        </row>
        <row r="8608">
          <cell r="I8608" t="str">
            <v>V50434</v>
          </cell>
          <cell r="J8608" t="str">
            <v>CTC</v>
          </cell>
          <cell r="K8608" t="str">
            <v>YES</v>
          </cell>
        </row>
        <row r="8609">
          <cell r="I8609" t="str">
            <v>V51802</v>
          </cell>
          <cell r="J8609" t="str">
            <v>CTC</v>
          </cell>
          <cell r="K8609" t="str">
            <v>YES</v>
          </cell>
        </row>
        <row r="8610">
          <cell r="I8610" t="str">
            <v>V51014</v>
          </cell>
          <cell r="J8610" t="str">
            <v>CTC</v>
          </cell>
          <cell r="K8610" t="str">
            <v>YES</v>
          </cell>
        </row>
        <row r="8611">
          <cell r="I8611" t="str">
            <v>V51980</v>
          </cell>
          <cell r="J8611" t="str">
            <v>CTC</v>
          </cell>
          <cell r="K8611" t="str">
            <v>YES</v>
          </cell>
        </row>
        <row r="8612">
          <cell r="I8612" t="str">
            <v>V50360</v>
          </cell>
          <cell r="J8612" t="str">
            <v>CTC</v>
          </cell>
          <cell r="K8612" t="str">
            <v>YES</v>
          </cell>
        </row>
        <row r="8613">
          <cell r="I8613" t="str">
            <v>V50843</v>
          </cell>
          <cell r="J8613" t="str">
            <v>CTC</v>
          </cell>
          <cell r="K8613" t="str">
            <v>YES</v>
          </cell>
        </row>
        <row r="8614">
          <cell r="I8614" t="str">
            <v>V51842</v>
          </cell>
          <cell r="J8614" t="str">
            <v>CTC</v>
          </cell>
          <cell r="K8614" t="str">
            <v>YES</v>
          </cell>
        </row>
        <row r="8615">
          <cell r="I8615" t="str">
            <v>V52557</v>
          </cell>
          <cell r="J8615" t="str">
            <v>STAT</v>
          </cell>
          <cell r="K8615" t="str">
            <v>YES</v>
          </cell>
        </row>
        <row r="8616">
          <cell r="I8616" t="str">
            <v>V48784</v>
          </cell>
          <cell r="J8616" t="str">
            <v>CTC</v>
          </cell>
          <cell r="K8616" t="str">
            <v>YES</v>
          </cell>
        </row>
        <row r="8617">
          <cell r="I8617" t="str">
            <v>V49549</v>
          </cell>
          <cell r="J8617" t="str">
            <v>CTC</v>
          </cell>
          <cell r="K8617" t="str">
            <v>YES</v>
          </cell>
        </row>
        <row r="8618">
          <cell r="I8618" t="str">
            <v>V51897</v>
          </cell>
          <cell r="J8618" t="str">
            <v>CTC</v>
          </cell>
          <cell r="K8618" t="str">
            <v>YES</v>
          </cell>
        </row>
        <row r="8619">
          <cell r="I8619" t="str">
            <v>V51321</v>
          </cell>
          <cell r="J8619" t="str">
            <v>STAT</v>
          </cell>
          <cell r="K8619" t="str">
            <v>YES</v>
          </cell>
        </row>
        <row r="8620">
          <cell r="I8620" t="str">
            <v>V51499</v>
          </cell>
          <cell r="J8620" t="str">
            <v>CTC</v>
          </cell>
          <cell r="K8620" t="str">
            <v>YES</v>
          </cell>
        </row>
        <row r="8621">
          <cell r="I8621" t="str">
            <v>V51924</v>
          </cell>
          <cell r="J8621" t="str">
            <v>CTC</v>
          </cell>
          <cell r="K8621" t="str">
            <v>YES</v>
          </cell>
        </row>
        <row r="8622">
          <cell r="I8622" t="str">
            <v>V49716</v>
          </cell>
          <cell r="J8622" t="str">
            <v>CTC</v>
          </cell>
          <cell r="K8622" t="str">
            <v>YES</v>
          </cell>
        </row>
        <row r="8623">
          <cell r="I8623" t="str">
            <v>V51764</v>
          </cell>
          <cell r="J8623" t="str">
            <v>CTC</v>
          </cell>
          <cell r="K8623" t="str">
            <v>YES</v>
          </cell>
        </row>
        <row r="8624">
          <cell r="I8624" t="str">
            <v>V50463</v>
          </cell>
          <cell r="J8624" t="str">
            <v>STAT</v>
          </cell>
          <cell r="K8624" t="str">
            <v>YES</v>
          </cell>
        </row>
        <row r="8625">
          <cell r="I8625" t="str">
            <v>V50661</v>
          </cell>
          <cell r="J8625" t="str">
            <v>CTC</v>
          </cell>
          <cell r="K8625" t="str">
            <v>YES</v>
          </cell>
        </row>
        <row r="8626">
          <cell r="I8626" t="str">
            <v>V46513</v>
          </cell>
          <cell r="J8626" t="str">
            <v>CTC</v>
          </cell>
          <cell r="K8626" t="str">
            <v>YES</v>
          </cell>
        </row>
        <row r="8627">
          <cell r="I8627" t="str">
            <v>V47015</v>
          </cell>
          <cell r="J8627" t="str">
            <v>CTC</v>
          </cell>
          <cell r="K8627" t="str">
            <v>YES</v>
          </cell>
        </row>
        <row r="8628">
          <cell r="I8628" t="str">
            <v>V52306</v>
          </cell>
          <cell r="J8628" t="str">
            <v>CTC</v>
          </cell>
          <cell r="K8628" t="str">
            <v>YES</v>
          </cell>
        </row>
        <row r="8629">
          <cell r="I8629" t="str">
            <v>V51206</v>
          </cell>
          <cell r="J8629" t="str">
            <v>CTC</v>
          </cell>
          <cell r="K8629" t="str">
            <v>YES</v>
          </cell>
        </row>
        <row r="8630">
          <cell r="I8630" t="str">
            <v>V50467</v>
          </cell>
          <cell r="J8630" t="str">
            <v>STAT</v>
          </cell>
          <cell r="K8630" t="str">
            <v>YES</v>
          </cell>
        </row>
        <row r="8631">
          <cell r="I8631" t="str">
            <v>V48146</v>
          </cell>
          <cell r="J8631" t="str">
            <v>CTC</v>
          </cell>
          <cell r="K8631" t="str">
            <v>YES</v>
          </cell>
        </row>
        <row r="8632">
          <cell r="I8632" t="str">
            <v>V51503</v>
          </cell>
          <cell r="J8632" t="str">
            <v>CTC</v>
          </cell>
          <cell r="K8632" t="str">
            <v>YES</v>
          </cell>
        </row>
        <row r="8633">
          <cell r="I8633" t="str">
            <v>V51124</v>
          </cell>
          <cell r="J8633" t="str">
            <v>CTC</v>
          </cell>
          <cell r="K8633" t="str">
            <v>YES</v>
          </cell>
        </row>
        <row r="8634">
          <cell r="I8634" t="str">
            <v>V51125</v>
          </cell>
          <cell r="J8634" t="str">
            <v>CTC</v>
          </cell>
          <cell r="K8634" t="str">
            <v>YES</v>
          </cell>
        </row>
        <row r="8635">
          <cell r="I8635" t="str">
            <v>V50871</v>
          </cell>
          <cell r="J8635" t="str">
            <v>CTC</v>
          </cell>
          <cell r="K8635" t="str">
            <v>YES</v>
          </cell>
        </row>
        <row r="8636">
          <cell r="I8636" t="str">
            <v>V53777</v>
          </cell>
          <cell r="J8636" t="str">
            <v>CTC</v>
          </cell>
          <cell r="K8636" t="str">
            <v>YES</v>
          </cell>
        </row>
        <row r="8637">
          <cell r="I8637" t="str">
            <v>V50312</v>
          </cell>
          <cell r="J8637" t="str">
            <v>CTC</v>
          </cell>
          <cell r="K8637" t="str">
            <v>YES</v>
          </cell>
        </row>
        <row r="8638">
          <cell r="I8638" t="str">
            <v>V50840</v>
          </cell>
          <cell r="J8638" t="str">
            <v>STAT</v>
          </cell>
          <cell r="K8638" t="str">
            <v>YES</v>
          </cell>
        </row>
        <row r="8639">
          <cell r="I8639" t="str">
            <v>V50301</v>
          </cell>
          <cell r="J8639" t="str">
            <v>CTC</v>
          </cell>
          <cell r="K8639" t="str">
            <v>YES</v>
          </cell>
        </row>
        <row r="8640">
          <cell r="I8640" t="str">
            <v>V47884</v>
          </cell>
          <cell r="J8640" t="str">
            <v>CTC</v>
          </cell>
          <cell r="K8640" t="str">
            <v>YES</v>
          </cell>
        </row>
        <row r="8641">
          <cell r="I8641" t="str">
            <v>V50432</v>
          </cell>
          <cell r="J8641" t="str">
            <v>CTC</v>
          </cell>
          <cell r="K8641" t="str">
            <v>YES</v>
          </cell>
        </row>
        <row r="8642">
          <cell r="I8642" t="str">
            <v>V50082</v>
          </cell>
          <cell r="J8642" t="str">
            <v>CTC</v>
          </cell>
          <cell r="K8642" t="str">
            <v>YES</v>
          </cell>
        </row>
        <row r="8643">
          <cell r="I8643" t="str">
            <v>V52288</v>
          </cell>
          <cell r="J8643" t="str">
            <v>CTC</v>
          </cell>
          <cell r="K8643" t="str">
            <v>YES</v>
          </cell>
        </row>
        <row r="8644">
          <cell r="I8644" t="str">
            <v>V51599</v>
          </cell>
          <cell r="J8644" t="str">
            <v>CTC</v>
          </cell>
          <cell r="K8644" t="str">
            <v>YES</v>
          </cell>
        </row>
        <row r="8645">
          <cell r="I8645" t="str">
            <v>V51106</v>
          </cell>
          <cell r="J8645" t="str">
            <v>CTC</v>
          </cell>
          <cell r="K8645" t="str">
            <v>YES</v>
          </cell>
        </row>
        <row r="8646">
          <cell r="I8646" t="str">
            <v>V51617</v>
          </cell>
          <cell r="J8646" t="str">
            <v>CTC</v>
          </cell>
          <cell r="K8646" t="str">
            <v>YES</v>
          </cell>
        </row>
        <row r="8647">
          <cell r="I8647" t="str">
            <v>V50514</v>
          </cell>
          <cell r="J8647" t="str">
            <v>CTC</v>
          </cell>
          <cell r="K8647" t="str">
            <v>YES</v>
          </cell>
        </row>
        <row r="8648">
          <cell r="I8648" t="str">
            <v>V51038</v>
          </cell>
          <cell r="J8648" t="str">
            <v>CTC</v>
          </cell>
          <cell r="K8648" t="str">
            <v>YES</v>
          </cell>
        </row>
        <row r="8649">
          <cell r="I8649" t="str">
            <v>V50465</v>
          </cell>
          <cell r="J8649" t="str">
            <v>STAT</v>
          </cell>
          <cell r="K8649" t="str">
            <v>YES</v>
          </cell>
        </row>
        <row r="8650">
          <cell r="I8650" t="str">
            <v>V52016</v>
          </cell>
          <cell r="J8650" t="str">
            <v>CTC</v>
          </cell>
          <cell r="K8650" t="str">
            <v>YES</v>
          </cell>
        </row>
        <row r="8651">
          <cell r="I8651" t="str">
            <v>V51653</v>
          </cell>
          <cell r="J8651" t="str">
            <v>CTC</v>
          </cell>
          <cell r="K8651" t="str">
            <v>YES</v>
          </cell>
        </row>
        <row r="8652">
          <cell r="I8652" t="str">
            <v>V52011</v>
          </cell>
          <cell r="J8652" t="str">
            <v>CTC</v>
          </cell>
          <cell r="K8652" t="str">
            <v>YES</v>
          </cell>
        </row>
        <row r="8653">
          <cell r="I8653" t="str">
            <v>V50433</v>
          </cell>
          <cell r="J8653" t="str">
            <v>CTC</v>
          </cell>
          <cell r="K8653" t="str">
            <v>YES</v>
          </cell>
        </row>
        <row r="8654">
          <cell r="I8654" t="str">
            <v>V49404</v>
          </cell>
          <cell r="J8654" t="str">
            <v>CTC</v>
          </cell>
          <cell r="K8654" t="str">
            <v>YES</v>
          </cell>
        </row>
        <row r="8655">
          <cell r="I8655" t="str">
            <v>V51395</v>
          </cell>
          <cell r="J8655" t="str">
            <v>CTC</v>
          </cell>
          <cell r="K8655" t="str">
            <v>YES</v>
          </cell>
        </row>
        <row r="8656">
          <cell r="I8656" t="str">
            <v>V51196</v>
          </cell>
          <cell r="J8656" t="str">
            <v>CTC</v>
          </cell>
          <cell r="K8656" t="str">
            <v>YES</v>
          </cell>
        </row>
        <row r="8657">
          <cell r="I8657" t="str">
            <v>V51201</v>
          </cell>
          <cell r="J8657" t="str">
            <v>CTC</v>
          </cell>
          <cell r="K8657" t="str">
            <v>YES</v>
          </cell>
        </row>
        <row r="8658">
          <cell r="I8658" t="str">
            <v>V51789</v>
          </cell>
          <cell r="J8658" t="str">
            <v>CTC</v>
          </cell>
          <cell r="K8658" t="str">
            <v>YES</v>
          </cell>
        </row>
        <row r="8659">
          <cell r="I8659" t="str">
            <v>V52341</v>
          </cell>
          <cell r="J8659" t="str">
            <v>CTC</v>
          </cell>
          <cell r="K8659" t="str">
            <v>YES</v>
          </cell>
        </row>
        <row r="8660">
          <cell r="I8660" t="str">
            <v>V51524</v>
          </cell>
          <cell r="J8660" t="str">
            <v>CTC</v>
          </cell>
          <cell r="K8660" t="str">
            <v>YES</v>
          </cell>
        </row>
        <row r="8661">
          <cell r="I8661" t="str">
            <v>V49199</v>
          </cell>
          <cell r="J8661" t="str">
            <v>CTC</v>
          </cell>
          <cell r="K8661" t="str">
            <v>YES</v>
          </cell>
        </row>
        <row r="8662">
          <cell r="I8662" t="str">
            <v>V49548</v>
          </cell>
          <cell r="J8662" t="str">
            <v>CTC</v>
          </cell>
          <cell r="K8662" t="str">
            <v>YES</v>
          </cell>
        </row>
        <row r="8663">
          <cell r="I8663" t="str">
            <v>V48685</v>
          </cell>
          <cell r="J8663" t="str">
            <v>CTC</v>
          </cell>
          <cell r="K8663" t="str">
            <v>YES</v>
          </cell>
        </row>
        <row r="8664">
          <cell r="I8664" t="str">
            <v>V51571</v>
          </cell>
          <cell r="J8664" t="str">
            <v>CTC</v>
          </cell>
          <cell r="K8664" t="str">
            <v>YES</v>
          </cell>
        </row>
        <row r="8665">
          <cell r="I8665" t="str">
            <v>V51701</v>
          </cell>
          <cell r="J8665" t="str">
            <v>CTC</v>
          </cell>
          <cell r="K8665" t="str">
            <v>YES</v>
          </cell>
        </row>
        <row r="8666">
          <cell r="I8666" t="str">
            <v>V51464</v>
          </cell>
          <cell r="J8666" t="str">
            <v>CTC</v>
          </cell>
          <cell r="K8666" t="str">
            <v>YES</v>
          </cell>
        </row>
        <row r="8667">
          <cell r="I8667" t="str">
            <v>V51759</v>
          </cell>
          <cell r="J8667" t="str">
            <v>CTC</v>
          </cell>
          <cell r="K8667" t="str">
            <v>YES</v>
          </cell>
        </row>
        <row r="8668">
          <cell r="I8668" t="str">
            <v>V51743</v>
          </cell>
          <cell r="J8668" t="str">
            <v>CTC</v>
          </cell>
          <cell r="K8668" t="str">
            <v>YES</v>
          </cell>
        </row>
        <row r="8669">
          <cell r="I8669" t="str">
            <v>V51582</v>
          </cell>
          <cell r="J8669" t="str">
            <v>CTC</v>
          </cell>
          <cell r="K8669" t="str">
            <v>YES</v>
          </cell>
        </row>
        <row r="8670">
          <cell r="I8670" t="str">
            <v>V51188</v>
          </cell>
          <cell r="J8670" t="str">
            <v>CTC</v>
          </cell>
          <cell r="K8670" t="str">
            <v>YES</v>
          </cell>
        </row>
        <row r="8671">
          <cell r="I8671" t="str">
            <v>V50795</v>
          </cell>
          <cell r="J8671" t="str">
            <v>CTC</v>
          </cell>
          <cell r="K8671" t="str">
            <v>YES</v>
          </cell>
        </row>
        <row r="8672">
          <cell r="I8672" t="str">
            <v>V52009</v>
          </cell>
          <cell r="J8672" t="str">
            <v>CTC</v>
          </cell>
          <cell r="K8672" t="str">
            <v>YES</v>
          </cell>
        </row>
        <row r="8673">
          <cell r="I8673" t="str">
            <v>V50288</v>
          </cell>
          <cell r="J8673" t="str">
            <v>CTC</v>
          </cell>
          <cell r="K8673" t="str">
            <v>YES</v>
          </cell>
        </row>
        <row r="8674">
          <cell r="I8674" t="str">
            <v>V51268</v>
          </cell>
          <cell r="J8674" t="str">
            <v>STAT</v>
          </cell>
          <cell r="K8674" t="str">
            <v>YES</v>
          </cell>
        </row>
        <row r="8675">
          <cell r="I8675" t="str">
            <v>V51013</v>
          </cell>
          <cell r="J8675" t="str">
            <v>CTC</v>
          </cell>
          <cell r="K8675" t="str">
            <v>YES</v>
          </cell>
        </row>
        <row r="8676">
          <cell r="I8676" t="str">
            <v>V51763</v>
          </cell>
          <cell r="J8676" t="str">
            <v>CTC</v>
          </cell>
          <cell r="K8676" t="str">
            <v>YES</v>
          </cell>
        </row>
        <row r="8677">
          <cell r="I8677" t="str">
            <v>V51162</v>
          </cell>
          <cell r="J8677" t="str">
            <v>CTC</v>
          </cell>
          <cell r="K8677" t="str">
            <v>YES</v>
          </cell>
        </row>
        <row r="8678">
          <cell r="I8678" t="str">
            <v>V51018</v>
          </cell>
          <cell r="J8678" t="str">
            <v>CTC</v>
          </cell>
          <cell r="K8678" t="str">
            <v>YES</v>
          </cell>
        </row>
        <row r="8679">
          <cell r="I8679" t="str">
            <v>V51955</v>
          </cell>
          <cell r="J8679" t="str">
            <v>STAT</v>
          </cell>
          <cell r="K8679" t="str">
            <v>YES</v>
          </cell>
        </row>
        <row r="8680">
          <cell r="I8680" t="str">
            <v>V52583</v>
          </cell>
          <cell r="J8680" t="str">
            <v>STAT</v>
          </cell>
          <cell r="K8680" t="str">
            <v>YES</v>
          </cell>
        </row>
        <row r="8681">
          <cell r="I8681" t="str">
            <v>V51576</v>
          </cell>
          <cell r="J8681" t="str">
            <v>CTC</v>
          </cell>
          <cell r="K8681" t="str">
            <v>YES</v>
          </cell>
        </row>
        <row r="8682">
          <cell r="I8682" t="str">
            <v>V51287</v>
          </cell>
          <cell r="J8682" t="str">
            <v>CTC</v>
          </cell>
          <cell r="K8682" t="str">
            <v>YES</v>
          </cell>
        </row>
        <row r="8683">
          <cell r="I8683" t="str">
            <v>V51331</v>
          </cell>
          <cell r="J8683" t="str">
            <v>CTC</v>
          </cell>
          <cell r="K8683" t="str">
            <v>YES</v>
          </cell>
        </row>
        <row r="8684">
          <cell r="I8684" t="str">
            <v>V51198</v>
          </cell>
          <cell r="J8684" t="str">
            <v>CTC</v>
          </cell>
          <cell r="K8684" t="str">
            <v>YES</v>
          </cell>
        </row>
        <row r="8685">
          <cell r="I8685" t="str">
            <v>V51510</v>
          </cell>
          <cell r="J8685" t="str">
            <v>CTC</v>
          </cell>
          <cell r="K8685" t="str">
            <v>YES</v>
          </cell>
        </row>
        <row r="8686">
          <cell r="I8686" t="str">
            <v>V36064</v>
          </cell>
          <cell r="J8686" t="str">
            <v>CTC</v>
          </cell>
          <cell r="K8686" t="str">
            <v>YES</v>
          </cell>
        </row>
        <row r="8687">
          <cell r="I8687" t="str">
            <v>V48892</v>
          </cell>
          <cell r="J8687" t="str">
            <v>CTC</v>
          </cell>
          <cell r="K8687" t="str">
            <v>YES</v>
          </cell>
        </row>
        <row r="8688">
          <cell r="I8688" t="str">
            <v>V50030</v>
          </cell>
          <cell r="J8688" t="str">
            <v>CTC</v>
          </cell>
          <cell r="K8688" t="str">
            <v>YES</v>
          </cell>
        </row>
        <row r="8689">
          <cell r="I8689" t="str">
            <v>V50150</v>
          </cell>
          <cell r="J8689" t="str">
            <v>CTC</v>
          </cell>
          <cell r="K8689" t="str">
            <v>YES</v>
          </cell>
        </row>
        <row r="8690">
          <cell r="I8690" t="str">
            <v>V51742</v>
          </cell>
          <cell r="J8690" t="str">
            <v>CTC</v>
          </cell>
          <cell r="K8690" t="str">
            <v>YES</v>
          </cell>
        </row>
        <row r="8691">
          <cell r="I8691" t="str">
            <v>V50927</v>
          </cell>
          <cell r="J8691" t="str">
            <v>CTC</v>
          </cell>
          <cell r="K8691" t="str">
            <v>YES</v>
          </cell>
        </row>
        <row r="8692">
          <cell r="I8692" t="str">
            <v>V51252</v>
          </cell>
          <cell r="J8692" t="str">
            <v>CTC</v>
          </cell>
          <cell r="K8692" t="str">
            <v>YES</v>
          </cell>
        </row>
        <row r="8693">
          <cell r="I8693" t="str">
            <v>V51425</v>
          </cell>
          <cell r="J8693" t="str">
            <v>CTC</v>
          </cell>
          <cell r="K8693" t="str">
            <v>YES</v>
          </cell>
        </row>
        <row r="8694">
          <cell r="I8694" t="str">
            <v>V51026</v>
          </cell>
          <cell r="J8694" t="str">
            <v>STAT</v>
          </cell>
          <cell r="K8694" t="str">
            <v>YES</v>
          </cell>
        </row>
        <row r="8695">
          <cell r="I8695" t="str">
            <v>V51905</v>
          </cell>
          <cell r="J8695" t="str">
            <v>STAT</v>
          </cell>
          <cell r="K8695" t="str">
            <v>YES</v>
          </cell>
        </row>
        <row r="8696">
          <cell r="I8696" t="str">
            <v>V52999</v>
          </cell>
          <cell r="J8696" t="str">
            <v>STAT</v>
          </cell>
          <cell r="K8696" t="str">
            <v>YES</v>
          </cell>
        </row>
        <row r="8697">
          <cell r="I8697" t="str">
            <v>V50707</v>
          </cell>
          <cell r="J8697" t="str">
            <v>CTC</v>
          </cell>
          <cell r="K8697" t="str">
            <v>YES</v>
          </cell>
        </row>
        <row r="8698">
          <cell r="I8698" t="str">
            <v>V51745</v>
          </cell>
          <cell r="J8698" t="str">
            <v>CTC</v>
          </cell>
          <cell r="K8698" t="str">
            <v>YES</v>
          </cell>
        </row>
        <row r="8699">
          <cell r="I8699" t="str">
            <v>V49137</v>
          </cell>
          <cell r="J8699" t="str">
            <v>STAT</v>
          </cell>
          <cell r="K8699" t="str">
            <v>YES</v>
          </cell>
        </row>
        <row r="8700">
          <cell r="I8700" t="str">
            <v>V50330</v>
          </cell>
          <cell r="J8700" t="str">
            <v>CTC</v>
          </cell>
          <cell r="K8700" t="str">
            <v>YES</v>
          </cell>
        </row>
        <row r="8701">
          <cell r="I8701" t="str">
            <v>V50535</v>
          </cell>
          <cell r="J8701" t="str">
            <v>STAT</v>
          </cell>
          <cell r="K8701" t="str">
            <v>YES</v>
          </cell>
        </row>
        <row r="8702">
          <cell r="I8702" t="str">
            <v>V52981</v>
          </cell>
          <cell r="J8702" t="str">
            <v>STAT</v>
          </cell>
          <cell r="K8702" t="str">
            <v>YES</v>
          </cell>
        </row>
        <row r="8703">
          <cell r="I8703" t="str">
            <v>V52175</v>
          </cell>
          <cell r="J8703" t="str">
            <v>CTC</v>
          </cell>
          <cell r="K8703" t="str">
            <v>YES</v>
          </cell>
        </row>
        <row r="8704">
          <cell r="I8704" t="str">
            <v>V52091</v>
          </cell>
          <cell r="J8704" t="str">
            <v>CTC</v>
          </cell>
          <cell r="K8704" t="str">
            <v>YES</v>
          </cell>
        </row>
        <row r="8705">
          <cell r="I8705" t="str">
            <v>V51053</v>
          </cell>
          <cell r="J8705" t="str">
            <v>CTC</v>
          </cell>
          <cell r="K8705" t="str">
            <v>YES</v>
          </cell>
        </row>
        <row r="8706">
          <cell r="I8706" t="str">
            <v>V51054</v>
          </cell>
          <cell r="J8706" t="str">
            <v>CTC</v>
          </cell>
          <cell r="K8706" t="str">
            <v>YES</v>
          </cell>
        </row>
        <row r="8707">
          <cell r="I8707" t="str">
            <v>V51744</v>
          </cell>
          <cell r="J8707" t="str">
            <v>CTC</v>
          </cell>
          <cell r="K8707" t="str">
            <v>YES</v>
          </cell>
        </row>
        <row r="8708">
          <cell r="I8708" t="str">
            <v>V51804</v>
          </cell>
          <cell r="J8708" t="str">
            <v>STAT</v>
          </cell>
          <cell r="K8708" t="str">
            <v>YES</v>
          </cell>
        </row>
        <row r="8709">
          <cell r="I8709" t="str">
            <v>V51828</v>
          </cell>
          <cell r="J8709" t="str">
            <v>CTC</v>
          </cell>
          <cell r="K8709" t="str">
            <v>YES</v>
          </cell>
        </row>
        <row r="8710">
          <cell r="I8710" t="str">
            <v>V49743</v>
          </cell>
          <cell r="J8710" t="str">
            <v>CTC</v>
          </cell>
          <cell r="K8710" t="str">
            <v>YES</v>
          </cell>
        </row>
        <row r="8711">
          <cell r="I8711" t="str">
            <v>V50232</v>
          </cell>
          <cell r="J8711" t="str">
            <v>CTC</v>
          </cell>
          <cell r="K8711" t="str">
            <v>YES</v>
          </cell>
        </row>
        <row r="8712">
          <cell r="I8712" t="str">
            <v>V49269</v>
          </cell>
          <cell r="J8712" t="str">
            <v>CTC</v>
          </cell>
          <cell r="K8712" t="str">
            <v>YES</v>
          </cell>
        </row>
        <row r="8713">
          <cell r="I8713" t="str">
            <v>V51041</v>
          </cell>
          <cell r="J8713" t="str">
            <v>CTC</v>
          </cell>
          <cell r="K8713" t="str">
            <v>YES</v>
          </cell>
        </row>
        <row r="8714">
          <cell r="I8714" t="str">
            <v>V51299</v>
          </cell>
          <cell r="J8714" t="str">
            <v>CTC</v>
          </cell>
          <cell r="K8714" t="str">
            <v>YES</v>
          </cell>
        </row>
        <row r="8715">
          <cell r="I8715" t="str">
            <v>V51182</v>
          </cell>
          <cell r="J8715" t="str">
            <v>CTC</v>
          </cell>
          <cell r="K8715" t="str">
            <v>YES</v>
          </cell>
        </row>
        <row r="8716">
          <cell r="I8716" t="str">
            <v>V51593</v>
          </cell>
          <cell r="J8716" t="str">
            <v>CTC</v>
          </cell>
          <cell r="K8716" t="str">
            <v>YES</v>
          </cell>
        </row>
        <row r="8717">
          <cell r="I8717" t="str">
            <v>V51199</v>
          </cell>
          <cell r="J8717" t="str">
            <v>CTC</v>
          </cell>
          <cell r="K8717" t="str">
            <v>YES</v>
          </cell>
        </row>
        <row r="8718">
          <cell r="I8718" t="str">
            <v>V50914</v>
          </cell>
          <cell r="J8718" t="str">
            <v>CTC</v>
          </cell>
          <cell r="K8718" t="str">
            <v>YES</v>
          </cell>
        </row>
        <row r="8719">
          <cell r="I8719" t="str">
            <v>V50954</v>
          </cell>
          <cell r="J8719" t="str">
            <v>CTC</v>
          </cell>
          <cell r="K8719" t="str">
            <v>YES</v>
          </cell>
        </row>
        <row r="8720">
          <cell r="I8720" t="str">
            <v>V49619</v>
          </cell>
          <cell r="J8720" t="str">
            <v>CTC</v>
          </cell>
          <cell r="K8720" t="str">
            <v>YES</v>
          </cell>
        </row>
        <row r="8721">
          <cell r="I8721" t="str">
            <v>V49551</v>
          </cell>
          <cell r="J8721" t="str">
            <v>CTC</v>
          </cell>
          <cell r="K8721" t="str">
            <v>YES</v>
          </cell>
        </row>
        <row r="8722">
          <cell r="I8722" t="str">
            <v>V51934</v>
          </cell>
          <cell r="J8722" t="str">
            <v>CTC</v>
          </cell>
          <cell r="K8722" t="str">
            <v>YES</v>
          </cell>
        </row>
        <row r="8723">
          <cell r="I8723" t="str">
            <v>V51367</v>
          </cell>
          <cell r="J8723" t="str">
            <v>CTC</v>
          </cell>
          <cell r="K8723" t="str">
            <v>YES</v>
          </cell>
        </row>
        <row r="8724">
          <cell r="I8724" t="str">
            <v>V49384</v>
          </cell>
          <cell r="J8724" t="str">
            <v>CTC</v>
          </cell>
          <cell r="K8724" t="str">
            <v>YES</v>
          </cell>
        </row>
        <row r="8725">
          <cell r="I8725" t="str">
            <v>V52198</v>
          </cell>
          <cell r="J8725" t="str">
            <v>CTC</v>
          </cell>
          <cell r="K8725" t="str">
            <v>YES</v>
          </cell>
        </row>
        <row r="8726">
          <cell r="I8726" t="str">
            <v>V49761</v>
          </cell>
          <cell r="J8726" t="str">
            <v>CTC</v>
          </cell>
          <cell r="K8726" t="str">
            <v>YES</v>
          </cell>
        </row>
        <row r="8727">
          <cell r="I8727" t="str">
            <v>V51185</v>
          </cell>
          <cell r="J8727" t="str">
            <v>CTC</v>
          </cell>
          <cell r="K8727" t="str">
            <v>YES</v>
          </cell>
        </row>
        <row r="8728">
          <cell r="I8728" t="str">
            <v>V51603</v>
          </cell>
          <cell r="J8728" t="str">
            <v>CTC</v>
          </cell>
          <cell r="K8728" t="str">
            <v>YES</v>
          </cell>
        </row>
        <row r="8729">
          <cell r="I8729" t="str">
            <v>V52970</v>
          </cell>
          <cell r="J8729" t="str">
            <v>STAT</v>
          </cell>
          <cell r="K8729" t="str">
            <v>YES</v>
          </cell>
        </row>
        <row r="8730">
          <cell r="I8730" t="str">
            <v>V51463</v>
          </cell>
          <cell r="J8730" t="str">
            <v>CTC</v>
          </cell>
          <cell r="K8730" t="str">
            <v>YES</v>
          </cell>
        </row>
        <row r="8731">
          <cell r="I8731" t="str">
            <v>V51959</v>
          </cell>
          <cell r="J8731" t="str">
            <v>CTC</v>
          </cell>
          <cell r="K8731" t="str">
            <v>YES</v>
          </cell>
        </row>
        <row r="8732">
          <cell r="I8732" t="str">
            <v>V51753</v>
          </cell>
          <cell r="J8732" t="str">
            <v>CTC</v>
          </cell>
          <cell r="K8732" t="str">
            <v>YES</v>
          </cell>
        </row>
        <row r="8733">
          <cell r="I8733" t="str">
            <v>V49679</v>
          </cell>
          <cell r="J8733" t="str">
            <v>CTC</v>
          </cell>
          <cell r="K8733" t="str">
            <v>YES</v>
          </cell>
        </row>
        <row r="8734">
          <cell r="I8734" t="str">
            <v>V51591</v>
          </cell>
          <cell r="J8734" t="str">
            <v>CTC</v>
          </cell>
          <cell r="K8734" t="str">
            <v>YES</v>
          </cell>
        </row>
        <row r="8735">
          <cell r="I8735" t="str">
            <v>V51393</v>
          </cell>
          <cell r="J8735" t="str">
            <v>CTC</v>
          </cell>
          <cell r="K8735" t="str">
            <v>YES</v>
          </cell>
        </row>
        <row r="8736">
          <cell r="I8736" t="str">
            <v>V50052</v>
          </cell>
          <cell r="J8736" t="str">
            <v>CTC</v>
          </cell>
          <cell r="K8736" t="str">
            <v>YES</v>
          </cell>
        </row>
        <row r="8737">
          <cell r="I8737" t="str">
            <v>V51318</v>
          </cell>
          <cell r="J8737" t="str">
            <v>CTC</v>
          </cell>
          <cell r="K8737" t="str">
            <v>YES</v>
          </cell>
        </row>
        <row r="8738">
          <cell r="I8738" t="str">
            <v>V51937</v>
          </cell>
          <cell r="J8738" t="str">
            <v>CTC</v>
          </cell>
          <cell r="K8738" t="str">
            <v>YES</v>
          </cell>
        </row>
        <row r="8739">
          <cell r="I8739" t="str">
            <v>V50125</v>
          </cell>
          <cell r="J8739" t="str">
            <v>CTC</v>
          </cell>
          <cell r="K8739" t="str">
            <v>YES</v>
          </cell>
        </row>
        <row r="8740">
          <cell r="I8740" t="str">
            <v>V51107</v>
          </cell>
          <cell r="J8740" t="str">
            <v>CTC</v>
          </cell>
          <cell r="K8740" t="str">
            <v>YES</v>
          </cell>
        </row>
        <row r="8741">
          <cell r="I8741" t="str">
            <v>V51219</v>
          </cell>
          <cell r="J8741" t="str">
            <v>CTC</v>
          </cell>
          <cell r="K8741" t="str">
            <v>YES</v>
          </cell>
        </row>
        <row r="8742">
          <cell r="I8742" t="str">
            <v>V51245</v>
          </cell>
          <cell r="J8742" t="str">
            <v>CTC</v>
          </cell>
          <cell r="K8742" t="str">
            <v>YES</v>
          </cell>
        </row>
        <row r="8743">
          <cell r="I8743" t="str">
            <v>V51314</v>
          </cell>
          <cell r="J8743" t="str">
            <v>CTC</v>
          </cell>
          <cell r="K8743" t="str">
            <v>YES</v>
          </cell>
        </row>
        <row r="8744">
          <cell r="I8744" t="str">
            <v>V50955</v>
          </cell>
          <cell r="J8744" t="str">
            <v>CTC</v>
          </cell>
          <cell r="K8744" t="str">
            <v>YES</v>
          </cell>
        </row>
        <row r="8745">
          <cell r="I8745" t="str">
            <v>V51794</v>
          </cell>
          <cell r="J8745" t="str">
            <v>CTC</v>
          </cell>
          <cell r="K8745" t="str">
            <v>YES</v>
          </cell>
        </row>
        <row r="8746">
          <cell r="I8746" t="str">
            <v>V52015</v>
          </cell>
          <cell r="J8746" t="str">
            <v>CTC</v>
          </cell>
          <cell r="K8746" t="str">
            <v>YES</v>
          </cell>
        </row>
        <row r="8747">
          <cell r="I8747" t="str">
            <v>V51085</v>
          </cell>
          <cell r="J8747" t="str">
            <v>CTC</v>
          </cell>
          <cell r="K8747" t="str">
            <v>YES</v>
          </cell>
        </row>
        <row r="8748">
          <cell r="I8748" t="str">
            <v>V51086</v>
          </cell>
          <cell r="J8748" t="str">
            <v>CTC</v>
          </cell>
          <cell r="K8748" t="str">
            <v>YES</v>
          </cell>
        </row>
        <row r="8749">
          <cell r="I8749" t="str">
            <v>V51435</v>
          </cell>
          <cell r="J8749" t="str">
            <v>CTC</v>
          </cell>
          <cell r="K8749" t="str">
            <v>YES</v>
          </cell>
        </row>
        <row r="8750">
          <cell r="I8750" t="str">
            <v>V51216</v>
          </cell>
          <cell r="J8750" t="str">
            <v>CTC</v>
          </cell>
          <cell r="K8750" t="str">
            <v>YES</v>
          </cell>
        </row>
        <row r="8751">
          <cell r="I8751" t="str">
            <v>V50023</v>
          </cell>
          <cell r="J8751" t="str">
            <v>CTC</v>
          </cell>
          <cell r="K8751" t="str">
            <v>YES</v>
          </cell>
        </row>
        <row r="8752">
          <cell r="I8752" t="str">
            <v>V52533</v>
          </cell>
          <cell r="J8752" t="str">
            <v>STAT</v>
          </cell>
          <cell r="K8752" t="str">
            <v>YES</v>
          </cell>
        </row>
        <row r="8753">
          <cell r="I8753" t="str">
            <v>V50231</v>
          </cell>
          <cell r="J8753" t="str">
            <v>CTC</v>
          </cell>
          <cell r="K8753" t="str">
            <v>YES</v>
          </cell>
        </row>
        <row r="8754">
          <cell r="I8754" t="str">
            <v>V51557</v>
          </cell>
          <cell r="J8754" t="str">
            <v>CTC</v>
          </cell>
          <cell r="K8754" t="str">
            <v>YES</v>
          </cell>
        </row>
        <row r="8755">
          <cell r="I8755" t="str">
            <v>V51498</v>
          </cell>
          <cell r="J8755" t="str">
            <v>CTC</v>
          </cell>
          <cell r="K8755" t="str">
            <v>YES</v>
          </cell>
        </row>
        <row r="8756">
          <cell r="I8756" t="str">
            <v>V52031</v>
          </cell>
          <cell r="J8756" t="str">
            <v>CTC</v>
          </cell>
          <cell r="K8756" t="str">
            <v>YES</v>
          </cell>
        </row>
        <row r="8757">
          <cell r="I8757" t="str">
            <v>V51323</v>
          </cell>
          <cell r="J8757" t="str">
            <v>CTC</v>
          </cell>
          <cell r="K8757" t="str">
            <v>YES</v>
          </cell>
        </row>
        <row r="8758">
          <cell r="I8758" t="str">
            <v>V51515</v>
          </cell>
          <cell r="J8758" t="str">
            <v>CTC</v>
          </cell>
          <cell r="K8758" t="str">
            <v>YES</v>
          </cell>
        </row>
        <row r="8759">
          <cell r="I8759" t="str">
            <v>V50868</v>
          </cell>
          <cell r="J8759" t="str">
            <v>CTC</v>
          </cell>
          <cell r="K8759" t="str">
            <v>YES</v>
          </cell>
        </row>
        <row r="8760">
          <cell r="I8760" t="str">
            <v>V50957</v>
          </cell>
          <cell r="J8760" t="str">
            <v>CTC</v>
          </cell>
          <cell r="K8760" t="str">
            <v>YES</v>
          </cell>
        </row>
        <row r="8761">
          <cell r="I8761" t="str">
            <v>V51373</v>
          </cell>
          <cell r="J8761" t="str">
            <v>CTC</v>
          </cell>
          <cell r="K8761" t="str">
            <v>YES</v>
          </cell>
        </row>
        <row r="8762">
          <cell r="I8762" t="str">
            <v>V52116</v>
          </cell>
          <cell r="J8762" t="str">
            <v>CTC</v>
          </cell>
          <cell r="K8762" t="str">
            <v>YES</v>
          </cell>
        </row>
        <row r="8763">
          <cell r="I8763" t="str">
            <v>V51187</v>
          </cell>
          <cell r="J8763" t="str">
            <v>CTC</v>
          </cell>
          <cell r="K8763" t="str">
            <v>YES</v>
          </cell>
        </row>
        <row r="8764">
          <cell r="I8764" t="str">
            <v>V51258</v>
          </cell>
          <cell r="J8764" t="str">
            <v>CTC</v>
          </cell>
          <cell r="K8764" t="str">
            <v>YES</v>
          </cell>
        </row>
        <row r="8765">
          <cell r="I8765" t="str">
            <v>V52452</v>
          </cell>
          <cell r="J8765" t="str">
            <v>STAT</v>
          </cell>
          <cell r="K8765" t="str">
            <v>YES</v>
          </cell>
        </row>
        <row r="8766">
          <cell r="I8766" t="str">
            <v>V51553</v>
          </cell>
          <cell r="J8766" t="str">
            <v>CTC</v>
          </cell>
          <cell r="K8766" t="str">
            <v>YES</v>
          </cell>
        </row>
        <row r="8767">
          <cell r="I8767" t="str">
            <v>V52653</v>
          </cell>
          <cell r="J8767" t="str">
            <v>STAT</v>
          </cell>
          <cell r="K8767" t="str">
            <v>YES</v>
          </cell>
        </row>
        <row r="8768">
          <cell r="I8768" t="str">
            <v>V51440</v>
          </cell>
          <cell r="J8768" t="str">
            <v>CTC</v>
          </cell>
          <cell r="K8768" t="str">
            <v>YES</v>
          </cell>
        </row>
        <row r="8769">
          <cell r="I8769" t="str">
            <v>V51444</v>
          </cell>
          <cell r="J8769" t="str">
            <v>CTC</v>
          </cell>
          <cell r="K8769" t="str">
            <v>YES</v>
          </cell>
        </row>
        <row r="8770">
          <cell r="I8770" t="str">
            <v>V50883</v>
          </cell>
          <cell r="J8770" t="str">
            <v>CTC</v>
          </cell>
          <cell r="K8770" t="str">
            <v>YES</v>
          </cell>
        </row>
        <row r="8771">
          <cell r="I8771" t="str">
            <v>V50536</v>
          </cell>
          <cell r="J8771" t="str">
            <v>STAT</v>
          </cell>
          <cell r="K8771" t="str">
            <v>YES</v>
          </cell>
        </row>
        <row r="8772">
          <cell r="I8772" t="str">
            <v>V51782</v>
          </cell>
          <cell r="J8772" t="str">
            <v>CTC</v>
          </cell>
          <cell r="K8772" t="str">
            <v>YES</v>
          </cell>
        </row>
        <row r="8773">
          <cell r="I8773" t="str">
            <v>V52061</v>
          </cell>
          <cell r="J8773" t="str">
            <v>CTC</v>
          </cell>
          <cell r="K8773" t="str">
            <v>YES</v>
          </cell>
        </row>
        <row r="8774">
          <cell r="I8774" t="str">
            <v>V51324</v>
          </cell>
          <cell r="J8774" t="str">
            <v>CTC</v>
          </cell>
          <cell r="K8774" t="str">
            <v>YES</v>
          </cell>
        </row>
        <row r="8775">
          <cell r="I8775" t="str">
            <v>V51466</v>
          </cell>
          <cell r="J8775" t="str">
            <v>CTC</v>
          </cell>
          <cell r="K8775" t="str">
            <v>YES</v>
          </cell>
        </row>
        <row r="8776">
          <cell r="I8776" t="str">
            <v>V51581</v>
          </cell>
          <cell r="J8776" t="str">
            <v>CTC</v>
          </cell>
          <cell r="K8776" t="str">
            <v>YES</v>
          </cell>
        </row>
        <row r="8777">
          <cell r="I8777" t="str">
            <v>V51306</v>
          </cell>
          <cell r="J8777" t="str">
            <v>CTC</v>
          </cell>
          <cell r="K8777" t="str">
            <v>YES</v>
          </cell>
        </row>
        <row r="8778">
          <cell r="I8778" t="str">
            <v>V51209</v>
          </cell>
          <cell r="J8778" t="str">
            <v>CTC</v>
          </cell>
          <cell r="K8778" t="str">
            <v>YES</v>
          </cell>
        </row>
        <row r="8779">
          <cell r="I8779" t="str">
            <v>V51211</v>
          </cell>
          <cell r="J8779" t="str">
            <v>CTC</v>
          </cell>
          <cell r="K8779" t="str">
            <v>YES</v>
          </cell>
        </row>
        <row r="8780">
          <cell r="I8780" t="str">
            <v>V51454</v>
          </cell>
          <cell r="J8780" t="str">
            <v>CTC</v>
          </cell>
          <cell r="K8780" t="str">
            <v>YES</v>
          </cell>
        </row>
        <row r="8781">
          <cell r="I8781" t="str">
            <v>V49954</v>
          </cell>
          <cell r="J8781" t="str">
            <v>CTC</v>
          </cell>
          <cell r="K8781" t="str">
            <v>YES</v>
          </cell>
        </row>
        <row r="8782">
          <cell r="I8782" t="str">
            <v>V49629</v>
          </cell>
          <cell r="J8782" t="str">
            <v>STAT</v>
          </cell>
          <cell r="K8782" t="str">
            <v>YES</v>
          </cell>
        </row>
        <row r="8783">
          <cell r="I8783" t="str">
            <v>V49637</v>
          </cell>
          <cell r="J8783" t="str">
            <v>STAT</v>
          </cell>
          <cell r="K8783" t="str">
            <v>YES</v>
          </cell>
        </row>
        <row r="8784">
          <cell r="I8784" t="str">
            <v>V50189</v>
          </cell>
          <cell r="J8784" t="str">
            <v>STAT</v>
          </cell>
          <cell r="K8784" t="str">
            <v>YES</v>
          </cell>
        </row>
        <row r="8785">
          <cell r="I8785" t="str">
            <v>V51129</v>
          </cell>
          <cell r="J8785" t="str">
            <v>CTC</v>
          </cell>
          <cell r="K8785" t="str">
            <v>YES</v>
          </cell>
        </row>
        <row r="8786">
          <cell r="I8786" t="str">
            <v>V51071</v>
          </cell>
          <cell r="J8786" t="str">
            <v>CTC</v>
          </cell>
          <cell r="K8786" t="str">
            <v>YES</v>
          </cell>
        </row>
        <row r="8787">
          <cell r="I8787" t="str">
            <v>V51001</v>
          </cell>
          <cell r="J8787" t="str">
            <v>CTC</v>
          </cell>
          <cell r="K8787" t="str">
            <v>YES</v>
          </cell>
        </row>
        <row r="8788">
          <cell r="I8788" t="str">
            <v>V50243</v>
          </cell>
          <cell r="J8788" t="str">
            <v>CTC</v>
          </cell>
          <cell r="K8788" t="str">
            <v>YES</v>
          </cell>
        </row>
        <row r="8789">
          <cell r="I8789" t="str">
            <v>V51983</v>
          </cell>
          <cell r="J8789" t="str">
            <v>CTC</v>
          </cell>
          <cell r="K8789" t="str">
            <v>YES</v>
          </cell>
        </row>
        <row r="8790">
          <cell r="I8790" t="str">
            <v>V51577</v>
          </cell>
          <cell r="J8790" t="str">
            <v>CTC</v>
          </cell>
          <cell r="K8790" t="str">
            <v>YES</v>
          </cell>
        </row>
        <row r="8791">
          <cell r="I8791" t="str">
            <v>V51973</v>
          </cell>
          <cell r="J8791" t="str">
            <v>CTC</v>
          </cell>
          <cell r="K8791" t="str">
            <v>YES</v>
          </cell>
        </row>
        <row r="8792">
          <cell r="I8792" t="str">
            <v>V51766</v>
          </cell>
          <cell r="J8792" t="str">
            <v>CTC</v>
          </cell>
          <cell r="K8792" t="str">
            <v>YES</v>
          </cell>
        </row>
        <row r="8793">
          <cell r="I8793" t="str">
            <v>V51378</v>
          </cell>
          <cell r="J8793" t="str">
            <v>CTC</v>
          </cell>
          <cell r="K8793" t="str">
            <v>YES</v>
          </cell>
        </row>
        <row r="8794">
          <cell r="I8794" t="str">
            <v>V50885</v>
          </cell>
          <cell r="J8794" t="str">
            <v>CTC</v>
          </cell>
          <cell r="K8794" t="str">
            <v>YES</v>
          </cell>
        </row>
        <row r="8795">
          <cell r="I8795" t="str">
            <v>V49799</v>
          </cell>
          <cell r="J8795" t="str">
            <v>CTC</v>
          </cell>
          <cell r="K8795" t="str">
            <v>YES</v>
          </cell>
        </row>
        <row r="8796">
          <cell r="I8796" t="str">
            <v>V52281</v>
          </cell>
          <cell r="J8796" t="str">
            <v>CTC</v>
          </cell>
          <cell r="K8796" t="str">
            <v>YES</v>
          </cell>
        </row>
        <row r="8797">
          <cell r="I8797" t="str">
            <v>V50057</v>
          </cell>
          <cell r="J8797" t="str">
            <v>STAT</v>
          </cell>
          <cell r="K8797" t="str">
            <v>YES</v>
          </cell>
        </row>
        <row r="8798">
          <cell r="I8798" t="str">
            <v>V51328</v>
          </cell>
          <cell r="J8798" t="str">
            <v>CTC</v>
          </cell>
          <cell r="K8798" t="str">
            <v>YES</v>
          </cell>
        </row>
        <row r="8799">
          <cell r="I8799" t="str">
            <v>V52447</v>
          </cell>
          <cell r="J8799" t="str">
            <v>CTC</v>
          </cell>
          <cell r="K8799" t="str">
            <v>YES</v>
          </cell>
        </row>
        <row r="8800">
          <cell r="I8800" t="str">
            <v>V51770</v>
          </cell>
          <cell r="J8800" t="str">
            <v>CTC</v>
          </cell>
          <cell r="K8800" t="str">
            <v>YES</v>
          </cell>
        </row>
        <row r="8801">
          <cell r="I8801" t="str">
            <v>V51173</v>
          </cell>
          <cell r="J8801" t="str">
            <v>CTC</v>
          </cell>
          <cell r="K8801" t="str">
            <v>YES</v>
          </cell>
        </row>
        <row r="8802">
          <cell r="I8802" t="str">
            <v>V51353</v>
          </cell>
          <cell r="J8802" t="str">
            <v>CTC</v>
          </cell>
          <cell r="K8802" t="str">
            <v>YES</v>
          </cell>
        </row>
        <row r="8803">
          <cell r="I8803" t="str">
            <v>V51262</v>
          </cell>
          <cell r="J8803" t="str">
            <v>CTC</v>
          </cell>
          <cell r="K8803" t="str">
            <v>YES</v>
          </cell>
        </row>
        <row r="8804">
          <cell r="I8804" t="str">
            <v>V51726</v>
          </cell>
          <cell r="J8804" t="str">
            <v>CTC</v>
          </cell>
          <cell r="K8804" t="str">
            <v>YES</v>
          </cell>
        </row>
        <row r="8805">
          <cell r="I8805" t="str">
            <v>V51922</v>
          </cell>
          <cell r="J8805" t="str">
            <v>CTC</v>
          </cell>
          <cell r="K8805" t="str">
            <v>YES</v>
          </cell>
        </row>
        <row r="8806">
          <cell r="I8806" t="str">
            <v>V51822</v>
          </cell>
          <cell r="J8806" t="str">
            <v>CTC</v>
          </cell>
          <cell r="K8806" t="str">
            <v>YES</v>
          </cell>
        </row>
        <row r="8807">
          <cell r="I8807" t="str">
            <v>V53590</v>
          </cell>
          <cell r="J8807" t="str">
            <v>CTC</v>
          </cell>
          <cell r="K8807" t="str">
            <v>YES</v>
          </cell>
        </row>
        <row r="8808">
          <cell r="I8808" t="str">
            <v>V52486</v>
          </cell>
          <cell r="J8808" t="str">
            <v>STAT</v>
          </cell>
          <cell r="K8808" t="str">
            <v>YES</v>
          </cell>
        </row>
        <row r="8809">
          <cell r="I8809" t="str">
            <v>V51344</v>
          </cell>
          <cell r="J8809" t="str">
            <v>CTC</v>
          </cell>
          <cell r="K8809" t="str">
            <v>YES</v>
          </cell>
        </row>
        <row r="8810">
          <cell r="I8810" t="str">
            <v>V51818</v>
          </cell>
          <cell r="J8810" t="str">
            <v>CTC</v>
          </cell>
          <cell r="K8810" t="str">
            <v>YES</v>
          </cell>
        </row>
        <row r="8811">
          <cell r="I8811" t="str">
            <v>V49632</v>
          </cell>
          <cell r="J8811" t="str">
            <v>STAT</v>
          </cell>
          <cell r="K8811" t="str">
            <v>YES</v>
          </cell>
        </row>
        <row r="8812">
          <cell r="I8812" t="str">
            <v>V50064</v>
          </cell>
          <cell r="J8812" t="str">
            <v>STAT</v>
          </cell>
          <cell r="K8812" t="str">
            <v>YES</v>
          </cell>
        </row>
        <row r="8813">
          <cell r="I8813" t="str">
            <v>V50187</v>
          </cell>
          <cell r="J8813" t="str">
            <v>STAT</v>
          </cell>
          <cell r="K8813" t="str">
            <v>YES</v>
          </cell>
        </row>
        <row r="8814">
          <cell r="I8814" t="str">
            <v>V50256</v>
          </cell>
          <cell r="J8814" t="str">
            <v>STAT</v>
          </cell>
          <cell r="K8814" t="str">
            <v>YES</v>
          </cell>
        </row>
        <row r="8815">
          <cell r="I8815" t="str">
            <v>V50273</v>
          </cell>
          <cell r="J8815" t="str">
            <v>STAT</v>
          </cell>
          <cell r="K8815" t="str">
            <v>YES</v>
          </cell>
        </row>
        <row r="8816">
          <cell r="I8816" t="str">
            <v>V50083</v>
          </cell>
          <cell r="J8816" t="str">
            <v>STAT</v>
          </cell>
          <cell r="K8816" t="str">
            <v>YES</v>
          </cell>
        </row>
        <row r="8817">
          <cell r="I8817" t="str">
            <v>V51313</v>
          </cell>
          <cell r="J8817" t="str">
            <v>CTC</v>
          </cell>
          <cell r="K8817" t="str">
            <v>YES</v>
          </cell>
        </row>
        <row r="8818">
          <cell r="I8818" t="str">
            <v>V51660</v>
          </cell>
          <cell r="J8818" t="str">
            <v>CTC</v>
          </cell>
          <cell r="K8818" t="str">
            <v>YES</v>
          </cell>
        </row>
        <row r="8819">
          <cell r="I8819" t="str">
            <v>V51205</v>
          </cell>
          <cell r="J8819" t="str">
            <v>CTC</v>
          </cell>
          <cell r="K8819" t="str">
            <v>YES</v>
          </cell>
        </row>
        <row r="8820">
          <cell r="I8820" t="str">
            <v>V49526</v>
          </cell>
          <cell r="J8820" t="str">
            <v>CTC</v>
          </cell>
          <cell r="K8820" t="str">
            <v>YES</v>
          </cell>
        </row>
        <row r="8821">
          <cell r="I8821" t="str">
            <v>V51904</v>
          </cell>
          <cell r="J8821" t="str">
            <v>CTC</v>
          </cell>
          <cell r="K8821" t="str">
            <v>YES</v>
          </cell>
        </row>
        <row r="8822">
          <cell r="I8822" t="str">
            <v>V51437</v>
          </cell>
          <cell r="J8822" t="str">
            <v>CTC</v>
          </cell>
          <cell r="K8822" t="str">
            <v>YES</v>
          </cell>
        </row>
        <row r="8823">
          <cell r="I8823" t="str">
            <v>V50929</v>
          </cell>
          <cell r="J8823" t="str">
            <v>CTC</v>
          </cell>
          <cell r="K8823" t="str">
            <v>YES</v>
          </cell>
        </row>
        <row r="8824">
          <cell r="I8824" t="str">
            <v>V51063</v>
          </cell>
          <cell r="J8824" t="str">
            <v>CTC</v>
          </cell>
          <cell r="K8824" t="str">
            <v>YES</v>
          </cell>
        </row>
        <row r="8825">
          <cell r="I8825" t="str">
            <v>V51246</v>
          </cell>
          <cell r="J8825" t="str">
            <v>CTC</v>
          </cell>
          <cell r="K8825" t="str">
            <v>YES</v>
          </cell>
        </row>
        <row r="8826">
          <cell r="I8826" t="str">
            <v>V51700</v>
          </cell>
          <cell r="J8826" t="str">
            <v>CTC</v>
          </cell>
          <cell r="K8826" t="str">
            <v>YES</v>
          </cell>
        </row>
        <row r="8827">
          <cell r="I8827" t="str">
            <v>V51806</v>
          </cell>
          <cell r="J8827" t="str">
            <v>CTC</v>
          </cell>
          <cell r="K8827" t="str">
            <v>YES</v>
          </cell>
        </row>
        <row r="8828">
          <cell r="I8828" t="str">
            <v>V49417</v>
          </cell>
          <cell r="J8828" t="str">
            <v>CTC</v>
          </cell>
          <cell r="K8828" t="str">
            <v>YES</v>
          </cell>
        </row>
        <row r="8829">
          <cell r="I8829" t="str">
            <v>V51633</v>
          </cell>
          <cell r="J8829" t="str">
            <v>CTC</v>
          </cell>
          <cell r="K8829" t="str">
            <v>YES</v>
          </cell>
        </row>
        <row r="8830">
          <cell r="I8830" t="str">
            <v>V51415</v>
          </cell>
          <cell r="J8830" t="str">
            <v>CTC</v>
          </cell>
          <cell r="K8830" t="str">
            <v>YES</v>
          </cell>
        </row>
        <row r="8831">
          <cell r="I8831" t="str">
            <v>V51910</v>
          </cell>
          <cell r="J8831" t="str">
            <v>CTC</v>
          </cell>
          <cell r="K8831" t="str">
            <v>YES</v>
          </cell>
        </row>
        <row r="8832">
          <cell r="I8832" t="str">
            <v>V51545</v>
          </cell>
          <cell r="J8832" t="str">
            <v>CTC</v>
          </cell>
          <cell r="K8832" t="str">
            <v>YES</v>
          </cell>
        </row>
        <row r="8833">
          <cell r="I8833" t="str">
            <v>V51161</v>
          </cell>
          <cell r="J8833" t="str">
            <v>CTC</v>
          </cell>
          <cell r="K8833" t="str">
            <v>YES</v>
          </cell>
        </row>
        <row r="8834">
          <cell r="I8834" t="str">
            <v>V49271</v>
          </cell>
          <cell r="J8834" t="str">
            <v>STAT</v>
          </cell>
          <cell r="K8834" t="str">
            <v>YES</v>
          </cell>
        </row>
        <row r="8835">
          <cell r="I8835" t="str">
            <v>V51969</v>
          </cell>
          <cell r="J8835" t="str">
            <v>CTC</v>
          </cell>
          <cell r="K8835" t="str">
            <v>YES</v>
          </cell>
        </row>
        <row r="8836">
          <cell r="I8836" t="str">
            <v>V51011</v>
          </cell>
          <cell r="J8836" t="str">
            <v>CTC</v>
          </cell>
          <cell r="K8836" t="str">
            <v>YES</v>
          </cell>
        </row>
        <row r="8837">
          <cell r="I8837" t="str">
            <v>V51276</v>
          </cell>
          <cell r="J8837" t="str">
            <v>STAT</v>
          </cell>
          <cell r="K8837" t="str">
            <v>YES</v>
          </cell>
        </row>
        <row r="8838">
          <cell r="I8838" t="str">
            <v>V51522</v>
          </cell>
          <cell r="J8838" t="str">
            <v>CTC</v>
          </cell>
          <cell r="K8838" t="str">
            <v>YES</v>
          </cell>
        </row>
        <row r="8839">
          <cell r="I8839" t="str">
            <v>V49634</v>
          </cell>
          <cell r="J8839" t="str">
            <v>STAT</v>
          </cell>
          <cell r="K8839" t="str">
            <v>YES</v>
          </cell>
        </row>
        <row r="8840">
          <cell r="I8840" t="str">
            <v>V50985</v>
          </cell>
          <cell r="J8840" t="str">
            <v>CTC</v>
          </cell>
          <cell r="K8840" t="str">
            <v>YES</v>
          </cell>
        </row>
        <row r="8841">
          <cell r="I8841" t="str">
            <v>V51347</v>
          </cell>
          <cell r="J8841" t="str">
            <v>CTC</v>
          </cell>
          <cell r="K8841" t="str">
            <v>YES</v>
          </cell>
        </row>
        <row r="8842">
          <cell r="I8842" t="str">
            <v>V51587</v>
          </cell>
          <cell r="J8842" t="str">
            <v>CTC</v>
          </cell>
          <cell r="K8842" t="str">
            <v>YES</v>
          </cell>
        </row>
        <row r="8843">
          <cell r="I8843" t="str">
            <v>V49609</v>
          </cell>
          <cell r="J8843" t="str">
            <v>STAT</v>
          </cell>
          <cell r="K8843" t="str">
            <v>YES</v>
          </cell>
        </row>
        <row r="8844">
          <cell r="I8844" t="str">
            <v>V51843</v>
          </cell>
          <cell r="J8844" t="str">
            <v>CTC</v>
          </cell>
          <cell r="K8844" t="str">
            <v>YES</v>
          </cell>
        </row>
        <row r="8845">
          <cell r="I8845" t="str">
            <v>V51920</v>
          </cell>
          <cell r="J8845" t="str">
            <v>CTC</v>
          </cell>
          <cell r="K8845" t="str">
            <v>YES</v>
          </cell>
        </row>
        <row r="8846">
          <cell r="I8846" t="str">
            <v>V52911</v>
          </cell>
          <cell r="J8846" t="str">
            <v>STAT</v>
          </cell>
          <cell r="K8846" t="str">
            <v>YES</v>
          </cell>
        </row>
        <row r="8847">
          <cell r="I8847" t="str">
            <v>V51526</v>
          </cell>
          <cell r="J8847" t="str">
            <v>CTC</v>
          </cell>
          <cell r="K8847" t="str">
            <v>YES</v>
          </cell>
        </row>
        <row r="8848">
          <cell r="I8848" t="str">
            <v>V51972</v>
          </cell>
          <cell r="J8848" t="str">
            <v>CTC</v>
          </cell>
          <cell r="K8848" t="str">
            <v>YES</v>
          </cell>
        </row>
        <row r="8849">
          <cell r="I8849" t="str">
            <v>V52018</v>
          </cell>
          <cell r="J8849" t="str">
            <v>CTC</v>
          </cell>
          <cell r="K8849" t="str">
            <v>YES</v>
          </cell>
        </row>
        <row r="8850">
          <cell r="I8850" t="str">
            <v>V52441</v>
          </cell>
          <cell r="J8850" t="str">
            <v>STAT</v>
          </cell>
          <cell r="K8850" t="str">
            <v>YES</v>
          </cell>
        </row>
        <row r="8851">
          <cell r="I8851" t="str">
            <v>V51923</v>
          </cell>
          <cell r="J8851" t="str">
            <v>CTC</v>
          </cell>
          <cell r="K8851" t="str">
            <v>YES</v>
          </cell>
        </row>
        <row r="8852">
          <cell r="I8852" t="str">
            <v>V51642</v>
          </cell>
          <cell r="J8852" t="str">
            <v>CTC</v>
          </cell>
          <cell r="K8852" t="str">
            <v>YES</v>
          </cell>
        </row>
        <row r="8853">
          <cell r="I8853" t="str">
            <v>V49835</v>
          </cell>
          <cell r="J8853" t="str">
            <v>CTC</v>
          </cell>
          <cell r="K8853" t="str">
            <v>YES</v>
          </cell>
        </row>
        <row r="8854">
          <cell r="I8854" t="str">
            <v>V51056</v>
          </cell>
          <cell r="J8854" t="str">
            <v>CTC</v>
          </cell>
          <cell r="K8854" t="str">
            <v>YES</v>
          </cell>
        </row>
        <row r="8855">
          <cell r="I8855" t="str">
            <v>V51058</v>
          </cell>
          <cell r="J8855" t="str">
            <v>CTC</v>
          </cell>
          <cell r="K8855" t="str">
            <v>YES</v>
          </cell>
        </row>
        <row r="8856">
          <cell r="I8856" t="str">
            <v>V49084</v>
          </cell>
          <cell r="J8856" t="str">
            <v>CTC</v>
          </cell>
          <cell r="K8856" t="str">
            <v>YES</v>
          </cell>
        </row>
        <row r="8857">
          <cell r="I8857" t="str">
            <v>V52144</v>
          </cell>
          <cell r="J8857" t="str">
            <v>STAT</v>
          </cell>
          <cell r="K8857" t="str">
            <v>YES</v>
          </cell>
        </row>
        <row r="8858">
          <cell r="I8858" t="str">
            <v>V52078</v>
          </cell>
          <cell r="J8858" t="str">
            <v>CTC</v>
          </cell>
          <cell r="K8858" t="str">
            <v>YES</v>
          </cell>
        </row>
        <row r="8859">
          <cell r="I8859" t="str">
            <v>V51402</v>
          </cell>
          <cell r="J8859" t="str">
            <v>CTC</v>
          </cell>
          <cell r="K8859" t="str">
            <v>YES</v>
          </cell>
        </row>
        <row r="8860">
          <cell r="I8860" t="str">
            <v>V51131</v>
          </cell>
          <cell r="J8860" t="str">
            <v>CTC</v>
          </cell>
          <cell r="K8860" t="str">
            <v>YES</v>
          </cell>
        </row>
        <row r="8861">
          <cell r="I8861" t="str">
            <v>V51372</v>
          </cell>
          <cell r="J8861" t="str">
            <v>CTC</v>
          </cell>
          <cell r="K8861" t="str">
            <v>YES</v>
          </cell>
        </row>
        <row r="8862">
          <cell r="I8862" t="str">
            <v>V51449</v>
          </cell>
          <cell r="J8862" t="str">
            <v>CTC</v>
          </cell>
          <cell r="K8862" t="str">
            <v>YES</v>
          </cell>
        </row>
        <row r="8863">
          <cell r="I8863" t="str">
            <v>V51549</v>
          </cell>
          <cell r="J8863" t="str">
            <v>CTC</v>
          </cell>
          <cell r="K8863" t="str">
            <v>YES</v>
          </cell>
        </row>
        <row r="8864">
          <cell r="I8864" t="str">
            <v>V51953</v>
          </cell>
          <cell r="J8864" t="str">
            <v>CTC</v>
          </cell>
          <cell r="K8864" t="str">
            <v>YES</v>
          </cell>
        </row>
        <row r="8865">
          <cell r="I8865" t="str">
            <v>V51707</v>
          </cell>
          <cell r="J8865" t="str">
            <v>CTC</v>
          </cell>
          <cell r="K8865" t="str">
            <v>YES</v>
          </cell>
        </row>
        <row r="8866">
          <cell r="I8866" t="str">
            <v>V50188</v>
          </cell>
          <cell r="J8866" t="str">
            <v>STAT</v>
          </cell>
          <cell r="K8866" t="str">
            <v>YES</v>
          </cell>
        </row>
        <row r="8867">
          <cell r="I8867" t="str">
            <v>V50611</v>
          </cell>
          <cell r="J8867" t="str">
            <v>CTC</v>
          </cell>
          <cell r="K8867" t="str">
            <v>YES</v>
          </cell>
        </row>
        <row r="8868">
          <cell r="I8868" t="str">
            <v>V50310</v>
          </cell>
          <cell r="J8868" t="str">
            <v>CTC</v>
          </cell>
          <cell r="K8868" t="str">
            <v>YES</v>
          </cell>
        </row>
        <row r="8869">
          <cell r="I8869" t="str">
            <v>V51023</v>
          </cell>
          <cell r="J8869" t="str">
            <v>CTC</v>
          </cell>
          <cell r="K8869" t="str">
            <v>YES</v>
          </cell>
        </row>
        <row r="8870">
          <cell r="I8870" t="str">
            <v>V52268</v>
          </cell>
          <cell r="J8870" t="str">
            <v>CTC</v>
          </cell>
          <cell r="K8870" t="str">
            <v>YES</v>
          </cell>
        </row>
        <row r="8871">
          <cell r="I8871" t="str">
            <v>V52120</v>
          </cell>
          <cell r="J8871" t="str">
            <v>CTC</v>
          </cell>
          <cell r="K8871" t="str">
            <v>YES</v>
          </cell>
        </row>
        <row r="8872">
          <cell r="I8872" t="str">
            <v>V51723</v>
          </cell>
          <cell r="J8872" t="str">
            <v>CTC</v>
          </cell>
          <cell r="K8872" t="str">
            <v>YES</v>
          </cell>
        </row>
        <row r="8873">
          <cell r="I8873" t="str">
            <v>V51537</v>
          </cell>
          <cell r="J8873" t="str">
            <v>CTC</v>
          </cell>
          <cell r="K8873" t="str">
            <v>YES</v>
          </cell>
        </row>
        <row r="8874">
          <cell r="I8874" t="str">
            <v>V50399</v>
          </cell>
          <cell r="J8874" t="str">
            <v>CTC</v>
          </cell>
          <cell r="K8874" t="str">
            <v>YES</v>
          </cell>
        </row>
        <row r="8875">
          <cell r="I8875" t="str">
            <v>V50449</v>
          </cell>
          <cell r="J8875" t="str">
            <v>CTC</v>
          </cell>
          <cell r="K8875" t="str">
            <v>YES</v>
          </cell>
        </row>
        <row r="8876">
          <cell r="I8876" t="str">
            <v>V51181</v>
          </cell>
          <cell r="J8876" t="str">
            <v>CTC</v>
          </cell>
          <cell r="K8876" t="str">
            <v>YES</v>
          </cell>
        </row>
        <row r="8877">
          <cell r="I8877" t="str">
            <v>V51811</v>
          </cell>
          <cell r="J8877" t="str">
            <v>CTC</v>
          </cell>
          <cell r="K8877" t="str">
            <v>YES</v>
          </cell>
        </row>
        <row r="8878">
          <cell r="I8878" t="str">
            <v>V51689</v>
          </cell>
          <cell r="J8878" t="str">
            <v>CTC</v>
          </cell>
          <cell r="K8878" t="str">
            <v>YES</v>
          </cell>
        </row>
        <row r="8879">
          <cell r="I8879" t="str">
            <v>V52474</v>
          </cell>
          <cell r="J8879" t="str">
            <v>CTC</v>
          </cell>
          <cell r="K8879" t="str">
            <v>YES</v>
          </cell>
        </row>
        <row r="8880">
          <cell r="I8880" t="str">
            <v>V51457</v>
          </cell>
          <cell r="J8880" t="str">
            <v>CTC</v>
          </cell>
          <cell r="K8880" t="str">
            <v>YES</v>
          </cell>
        </row>
        <row r="8881">
          <cell r="I8881" t="str">
            <v>V51132</v>
          </cell>
          <cell r="J8881" t="str">
            <v>CTC</v>
          </cell>
          <cell r="K8881" t="str">
            <v>YES</v>
          </cell>
        </row>
        <row r="8882">
          <cell r="I8882" t="str">
            <v>V52284</v>
          </cell>
          <cell r="J8882" t="str">
            <v>CTC</v>
          </cell>
          <cell r="K8882" t="str">
            <v>YES</v>
          </cell>
        </row>
        <row r="8883">
          <cell r="I8883" t="str">
            <v>V51608</v>
          </cell>
          <cell r="J8883" t="str">
            <v>CTC</v>
          </cell>
          <cell r="K8883" t="str">
            <v>YES</v>
          </cell>
        </row>
        <row r="8884">
          <cell r="I8884" t="str">
            <v>V53635</v>
          </cell>
          <cell r="J8884" t="str">
            <v>CTC</v>
          </cell>
          <cell r="K8884" t="str">
            <v>YES</v>
          </cell>
        </row>
        <row r="8885">
          <cell r="I8885" t="str">
            <v>V52307</v>
          </cell>
          <cell r="J8885" t="str">
            <v>CTC</v>
          </cell>
          <cell r="K8885" t="str">
            <v>YES</v>
          </cell>
        </row>
        <row r="8886">
          <cell r="I8886" t="str">
            <v>V52349</v>
          </cell>
          <cell r="J8886" t="str">
            <v>Stat</v>
          </cell>
          <cell r="K8886" t="str">
            <v>YES</v>
          </cell>
        </row>
        <row r="8887">
          <cell r="I8887" t="str">
            <v>V52258</v>
          </cell>
          <cell r="J8887" t="str">
            <v>CTC</v>
          </cell>
          <cell r="K8887" t="str">
            <v>YES</v>
          </cell>
        </row>
        <row r="8888">
          <cell r="I8888" t="str">
            <v>V51483</v>
          </cell>
          <cell r="J8888" t="str">
            <v>STAT</v>
          </cell>
          <cell r="K8888" t="str">
            <v>YES</v>
          </cell>
        </row>
        <row r="8889">
          <cell r="I8889" t="str">
            <v>V51681</v>
          </cell>
          <cell r="J8889" t="str">
            <v>CTC</v>
          </cell>
          <cell r="K8889" t="str">
            <v>YES</v>
          </cell>
        </row>
        <row r="8890">
          <cell r="I8890" t="str">
            <v>V51928</v>
          </cell>
          <cell r="J8890" t="str">
            <v>CTC</v>
          </cell>
          <cell r="K8890" t="str">
            <v>YES</v>
          </cell>
        </row>
        <row r="8891">
          <cell r="I8891" t="str">
            <v>V52012</v>
          </cell>
          <cell r="J8891" t="str">
            <v>CTC</v>
          </cell>
          <cell r="K8891" t="str">
            <v>YES</v>
          </cell>
        </row>
        <row r="8892">
          <cell r="I8892" t="str">
            <v>V51337</v>
          </cell>
          <cell r="J8892" t="str">
            <v>CTC</v>
          </cell>
          <cell r="K8892" t="str">
            <v>YES</v>
          </cell>
        </row>
        <row r="8893">
          <cell r="I8893" t="str">
            <v>V51747</v>
          </cell>
          <cell r="J8893" t="str">
            <v>CTC</v>
          </cell>
          <cell r="K8893" t="str">
            <v>YES</v>
          </cell>
        </row>
        <row r="8894">
          <cell r="I8894" t="str">
            <v>V50337</v>
          </cell>
          <cell r="J8894" t="str">
            <v>CTC</v>
          </cell>
          <cell r="K8894" t="str">
            <v>YES</v>
          </cell>
        </row>
        <row r="8895">
          <cell r="I8895" t="str">
            <v>V51657</v>
          </cell>
          <cell r="J8895" t="str">
            <v>CTC</v>
          </cell>
          <cell r="K8895" t="str">
            <v>YES</v>
          </cell>
        </row>
        <row r="8896">
          <cell r="I8896" t="str">
            <v>V49720</v>
          </cell>
          <cell r="J8896" t="str">
            <v>CTC</v>
          </cell>
          <cell r="K8896" t="str">
            <v>YES</v>
          </cell>
        </row>
        <row r="8897">
          <cell r="I8897" t="str">
            <v>V52819</v>
          </cell>
          <cell r="J8897" t="str">
            <v>STAT</v>
          </cell>
          <cell r="K8897" t="str">
            <v>YES</v>
          </cell>
        </row>
        <row r="8898">
          <cell r="I8898" t="str">
            <v>V52278</v>
          </cell>
          <cell r="J8898" t="str">
            <v>CTC</v>
          </cell>
          <cell r="K8898" t="str">
            <v>YES</v>
          </cell>
        </row>
        <row r="8899">
          <cell r="I8899" t="str">
            <v>V51762</v>
          </cell>
          <cell r="J8899" t="str">
            <v>CTC</v>
          </cell>
          <cell r="K8899" t="str">
            <v>YES</v>
          </cell>
        </row>
        <row r="8900">
          <cell r="I8900" t="str">
            <v>V52185</v>
          </cell>
          <cell r="J8900" t="str">
            <v>CTC</v>
          </cell>
          <cell r="K8900" t="str">
            <v>YES</v>
          </cell>
        </row>
        <row r="8901">
          <cell r="I8901" t="str">
            <v>V52186</v>
          </cell>
          <cell r="J8901" t="str">
            <v>CTC</v>
          </cell>
          <cell r="K8901" t="str">
            <v>YES</v>
          </cell>
        </row>
        <row r="8902">
          <cell r="I8902" t="str">
            <v>V51760</v>
          </cell>
          <cell r="J8902" t="str">
            <v>CTC</v>
          </cell>
          <cell r="K8902" t="str">
            <v>YES</v>
          </cell>
        </row>
        <row r="8903">
          <cell r="I8903" t="str">
            <v>V52048</v>
          </cell>
          <cell r="J8903" t="str">
            <v>CTC</v>
          </cell>
          <cell r="K8903" t="str">
            <v>YES</v>
          </cell>
        </row>
        <row r="8904">
          <cell r="I8904" t="str">
            <v>V51680</v>
          </cell>
          <cell r="J8904" t="str">
            <v>CTC</v>
          </cell>
          <cell r="K8904" t="str">
            <v>YES</v>
          </cell>
        </row>
        <row r="8905">
          <cell r="I8905" t="str">
            <v>V52404</v>
          </cell>
          <cell r="J8905" t="str">
            <v>CTC</v>
          </cell>
          <cell r="K8905" t="str">
            <v>YES</v>
          </cell>
        </row>
        <row r="8906">
          <cell r="I8906" t="str">
            <v>V50326</v>
          </cell>
          <cell r="J8906" t="str">
            <v>CTC</v>
          </cell>
          <cell r="K8906" t="str">
            <v>YES</v>
          </cell>
        </row>
        <row r="8907">
          <cell r="I8907" t="str">
            <v>V52312</v>
          </cell>
          <cell r="J8907" t="str">
            <v>CTC</v>
          </cell>
          <cell r="K8907" t="str">
            <v>YES</v>
          </cell>
        </row>
        <row r="8908">
          <cell r="I8908" t="str">
            <v>V53632</v>
          </cell>
          <cell r="J8908" t="str">
            <v>CTC</v>
          </cell>
          <cell r="K8908" t="str">
            <v>YES</v>
          </cell>
        </row>
        <row r="8909">
          <cell r="I8909" t="str">
            <v>V51878</v>
          </cell>
          <cell r="J8909" t="str">
            <v>CTC</v>
          </cell>
          <cell r="K8909" t="str">
            <v>YES</v>
          </cell>
        </row>
        <row r="8910">
          <cell r="I8910" t="str">
            <v>V50499</v>
          </cell>
          <cell r="J8910" t="str">
            <v>CTC</v>
          </cell>
          <cell r="K8910" t="str">
            <v>YES</v>
          </cell>
        </row>
        <row r="8911">
          <cell r="I8911" t="str">
            <v>V51516</v>
          </cell>
          <cell r="J8911" t="str">
            <v>CTC</v>
          </cell>
          <cell r="K8911" t="str">
            <v>YES</v>
          </cell>
        </row>
        <row r="8912">
          <cell r="I8912" t="str">
            <v>V50986</v>
          </cell>
          <cell r="J8912" t="str">
            <v>CTC</v>
          </cell>
          <cell r="K8912" t="str">
            <v>YES</v>
          </cell>
        </row>
        <row r="8913">
          <cell r="I8913" t="str">
            <v>V51675</v>
          </cell>
          <cell r="J8913" t="str">
            <v>CTC</v>
          </cell>
          <cell r="K8913" t="str">
            <v>YES</v>
          </cell>
        </row>
        <row r="8914">
          <cell r="I8914" t="str">
            <v>V52339</v>
          </cell>
          <cell r="J8914" t="str">
            <v>CTC</v>
          </cell>
          <cell r="K8914" t="str">
            <v>YES</v>
          </cell>
        </row>
        <row r="8915">
          <cell r="I8915" t="str">
            <v>V52280</v>
          </cell>
          <cell r="J8915" t="str">
            <v>CTC</v>
          </cell>
          <cell r="K8915" t="str">
            <v>YES</v>
          </cell>
        </row>
        <row r="8916">
          <cell r="I8916" t="str">
            <v>V51733</v>
          </cell>
          <cell r="J8916" t="str">
            <v>STAT</v>
          </cell>
          <cell r="K8916" t="str">
            <v>YES</v>
          </cell>
        </row>
        <row r="8917">
          <cell r="I8917" t="str">
            <v>V52336</v>
          </cell>
          <cell r="J8917" t="str">
            <v>CTC</v>
          </cell>
          <cell r="K8917" t="str">
            <v>YES</v>
          </cell>
        </row>
        <row r="8918">
          <cell r="I8918" t="str">
            <v>V52440</v>
          </cell>
          <cell r="J8918" t="str">
            <v>CTC</v>
          </cell>
          <cell r="K8918" t="str">
            <v>YES</v>
          </cell>
        </row>
        <row r="8919">
          <cell r="I8919" t="str">
            <v>V51858</v>
          </cell>
          <cell r="J8919" t="str">
            <v>CTC</v>
          </cell>
          <cell r="K8919" t="str">
            <v>YES</v>
          </cell>
        </row>
        <row r="8920">
          <cell r="I8920" t="str">
            <v>V51420</v>
          </cell>
          <cell r="J8920" t="str">
            <v>CTC</v>
          </cell>
          <cell r="K8920" t="str">
            <v>YES</v>
          </cell>
        </row>
        <row r="8921">
          <cell r="I8921" t="str">
            <v>V51829</v>
          </cell>
          <cell r="J8921" t="str">
            <v>CTC</v>
          </cell>
          <cell r="K8921" t="str">
            <v>YES</v>
          </cell>
        </row>
        <row r="8922">
          <cell r="I8922" t="str">
            <v>V52488</v>
          </cell>
          <cell r="J8922" t="str">
            <v>STAT</v>
          </cell>
          <cell r="K8922" t="str">
            <v>YES</v>
          </cell>
        </row>
        <row r="8923">
          <cell r="I8923" t="str">
            <v>V51559</v>
          </cell>
          <cell r="J8923" t="str">
            <v>STAT</v>
          </cell>
          <cell r="K8923" t="str">
            <v>YES</v>
          </cell>
        </row>
        <row r="8924">
          <cell r="I8924" t="str">
            <v>V52978</v>
          </cell>
          <cell r="J8924" t="str">
            <v>STAT</v>
          </cell>
          <cell r="K8924" t="str">
            <v>YES</v>
          </cell>
        </row>
        <row r="8925">
          <cell r="I8925" t="str">
            <v>V51411</v>
          </cell>
          <cell r="J8925" t="str">
            <v>CTC</v>
          </cell>
          <cell r="K8925" t="str">
            <v>YES</v>
          </cell>
        </row>
        <row r="8926">
          <cell r="I8926" t="str">
            <v>V51827</v>
          </cell>
          <cell r="J8926" t="str">
            <v>CTC</v>
          </cell>
          <cell r="K8926" t="str">
            <v>YES</v>
          </cell>
        </row>
        <row r="8927">
          <cell r="I8927" t="str">
            <v>V51659</v>
          </cell>
          <cell r="J8927" t="str">
            <v>CTC</v>
          </cell>
          <cell r="K8927" t="str">
            <v>YES</v>
          </cell>
        </row>
        <row r="8928">
          <cell r="I8928" t="str">
            <v>V52359</v>
          </cell>
          <cell r="J8928" t="str">
            <v>CTC</v>
          </cell>
          <cell r="K8928" t="str">
            <v>YES</v>
          </cell>
        </row>
        <row r="8929">
          <cell r="I8929" t="str">
            <v>V51779</v>
          </cell>
          <cell r="J8929" t="str">
            <v>CTC</v>
          </cell>
          <cell r="K8929" t="str">
            <v>YES</v>
          </cell>
        </row>
        <row r="8930">
          <cell r="I8930" t="str">
            <v>V51390</v>
          </cell>
          <cell r="J8930" t="str">
            <v>CTC</v>
          </cell>
          <cell r="K8930" t="str">
            <v>YES</v>
          </cell>
        </row>
        <row r="8931">
          <cell r="I8931" t="str">
            <v>V52059</v>
          </cell>
          <cell r="J8931" t="str">
            <v>CTC</v>
          </cell>
          <cell r="K8931" t="str">
            <v>YES</v>
          </cell>
        </row>
        <row r="8932">
          <cell r="I8932" t="str">
            <v>V52176</v>
          </cell>
          <cell r="J8932" t="str">
            <v>CTC</v>
          </cell>
          <cell r="K8932" t="str">
            <v>YES</v>
          </cell>
        </row>
        <row r="8933">
          <cell r="I8933" t="str">
            <v>V52231</v>
          </cell>
          <cell r="J8933" t="str">
            <v>CTC</v>
          </cell>
          <cell r="K8933" t="str">
            <v>YES</v>
          </cell>
        </row>
        <row r="8934">
          <cell r="I8934" t="str">
            <v>V49850</v>
          </cell>
          <cell r="J8934" t="str">
            <v>CTC</v>
          </cell>
          <cell r="K8934" t="str">
            <v>YES</v>
          </cell>
        </row>
        <row r="8935">
          <cell r="I8935" t="str">
            <v>V51970</v>
          </cell>
          <cell r="J8935" t="str">
            <v>CTC</v>
          </cell>
          <cell r="K8935" t="str">
            <v>YES</v>
          </cell>
        </row>
        <row r="8936">
          <cell r="I8936" t="str">
            <v>V51531</v>
          </cell>
          <cell r="J8936" t="str">
            <v>CTC</v>
          </cell>
          <cell r="K8936" t="str">
            <v>YES</v>
          </cell>
        </row>
        <row r="8937">
          <cell r="I8937" t="str">
            <v>V51832</v>
          </cell>
          <cell r="J8937" t="str">
            <v>CTC</v>
          </cell>
          <cell r="K8937" t="str">
            <v>YES</v>
          </cell>
        </row>
        <row r="8938">
          <cell r="I8938" t="str">
            <v>V51646</v>
          </cell>
          <cell r="J8938" t="str">
            <v>CTC</v>
          </cell>
          <cell r="K8938" t="str">
            <v>YES</v>
          </cell>
        </row>
        <row r="8939">
          <cell r="I8939" t="str">
            <v>V51647</v>
          </cell>
          <cell r="J8939" t="str">
            <v>CTC</v>
          </cell>
          <cell r="K8939" t="str">
            <v>YES</v>
          </cell>
        </row>
        <row r="8940">
          <cell r="I8940" t="str">
            <v>V51662</v>
          </cell>
          <cell r="J8940" t="str">
            <v>CTC</v>
          </cell>
          <cell r="K8940" t="str">
            <v>YES</v>
          </cell>
        </row>
        <row r="8941">
          <cell r="I8941" t="str">
            <v>V51507</v>
          </cell>
          <cell r="J8941" t="str">
            <v>CTC</v>
          </cell>
          <cell r="K8941" t="str">
            <v>YES</v>
          </cell>
        </row>
        <row r="8942">
          <cell r="I8942" t="str">
            <v>V51247</v>
          </cell>
          <cell r="J8942" t="str">
            <v>CTC</v>
          </cell>
          <cell r="K8942" t="str">
            <v>YES</v>
          </cell>
        </row>
        <row r="8943">
          <cell r="I8943" t="str">
            <v>V49416</v>
          </cell>
          <cell r="J8943" t="str">
            <v>CTC</v>
          </cell>
          <cell r="K8943" t="str">
            <v>YES</v>
          </cell>
        </row>
        <row r="8944">
          <cell r="I8944" t="str">
            <v>V51100</v>
          </cell>
          <cell r="J8944" t="str">
            <v>CTC</v>
          </cell>
          <cell r="K8944" t="str">
            <v>YES</v>
          </cell>
        </row>
        <row r="8945">
          <cell r="I8945" t="str">
            <v>V51046</v>
          </cell>
          <cell r="J8945" t="str">
            <v>STAT</v>
          </cell>
          <cell r="K8945" t="str">
            <v>YES</v>
          </cell>
        </row>
        <row r="8946">
          <cell r="I8946" t="str">
            <v>V51917</v>
          </cell>
          <cell r="J8946" t="str">
            <v>CTC</v>
          </cell>
          <cell r="K8946" t="str">
            <v>YES</v>
          </cell>
        </row>
        <row r="8947">
          <cell r="I8947" t="str">
            <v>V51981</v>
          </cell>
          <cell r="J8947" t="str">
            <v>CTC</v>
          </cell>
          <cell r="K8947" t="str">
            <v>YES</v>
          </cell>
        </row>
        <row r="8948">
          <cell r="I8948" t="str">
            <v>V50217</v>
          </cell>
          <cell r="J8948" t="str">
            <v>STAT</v>
          </cell>
          <cell r="K8948" t="str">
            <v>YES</v>
          </cell>
        </row>
        <row r="8949">
          <cell r="I8949" t="str">
            <v>V49636</v>
          </cell>
          <cell r="J8949" t="str">
            <v>STAT</v>
          </cell>
          <cell r="K8949" t="str">
            <v>YES</v>
          </cell>
        </row>
        <row r="8950">
          <cell r="I8950" t="str">
            <v>V50271</v>
          </cell>
          <cell r="J8950" t="str">
            <v>STAT</v>
          </cell>
          <cell r="K8950" t="str">
            <v>YES</v>
          </cell>
        </row>
        <row r="8951">
          <cell r="I8951" t="str">
            <v>V52358</v>
          </cell>
          <cell r="J8951" t="str">
            <v>CTC</v>
          </cell>
          <cell r="K8951" t="str">
            <v>YES</v>
          </cell>
        </row>
        <row r="8952">
          <cell r="I8952" t="str">
            <v>V51637</v>
          </cell>
          <cell r="J8952" t="str">
            <v>CTC</v>
          </cell>
          <cell r="K8952" t="str">
            <v>YES</v>
          </cell>
        </row>
        <row r="8953">
          <cell r="I8953" t="str">
            <v>V51749</v>
          </cell>
          <cell r="J8953" t="str">
            <v>CTC</v>
          </cell>
          <cell r="K8953" t="str">
            <v>YES</v>
          </cell>
        </row>
        <row r="8954">
          <cell r="I8954" t="str">
            <v>V51999</v>
          </cell>
          <cell r="J8954" t="str">
            <v>CTC</v>
          </cell>
          <cell r="K8954" t="str">
            <v>YES</v>
          </cell>
        </row>
        <row r="8955">
          <cell r="I8955" t="str">
            <v>V51776</v>
          </cell>
          <cell r="J8955" t="str">
            <v>CTC</v>
          </cell>
          <cell r="K8955" t="str">
            <v>YES</v>
          </cell>
        </row>
        <row r="8956">
          <cell r="I8956" t="str">
            <v>V51780</v>
          </cell>
          <cell r="J8956" t="str">
            <v>CTC</v>
          </cell>
          <cell r="K8956" t="str">
            <v>YES</v>
          </cell>
        </row>
        <row r="8957">
          <cell r="I8957" t="str">
            <v>V52376</v>
          </cell>
          <cell r="J8957" t="str">
            <v>CTC</v>
          </cell>
          <cell r="K8957" t="str">
            <v>YES</v>
          </cell>
        </row>
        <row r="8958">
          <cell r="I8958" t="str">
            <v>V51223</v>
          </cell>
          <cell r="J8958" t="str">
            <v>CTC</v>
          </cell>
          <cell r="K8958" t="str">
            <v>YES</v>
          </cell>
        </row>
        <row r="8959">
          <cell r="I8959" t="str">
            <v>V51548</v>
          </cell>
          <cell r="J8959" t="str">
            <v>CTC</v>
          </cell>
          <cell r="K8959" t="str">
            <v>YES</v>
          </cell>
        </row>
        <row r="8960">
          <cell r="I8960" t="str">
            <v>V49821</v>
          </cell>
          <cell r="J8960" t="str">
            <v>CTC</v>
          </cell>
          <cell r="K8960" t="str">
            <v>YES</v>
          </cell>
        </row>
        <row r="8961">
          <cell r="I8961" t="str">
            <v>V51342</v>
          </cell>
          <cell r="J8961" t="str">
            <v>CTC</v>
          </cell>
          <cell r="K8961" t="str">
            <v>YES</v>
          </cell>
        </row>
        <row r="8962">
          <cell r="I8962" t="str">
            <v>V52733</v>
          </cell>
          <cell r="J8962" t="str">
            <v>STAT</v>
          </cell>
          <cell r="K8962" t="str">
            <v>YES</v>
          </cell>
        </row>
        <row r="8963">
          <cell r="I8963" t="str">
            <v>V49779</v>
          </cell>
          <cell r="J8963" t="str">
            <v>CTC</v>
          </cell>
          <cell r="K8963" t="str">
            <v>YES</v>
          </cell>
        </row>
        <row r="8964">
          <cell r="I8964" t="str">
            <v>V53636</v>
          </cell>
          <cell r="J8964" t="str">
            <v>CTC</v>
          </cell>
          <cell r="K8964" t="str">
            <v>YES</v>
          </cell>
        </row>
        <row r="8965">
          <cell r="I8965" t="str">
            <v>V52162</v>
          </cell>
          <cell r="J8965" t="str">
            <v>CTC</v>
          </cell>
          <cell r="K8965" t="str">
            <v>YES</v>
          </cell>
        </row>
        <row r="8966">
          <cell r="I8966" t="str">
            <v>V50380</v>
          </cell>
          <cell r="J8966" t="str">
            <v>CTC</v>
          </cell>
          <cell r="K8966" t="str">
            <v>YES</v>
          </cell>
        </row>
        <row r="8967">
          <cell r="I8967" t="str">
            <v>V52163</v>
          </cell>
          <cell r="J8967" t="str">
            <v>CTC</v>
          </cell>
          <cell r="K8967" t="str">
            <v>YES</v>
          </cell>
        </row>
        <row r="8968">
          <cell r="I8968" t="str">
            <v>V52159</v>
          </cell>
          <cell r="J8968" t="str">
            <v>CTC</v>
          </cell>
          <cell r="K8968" t="str">
            <v>YES</v>
          </cell>
        </row>
        <row r="8969">
          <cell r="I8969" t="str">
            <v>V51641</v>
          </cell>
          <cell r="J8969" t="str">
            <v>CTC</v>
          </cell>
          <cell r="K8969" t="str">
            <v>YES</v>
          </cell>
        </row>
        <row r="8970">
          <cell r="I8970" t="str">
            <v>V51333</v>
          </cell>
          <cell r="J8970" t="str">
            <v>CTC</v>
          </cell>
          <cell r="K8970" t="str">
            <v>YES</v>
          </cell>
        </row>
        <row r="8971">
          <cell r="I8971" t="str">
            <v>V51335</v>
          </cell>
          <cell r="J8971" t="str">
            <v>CTC</v>
          </cell>
          <cell r="K8971" t="str">
            <v>YES</v>
          </cell>
        </row>
        <row r="8972">
          <cell r="I8972" t="str">
            <v>V49674</v>
          </cell>
          <cell r="J8972" t="str">
            <v>CTC</v>
          </cell>
          <cell r="K8972" t="str">
            <v>YES</v>
          </cell>
        </row>
        <row r="8973">
          <cell r="I8973" t="str">
            <v>V51826</v>
          </cell>
          <cell r="J8973" t="str">
            <v>CTC</v>
          </cell>
          <cell r="K8973" t="str">
            <v>YES</v>
          </cell>
        </row>
        <row r="8974">
          <cell r="I8974" t="str">
            <v>V51778</v>
          </cell>
          <cell r="J8974" t="str">
            <v>CTC</v>
          </cell>
          <cell r="K8974" t="str">
            <v>YES</v>
          </cell>
        </row>
        <row r="8975">
          <cell r="I8975" t="str">
            <v>V51989</v>
          </cell>
          <cell r="J8975" t="str">
            <v>CTC</v>
          </cell>
          <cell r="K8975" t="str">
            <v>YES</v>
          </cell>
        </row>
        <row r="8976">
          <cell r="I8976" t="str">
            <v>V52033</v>
          </cell>
          <cell r="J8976" t="str">
            <v>CTC</v>
          </cell>
          <cell r="K8976" t="str">
            <v>YES</v>
          </cell>
        </row>
        <row r="8977">
          <cell r="I8977" t="str">
            <v>V51873</v>
          </cell>
          <cell r="J8977" t="str">
            <v>CTC</v>
          </cell>
          <cell r="K8977" t="str">
            <v>YES</v>
          </cell>
        </row>
        <row r="8978">
          <cell r="I8978" t="str">
            <v>V52351</v>
          </cell>
          <cell r="J8978" t="str">
            <v>CTC</v>
          </cell>
          <cell r="K8978" t="str">
            <v>YES</v>
          </cell>
        </row>
        <row r="8979">
          <cell r="I8979" t="str">
            <v>V51979</v>
          </cell>
          <cell r="J8979" t="str">
            <v>CTC</v>
          </cell>
          <cell r="K8979" t="str">
            <v>YES</v>
          </cell>
        </row>
        <row r="8980">
          <cell r="I8980" t="str">
            <v>V52634</v>
          </cell>
          <cell r="J8980" t="str">
            <v>STAT</v>
          </cell>
          <cell r="K8980" t="str">
            <v>YES</v>
          </cell>
        </row>
        <row r="8981">
          <cell r="I8981" t="str">
            <v>V50570</v>
          </cell>
          <cell r="J8981" t="str">
            <v>CTC</v>
          </cell>
          <cell r="K8981" t="str">
            <v>YES</v>
          </cell>
        </row>
        <row r="8982">
          <cell r="I8982" t="str">
            <v>V51935</v>
          </cell>
          <cell r="J8982" t="str">
            <v>CTC</v>
          </cell>
          <cell r="K8982" t="str">
            <v>YES</v>
          </cell>
        </row>
        <row r="8983">
          <cell r="I8983" t="str">
            <v>V51914</v>
          </cell>
          <cell r="J8983" t="str">
            <v>CTC</v>
          </cell>
          <cell r="K8983" t="str">
            <v>YES</v>
          </cell>
        </row>
        <row r="8984">
          <cell r="I8984" t="str">
            <v>V51885</v>
          </cell>
          <cell r="J8984" t="str">
            <v>CTC</v>
          </cell>
          <cell r="K8984" t="str">
            <v>YES</v>
          </cell>
        </row>
        <row r="8985">
          <cell r="I8985" t="str">
            <v>V50110</v>
          </cell>
          <cell r="J8985" t="str">
            <v>CTC</v>
          </cell>
          <cell r="K8985" t="str">
            <v>YES</v>
          </cell>
        </row>
        <row r="8986">
          <cell r="I8986" t="str">
            <v>V52378</v>
          </cell>
          <cell r="J8986" t="str">
            <v>CTC</v>
          </cell>
          <cell r="K8986" t="str">
            <v>YES</v>
          </cell>
        </row>
        <row r="8987">
          <cell r="I8987" t="str">
            <v>V51042</v>
          </cell>
          <cell r="J8987" t="str">
            <v>CTC</v>
          </cell>
          <cell r="K8987" t="str">
            <v>YES</v>
          </cell>
        </row>
        <row r="8988">
          <cell r="I8988" t="str">
            <v>V49712</v>
          </cell>
          <cell r="J8988" t="str">
            <v>CTC</v>
          </cell>
          <cell r="K8988" t="str">
            <v>YES</v>
          </cell>
        </row>
        <row r="8989">
          <cell r="I8989" t="str">
            <v>V51585</v>
          </cell>
          <cell r="J8989" t="str">
            <v>CTC</v>
          </cell>
          <cell r="K8989" t="str">
            <v>YES</v>
          </cell>
        </row>
        <row r="8990">
          <cell r="I8990" t="str">
            <v>V49146</v>
          </cell>
          <cell r="J8990" t="str">
            <v>CTC</v>
          </cell>
          <cell r="K8990" t="str">
            <v>YES</v>
          </cell>
        </row>
        <row r="8991">
          <cell r="I8991" t="str">
            <v>V51919</v>
          </cell>
          <cell r="J8991" t="str">
            <v>CTC</v>
          </cell>
          <cell r="K8991" t="str">
            <v>YES</v>
          </cell>
        </row>
        <row r="8992">
          <cell r="I8992" t="str">
            <v>V52204</v>
          </cell>
          <cell r="J8992" t="str">
            <v>CTC</v>
          </cell>
          <cell r="K8992" t="str">
            <v>YES</v>
          </cell>
        </row>
        <row r="8993">
          <cell r="I8993" t="str">
            <v>V54052</v>
          </cell>
          <cell r="J8993" t="str">
            <v>CTC</v>
          </cell>
          <cell r="K8993" t="str">
            <v>YES</v>
          </cell>
        </row>
        <row r="8994">
          <cell r="I8994" t="str">
            <v>V52188</v>
          </cell>
          <cell r="J8994" t="str">
            <v>CTC</v>
          </cell>
          <cell r="K8994" t="str">
            <v>YES</v>
          </cell>
        </row>
        <row r="8995">
          <cell r="I8995" t="str">
            <v>V50488</v>
          </cell>
          <cell r="J8995" t="str">
            <v>CTC</v>
          </cell>
          <cell r="K8995" t="str">
            <v>YES</v>
          </cell>
        </row>
        <row r="8996">
          <cell r="I8996" t="str">
            <v>V51487</v>
          </cell>
          <cell r="J8996" t="str">
            <v>CTC</v>
          </cell>
          <cell r="K8996" t="str">
            <v>YES</v>
          </cell>
        </row>
        <row r="8997">
          <cell r="I8997" t="str">
            <v>V51613</v>
          </cell>
          <cell r="J8997" t="str">
            <v>CTC</v>
          </cell>
          <cell r="K8997" t="str">
            <v>YES</v>
          </cell>
        </row>
        <row r="8998">
          <cell r="I8998" t="str">
            <v>V51848</v>
          </cell>
          <cell r="J8998" t="str">
            <v>STAT</v>
          </cell>
          <cell r="K8998" t="str">
            <v>YES</v>
          </cell>
        </row>
        <row r="8999">
          <cell r="I8999" t="str">
            <v>V52444</v>
          </cell>
          <cell r="J8999" t="str">
            <v>CTC</v>
          </cell>
          <cell r="K8999" t="str">
            <v>YES</v>
          </cell>
        </row>
        <row r="9000">
          <cell r="I9000" t="str">
            <v>V52588</v>
          </cell>
          <cell r="J9000" t="str">
            <v>STAT</v>
          </cell>
          <cell r="K9000" t="str">
            <v>YES</v>
          </cell>
        </row>
        <row r="9001">
          <cell r="I9001" t="str">
            <v>V52238</v>
          </cell>
          <cell r="J9001" t="str">
            <v>STAT</v>
          </cell>
          <cell r="K9001" t="str">
            <v>YES</v>
          </cell>
        </row>
        <row r="9002">
          <cell r="I9002" t="str">
            <v>V52916</v>
          </cell>
          <cell r="J9002" t="str">
            <v>STAT</v>
          </cell>
          <cell r="K9002" t="str">
            <v>YES</v>
          </cell>
        </row>
        <row r="9003">
          <cell r="I9003" t="str">
            <v>V51941</v>
          </cell>
          <cell r="J9003" t="str">
            <v>CTC</v>
          </cell>
          <cell r="K9003" t="str">
            <v>YES</v>
          </cell>
        </row>
        <row r="9004">
          <cell r="I9004" t="str">
            <v>V51942</v>
          </cell>
          <cell r="J9004" t="str">
            <v>CTC</v>
          </cell>
          <cell r="K9004" t="str">
            <v>YES</v>
          </cell>
        </row>
        <row r="9005">
          <cell r="I9005" t="str">
            <v>V51882</v>
          </cell>
          <cell r="J9005" t="str">
            <v>CTC</v>
          </cell>
          <cell r="K9005" t="str">
            <v>YES</v>
          </cell>
        </row>
        <row r="9006">
          <cell r="I9006" t="str">
            <v>V51427</v>
          </cell>
          <cell r="J9006" t="str">
            <v>CTC</v>
          </cell>
          <cell r="K9006" t="str">
            <v>YES</v>
          </cell>
        </row>
        <row r="9007">
          <cell r="I9007" t="str">
            <v>V51304</v>
          </cell>
          <cell r="J9007" t="str">
            <v>CTC</v>
          </cell>
          <cell r="K9007" t="str">
            <v>YES</v>
          </cell>
        </row>
        <row r="9008">
          <cell r="I9008" t="str">
            <v>V51902</v>
          </cell>
          <cell r="J9008" t="str">
            <v>CTC</v>
          </cell>
          <cell r="K9008" t="str">
            <v>YES</v>
          </cell>
        </row>
        <row r="9009">
          <cell r="I9009" t="str">
            <v>V50435</v>
          </cell>
          <cell r="J9009" t="str">
            <v>STAT</v>
          </cell>
          <cell r="K9009" t="str">
            <v>YES</v>
          </cell>
        </row>
        <row r="9010">
          <cell r="I9010" t="str">
            <v>V51336</v>
          </cell>
          <cell r="J9010" t="str">
            <v>CTC</v>
          </cell>
          <cell r="K9010" t="str">
            <v>YES</v>
          </cell>
        </row>
        <row r="9011">
          <cell r="I9011" t="str">
            <v>V52436</v>
          </cell>
          <cell r="J9011" t="str">
            <v>CTC</v>
          </cell>
          <cell r="K9011" t="str">
            <v>YES</v>
          </cell>
        </row>
        <row r="9012">
          <cell r="I9012" t="str">
            <v>V49929</v>
          </cell>
          <cell r="J9012" t="str">
            <v>CTC</v>
          </cell>
          <cell r="K9012" t="str">
            <v>YES</v>
          </cell>
        </row>
        <row r="9013">
          <cell r="I9013" t="str">
            <v>V52590</v>
          </cell>
          <cell r="J9013" t="str">
            <v>STAT</v>
          </cell>
          <cell r="K9013" t="str">
            <v>YES</v>
          </cell>
        </row>
        <row r="9014">
          <cell r="I9014" t="str">
            <v>V51462</v>
          </cell>
          <cell r="J9014" t="str">
            <v>CTC</v>
          </cell>
          <cell r="K9014" t="str">
            <v>YES</v>
          </cell>
        </row>
        <row r="9015">
          <cell r="I9015" t="str">
            <v>V51682</v>
          </cell>
          <cell r="J9015" t="str">
            <v>CTC</v>
          </cell>
          <cell r="K9015" t="str">
            <v>YES</v>
          </cell>
        </row>
        <row r="9016">
          <cell r="I9016" t="str">
            <v>V52070</v>
          </cell>
          <cell r="J9016" t="str">
            <v>CTC</v>
          </cell>
          <cell r="K9016" t="str">
            <v>YES</v>
          </cell>
        </row>
        <row r="9017">
          <cell r="I9017" t="str">
            <v>V53010</v>
          </cell>
          <cell r="J9017" t="str">
            <v>STAT</v>
          </cell>
          <cell r="K9017" t="str">
            <v>YES</v>
          </cell>
        </row>
        <row r="9018">
          <cell r="I9018" t="str">
            <v>V52322</v>
          </cell>
          <cell r="J9018" t="str">
            <v>CTC</v>
          </cell>
          <cell r="K9018" t="str">
            <v>YES</v>
          </cell>
        </row>
        <row r="9019">
          <cell r="I9019" t="str">
            <v>V51271</v>
          </cell>
          <cell r="J9019" t="str">
            <v>CTC</v>
          </cell>
          <cell r="K9019" t="str">
            <v>YES</v>
          </cell>
        </row>
        <row r="9020">
          <cell r="I9020" t="str">
            <v>V49317</v>
          </cell>
          <cell r="J9020" t="str">
            <v>CTC</v>
          </cell>
          <cell r="K9020" t="str">
            <v>YES</v>
          </cell>
        </row>
        <row r="9021">
          <cell r="I9021" t="str">
            <v>V51269</v>
          </cell>
          <cell r="J9021" t="str">
            <v>CTC</v>
          </cell>
          <cell r="K9021" t="str">
            <v>YES</v>
          </cell>
        </row>
        <row r="9022">
          <cell r="I9022" t="str">
            <v>V51793</v>
          </cell>
          <cell r="J9022" t="str">
            <v>CTC</v>
          </cell>
          <cell r="K9022" t="str">
            <v>YES</v>
          </cell>
        </row>
        <row r="9023">
          <cell r="I9023" t="str">
            <v>V51913</v>
          </cell>
          <cell r="J9023" t="str">
            <v>CTC</v>
          </cell>
          <cell r="K9023" t="str">
            <v>YES</v>
          </cell>
        </row>
        <row r="9024">
          <cell r="I9024" t="str">
            <v>V51921</v>
          </cell>
          <cell r="J9024" t="str">
            <v>CTC</v>
          </cell>
          <cell r="K9024" t="str">
            <v>YES</v>
          </cell>
        </row>
        <row r="9025">
          <cell r="I9025" t="str">
            <v>V48965</v>
          </cell>
          <cell r="J9025" t="str">
            <v>CTC</v>
          </cell>
          <cell r="K9025" t="str">
            <v>YES</v>
          </cell>
        </row>
        <row r="9026">
          <cell r="I9026" t="str">
            <v>V53604</v>
          </cell>
          <cell r="J9026" t="str">
            <v>CTC</v>
          </cell>
          <cell r="K9026" t="str">
            <v>YES</v>
          </cell>
        </row>
        <row r="9027">
          <cell r="I9027" t="str">
            <v>V50234</v>
          </cell>
          <cell r="J9027" t="str">
            <v>CTC</v>
          </cell>
          <cell r="K9027" t="str">
            <v>YES</v>
          </cell>
        </row>
        <row r="9028">
          <cell r="I9028" t="str">
            <v>V52385</v>
          </cell>
          <cell r="J9028" t="str">
            <v>STAT</v>
          </cell>
          <cell r="K9028" t="str">
            <v>YES</v>
          </cell>
        </row>
        <row r="9029">
          <cell r="I9029" t="str">
            <v>V51611</v>
          </cell>
          <cell r="J9029" t="str">
            <v>CTC</v>
          </cell>
          <cell r="K9029" t="str">
            <v>YES</v>
          </cell>
        </row>
        <row r="9030">
          <cell r="I9030" t="str">
            <v>V49145</v>
          </cell>
          <cell r="J9030" t="str">
            <v>CTC</v>
          </cell>
          <cell r="K9030" t="str">
            <v>YES</v>
          </cell>
        </row>
        <row r="9031">
          <cell r="I9031" t="str">
            <v>V51831</v>
          </cell>
          <cell r="J9031" t="str">
            <v>CTC</v>
          </cell>
          <cell r="K9031" t="str">
            <v>YES</v>
          </cell>
        </row>
        <row r="9032">
          <cell r="I9032" t="str">
            <v>V51330</v>
          </cell>
          <cell r="J9032" t="str">
            <v>CTC</v>
          </cell>
          <cell r="K9032" t="str">
            <v>YES</v>
          </cell>
        </row>
        <row r="9033">
          <cell r="I9033" t="str">
            <v>V52192</v>
          </cell>
          <cell r="J9033" t="str">
            <v>CTC</v>
          </cell>
          <cell r="K9033" t="str">
            <v>YES</v>
          </cell>
        </row>
        <row r="9034">
          <cell r="I9034" t="str">
            <v>V51564</v>
          </cell>
          <cell r="J9034" t="str">
            <v>CTC</v>
          </cell>
          <cell r="K9034" t="str">
            <v>YES</v>
          </cell>
        </row>
        <row r="9035">
          <cell r="I9035" t="str">
            <v>V51729</v>
          </cell>
          <cell r="J9035" t="str">
            <v>CTC</v>
          </cell>
          <cell r="K9035" t="str">
            <v>YES</v>
          </cell>
        </row>
        <row r="9036">
          <cell r="I9036" t="str">
            <v>V52352</v>
          </cell>
          <cell r="J9036" t="str">
            <v>CTC</v>
          </cell>
          <cell r="K9036" t="str">
            <v>YES</v>
          </cell>
        </row>
        <row r="9037">
          <cell r="I9037" t="str">
            <v>V51540</v>
          </cell>
          <cell r="J9037" t="str">
            <v>CTC</v>
          </cell>
          <cell r="K9037" t="str">
            <v>YES</v>
          </cell>
        </row>
        <row r="9038">
          <cell r="I9038" t="str">
            <v>V53623</v>
          </cell>
          <cell r="J9038" t="str">
            <v>CTC</v>
          </cell>
          <cell r="K9038" t="str">
            <v>YES</v>
          </cell>
        </row>
        <row r="9039">
          <cell r="I9039" t="str">
            <v>V52145</v>
          </cell>
          <cell r="J9039" t="str">
            <v>CTC</v>
          </cell>
          <cell r="K9039" t="str">
            <v>YES</v>
          </cell>
        </row>
        <row r="9040">
          <cell r="I9040" t="str">
            <v>V52265</v>
          </cell>
          <cell r="J9040" t="str">
            <v>CTC</v>
          </cell>
          <cell r="K9040" t="str">
            <v>YES</v>
          </cell>
        </row>
        <row r="9041">
          <cell r="I9041" t="str">
            <v>V51925</v>
          </cell>
          <cell r="J9041" t="str">
            <v>CTC</v>
          </cell>
          <cell r="K9041" t="str">
            <v>YES</v>
          </cell>
        </row>
        <row r="9042">
          <cell r="I9042" t="str">
            <v>V52485</v>
          </cell>
          <cell r="J9042" t="str">
            <v>STAT</v>
          </cell>
          <cell r="K9042" t="str">
            <v>YES</v>
          </cell>
        </row>
        <row r="9043">
          <cell r="I9043" t="str">
            <v>V51824</v>
          </cell>
          <cell r="J9043" t="str">
            <v>CTC</v>
          </cell>
          <cell r="K9043" t="str">
            <v>YES</v>
          </cell>
        </row>
        <row r="9044">
          <cell r="I9044" t="str">
            <v>V52132</v>
          </cell>
          <cell r="J9044" t="str">
            <v>CTC</v>
          </cell>
          <cell r="K9044" t="str">
            <v>YES</v>
          </cell>
        </row>
        <row r="9045">
          <cell r="I9045" t="str">
            <v>V51334</v>
          </cell>
          <cell r="J9045" t="str">
            <v>CTC</v>
          </cell>
          <cell r="K9045" t="str">
            <v>YES</v>
          </cell>
        </row>
        <row r="9046">
          <cell r="I9046" t="str">
            <v>V49971</v>
          </cell>
          <cell r="J9046" t="str">
            <v>CTC</v>
          </cell>
          <cell r="K9046" t="str">
            <v>YES</v>
          </cell>
        </row>
        <row r="9047">
          <cell r="I9047" t="str">
            <v>V51968</v>
          </cell>
          <cell r="J9047" t="str">
            <v>CTC</v>
          </cell>
          <cell r="K9047" t="str">
            <v>YES</v>
          </cell>
        </row>
        <row r="9048">
          <cell r="I9048" t="str">
            <v>V52795</v>
          </cell>
          <cell r="J9048" t="str">
            <v>STAT</v>
          </cell>
          <cell r="K9048" t="str">
            <v>YES</v>
          </cell>
        </row>
        <row r="9049">
          <cell r="I9049" t="str">
            <v>V52342</v>
          </cell>
          <cell r="J9049" t="str">
            <v>CTC</v>
          </cell>
          <cell r="K9049" t="str">
            <v>YES</v>
          </cell>
        </row>
        <row r="9050">
          <cell r="I9050" t="str">
            <v>V52327</v>
          </cell>
          <cell r="J9050" t="str">
            <v>CTC</v>
          </cell>
          <cell r="K9050" t="str">
            <v>YES</v>
          </cell>
        </row>
        <row r="9051">
          <cell r="I9051" t="str">
            <v>V51798</v>
          </cell>
          <cell r="J9051" t="str">
            <v>CTC</v>
          </cell>
          <cell r="K9051" t="str">
            <v>YES</v>
          </cell>
        </row>
        <row r="9052">
          <cell r="I9052" t="str">
            <v>V50390</v>
          </cell>
          <cell r="J9052" t="str">
            <v>STAT</v>
          </cell>
          <cell r="K9052" t="str">
            <v>YES</v>
          </cell>
        </row>
        <row r="9053">
          <cell r="I9053" t="str">
            <v>V51933</v>
          </cell>
          <cell r="J9053" t="str">
            <v>CTC</v>
          </cell>
          <cell r="K9053" t="str">
            <v>YES</v>
          </cell>
        </row>
        <row r="9054">
          <cell r="I9054" t="str">
            <v>V52077</v>
          </cell>
          <cell r="J9054" t="str">
            <v>CTC</v>
          </cell>
          <cell r="K9054" t="str">
            <v>YES</v>
          </cell>
        </row>
        <row r="9055">
          <cell r="I9055" t="str">
            <v>V52329</v>
          </cell>
          <cell r="J9055" t="str">
            <v>CTC</v>
          </cell>
          <cell r="K9055" t="str">
            <v>YES</v>
          </cell>
        </row>
        <row r="9056">
          <cell r="I9056" t="str">
            <v>V52150</v>
          </cell>
          <cell r="J9056" t="str">
            <v>CTC</v>
          </cell>
          <cell r="K9056" t="str">
            <v>YES</v>
          </cell>
        </row>
        <row r="9057">
          <cell r="I9057" t="str">
            <v>V51609</v>
          </cell>
          <cell r="J9057" t="str">
            <v>CTC</v>
          </cell>
          <cell r="K9057" t="str">
            <v>YES</v>
          </cell>
        </row>
        <row r="9058">
          <cell r="I9058" t="str">
            <v>V52082</v>
          </cell>
          <cell r="J9058" t="str">
            <v>STAT</v>
          </cell>
          <cell r="K9058" t="str">
            <v>YES</v>
          </cell>
        </row>
        <row r="9059">
          <cell r="I9059" t="str">
            <v>V50915</v>
          </cell>
          <cell r="J9059" t="str">
            <v>CTC</v>
          </cell>
          <cell r="K9059" t="str">
            <v>YES</v>
          </cell>
        </row>
        <row r="9060">
          <cell r="I9060" t="str">
            <v>V52894</v>
          </cell>
          <cell r="J9060" t="str">
            <v>STAT</v>
          </cell>
          <cell r="K9060" t="str">
            <v>YES</v>
          </cell>
        </row>
        <row r="9061">
          <cell r="I9061" t="str">
            <v>V51032</v>
          </cell>
          <cell r="J9061" t="str">
            <v>STAT</v>
          </cell>
          <cell r="K9061" t="str">
            <v>YES</v>
          </cell>
        </row>
        <row r="9062">
          <cell r="I9062" t="str">
            <v>V51994</v>
          </cell>
          <cell r="J9062" t="str">
            <v>CTC</v>
          </cell>
          <cell r="K9062" t="str">
            <v>YES</v>
          </cell>
        </row>
        <row r="9063">
          <cell r="I9063" t="str">
            <v>V52511</v>
          </cell>
          <cell r="J9063" t="str">
            <v>STAT</v>
          </cell>
          <cell r="K9063" t="str">
            <v>YES</v>
          </cell>
        </row>
        <row r="9064">
          <cell r="I9064" t="str">
            <v>V52513</v>
          </cell>
          <cell r="J9064" t="str">
            <v>STAT</v>
          </cell>
          <cell r="K9064" t="str">
            <v>YES</v>
          </cell>
        </row>
        <row r="9065">
          <cell r="I9065" t="str">
            <v>V52425</v>
          </cell>
          <cell r="J9065" t="str">
            <v>CTC</v>
          </cell>
          <cell r="K9065" t="str">
            <v>YES</v>
          </cell>
        </row>
        <row r="9066">
          <cell r="I9066" t="str">
            <v>V52747</v>
          </cell>
          <cell r="J9066" t="str">
            <v>STAT</v>
          </cell>
          <cell r="K9066" t="str">
            <v>YES</v>
          </cell>
        </row>
        <row r="9067">
          <cell r="I9067" t="str">
            <v>V51003</v>
          </cell>
          <cell r="J9067" t="str">
            <v>CTC</v>
          </cell>
          <cell r="K9067" t="str">
            <v>YES</v>
          </cell>
        </row>
        <row r="9068">
          <cell r="I9068" t="str">
            <v>V50414</v>
          </cell>
          <cell r="J9068" t="str">
            <v>CTC</v>
          </cell>
          <cell r="K9068" t="str">
            <v>YES</v>
          </cell>
        </row>
        <row r="9069">
          <cell r="I9069" t="str">
            <v>V52508</v>
          </cell>
          <cell r="J9069" t="str">
            <v>STAT</v>
          </cell>
          <cell r="K9069" t="str">
            <v>YES</v>
          </cell>
        </row>
        <row r="9070">
          <cell r="I9070" t="str">
            <v>V52319</v>
          </cell>
          <cell r="J9070" t="str">
            <v>CTC</v>
          </cell>
          <cell r="K9070" t="str">
            <v>YES</v>
          </cell>
        </row>
        <row r="9071">
          <cell r="I9071" t="str">
            <v>V49527</v>
          </cell>
          <cell r="J9071" t="str">
            <v>CTC</v>
          </cell>
          <cell r="K9071" t="str">
            <v>YES</v>
          </cell>
        </row>
        <row r="9072">
          <cell r="I9072" t="str">
            <v>V51346</v>
          </cell>
          <cell r="J9072" t="str">
            <v>CTC</v>
          </cell>
          <cell r="K9072" t="str">
            <v>YES</v>
          </cell>
        </row>
        <row r="9073">
          <cell r="I9073" t="str">
            <v>V50966</v>
          </cell>
          <cell r="J9073" t="str">
            <v>CTC</v>
          </cell>
          <cell r="K9073" t="str">
            <v>YES</v>
          </cell>
        </row>
        <row r="9074">
          <cell r="I9074" t="str">
            <v>V52461</v>
          </cell>
          <cell r="J9074" t="str">
            <v>STAT</v>
          </cell>
          <cell r="K9074" t="str">
            <v>YES</v>
          </cell>
        </row>
        <row r="9075">
          <cell r="I9075" t="str">
            <v>V52313</v>
          </cell>
          <cell r="J9075" t="str">
            <v>STAT</v>
          </cell>
          <cell r="K9075" t="str">
            <v>YES</v>
          </cell>
        </row>
        <row r="9076">
          <cell r="I9076" t="str">
            <v>V51931</v>
          </cell>
          <cell r="J9076" t="str">
            <v>CTC</v>
          </cell>
          <cell r="K9076" t="str">
            <v>YES</v>
          </cell>
        </row>
        <row r="9077">
          <cell r="I9077" t="str">
            <v>V52249</v>
          </cell>
          <cell r="J9077" t="str">
            <v>CTC</v>
          </cell>
          <cell r="K9077" t="str">
            <v>YES</v>
          </cell>
        </row>
        <row r="9078">
          <cell r="I9078" t="str">
            <v>V51950</v>
          </cell>
          <cell r="J9078" t="str">
            <v>STAT</v>
          </cell>
          <cell r="K9078" t="str">
            <v>YES</v>
          </cell>
        </row>
        <row r="9079">
          <cell r="I9079" t="str">
            <v>V50158</v>
          </cell>
          <cell r="J9079" t="str">
            <v>CTC</v>
          </cell>
          <cell r="K9079" t="str">
            <v>YES</v>
          </cell>
        </row>
        <row r="9080">
          <cell r="I9080" t="str">
            <v>V52344</v>
          </cell>
          <cell r="J9080" t="str">
            <v>CTC</v>
          </cell>
          <cell r="K9080" t="str">
            <v>YES</v>
          </cell>
        </row>
        <row r="9081">
          <cell r="I9081" t="str">
            <v>V52234</v>
          </cell>
          <cell r="J9081" t="str">
            <v>CTC</v>
          </cell>
          <cell r="K9081" t="str">
            <v>YES</v>
          </cell>
        </row>
        <row r="9082">
          <cell r="I9082" t="str">
            <v>V51493</v>
          </cell>
          <cell r="J9082" t="str">
            <v>CTC</v>
          </cell>
          <cell r="K9082" t="str">
            <v>YES</v>
          </cell>
        </row>
        <row r="9083">
          <cell r="I9083" t="str">
            <v>V52371</v>
          </cell>
          <cell r="J9083" t="str">
            <v>STAT</v>
          </cell>
          <cell r="K9083" t="str">
            <v>YES</v>
          </cell>
        </row>
        <row r="9084">
          <cell r="I9084" t="str">
            <v>V52166</v>
          </cell>
          <cell r="J9084" t="str">
            <v>CTC</v>
          </cell>
          <cell r="K9084" t="str">
            <v>YES</v>
          </cell>
        </row>
        <row r="9085">
          <cell r="I9085" t="str">
            <v>V51504</v>
          </cell>
          <cell r="J9085" t="str">
            <v>CTC</v>
          </cell>
          <cell r="K9085" t="str">
            <v>YES</v>
          </cell>
        </row>
        <row r="9086">
          <cell r="I9086" t="str">
            <v>V52241</v>
          </cell>
          <cell r="J9086" t="str">
            <v>CTC</v>
          </cell>
          <cell r="K9086" t="str">
            <v>YES</v>
          </cell>
        </row>
        <row r="9087">
          <cell r="I9087" t="str">
            <v>V52271</v>
          </cell>
          <cell r="J9087" t="str">
            <v>CTC</v>
          </cell>
          <cell r="K9087" t="str">
            <v>YES</v>
          </cell>
        </row>
        <row r="9088">
          <cell r="I9088" t="str">
            <v>V52295</v>
          </cell>
          <cell r="J9088" t="str">
            <v>CTC</v>
          </cell>
          <cell r="K9088" t="str">
            <v>YES</v>
          </cell>
        </row>
        <row r="9089">
          <cell r="I9089" t="str">
            <v>V52439</v>
          </cell>
          <cell r="J9089" t="str">
            <v>STAT</v>
          </cell>
          <cell r="K9089" t="str">
            <v>YES</v>
          </cell>
        </row>
        <row r="9090">
          <cell r="I9090" t="str">
            <v>V50113</v>
          </cell>
          <cell r="J9090" t="str">
            <v>CTC</v>
          </cell>
          <cell r="K9090" t="str">
            <v>YES</v>
          </cell>
        </row>
        <row r="9091">
          <cell r="I9091" t="str">
            <v>V52173</v>
          </cell>
          <cell r="J9091" t="str">
            <v>CTC</v>
          </cell>
          <cell r="K9091" t="str">
            <v>YES</v>
          </cell>
        </row>
        <row r="9092">
          <cell r="I9092" t="str">
            <v>V51901</v>
          </cell>
          <cell r="J9092" t="str">
            <v>CTC</v>
          </cell>
          <cell r="K9092" t="str">
            <v>YES</v>
          </cell>
        </row>
        <row r="9093">
          <cell r="I9093" t="str">
            <v>V52453</v>
          </cell>
          <cell r="J9093" t="str">
            <v>CTC</v>
          </cell>
          <cell r="K9093" t="str">
            <v>YES</v>
          </cell>
        </row>
        <row r="9094">
          <cell r="I9094" t="str">
            <v>V49819</v>
          </cell>
          <cell r="J9094" t="str">
            <v>CTC</v>
          </cell>
          <cell r="K9094" t="str">
            <v>YES</v>
          </cell>
        </row>
        <row r="9095">
          <cell r="I9095" t="str">
            <v>V52218</v>
          </cell>
          <cell r="J9095" t="str">
            <v>CTC</v>
          </cell>
          <cell r="K9095" t="str">
            <v>YES</v>
          </cell>
        </row>
        <row r="9096">
          <cell r="I9096" t="str">
            <v>V52154</v>
          </cell>
          <cell r="J9096" t="str">
            <v>CTC</v>
          </cell>
          <cell r="K9096" t="str">
            <v>YES</v>
          </cell>
        </row>
        <row r="9097">
          <cell r="I9097" t="str">
            <v>V51408</v>
          </cell>
          <cell r="J9097" t="str">
            <v>CTC</v>
          </cell>
          <cell r="K9097" t="str">
            <v>YES</v>
          </cell>
        </row>
        <row r="9098">
          <cell r="I9098" t="str">
            <v>V52172</v>
          </cell>
          <cell r="J9098" t="str">
            <v>CTC</v>
          </cell>
          <cell r="K9098" t="str">
            <v>YES</v>
          </cell>
        </row>
        <row r="9099">
          <cell r="I9099" t="str">
            <v>V53805</v>
          </cell>
          <cell r="J9099" t="str">
            <v>STAT</v>
          </cell>
          <cell r="K9099" t="str">
            <v>YES</v>
          </cell>
        </row>
        <row r="9100">
          <cell r="I9100" t="str">
            <v>V53807</v>
          </cell>
          <cell r="J9100" t="str">
            <v>STAT</v>
          </cell>
          <cell r="K9100" t="str">
            <v>YES</v>
          </cell>
        </row>
        <row r="9101">
          <cell r="I9101" t="str">
            <v>V52251</v>
          </cell>
          <cell r="J9101" t="str">
            <v>CTC</v>
          </cell>
          <cell r="K9101" t="str">
            <v>YES</v>
          </cell>
        </row>
        <row r="9102">
          <cell r="I9102" t="str">
            <v>V52229</v>
          </cell>
          <cell r="J9102" t="str">
            <v>CTC</v>
          </cell>
          <cell r="K9102" t="str">
            <v>YES</v>
          </cell>
        </row>
        <row r="9103">
          <cell r="I9103" t="str">
            <v>V52289</v>
          </cell>
          <cell r="J9103" t="str">
            <v>CTC</v>
          </cell>
          <cell r="K9103" t="str">
            <v>YES</v>
          </cell>
        </row>
        <row r="9104">
          <cell r="I9104" t="str">
            <v>V52256</v>
          </cell>
          <cell r="J9104" t="str">
            <v>CTC</v>
          </cell>
          <cell r="K9104" t="str">
            <v>YES</v>
          </cell>
        </row>
        <row r="9105">
          <cell r="I9105" t="str">
            <v>V51879</v>
          </cell>
          <cell r="J9105" t="str">
            <v>CTC</v>
          </cell>
          <cell r="K9105" t="str">
            <v>YES</v>
          </cell>
        </row>
        <row r="9106">
          <cell r="I9106" t="str">
            <v>V51508</v>
          </cell>
          <cell r="J9106" t="str">
            <v>CTC</v>
          </cell>
          <cell r="K9106" t="str">
            <v>YES</v>
          </cell>
        </row>
        <row r="9107">
          <cell r="I9107" t="str">
            <v>V51891</v>
          </cell>
          <cell r="J9107" t="str">
            <v>CTC</v>
          </cell>
          <cell r="K9107" t="str">
            <v>YES</v>
          </cell>
        </row>
        <row r="9108">
          <cell r="I9108" t="str">
            <v>V52277</v>
          </cell>
          <cell r="J9108" t="str">
            <v>CTC</v>
          </cell>
          <cell r="K9108" t="str">
            <v>YES</v>
          </cell>
        </row>
        <row r="9109">
          <cell r="I9109" t="str">
            <v>V53291</v>
          </cell>
          <cell r="J9109" t="str">
            <v>CTC</v>
          </cell>
          <cell r="K9109" t="str">
            <v>YES</v>
          </cell>
        </row>
        <row r="9110">
          <cell r="I9110" t="str">
            <v>V51932</v>
          </cell>
          <cell r="J9110" t="str">
            <v>CTC</v>
          </cell>
          <cell r="K9110" t="str">
            <v>YES</v>
          </cell>
        </row>
        <row r="9111">
          <cell r="I9111" t="str">
            <v>V52499</v>
          </cell>
          <cell r="J9111" t="str">
            <v>CTC</v>
          </cell>
          <cell r="K9111" t="str">
            <v>YES</v>
          </cell>
        </row>
        <row r="9112">
          <cell r="I9112" t="str">
            <v>V52151</v>
          </cell>
          <cell r="J9112" t="str">
            <v>STAT</v>
          </cell>
          <cell r="K9112" t="str">
            <v>YES</v>
          </cell>
        </row>
        <row r="9113">
          <cell r="I9113" t="str">
            <v>V52573</v>
          </cell>
          <cell r="J9113" t="str">
            <v>STAT</v>
          </cell>
          <cell r="K9113" t="str">
            <v>YES</v>
          </cell>
        </row>
        <row r="9114">
          <cell r="I9114" t="str">
            <v>V52591</v>
          </cell>
          <cell r="J9114" t="str">
            <v>STAT</v>
          </cell>
          <cell r="K9114" t="str">
            <v>YES</v>
          </cell>
        </row>
        <row r="9115">
          <cell r="I9115" t="str">
            <v>V44058</v>
          </cell>
          <cell r="J9115" t="str">
            <v>CTC</v>
          </cell>
          <cell r="K9115" t="str">
            <v>YES</v>
          </cell>
        </row>
        <row r="9116">
          <cell r="I9116" t="str">
            <v>V52601</v>
          </cell>
          <cell r="J9116" t="str">
            <v>STAT</v>
          </cell>
          <cell r="K9116" t="str">
            <v>YES</v>
          </cell>
        </row>
        <row r="9117">
          <cell r="I9117" t="str">
            <v>V50431</v>
          </cell>
          <cell r="J9117" t="str">
            <v>CTC</v>
          </cell>
          <cell r="K9117" t="str">
            <v>YES</v>
          </cell>
        </row>
        <row r="9118">
          <cell r="I9118" t="str">
            <v>V53580</v>
          </cell>
          <cell r="J9118" t="str">
            <v>CTC</v>
          </cell>
          <cell r="K9118" t="str">
            <v>YES</v>
          </cell>
        </row>
        <row r="9119">
          <cell r="I9119" t="str">
            <v>V52026</v>
          </cell>
          <cell r="J9119" t="str">
            <v>CTC</v>
          </cell>
          <cell r="K9119" t="str">
            <v>YES</v>
          </cell>
        </row>
        <row r="9120">
          <cell r="I9120" t="str">
            <v>V52413</v>
          </cell>
          <cell r="J9120" t="str">
            <v>STAT</v>
          </cell>
          <cell r="K9120" t="str">
            <v>YES</v>
          </cell>
        </row>
        <row r="9121">
          <cell r="I9121" t="str">
            <v>V51888</v>
          </cell>
          <cell r="J9121" t="str">
            <v>CTC</v>
          </cell>
          <cell r="K9121" t="str">
            <v>YES</v>
          </cell>
        </row>
        <row r="9122">
          <cell r="I9122" t="str">
            <v>V51568</v>
          </cell>
          <cell r="J9122" t="str">
            <v>CTC</v>
          </cell>
          <cell r="K9122" t="str">
            <v>YES</v>
          </cell>
        </row>
        <row r="9123">
          <cell r="I9123" t="str">
            <v>V51883</v>
          </cell>
          <cell r="J9123" t="str">
            <v>CTC</v>
          </cell>
          <cell r="K9123" t="str">
            <v>YES</v>
          </cell>
        </row>
        <row r="9124">
          <cell r="I9124" t="str">
            <v>V52096</v>
          </cell>
          <cell r="J9124" t="str">
            <v>CTC</v>
          </cell>
          <cell r="K9124" t="str">
            <v>YES</v>
          </cell>
        </row>
        <row r="9125">
          <cell r="I9125" t="str">
            <v>V51610</v>
          </cell>
          <cell r="J9125" t="str">
            <v>CTC</v>
          </cell>
          <cell r="K9125" t="str">
            <v>YES</v>
          </cell>
        </row>
        <row r="9126">
          <cell r="I9126" t="str">
            <v>V52400</v>
          </cell>
          <cell r="J9126" t="str">
            <v>CTC</v>
          </cell>
          <cell r="K9126" t="str">
            <v>YES</v>
          </cell>
        </row>
        <row r="9127">
          <cell r="I9127" t="str">
            <v>V52380</v>
          </cell>
          <cell r="J9127" t="str">
            <v>CTC</v>
          </cell>
          <cell r="K9127" t="str">
            <v>YES</v>
          </cell>
        </row>
        <row r="9128">
          <cell r="I9128" t="str">
            <v>V52269</v>
          </cell>
          <cell r="J9128" t="str">
            <v>CTC</v>
          </cell>
          <cell r="K9128" t="str">
            <v>YES</v>
          </cell>
        </row>
        <row r="9129">
          <cell r="I9129" t="str">
            <v>V52622</v>
          </cell>
          <cell r="J9129" t="str">
            <v>STAT</v>
          </cell>
          <cell r="K9129" t="str">
            <v>YES</v>
          </cell>
        </row>
        <row r="9130">
          <cell r="I9130" t="str">
            <v>V52255</v>
          </cell>
          <cell r="J9130" t="str">
            <v>CTC</v>
          </cell>
          <cell r="K9130" t="str">
            <v>YES</v>
          </cell>
        </row>
        <row r="9131">
          <cell r="I9131" t="str">
            <v>V53592</v>
          </cell>
          <cell r="J9131" t="str">
            <v>CTC</v>
          </cell>
          <cell r="K9131" t="str">
            <v>YES</v>
          </cell>
        </row>
        <row r="9132">
          <cell r="I9132" t="str">
            <v>V53633</v>
          </cell>
          <cell r="J9132" t="str">
            <v>CTC</v>
          </cell>
          <cell r="K9132" t="str">
            <v>YES</v>
          </cell>
        </row>
        <row r="9133">
          <cell r="I9133" t="str">
            <v>V52117</v>
          </cell>
          <cell r="J9133" t="str">
            <v>CTC</v>
          </cell>
          <cell r="K9133" t="str">
            <v>YES</v>
          </cell>
        </row>
        <row r="9134">
          <cell r="I9134" t="str">
            <v>V52205</v>
          </cell>
          <cell r="J9134" t="str">
            <v>CTC</v>
          </cell>
          <cell r="K9134" t="str">
            <v>YES</v>
          </cell>
        </row>
        <row r="9135">
          <cell r="I9135" t="str">
            <v>V51222</v>
          </cell>
          <cell r="J9135" t="str">
            <v>CTC</v>
          </cell>
          <cell r="K9135" t="str">
            <v>YES</v>
          </cell>
        </row>
        <row r="9136">
          <cell r="I9136" t="str">
            <v>V52076</v>
          </cell>
          <cell r="J9136" t="str">
            <v>CTC</v>
          </cell>
          <cell r="K9136" t="str">
            <v>YES</v>
          </cell>
        </row>
        <row r="9137">
          <cell r="I9137" t="str">
            <v>V52581</v>
          </cell>
          <cell r="J9137" t="str">
            <v>STAT</v>
          </cell>
          <cell r="K9137" t="str">
            <v>YES</v>
          </cell>
        </row>
        <row r="9138">
          <cell r="I9138" t="str">
            <v>V52103</v>
          </cell>
          <cell r="J9138" t="str">
            <v>CTC</v>
          </cell>
          <cell r="K9138" t="str">
            <v>YES</v>
          </cell>
        </row>
        <row r="9139">
          <cell r="I9139" t="str">
            <v>V52021</v>
          </cell>
          <cell r="J9139" t="str">
            <v>CTC</v>
          </cell>
          <cell r="K9139" t="str">
            <v>YES</v>
          </cell>
        </row>
        <row r="9140">
          <cell r="I9140" t="str">
            <v>V50859</v>
          </cell>
          <cell r="J9140" t="str">
            <v>CTC</v>
          </cell>
          <cell r="K9140" t="str">
            <v>YES</v>
          </cell>
        </row>
        <row r="9141">
          <cell r="I9141" t="str">
            <v>V52316</v>
          </cell>
          <cell r="J9141" t="str">
            <v>CTC</v>
          </cell>
          <cell r="K9141" t="str">
            <v>YES</v>
          </cell>
        </row>
        <row r="9142">
          <cell r="I9142" t="str">
            <v>V48966</v>
          </cell>
          <cell r="J9142" t="str">
            <v>CTC</v>
          </cell>
          <cell r="K9142" t="str">
            <v>YES</v>
          </cell>
        </row>
        <row r="9143">
          <cell r="I9143" t="str">
            <v>V52724</v>
          </cell>
          <cell r="J9143" t="str">
            <v>STAT</v>
          </cell>
          <cell r="K9143" t="str">
            <v>YES</v>
          </cell>
        </row>
        <row r="9144">
          <cell r="I9144" t="str">
            <v>V49973</v>
          </cell>
          <cell r="J9144" t="str">
            <v>CTC</v>
          </cell>
          <cell r="K9144" t="str">
            <v>YES</v>
          </cell>
        </row>
        <row r="9145">
          <cell r="I9145" t="str">
            <v>V49879</v>
          </cell>
          <cell r="J9145" t="str">
            <v>CTC</v>
          </cell>
          <cell r="K9145" t="str">
            <v>YES</v>
          </cell>
        </row>
        <row r="9146">
          <cell r="I9146" t="str">
            <v>V52014</v>
          </cell>
          <cell r="J9146" t="str">
            <v>CTC</v>
          </cell>
          <cell r="K9146" t="str">
            <v>YES</v>
          </cell>
        </row>
        <row r="9147">
          <cell r="I9147" t="str">
            <v>V49820</v>
          </cell>
          <cell r="J9147" t="str">
            <v>CTC</v>
          </cell>
          <cell r="K9147" t="str">
            <v>YES</v>
          </cell>
        </row>
        <row r="9148">
          <cell r="I9148" t="str">
            <v>V52221</v>
          </cell>
          <cell r="J9148" t="str">
            <v>CTC</v>
          </cell>
          <cell r="K9148" t="str">
            <v>YES</v>
          </cell>
        </row>
        <row r="9149">
          <cell r="I9149" t="str">
            <v>V51358</v>
          </cell>
          <cell r="J9149" t="str">
            <v>CTC</v>
          </cell>
          <cell r="K9149" t="str">
            <v>YES</v>
          </cell>
        </row>
        <row r="9150">
          <cell r="I9150" t="str">
            <v>V52628</v>
          </cell>
          <cell r="J9150" t="str">
            <v>STAT</v>
          </cell>
          <cell r="K9150" t="str">
            <v>YES</v>
          </cell>
        </row>
        <row r="9151">
          <cell r="I9151" t="str">
            <v>V53012</v>
          </cell>
          <cell r="J9151" t="str">
            <v>STAT</v>
          </cell>
          <cell r="K9151" t="str">
            <v>YES</v>
          </cell>
        </row>
        <row r="9152">
          <cell r="I9152" t="str">
            <v>V52478</v>
          </cell>
          <cell r="J9152" t="str">
            <v>STAT</v>
          </cell>
          <cell r="K9152" t="str">
            <v>YES</v>
          </cell>
        </row>
        <row r="9153">
          <cell r="I9153" t="str">
            <v>V52479</v>
          </cell>
          <cell r="J9153" t="str">
            <v>STAT</v>
          </cell>
          <cell r="K9153" t="str">
            <v>YES</v>
          </cell>
        </row>
        <row r="9154">
          <cell r="I9154" t="str">
            <v>V52610</v>
          </cell>
          <cell r="J9154" t="str">
            <v>STAT</v>
          </cell>
          <cell r="K9154" t="str">
            <v>YES</v>
          </cell>
        </row>
        <row r="9155">
          <cell r="I9155" t="str">
            <v>V52298</v>
          </cell>
          <cell r="J9155" t="str">
            <v>CTC</v>
          </cell>
          <cell r="K9155" t="str">
            <v>YES</v>
          </cell>
        </row>
        <row r="9156">
          <cell r="I9156" t="str">
            <v>V52593</v>
          </cell>
          <cell r="J9156" t="str">
            <v>STAT</v>
          </cell>
          <cell r="K9156" t="str">
            <v>YES</v>
          </cell>
        </row>
        <row r="9157">
          <cell r="I9157" t="str">
            <v>V51534</v>
          </cell>
          <cell r="J9157" t="str">
            <v>CTC</v>
          </cell>
          <cell r="K9157" t="str">
            <v>YES</v>
          </cell>
        </row>
        <row r="9158">
          <cell r="I9158" t="str">
            <v>V52291</v>
          </cell>
          <cell r="J9158" t="str">
            <v>CTC</v>
          </cell>
          <cell r="K9158" t="str">
            <v>YES</v>
          </cell>
        </row>
        <row r="9159">
          <cell r="I9159" t="str">
            <v>V51555</v>
          </cell>
          <cell r="J9159" t="str">
            <v>CTC</v>
          </cell>
          <cell r="K9159" t="str">
            <v>YES</v>
          </cell>
        </row>
        <row r="9160">
          <cell r="I9160" t="str">
            <v>V50369</v>
          </cell>
          <cell r="J9160" t="str">
            <v>CTC</v>
          </cell>
          <cell r="K9160" t="str">
            <v>YES</v>
          </cell>
        </row>
        <row r="9161">
          <cell r="I9161" t="str">
            <v>V52617</v>
          </cell>
          <cell r="J9161" t="str">
            <v>STAT</v>
          </cell>
          <cell r="K9161" t="str">
            <v>YES</v>
          </cell>
        </row>
        <row r="9162">
          <cell r="I9162" t="str">
            <v>V52393</v>
          </cell>
          <cell r="J9162" t="str">
            <v>CTC</v>
          </cell>
          <cell r="K9162" t="str">
            <v>YES</v>
          </cell>
        </row>
        <row r="9163">
          <cell r="I9163" t="str">
            <v>V51691</v>
          </cell>
          <cell r="J9163" t="str">
            <v>CTC</v>
          </cell>
          <cell r="K9163" t="str">
            <v>YES</v>
          </cell>
        </row>
        <row r="9164">
          <cell r="I9164" t="str">
            <v>V52731</v>
          </cell>
          <cell r="J9164" t="str">
            <v>STAT</v>
          </cell>
          <cell r="K9164" t="str">
            <v>YES</v>
          </cell>
        </row>
        <row r="9165">
          <cell r="I9165" t="str">
            <v>V50423</v>
          </cell>
          <cell r="J9165" t="str">
            <v>CTC</v>
          </cell>
          <cell r="K9165" t="str">
            <v>YES</v>
          </cell>
        </row>
        <row r="9166">
          <cell r="I9166" t="str">
            <v>V52305</v>
          </cell>
          <cell r="J9166" t="str">
            <v>STAT</v>
          </cell>
          <cell r="K9166" t="str">
            <v>YES</v>
          </cell>
        </row>
        <row r="9167">
          <cell r="I9167" t="str">
            <v>V52068</v>
          </cell>
          <cell r="J9167" t="str">
            <v>CTC</v>
          </cell>
          <cell r="K9167" t="str">
            <v>YES</v>
          </cell>
        </row>
        <row r="9168">
          <cell r="I9168" t="str">
            <v>V52315</v>
          </cell>
          <cell r="J9168" t="str">
            <v>CTC</v>
          </cell>
          <cell r="K9168" t="str">
            <v>YES</v>
          </cell>
        </row>
        <row r="9169">
          <cell r="I9169" t="str">
            <v>V52310</v>
          </cell>
          <cell r="J9169" t="str">
            <v>CTC</v>
          </cell>
          <cell r="K9169" t="str">
            <v>YES</v>
          </cell>
        </row>
        <row r="9170">
          <cell r="I9170" t="str">
            <v>V51996</v>
          </cell>
          <cell r="J9170" t="str">
            <v>CTC</v>
          </cell>
          <cell r="K9170" t="str">
            <v>YES</v>
          </cell>
        </row>
        <row r="9171">
          <cell r="I9171" t="str">
            <v>V52058</v>
          </cell>
          <cell r="J9171" t="str">
            <v>CTC</v>
          </cell>
          <cell r="K9171" t="str">
            <v>YES</v>
          </cell>
        </row>
        <row r="9172">
          <cell r="I9172" t="str">
            <v>V52790</v>
          </cell>
          <cell r="J9172" t="str">
            <v>STAT</v>
          </cell>
          <cell r="K9172" t="str">
            <v>YES</v>
          </cell>
        </row>
        <row r="9173">
          <cell r="I9173" t="str">
            <v>V52435</v>
          </cell>
          <cell r="J9173" t="str">
            <v>CTC</v>
          </cell>
          <cell r="K9173" t="str">
            <v>YES</v>
          </cell>
        </row>
        <row r="9174">
          <cell r="I9174" t="str">
            <v>V50281</v>
          </cell>
          <cell r="J9174" t="str">
            <v>CTC</v>
          </cell>
          <cell r="K9174" t="str">
            <v>YES</v>
          </cell>
        </row>
        <row r="9175">
          <cell r="I9175" t="str">
            <v>V52427</v>
          </cell>
          <cell r="J9175" t="str">
            <v>CTC</v>
          </cell>
          <cell r="K9175" t="str">
            <v>YES</v>
          </cell>
        </row>
        <row r="9176">
          <cell r="I9176" t="str">
            <v>V50149</v>
          </cell>
          <cell r="J9176" t="str">
            <v>CTC</v>
          </cell>
          <cell r="K9176" t="str">
            <v>YES</v>
          </cell>
        </row>
        <row r="9177">
          <cell r="I9177" t="str">
            <v>V52459</v>
          </cell>
          <cell r="J9177" t="str">
            <v>CTC</v>
          </cell>
          <cell r="K9177" t="str">
            <v>YES</v>
          </cell>
        </row>
        <row r="9178">
          <cell r="I9178" t="str">
            <v>V52460</v>
          </cell>
          <cell r="J9178" t="str">
            <v>CTC</v>
          </cell>
          <cell r="K9178" t="str">
            <v>YES</v>
          </cell>
        </row>
        <row r="9179">
          <cell r="I9179" t="str">
            <v>V52106</v>
          </cell>
          <cell r="J9179" t="str">
            <v>CTC</v>
          </cell>
          <cell r="K9179" t="str">
            <v>YES</v>
          </cell>
        </row>
        <row r="9180">
          <cell r="I9180" t="str">
            <v>V52222</v>
          </cell>
          <cell r="J9180" t="str">
            <v>CTC</v>
          </cell>
          <cell r="K9180" t="str">
            <v>YES</v>
          </cell>
        </row>
        <row r="9181">
          <cell r="I9181" t="str">
            <v>V52273</v>
          </cell>
          <cell r="J9181" t="str">
            <v>CTC</v>
          </cell>
          <cell r="K9181" t="str">
            <v>YES</v>
          </cell>
        </row>
        <row r="9182">
          <cell r="I9182" t="str">
            <v>V50876</v>
          </cell>
          <cell r="J9182" t="str">
            <v>CTC</v>
          </cell>
          <cell r="K9182" t="str">
            <v>YES</v>
          </cell>
        </row>
        <row r="9183">
          <cell r="I9183" t="str">
            <v>V53643</v>
          </cell>
          <cell r="J9183" t="str">
            <v>CTC</v>
          </cell>
          <cell r="K9183" t="str">
            <v>YES</v>
          </cell>
        </row>
        <row r="9184">
          <cell r="I9184" t="str">
            <v>V51064</v>
          </cell>
          <cell r="J9184" t="str">
            <v>CTC</v>
          </cell>
          <cell r="K9184" t="str">
            <v>YES</v>
          </cell>
        </row>
        <row r="9185">
          <cell r="I9185" t="str">
            <v>V52390</v>
          </cell>
          <cell r="J9185" t="str">
            <v>STAT</v>
          </cell>
          <cell r="K9185" t="str">
            <v>YES</v>
          </cell>
        </row>
        <row r="9186">
          <cell r="I9186" t="str">
            <v>V51890</v>
          </cell>
          <cell r="J9186" t="str">
            <v>CTC</v>
          </cell>
          <cell r="K9186" t="str">
            <v>YES</v>
          </cell>
        </row>
        <row r="9187">
          <cell r="I9187" t="str">
            <v>V52481</v>
          </cell>
          <cell r="J9187" t="str">
            <v>STAT</v>
          </cell>
          <cell r="K9187" t="str">
            <v>YES</v>
          </cell>
        </row>
        <row r="9188">
          <cell r="I9188" t="str">
            <v>V52292</v>
          </cell>
          <cell r="J9188" t="str">
            <v>CTC</v>
          </cell>
          <cell r="K9188" t="str">
            <v>YES</v>
          </cell>
        </row>
        <row r="9189">
          <cell r="I9189" t="str">
            <v>V52584</v>
          </cell>
          <cell r="J9189" t="str">
            <v>STAT</v>
          </cell>
          <cell r="K9189" t="str">
            <v>YES</v>
          </cell>
        </row>
        <row r="9190">
          <cell r="I9190" t="str">
            <v>V52206</v>
          </cell>
          <cell r="J9190" t="str">
            <v>CTC</v>
          </cell>
          <cell r="K9190" t="str">
            <v>YES</v>
          </cell>
        </row>
        <row r="9191">
          <cell r="I9191" t="str">
            <v>V52246</v>
          </cell>
          <cell r="J9191" t="str">
            <v>CTC</v>
          </cell>
          <cell r="K9191" t="str">
            <v>YES</v>
          </cell>
        </row>
        <row r="9192">
          <cell r="I9192" t="str">
            <v>V51912</v>
          </cell>
          <cell r="J9192" t="str">
            <v>CTC</v>
          </cell>
          <cell r="K9192" t="str">
            <v>YES</v>
          </cell>
        </row>
        <row r="9193">
          <cell r="I9193" t="str">
            <v>V51975</v>
          </cell>
          <cell r="J9193" t="str">
            <v>STAT</v>
          </cell>
          <cell r="K9193" t="str">
            <v>YES</v>
          </cell>
        </row>
        <row r="9194">
          <cell r="I9194" t="str">
            <v>V52075</v>
          </cell>
          <cell r="J9194" t="str">
            <v>CTC</v>
          </cell>
          <cell r="K9194" t="str">
            <v>YES</v>
          </cell>
        </row>
        <row r="9195">
          <cell r="I9195" t="str">
            <v>V52734</v>
          </cell>
          <cell r="J9195" t="str">
            <v>STAT</v>
          </cell>
          <cell r="K9195" t="str">
            <v>YES</v>
          </cell>
        </row>
        <row r="9196">
          <cell r="I9196" t="str">
            <v>V52505</v>
          </cell>
          <cell r="J9196" t="str">
            <v>STAT</v>
          </cell>
          <cell r="K9196" t="str">
            <v>YES</v>
          </cell>
        </row>
        <row r="9197">
          <cell r="I9197" t="str">
            <v>V52370</v>
          </cell>
          <cell r="J9197" t="str">
            <v>STAT</v>
          </cell>
          <cell r="K9197" t="str">
            <v>YES</v>
          </cell>
        </row>
        <row r="9198">
          <cell r="I9198" t="str">
            <v>V52395</v>
          </cell>
          <cell r="J9198" t="str">
            <v>CTC</v>
          </cell>
          <cell r="K9198" t="str">
            <v>YES</v>
          </cell>
        </row>
        <row r="9199">
          <cell r="I9199" t="str">
            <v>V52623</v>
          </cell>
          <cell r="J9199" t="str">
            <v>STAT</v>
          </cell>
          <cell r="K9199" t="str">
            <v>YES</v>
          </cell>
        </row>
        <row r="9200">
          <cell r="I9200" t="str">
            <v>V52473</v>
          </cell>
          <cell r="J9200" t="str">
            <v>CTC</v>
          </cell>
          <cell r="K9200" t="str">
            <v>YES</v>
          </cell>
        </row>
        <row r="9201">
          <cell r="I9201" t="str">
            <v>V52367</v>
          </cell>
          <cell r="J9201" t="str">
            <v>CTC</v>
          </cell>
          <cell r="K9201" t="str">
            <v>YES</v>
          </cell>
        </row>
        <row r="9202">
          <cell r="I9202" t="str">
            <v>V52887</v>
          </cell>
          <cell r="J9202" t="str">
            <v>STAT</v>
          </cell>
          <cell r="K9202" t="str">
            <v>YES</v>
          </cell>
        </row>
        <row r="9203">
          <cell r="I9203" t="str">
            <v>V52087</v>
          </cell>
          <cell r="J9203" t="str">
            <v>CTC</v>
          </cell>
          <cell r="K9203" t="str">
            <v>YES</v>
          </cell>
        </row>
        <row r="9204">
          <cell r="I9204" t="str">
            <v>V53583</v>
          </cell>
          <cell r="J9204" t="str">
            <v>CTC</v>
          </cell>
          <cell r="K9204" t="str">
            <v>YES</v>
          </cell>
        </row>
        <row r="9205">
          <cell r="I9205" t="str">
            <v>V52112</v>
          </cell>
          <cell r="J9205" t="str">
            <v>CTC</v>
          </cell>
          <cell r="K9205" t="str">
            <v>YES</v>
          </cell>
        </row>
        <row r="9206">
          <cell r="I9206" t="str">
            <v>V50237</v>
          </cell>
          <cell r="J9206" t="str">
            <v>CTC</v>
          </cell>
          <cell r="K9206" t="str">
            <v>YES</v>
          </cell>
        </row>
        <row r="9207">
          <cell r="I9207" t="str">
            <v>V52647</v>
          </cell>
          <cell r="J9207" t="str">
            <v>STAT</v>
          </cell>
          <cell r="K9207" t="str">
            <v>YES</v>
          </cell>
        </row>
        <row r="9208">
          <cell r="I9208" t="str">
            <v>V51137</v>
          </cell>
          <cell r="J9208" t="str">
            <v>CTC</v>
          </cell>
          <cell r="K9208" t="str">
            <v>YES</v>
          </cell>
        </row>
        <row r="9209">
          <cell r="I9209" t="str">
            <v>V52589</v>
          </cell>
          <cell r="J9209" t="str">
            <v>STAT</v>
          </cell>
          <cell r="K9209" t="str">
            <v>YES</v>
          </cell>
        </row>
        <row r="9210">
          <cell r="I9210" t="str">
            <v>V51554</v>
          </cell>
          <cell r="J9210" t="str">
            <v>STAT</v>
          </cell>
          <cell r="K9210" t="str">
            <v>YES</v>
          </cell>
        </row>
        <row r="9211">
          <cell r="I9211" t="str">
            <v>V52571</v>
          </cell>
          <cell r="J9211" t="str">
            <v>STAT</v>
          </cell>
          <cell r="K9211" t="str">
            <v>YES</v>
          </cell>
        </row>
        <row r="9212">
          <cell r="I9212" t="str">
            <v>V49977</v>
          </cell>
          <cell r="J9212" t="str">
            <v>STAT</v>
          </cell>
          <cell r="K9212" t="str">
            <v>YES</v>
          </cell>
        </row>
        <row r="9213">
          <cell r="I9213" t="str">
            <v>V52442</v>
          </cell>
          <cell r="J9213" t="str">
            <v>CTC</v>
          </cell>
          <cell r="K9213" t="str">
            <v>YES</v>
          </cell>
        </row>
        <row r="9214">
          <cell r="I9214" t="str">
            <v>V52044</v>
          </cell>
          <cell r="J9214" t="str">
            <v>CTC</v>
          </cell>
          <cell r="K9214" t="str">
            <v>YES</v>
          </cell>
        </row>
        <row r="9215">
          <cell r="I9215" t="str">
            <v>V51601</v>
          </cell>
          <cell r="J9215" t="str">
            <v>CTC</v>
          </cell>
          <cell r="K9215" t="str">
            <v>YES</v>
          </cell>
        </row>
        <row r="9216">
          <cell r="I9216" t="str">
            <v>V52448</v>
          </cell>
          <cell r="J9216" t="str">
            <v>STAT</v>
          </cell>
          <cell r="K9216" t="str">
            <v>YES</v>
          </cell>
        </row>
        <row r="9217">
          <cell r="I9217" t="str">
            <v>V52449</v>
          </cell>
          <cell r="J9217" t="str">
            <v>STAT</v>
          </cell>
          <cell r="K9217" t="str">
            <v>YES</v>
          </cell>
        </row>
        <row r="9218">
          <cell r="I9218" t="str">
            <v>V52480</v>
          </cell>
          <cell r="J9218" t="str">
            <v>STAT</v>
          </cell>
          <cell r="K9218" t="str">
            <v>YES</v>
          </cell>
        </row>
        <row r="9219">
          <cell r="I9219" t="str">
            <v>V53195</v>
          </cell>
          <cell r="J9219" t="str">
            <v>CTC</v>
          </cell>
          <cell r="K9219" t="str">
            <v>YES</v>
          </cell>
        </row>
        <row r="9220">
          <cell r="I9220" t="str">
            <v>V52170</v>
          </cell>
          <cell r="J9220" t="str">
            <v>STAT</v>
          </cell>
          <cell r="K9220" t="str">
            <v>YES</v>
          </cell>
        </row>
        <row r="9221">
          <cell r="I9221" t="str">
            <v>V52704</v>
          </cell>
          <cell r="J9221" t="str">
            <v>STAT</v>
          </cell>
          <cell r="K9221" t="str">
            <v>YES</v>
          </cell>
        </row>
        <row r="9222">
          <cell r="I9222" t="str">
            <v>V52332</v>
          </cell>
          <cell r="J9222" t="str">
            <v>CTC</v>
          </cell>
          <cell r="K9222" t="str">
            <v>YES</v>
          </cell>
        </row>
        <row r="9223">
          <cell r="I9223" t="str">
            <v>V52759</v>
          </cell>
          <cell r="J9223" t="str">
            <v>STAT</v>
          </cell>
          <cell r="K9223" t="str">
            <v>YES</v>
          </cell>
        </row>
        <row r="9224">
          <cell r="I9224" t="str">
            <v>V52363</v>
          </cell>
          <cell r="J9224" t="str">
            <v>CTC</v>
          </cell>
          <cell r="K9224" t="str">
            <v>YES</v>
          </cell>
        </row>
        <row r="9225">
          <cell r="I9225" t="str">
            <v>V50578</v>
          </cell>
          <cell r="J9225" t="str">
            <v>STAT</v>
          </cell>
          <cell r="K9225" t="str">
            <v>YES</v>
          </cell>
        </row>
        <row r="9226">
          <cell r="I9226" t="str">
            <v>V52148</v>
          </cell>
          <cell r="J9226" t="str">
            <v>CTC</v>
          </cell>
          <cell r="K9226" t="str">
            <v>YES</v>
          </cell>
        </row>
        <row r="9227">
          <cell r="I9227" t="str">
            <v>V52022</v>
          </cell>
          <cell r="J9227" t="str">
            <v>CTC</v>
          </cell>
          <cell r="K9227" t="str">
            <v>YES</v>
          </cell>
        </row>
        <row r="9228">
          <cell r="I9228" t="str">
            <v>V51092</v>
          </cell>
          <cell r="J9228" t="str">
            <v>CTC</v>
          </cell>
          <cell r="K9228" t="str">
            <v>YES</v>
          </cell>
        </row>
        <row r="9229">
          <cell r="I9229" t="str">
            <v>V52279</v>
          </cell>
          <cell r="J9229" t="str">
            <v>CTC</v>
          </cell>
          <cell r="K9229" t="str">
            <v>YES</v>
          </cell>
        </row>
        <row r="9230">
          <cell r="I9230" t="str">
            <v>V50233</v>
          </cell>
          <cell r="J9230" t="str">
            <v>CTC</v>
          </cell>
          <cell r="K9230" t="str">
            <v>YES</v>
          </cell>
        </row>
        <row r="9231">
          <cell r="I9231" t="str">
            <v>V51055</v>
          </cell>
          <cell r="J9231" t="str">
            <v>CTC</v>
          </cell>
          <cell r="K9231" t="str">
            <v>YES</v>
          </cell>
        </row>
        <row r="9232">
          <cell r="I9232" t="str">
            <v>V52791</v>
          </cell>
          <cell r="J9232" t="str">
            <v>STAT</v>
          </cell>
          <cell r="K9232" t="str">
            <v>YES</v>
          </cell>
        </row>
        <row r="9233">
          <cell r="I9233" t="str">
            <v>V52743</v>
          </cell>
          <cell r="J9233" t="str">
            <v>STAT</v>
          </cell>
          <cell r="K9233" t="str">
            <v>YES</v>
          </cell>
        </row>
        <row r="9234">
          <cell r="I9234" t="str">
            <v>V52286</v>
          </cell>
          <cell r="J9234" t="str">
            <v>CTC</v>
          </cell>
          <cell r="K9234" t="str">
            <v>YES</v>
          </cell>
        </row>
        <row r="9235">
          <cell r="I9235" t="str">
            <v>V51889</v>
          </cell>
          <cell r="J9235" t="str">
            <v>CTC</v>
          </cell>
          <cell r="K9235" t="str">
            <v>YES</v>
          </cell>
        </row>
        <row r="9236">
          <cell r="I9236" t="str">
            <v>V51254</v>
          </cell>
          <cell r="J9236" t="str">
            <v>CTC</v>
          </cell>
          <cell r="K9236" t="str">
            <v>YES</v>
          </cell>
        </row>
        <row r="9237">
          <cell r="I9237" t="str">
            <v>V52514</v>
          </cell>
          <cell r="J9237" t="str">
            <v>STAT</v>
          </cell>
          <cell r="K9237" t="str">
            <v>YES</v>
          </cell>
        </row>
        <row r="9238">
          <cell r="I9238" t="str">
            <v>V52345</v>
          </cell>
          <cell r="J9238" t="str">
            <v>CTC</v>
          </cell>
          <cell r="K9238" t="str">
            <v>YES</v>
          </cell>
        </row>
        <row r="9239">
          <cell r="I9239" t="str">
            <v>V52470</v>
          </cell>
          <cell r="J9239" t="str">
            <v>STAT</v>
          </cell>
          <cell r="K9239" t="str">
            <v>YES</v>
          </cell>
        </row>
        <row r="9240">
          <cell r="I9240" t="str">
            <v>V52463</v>
          </cell>
          <cell r="J9240" t="str">
            <v>CTC</v>
          </cell>
          <cell r="K9240" t="str">
            <v>YES</v>
          </cell>
        </row>
        <row r="9241">
          <cell r="I9241" t="str">
            <v>V52544</v>
          </cell>
          <cell r="J9241" t="str">
            <v>STAT</v>
          </cell>
          <cell r="K9241" t="str">
            <v>YES</v>
          </cell>
        </row>
        <row r="9242">
          <cell r="I9242" t="str">
            <v>V52309</v>
          </cell>
          <cell r="J9242" t="str">
            <v>CTC</v>
          </cell>
          <cell r="K9242" t="str">
            <v>YES</v>
          </cell>
        </row>
        <row r="9243">
          <cell r="I9243" t="str">
            <v>V52353</v>
          </cell>
          <cell r="J9243" t="str">
            <v>CTC</v>
          </cell>
          <cell r="K9243" t="str">
            <v>YES</v>
          </cell>
        </row>
        <row r="9244">
          <cell r="I9244" t="str">
            <v>V51482</v>
          </cell>
          <cell r="J9244" t="str">
            <v>CTC</v>
          </cell>
          <cell r="K9244" t="str">
            <v>YES</v>
          </cell>
        </row>
        <row r="9245">
          <cell r="I9245" t="str">
            <v>V50386</v>
          </cell>
          <cell r="J9245" t="str">
            <v>CTC</v>
          </cell>
          <cell r="K9245" t="str">
            <v>YES</v>
          </cell>
        </row>
        <row r="9246">
          <cell r="I9246" t="str">
            <v>V51072</v>
          </cell>
          <cell r="J9246" t="str">
            <v>CTC</v>
          </cell>
          <cell r="K9246" t="str">
            <v>YES</v>
          </cell>
        </row>
        <row r="9247">
          <cell r="I9247" t="str">
            <v>V52816</v>
          </cell>
          <cell r="J9247" t="str">
            <v>STAT</v>
          </cell>
          <cell r="K9247" t="str">
            <v>YES</v>
          </cell>
        </row>
        <row r="9248">
          <cell r="I9248" t="str">
            <v>V53091</v>
          </cell>
          <cell r="J9248" t="str">
            <v>STAT</v>
          </cell>
          <cell r="K9248" t="str">
            <v>YES</v>
          </cell>
        </row>
        <row r="9249">
          <cell r="I9249" t="str">
            <v>V53092</v>
          </cell>
          <cell r="J9249" t="str">
            <v>STAT</v>
          </cell>
          <cell r="K9249" t="str">
            <v>YES</v>
          </cell>
        </row>
        <row r="9250">
          <cell r="I9250" t="str">
            <v>V52357</v>
          </cell>
          <cell r="J9250" t="str">
            <v>CTC</v>
          </cell>
          <cell r="K9250" t="str">
            <v>YES</v>
          </cell>
        </row>
        <row r="9251">
          <cell r="I9251" t="str">
            <v>V52337</v>
          </cell>
          <cell r="J9251" t="str">
            <v>CTC</v>
          </cell>
          <cell r="K9251" t="str">
            <v>YES</v>
          </cell>
        </row>
        <row r="9252">
          <cell r="I9252" t="str">
            <v>V52285</v>
          </cell>
          <cell r="J9252" t="str">
            <v>CTC</v>
          </cell>
          <cell r="K9252" t="str">
            <v>YES</v>
          </cell>
        </row>
        <row r="9253">
          <cell r="I9253" t="str">
            <v>V52707</v>
          </cell>
          <cell r="J9253" t="str">
            <v>STAT</v>
          </cell>
          <cell r="K9253" t="str">
            <v>YES</v>
          </cell>
        </row>
        <row r="9254">
          <cell r="I9254" t="str">
            <v>V52582</v>
          </cell>
          <cell r="J9254" t="str">
            <v>STAT</v>
          </cell>
          <cell r="K9254" t="str">
            <v>YES</v>
          </cell>
        </row>
        <row r="9255">
          <cell r="I9255" t="str">
            <v>V53039</v>
          </cell>
          <cell r="J9255" t="str">
            <v>STAT</v>
          </cell>
          <cell r="K9255" t="str">
            <v>YES</v>
          </cell>
        </row>
        <row r="9256">
          <cell r="I9256" t="str">
            <v>V53049</v>
          </cell>
          <cell r="J9256" t="str">
            <v>STAT</v>
          </cell>
          <cell r="K9256" t="str">
            <v>YES</v>
          </cell>
        </row>
        <row r="9257">
          <cell r="I9257" t="str">
            <v>V53043</v>
          </cell>
          <cell r="J9257" t="str">
            <v>STAT</v>
          </cell>
          <cell r="K9257" t="str">
            <v>YES</v>
          </cell>
        </row>
        <row r="9258">
          <cell r="I9258" t="str">
            <v>V52928</v>
          </cell>
          <cell r="J9258" t="str">
            <v>STAT</v>
          </cell>
          <cell r="K9258" t="str">
            <v>YES</v>
          </cell>
        </row>
        <row r="9259">
          <cell r="I9259" t="str">
            <v>V52482</v>
          </cell>
          <cell r="J9259" t="str">
            <v>STAT</v>
          </cell>
          <cell r="K9259" t="str">
            <v>YES</v>
          </cell>
        </row>
        <row r="9260">
          <cell r="I9260" t="str">
            <v>V51119</v>
          </cell>
          <cell r="J9260" t="str">
            <v>CTC</v>
          </cell>
          <cell r="K9260" t="str">
            <v>YES</v>
          </cell>
        </row>
        <row r="9261">
          <cell r="I9261" t="str">
            <v>V52456</v>
          </cell>
          <cell r="J9261" t="str">
            <v>CTC</v>
          </cell>
          <cell r="K9261" t="str">
            <v>YES</v>
          </cell>
        </row>
        <row r="9262">
          <cell r="I9262" t="str">
            <v>V52798</v>
          </cell>
          <cell r="J9262" t="str">
            <v>STAT</v>
          </cell>
          <cell r="K9262" t="str">
            <v>YES</v>
          </cell>
        </row>
        <row r="9263">
          <cell r="I9263" t="str">
            <v>V52744</v>
          </cell>
          <cell r="J9263" t="str">
            <v>STAT</v>
          </cell>
          <cell r="K9263" t="str">
            <v>YES</v>
          </cell>
        </row>
        <row r="9264">
          <cell r="I9264" t="str">
            <v>V52496</v>
          </cell>
          <cell r="J9264" t="str">
            <v>CTC</v>
          </cell>
          <cell r="K9264" t="str">
            <v>YES</v>
          </cell>
        </row>
        <row r="9265">
          <cell r="I9265" t="str">
            <v>V51893</v>
          </cell>
          <cell r="J9265" t="str">
            <v>CTC</v>
          </cell>
          <cell r="K9265" t="str">
            <v>YES</v>
          </cell>
        </row>
        <row r="9266">
          <cell r="I9266" t="str">
            <v>V52384</v>
          </cell>
          <cell r="J9266" t="str">
            <v>STAT</v>
          </cell>
          <cell r="K9266" t="str">
            <v>YES</v>
          </cell>
        </row>
        <row r="9267">
          <cell r="I9267" t="str">
            <v>V52703</v>
          </cell>
          <cell r="J9267" t="str">
            <v>STAT</v>
          </cell>
          <cell r="K9267" t="str">
            <v>YES</v>
          </cell>
        </row>
        <row r="9268">
          <cell r="I9268" t="str">
            <v>V52129</v>
          </cell>
          <cell r="J9268" t="str">
            <v>CTC</v>
          </cell>
          <cell r="K9268" t="str">
            <v>YES</v>
          </cell>
        </row>
        <row r="9269">
          <cell r="I9269" t="str">
            <v>V50587</v>
          </cell>
          <cell r="J9269" t="str">
            <v>CTC</v>
          </cell>
          <cell r="K9269" t="str">
            <v>YES</v>
          </cell>
        </row>
        <row r="9270">
          <cell r="I9270" t="str">
            <v>V52107</v>
          </cell>
          <cell r="J9270" t="str">
            <v>STAT</v>
          </cell>
          <cell r="K9270" t="str">
            <v>YES</v>
          </cell>
        </row>
        <row r="9271">
          <cell r="I9271" t="str">
            <v>V52467</v>
          </cell>
          <cell r="J9271" t="str">
            <v>STAT</v>
          </cell>
          <cell r="K9271" t="str">
            <v>YES</v>
          </cell>
        </row>
        <row r="9272">
          <cell r="I9272" t="str">
            <v>V52079</v>
          </cell>
          <cell r="J9272" t="str">
            <v>STAT</v>
          </cell>
          <cell r="K9272" t="str">
            <v>YES</v>
          </cell>
        </row>
        <row r="9273">
          <cell r="I9273" t="str">
            <v>V52596</v>
          </cell>
          <cell r="J9273" t="str">
            <v>STAT</v>
          </cell>
          <cell r="K9273" t="str">
            <v>YES</v>
          </cell>
        </row>
        <row r="9274">
          <cell r="I9274" t="str">
            <v>V50344</v>
          </cell>
          <cell r="J9274" t="str">
            <v>CTC</v>
          </cell>
          <cell r="K9274" t="str">
            <v>YES</v>
          </cell>
        </row>
        <row r="9275">
          <cell r="I9275" t="str">
            <v>V52685</v>
          </cell>
          <cell r="J9275" t="str">
            <v>STAT</v>
          </cell>
          <cell r="K9275" t="str">
            <v>YES</v>
          </cell>
        </row>
        <row r="9276">
          <cell r="I9276" t="str">
            <v>V52102</v>
          </cell>
          <cell r="J9276" t="str">
            <v>STAT</v>
          </cell>
          <cell r="K9276" t="str">
            <v>YES</v>
          </cell>
        </row>
        <row r="9277">
          <cell r="I9277" t="str">
            <v>V52556</v>
          </cell>
          <cell r="J9277" t="str">
            <v>STAT</v>
          </cell>
          <cell r="K9277" t="str">
            <v>YES</v>
          </cell>
        </row>
        <row r="9278">
          <cell r="I9278" t="str">
            <v>V51938</v>
          </cell>
          <cell r="J9278" t="str">
            <v>CTC</v>
          </cell>
          <cell r="K9278" t="str">
            <v>YES</v>
          </cell>
        </row>
        <row r="9279">
          <cell r="I9279" t="str">
            <v>V52429</v>
          </cell>
          <cell r="J9279" t="str">
            <v>CTC</v>
          </cell>
          <cell r="K9279" t="str">
            <v>YES</v>
          </cell>
        </row>
        <row r="9280">
          <cell r="I9280" t="str">
            <v>V50063</v>
          </cell>
          <cell r="J9280" t="str">
            <v>STAT</v>
          </cell>
          <cell r="K9280" t="str">
            <v>YES</v>
          </cell>
        </row>
        <row r="9281">
          <cell r="I9281" t="str">
            <v>V53008</v>
          </cell>
          <cell r="J9281" t="str">
            <v>STAT</v>
          </cell>
          <cell r="K9281" t="str">
            <v>YES</v>
          </cell>
        </row>
        <row r="9282">
          <cell r="I9282" t="str">
            <v>V51441</v>
          </cell>
          <cell r="J9282" t="str">
            <v>CTC</v>
          </cell>
          <cell r="K9282" t="str">
            <v>YES</v>
          </cell>
        </row>
        <row r="9283">
          <cell r="I9283" t="str">
            <v>V53011</v>
          </cell>
          <cell r="J9283" t="str">
            <v>STAT</v>
          </cell>
          <cell r="K9283" t="str">
            <v>YES</v>
          </cell>
        </row>
        <row r="9284">
          <cell r="I9284" t="str">
            <v>V52730</v>
          </cell>
          <cell r="J9284" t="str">
            <v>STAT</v>
          </cell>
          <cell r="K9284" t="str">
            <v>YES</v>
          </cell>
        </row>
        <row r="9285">
          <cell r="I9285" t="str">
            <v>V53273</v>
          </cell>
          <cell r="J9285" t="str">
            <v>CTC</v>
          </cell>
          <cell r="K9285" t="str">
            <v>YES</v>
          </cell>
        </row>
        <row r="9286">
          <cell r="I9286" t="str">
            <v>V52782</v>
          </cell>
          <cell r="J9286" t="str">
            <v>STAT</v>
          </cell>
          <cell r="K9286" t="str">
            <v>YES</v>
          </cell>
        </row>
        <row r="9287">
          <cell r="I9287" t="str">
            <v>V52616</v>
          </cell>
          <cell r="J9287" t="str">
            <v>STAT</v>
          </cell>
          <cell r="K9287" t="str">
            <v>YES</v>
          </cell>
        </row>
        <row r="9288">
          <cell r="I9288" t="str">
            <v>V52516</v>
          </cell>
          <cell r="J9288" t="str">
            <v>STAT</v>
          </cell>
          <cell r="K9288" t="str">
            <v>YES</v>
          </cell>
        </row>
        <row r="9289">
          <cell r="I9289" t="str">
            <v>V52651</v>
          </cell>
          <cell r="J9289" t="str">
            <v>STAT</v>
          </cell>
          <cell r="K9289" t="str">
            <v>YES</v>
          </cell>
        </row>
        <row r="9290">
          <cell r="I9290" t="str">
            <v>V50964</v>
          </cell>
          <cell r="J9290" t="str">
            <v>CTC</v>
          </cell>
          <cell r="K9290" t="str">
            <v>YES</v>
          </cell>
        </row>
        <row r="9291">
          <cell r="I9291" t="str">
            <v>V51943</v>
          </cell>
          <cell r="J9291" t="str">
            <v>STAT</v>
          </cell>
          <cell r="K9291" t="str">
            <v>YES</v>
          </cell>
        </row>
        <row r="9292">
          <cell r="I9292" t="str">
            <v>V51012</v>
          </cell>
          <cell r="J9292" t="str">
            <v>CTC</v>
          </cell>
          <cell r="K9292" t="str">
            <v>YES</v>
          </cell>
        </row>
        <row r="9293">
          <cell r="I9293" t="str">
            <v>V52207</v>
          </cell>
          <cell r="J9293" t="str">
            <v>CTC</v>
          </cell>
          <cell r="K9293" t="str">
            <v>YES</v>
          </cell>
        </row>
        <row r="9294">
          <cell r="I9294" t="str">
            <v>V52920</v>
          </cell>
          <cell r="J9294" t="str">
            <v>STAT</v>
          </cell>
          <cell r="K9294" t="str">
            <v>YES</v>
          </cell>
        </row>
        <row r="9295">
          <cell r="I9295" t="str">
            <v>V52845</v>
          </cell>
          <cell r="J9295" t="str">
            <v>STAT</v>
          </cell>
          <cell r="K9295" t="str">
            <v>YES</v>
          </cell>
        </row>
        <row r="9296">
          <cell r="I9296" t="str">
            <v>V52746</v>
          </cell>
          <cell r="J9296" t="str">
            <v>STAT</v>
          </cell>
          <cell r="K9296" t="str">
            <v>YES</v>
          </cell>
        </row>
        <row r="9297">
          <cell r="I9297" t="str">
            <v>V50450</v>
          </cell>
          <cell r="J9297" t="str">
            <v>CTC</v>
          </cell>
          <cell r="K9297" t="str">
            <v>YES</v>
          </cell>
        </row>
        <row r="9298">
          <cell r="I9298" t="str">
            <v>V52153</v>
          </cell>
          <cell r="J9298" t="str">
            <v>CTC</v>
          </cell>
          <cell r="K9298" t="str">
            <v>YES</v>
          </cell>
        </row>
        <row r="9299">
          <cell r="I9299" t="str">
            <v>V52559</v>
          </cell>
          <cell r="J9299" t="str">
            <v>STAT</v>
          </cell>
          <cell r="K9299" t="str">
            <v>YES</v>
          </cell>
        </row>
        <row r="9300">
          <cell r="I9300" t="str">
            <v>V52560</v>
          </cell>
          <cell r="J9300" t="str">
            <v>STAT</v>
          </cell>
          <cell r="K9300" t="str">
            <v>YES</v>
          </cell>
        </row>
        <row r="9301">
          <cell r="I9301" t="str">
            <v>V52561</v>
          </cell>
          <cell r="J9301" t="str">
            <v>STAT</v>
          </cell>
          <cell r="K9301" t="str">
            <v>YES</v>
          </cell>
        </row>
        <row r="9302">
          <cell r="I9302" t="str">
            <v>V53394</v>
          </cell>
          <cell r="J9302" t="str">
            <v>CTC</v>
          </cell>
          <cell r="K9302" t="str">
            <v>YES</v>
          </cell>
        </row>
        <row r="9303">
          <cell r="I9303" t="str">
            <v>V54194</v>
          </cell>
          <cell r="J9303" t="str">
            <v>CTC</v>
          </cell>
          <cell r="K9303" t="str">
            <v>YES</v>
          </cell>
        </row>
        <row r="9304">
          <cell r="I9304" t="str">
            <v>V54153</v>
          </cell>
          <cell r="J9304" t="str">
            <v>CTC</v>
          </cell>
          <cell r="K9304" t="str">
            <v>YES</v>
          </cell>
        </row>
        <row r="9305">
          <cell r="I9305" t="str">
            <v>V52864</v>
          </cell>
          <cell r="J9305" t="str">
            <v>STAT</v>
          </cell>
          <cell r="K9305" t="str">
            <v>YES</v>
          </cell>
        </row>
        <row r="9306">
          <cell r="I9306" t="str">
            <v>V52699</v>
          </cell>
          <cell r="J9306" t="str">
            <v>STAT</v>
          </cell>
          <cell r="K9306" t="str">
            <v>YES</v>
          </cell>
        </row>
        <row r="9307">
          <cell r="I9307" t="str">
            <v>V52857</v>
          </cell>
          <cell r="J9307" t="str">
            <v>STAT</v>
          </cell>
          <cell r="K9307" t="str">
            <v>YES</v>
          </cell>
        </row>
        <row r="9308">
          <cell r="I9308" t="str">
            <v>V52115</v>
          </cell>
          <cell r="J9308" t="str">
            <v>STAT</v>
          </cell>
          <cell r="K9308" t="str">
            <v>YES</v>
          </cell>
        </row>
        <row r="9309">
          <cell r="I9309" t="str">
            <v>V49409</v>
          </cell>
          <cell r="J9309" t="str">
            <v>CTC</v>
          </cell>
          <cell r="K9309" t="str">
            <v>YES</v>
          </cell>
        </row>
        <row r="9310">
          <cell r="I9310" t="str">
            <v>V52568</v>
          </cell>
          <cell r="J9310" t="str">
            <v>STAT</v>
          </cell>
          <cell r="K9310" t="str">
            <v>YES</v>
          </cell>
        </row>
        <row r="9311">
          <cell r="I9311" t="str">
            <v>V50354</v>
          </cell>
          <cell r="J9311" t="str">
            <v>CTC</v>
          </cell>
          <cell r="K9311" t="str">
            <v>YES</v>
          </cell>
        </row>
        <row r="9312">
          <cell r="I9312" t="str">
            <v>V53066</v>
          </cell>
          <cell r="J9312" t="str">
            <v>STAT</v>
          </cell>
          <cell r="K9312" t="str">
            <v>YES</v>
          </cell>
        </row>
        <row r="9313">
          <cell r="I9313" t="str">
            <v>V53082</v>
          </cell>
          <cell r="J9313" t="str">
            <v>STAT</v>
          </cell>
          <cell r="K9313" t="str">
            <v>YES</v>
          </cell>
        </row>
        <row r="9314">
          <cell r="I9314" t="str">
            <v>V53181</v>
          </cell>
          <cell r="J9314" t="str">
            <v>STAT</v>
          </cell>
          <cell r="K9314" t="str">
            <v>YES</v>
          </cell>
        </row>
        <row r="9315">
          <cell r="I9315" t="str">
            <v>V52554</v>
          </cell>
          <cell r="J9315" t="str">
            <v>STAT</v>
          </cell>
          <cell r="K9315" t="str">
            <v>YES</v>
          </cell>
        </row>
        <row r="9316">
          <cell r="I9316" t="str">
            <v>V52024</v>
          </cell>
          <cell r="J9316" t="str">
            <v>CTC</v>
          </cell>
          <cell r="K9316" t="str">
            <v>YES</v>
          </cell>
        </row>
        <row r="9317">
          <cell r="I9317" t="str">
            <v>V52126</v>
          </cell>
          <cell r="J9317" t="str">
            <v>STAT</v>
          </cell>
          <cell r="K9317" t="str">
            <v>YES</v>
          </cell>
        </row>
        <row r="9318">
          <cell r="I9318" t="str">
            <v>V51084</v>
          </cell>
          <cell r="J9318" t="str">
            <v>STAT</v>
          </cell>
          <cell r="K9318" t="str">
            <v>YES</v>
          </cell>
        </row>
        <row r="9319">
          <cell r="I9319" t="str">
            <v>V51371</v>
          </cell>
          <cell r="J9319" t="str">
            <v>CTC</v>
          </cell>
          <cell r="K9319" t="str">
            <v>YES</v>
          </cell>
        </row>
        <row r="9320">
          <cell r="I9320" t="str">
            <v>V52350</v>
          </cell>
          <cell r="J9320" t="str">
            <v>CTC</v>
          </cell>
          <cell r="K9320" t="str">
            <v>YES</v>
          </cell>
        </row>
        <row r="9321">
          <cell r="I9321" t="str">
            <v>V52629</v>
          </cell>
          <cell r="J9321" t="str">
            <v>STAT</v>
          </cell>
          <cell r="K9321" t="str">
            <v>YES</v>
          </cell>
        </row>
        <row r="9322">
          <cell r="I9322" t="str">
            <v>V52364</v>
          </cell>
          <cell r="J9322" t="str">
            <v>STAT</v>
          </cell>
          <cell r="K9322" t="str">
            <v>YES</v>
          </cell>
        </row>
        <row r="9323">
          <cell r="I9323" t="str">
            <v>V51895</v>
          </cell>
          <cell r="J9323" t="str">
            <v>STAT</v>
          </cell>
          <cell r="K9323" t="str">
            <v>YES</v>
          </cell>
        </row>
        <row r="9324">
          <cell r="I9324" t="str">
            <v>V52000</v>
          </cell>
          <cell r="J9324" t="str">
            <v>STAT</v>
          </cell>
          <cell r="K9324" t="str">
            <v>YES</v>
          </cell>
        </row>
        <row r="9325">
          <cell r="I9325" t="str">
            <v>V52003</v>
          </cell>
          <cell r="J9325" t="str">
            <v>STAT</v>
          </cell>
          <cell r="K9325" t="str">
            <v>YES</v>
          </cell>
        </row>
        <row r="9326">
          <cell r="I9326" t="str">
            <v>V52212</v>
          </cell>
          <cell r="J9326" t="str">
            <v>STAT</v>
          </cell>
          <cell r="K9326" t="str">
            <v>YES</v>
          </cell>
        </row>
        <row r="9327">
          <cell r="I9327" t="str">
            <v>V52216</v>
          </cell>
          <cell r="J9327" t="str">
            <v>STAT</v>
          </cell>
          <cell r="K9327" t="str">
            <v>YES</v>
          </cell>
        </row>
        <row r="9328">
          <cell r="I9328" t="str">
            <v>V52660</v>
          </cell>
          <cell r="J9328" t="str">
            <v>STAT</v>
          </cell>
          <cell r="K9328" t="str">
            <v>YES</v>
          </cell>
        </row>
        <row r="9329">
          <cell r="I9329" t="str">
            <v>V52667</v>
          </cell>
          <cell r="J9329" t="str">
            <v>STAT</v>
          </cell>
          <cell r="K9329" t="str">
            <v>YES</v>
          </cell>
        </row>
        <row r="9330">
          <cell r="I9330" t="str">
            <v>V52487</v>
          </cell>
          <cell r="J9330" t="str">
            <v>STAT</v>
          </cell>
          <cell r="K9330" t="str">
            <v>YES</v>
          </cell>
        </row>
        <row r="9331">
          <cell r="I9331" t="str">
            <v>V54182</v>
          </cell>
          <cell r="J9331" t="str">
            <v>CTC</v>
          </cell>
          <cell r="K9331" t="str">
            <v>YES</v>
          </cell>
        </row>
        <row r="9332">
          <cell r="I9332" t="str">
            <v>V52912</v>
          </cell>
          <cell r="J9332" t="str">
            <v>STAT</v>
          </cell>
          <cell r="K9332" t="str">
            <v>YES</v>
          </cell>
        </row>
        <row r="9333">
          <cell r="I9333" t="str">
            <v>V52927</v>
          </cell>
          <cell r="J9333" t="str">
            <v>STAT</v>
          </cell>
          <cell r="K9333" t="str">
            <v>YES</v>
          </cell>
        </row>
        <row r="9334">
          <cell r="I9334" t="str">
            <v>V52929</v>
          </cell>
          <cell r="J9334" t="str">
            <v>STAT</v>
          </cell>
          <cell r="K9334" t="str">
            <v>YES</v>
          </cell>
        </row>
        <row r="9335">
          <cell r="I9335" t="str">
            <v>V53303</v>
          </cell>
          <cell r="J9335" t="str">
            <v>STAT</v>
          </cell>
          <cell r="K9335" t="str">
            <v>YES</v>
          </cell>
        </row>
        <row r="9336">
          <cell r="I9336" t="str">
            <v>V52477</v>
          </cell>
          <cell r="J9336" t="str">
            <v>CTC</v>
          </cell>
          <cell r="K9336" t="str">
            <v>YES</v>
          </cell>
        </row>
        <row r="9337">
          <cell r="I9337" t="str">
            <v>V52725</v>
          </cell>
          <cell r="J9337" t="str">
            <v>STAT</v>
          </cell>
          <cell r="K9337" t="str">
            <v>YES</v>
          </cell>
        </row>
        <row r="9338">
          <cell r="I9338" t="str">
            <v>V52726</v>
          </cell>
          <cell r="J9338" t="str">
            <v>STAT</v>
          </cell>
          <cell r="K9338" t="str">
            <v>YES</v>
          </cell>
        </row>
        <row r="9339">
          <cell r="I9339" t="str">
            <v>V52215</v>
          </cell>
          <cell r="J9339" t="str">
            <v>CTC</v>
          </cell>
          <cell r="K9339" t="str">
            <v>YES</v>
          </cell>
        </row>
        <row r="9340">
          <cell r="I9340" t="str">
            <v>V53067</v>
          </cell>
          <cell r="J9340" t="str">
            <v>STAT</v>
          </cell>
          <cell r="K9340" t="str">
            <v>YES</v>
          </cell>
        </row>
        <row r="9341">
          <cell r="I9341" t="str">
            <v>V52907</v>
          </cell>
          <cell r="J9341" t="str">
            <v>STAT</v>
          </cell>
          <cell r="K9341" t="str">
            <v>YES</v>
          </cell>
        </row>
        <row r="9342">
          <cell r="I9342" t="str">
            <v>V52833</v>
          </cell>
          <cell r="J9342" t="str">
            <v>STAT</v>
          </cell>
          <cell r="K9342" t="str">
            <v>YES</v>
          </cell>
        </row>
        <row r="9343">
          <cell r="I9343" t="str">
            <v>V52840</v>
          </cell>
          <cell r="J9343" t="str">
            <v>STAT</v>
          </cell>
          <cell r="K9343" t="str">
            <v>YES</v>
          </cell>
        </row>
        <row r="9344">
          <cell r="I9344" t="str">
            <v>V52765</v>
          </cell>
          <cell r="J9344" t="str">
            <v>STAT</v>
          </cell>
          <cell r="K9344" t="str">
            <v>YES</v>
          </cell>
        </row>
        <row r="9345">
          <cell r="I9345" t="str">
            <v>V52624</v>
          </cell>
          <cell r="J9345" t="str">
            <v>STAT</v>
          </cell>
          <cell r="K9345" t="str">
            <v>YES</v>
          </cell>
        </row>
        <row r="9346">
          <cell r="I9346" t="str">
            <v>V52001</v>
          </cell>
          <cell r="J9346" t="str">
            <v>STAT</v>
          </cell>
          <cell r="K9346" t="str">
            <v>YES</v>
          </cell>
        </row>
        <row r="9347">
          <cell r="I9347" t="str">
            <v>V52232</v>
          </cell>
          <cell r="J9347" t="str">
            <v>STAT</v>
          </cell>
          <cell r="K9347" t="str">
            <v>YES</v>
          </cell>
        </row>
        <row r="9348">
          <cell r="I9348" t="str">
            <v>V52888</v>
          </cell>
          <cell r="J9348" t="str">
            <v>STAT</v>
          </cell>
          <cell r="K9348" t="str">
            <v>YES</v>
          </cell>
        </row>
        <row r="9349">
          <cell r="I9349" t="str">
            <v>V51898</v>
          </cell>
          <cell r="J9349" t="str">
            <v>CTC</v>
          </cell>
          <cell r="K9349" t="str">
            <v>YES</v>
          </cell>
        </row>
        <row r="9350">
          <cell r="I9350" t="str">
            <v>V53601</v>
          </cell>
          <cell r="J9350" t="str">
            <v>CTC</v>
          </cell>
          <cell r="K9350" t="str">
            <v>YES</v>
          </cell>
        </row>
        <row r="9351">
          <cell r="I9351" t="str">
            <v>V52558</v>
          </cell>
          <cell r="J9351" t="str">
            <v>STAT</v>
          </cell>
          <cell r="K9351" t="str">
            <v>YES</v>
          </cell>
        </row>
        <row r="9352">
          <cell r="I9352" t="str">
            <v>V52579</v>
          </cell>
          <cell r="J9352" t="str">
            <v>STAT</v>
          </cell>
          <cell r="K9352" t="str">
            <v>YES</v>
          </cell>
        </row>
        <row r="9353">
          <cell r="I9353" t="str">
            <v>V53625</v>
          </cell>
          <cell r="J9353" t="str">
            <v>CTC</v>
          </cell>
          <cell r="K9353" t="str">
            <v>YES</v>
          </cell>
        </row>
        <row r="9354">
          <cell r="I9354" t="str">
            <v>V52811</v>
          </cell>
          <cell r="J9354" t="str">
            <v>STAT</v>
          </cell>
          <cell r="K9354" t="str">
            <v>YES</v>
          </cell>
        </row>
        <row r="9355">
          <cell r="I9355" t="str">
            <v>V53348</v>
          </cell>
          <cell r="J9355" t="str">
            <v>CTC</v>
          </cell>
          <cell r="K9355" t="str">
            <v>YES</v>
          </cell>
        </row>
        <row r="9356">
          <cell r="I9356" t="str">
            <v>V52382</v>
          </cell>
          <cell r="J9356" t="str">
            <v>STAT</v>
          </cell>
          <cell r="K9356" t="str">
            <v>YES</v>
          </cell>
        </row>
        <row r="9357">
          <cell r="I9357" t="str">
            <v>V51796</v>
          </cell>
          <cell r="J9357" t="str">
            <v>STAT</v>
          </cell>
          <cell r="K9357" t="str">
            <v>YES</v>
          </cell>
        </row>
        <row r="9358">
          <cell r="I9358" t="str">
            <v>V52302</v>
          </cell>
          <cell r="J9358" t="str">
            <v>CTC</v>
          </cell>
          <cell r="K9358" t="str">
            <v>YES</v>
          </cell>
        </row>
        <row r="9359">
          <cell r="I9359" t="str">
            <v>V52566</v>
          </cell>
          <cell r="J9359" t="str">
            <v>STAT</v>
          </cell>
          <cell r="K9359" t="str">
            <v>YES</v>
          </cell>
        </row>
        <row r="9360">
          <cell r="I9360" t="str">
            <v>V53161</v>
          </cell>
          <cell r="J9360" t="str">
            <v>CTC</v>
          </cell>
          <cell r="K9360" t="str">
            <v>YES</v>
          </cell>
        </row>
        <row r="9361">
          <cell r="I9361" t="str">
            <v>V52728</v>
          </cell>
          <cell r="J9361" t="str">
            <v>STAT</v>
          </cell>
          <cell r="K9361" t="str">
            <v>YES</v>
          </cell>
        </row>
        <row r="9362">
          <cell r="I9362" t="str">
            <v>V52693</v>
          </cell>
          <cell r="J9362" t="str">
            <v>STAT</v>
          </cell>
          <cell r="K9362" t="str">
            <v>YES</v>
          </cell>
        </row>
        <row r="9363">
          <cell r="I9363" t="str">
            <v>V52712</v>
          </cell>
          <cell r="J9363" t="str">
            <v>STAT</v>
          </cell>
          <cell r="K9363" t="str">
            <v>YES</v>
          </cell>
        </row>
        <row r="9364">
          <cell r="I9364" t="str">
            <v>V52646</v>
          </cell>
          <cell r="J9364" t="str">
            <v>STAT</v>
          </cell>
          <cell r="K9364" t="str">
            <v>YES</v>
          </cell>
        </row>
        <row r="9365">
          <cell r="I9365" t="str">
            <v>V52758</v>
          </cell>
          <cell r="J9365" t="str">
            <v>STAT</v>
          </cell>
          <cell r="K9365" t="str">
            <v>YES</v>
          </cell>
        </row>
        <row r="9366">
          <cell r="I9366" t="str">
            <v>V54199</v>
          </cell>
          <cell r="J9366" t="str">
            <v>CTC</v>
          </cell>
          <cell r="K9366" t="str">
            <v>YES</v>
          </cell>
        </row>
        <row r="9367">
          <cell r="I9367" t="str">
            <v>V54158</v>
          </cell>
          <cell r="J9367" t="str">
            <v>CTC</v>
          </cell>
          <cell r="K9367" t="str">
            <v>YES</v>
          </cell>
        </row>
        <row r="9368">
          <cell r="I9368" t="str">
            <v>V52526</v>
          </cell>
          <cell r="J9368" t="str">
            <v>STAT</v>
          </cell>
          <cell r="K9368" t="str">
            <v>YES</v>
          </cell>
        </row>
        <row r="9369">
          <cell r="I9369" t="str">
            <v>V52605</v>
          </cell>
          <cell r="J9369" t="str">
            <v>STAT</v>
          </cell>
          <cell r="K9369" t="str">
            <v>YES</v>
          </cell>
        </row>
        <row r="9370">
          <cell r="I9370" t="str">
            <v>V53876</v>
          </cell>
          <cell r="J9370" t="str">
            <v>CTC</v>
          </cell>
          <cell r="K9370" t="str">
            <v>YES</v>
          </cell>
        </row>
        <row r="9371">
          <cell r="I9371" t="str">
            <v>V52569</v>
          </cell>
          <cell r="J9371" t="str">
            <v>STAT</v>
          </cell>
          <cell r="K9371" t="str">
            <v>YES</v>
          </cell>
        </row>
        <row r="9372">
          <cell r="I9372" t="str">
            <v>V52867</v>
          </cell>
          <cell r="J9372" t="str">
            <v>STAT</v>
          </cell>
          <cell r="K9372" t="str">
            <v>YES</v>
          </cell>
        </row>
        <row r="9373">
          <cell r="I9373" t="str">
            <v>V53327</v>
          </cell>
          <cell r="J9373" t="str">
            <v>STAT</v>
          </cell>
          <cell r="K9373" t="str">
            <v>YES</v>
          </cell>
        </row>
        <row r="9374">
          <cell r="I9374" t="str">
            <v>V52608</v>
          </cell>
          <cell r="J9374" t="str">
            <v>STAT</v>
          </cell>
          <cell r="K9374" t="str">
            <v>YES</v>
          </cell>
        </row>
        <row r="9375">
          <cell r="I9375" t="str">
            <v>V52694</v>
          </cell>
          <cell r="J9375" t="str">
            <v>STAT</v>
          </cell>
          <cell r="K9375" t="str">
            <v>YES</v>
          </cell>
        </row>
        <row r="9376">
          <cell r="I9376" t="str">
            <v>V53069</v>
          </cell>
          <cell r="J9376" t="str">
            <v>STAT</v>
          </cell>
          <cell r="K9376" t="str">
            <v>YES</v>
          </cell>
        </row>
        <row r="9377">
          <cell r="I9377" t="str">
            <v>V52679</v>
          </cell>
          <cell r="J9377" t="str">
            <v>STAT</v>
          </cell>
          <cell r="K9377" t="str">
            <v>YES</v>
          </cell>
        </row>
        <row r="9378">
          <cell r="I9378" t="str">
            <v>V52794</v>
          </cell>
          <cell r="J9378" t="str">
            <v>STAT</v>
          </cell>
          <cell r="K9378" t="str">
            <v>YES</v>
          </cell>
        </row>
        <row r="9379">
          <cell r="I9379" t="str">
            <v>V53191</v>
          </cell>
          <cell r="J9379" t="str">
            <v>CTC</v>
          </cell>
          <cell r="K9379" t="str">
            <v>YES</v>
          </cell>
        </row>
        <row r="9380">
          <cell r="I9380" t="str">
            <v>V52900</v>
          </cell>
          <cell r="J9380" t="str">
            <v>STAT</v>
          </cell>
          <cell r="K9380" t="str">
            <v>YES</v>
          </cell>
        </row>
        <row r="9381">
          <cell r="I9381" t="str">
            <v>V50028</v>
          </cell>
          <cell r="J9381" t="str">
            <v>CTC</v>
          </cell>
          <cell r="K9381" t="str">
            <v>YES</v>
          </cell>
        </row>
        <row r="9382">
          <cell r="I9382" t="str">
            <v>V52562</v>
          </cell>
          <cell r="J9382" t="str">
            <v>STAT</v>
          </cell>
          <cell r="K9382" t="str">
            <v>YES</v>
          </cell>
        </row>
        <row r="9383">
          <cell r="I9383" t="str">
            <v>V52563</v>
          </cell>
          <cell r="J9383" t="str">
            <v>STAT</v>
          </cell>
          <cell r="K9383" t="str">
            <v>YES</v>
          </cell>
        </row>
        <row r="9384">
          <cell r="I9384" t="str">
            <v>V53009</v>
          </cell>
          <cell r="J9384" t="str">
            <v>STAT</v>
          </cell>
          <cell r="K9384" t="str">
            <v>YES</v>
          </cell>
        </row>
        <row r="9385">
          <cell r="I9385" t="str">
            <v>V52625</v>
          </cell>
          <cell r="J9385" t="str">
            <v>STAT</v>
          </cell>
          <cell r="K9385" t="str">
            <v>YES</v>
          </cell>
        </row>
        <row r="9386">
          <cell r="I9386" t="str">
            <v>V52626</v>
          </cell>
          <cell r="J9386" t="str">
            <v>STAT</v>
          </cell>
          <cell r="K9386" t="str">
            <v>YES</v>
          </cell>
        </row>
        <row r="9387">
          <cell r="I9387" t="str">
            <v>V52620</v>
          </cell>
          <cell r="J9387" t="str">
            <v>STAT</v>
          </cell>
          <cell r="K9387" t="str">
            <v>YES</v>
          </cell>
        </row>
        <row r="9388">
          <cell r="I9388" t="str">
            <v>V52847</v>
          </cell>
          <cell r="J9388" t="str">
            <v>STAT</v>
          </cell>
          <cell r="K9388" t="str">
            <v>YES</v>
          </cell>
        </row>
        <row r="9389">
          <cell r="I9389" t="str">
            <v>V52340</v>
          </cell>
          <cell r="J9389" t="str">
            <v>CTC</v>
          </cell>
          <cell r="K9389" t="str">
            <v>YES</v>
          </cell>
        </row>
        <row r="9390">
          <cell r="I9390" t="str">
            <v>V52771</v>
          </cell>
          <cell r="J9390" t="str">
            <v>STAT</v>
          </cell>
          <cell r="K9390" t="str">
            <v>YES</v>
          </cell>
        </row>
        <row r="9391">
          <cell r="I9391" t="str">
            <v>V52738</v>
          </cell>
          <cell r="J9391" t="str">
            <v>STAT</v>
          </cell>
          <cell r="K9391" t="str">
            <v>YES</v>
          </cell>
        </row>
        <row r="9392">
          <cell r="I9392" t="str">
            <v>V52227</v>
          </cell>
          <cell r="J9392" t="str">
            <v>STAT</v>
          </cell>
          <cell r="K9392" t="str">
            <v>YES</v>
          </cell>
        </row>
        <row r="9393">
          <cell r="I9393" t="str">
            <v>V53036</v>
          </cell>
          <cell r="J9393" t="str">
            <v>STAT</v>
          </cell>
          <cell r="K9393" t="str">
            <v>YES</v>
          </cell>
        </row>
        <row r="9394">
          <cell r="I9394" t="str">
            <v>V52804</v>
          </cell>
          <cell r="J9394" t="str">
            <v>STAT</v>
          </cell>
          <cell r="K9394" t="str">
            <v>YES</v>
          </cell>
        </row>
        <row r="9395">
          <cell r="I9395" t="str">
            <v>V52821</v>
          </cell>
          <cell r="J9395" t="str">
            <v>STAT</v>
          </cell>
          <cell r="K9395" t="str">
            <v>YES</v>
          </cell>
        </row>
        <row r="9396">
          <cell r="I9396" t="str">
            <v>V52769</v>
          </cell>
          <cell r="J9396" t="str">
            <v>STAT</v>
          </cell>
          <cell r="K9396" t="str">
            <v>YES</v>
          </cell>
        </row>
        <row r="9397">
          <cell r="I9397" t="str">
            <v>V52708</v>
          </cell>
          <cell r="J9397" t="str">
            <v>STAT</v>
          </cell>
          <cell r="K9397" t="str">
            <v>YES</v>
          </cell>
        </row>
        <row r="9398">
          <cell r="I9398" t="str">
            <v>V49810</v>
          </cell>
          <cell r="J9398" t="str">
            <v>STAT</v>
          </cell>
          <cell r="K9398" t="str">
            <v>YES</v>
          </cell>
        </row>
        <row r="9399">
          <cell r="I9399" t="str">
            <v>V52657</v>
          </cell>
          <cell r="J9399" t="str">
            <v>STAT</v>
          </cell>
          <cell r="K9399" t="str">
            <v>YES</v>
          </cell>
        </row>
        <row r="9400">
          <cell r="I9400" t="str">
            <v>V52658</v>
          </cell>
          <cell r="J9400" t="str">
            <v>STAT</v>
          </cell>
          <cell r="K9400" t="str">
            <v>YES</v>
          </cell>
        </row>
        <row r="9401">
          <cell r="I9401" t="str">
            <v>V52874</v>
          </cell>
          <cell r="J9401" t="str">
            <v>STAT</v>
          </cell>
          <cell r="K9401" t="str">
            <v>YES</v>
          </cell>
        </row>
        <row r="9402">
          <cell r="I9402" t="str">
            <v>V52881</v>
          </cell>
          <cell r="J9402" t="str">
            <v>STAT</v>
          </cell>
          <cell r="K9402" t="str">
            <v>YES</v>
          </cell>
        </row>
        <row r="9403">
          <cell r="I9403" t="str">
            <v>V52739</v>
          </cell>
          <cell r="J9403" t="str">
            <v>STAT</v>
          </cell>
          <cell r="K9403" t="str">
            <v>YES</v>
          </cell>
        </row>
        <row r="9404">
          <cell r="I9404" t="str">
            <v>V52859</v>
          </cell>
          <cell r="J9404" t="str">
            <v>STAT</v>
          </cell>
          <cell r="K9404" t="str">
            <v>YES</v>
          </cell>
        </row>
        <row r="9405">
          <cell r="I9405" t="str">
            <v>V52326</v>
          </cell>
          <cell r="J9405" t="str">
            <v>STAT</v>
          </cell>
          <cell r="K9405" t="str">
            <v>YES</v>
          </cell>
        </row>
        <row r="9406">
          <cell r="I9406" t="str">
            <v>V53116</v>
          </cell>
          <cell r="J9406" t="str">
            <v>STAT</v>
          </cell>
          <cell r="K9406" t="str">
            <v>YES</v>
          </cell>
        </row>
        <row r="9407">
          <cell r="I9407" t="str">
            <v>V51903</v>
          </cell>
          <cell r="J9407" t="str">
            <v>CTC</v>
          </cell>
          <cell r="K9407" t="str">
            <v>YES</v>
          </cell>
        </row>
        <row r="9408">
          <cell r="I9408" t="str">
            <v>V53032</v>
          </cell>
          <cell r="J9408" t="str">
            <v>STAT</v>
          </cell>
          <cell r="K9408" t="str">
            <v>YES</v>
          </cell>
        </row>
        <row r="9409">
          <cell r="I9409" t="str">
            <v>V50531</v>
          </cell>
          <cell r="J9409" t="str">
            <v>CTC</v>
          </cell>
          <cell r="K9409" t="str">
            <v>YES</v>
          </cell>
        </row>
        <row r="9410">
          <cell r="I9410" t="str">
            <v>V51480</v>
          </cell>
          <cell r="J9410" t="str">
            <v>CTC</v>
          </cell>
          <cell r="K9410" t="str">
            <v>YES</v>
          </cell>
        </row>
        <row r="9411">
          <cell r="I9411" t="str">
            <v>V51536</v>
          </cell>
          <cell r="J9411" t="str">
            <v>CTC</v>
          </cell>
          <cell r="K9411" t="str">
            <v>YES</v>
          </cell>
        </row>
        <row r="9412">
          <cell r="I9412" t="str">
            <v>V52187</v>
          </cell>
          <cell r="J9412" t="str">
            <v>STAT</v>
          </cell>
          <cell r="K9412" t="str">
            <v>YES</v>
          </cell>
        </row>
        <row r="9413">
          <cell r="I9413" t="str">
            <v>V53172</v>
          </cell>
          <cell r="J9413" t="str">
            <v>CTC</v>
          </cell>
          <cell r="K9413" t="str">
            <v>YES</v>
          </cell>
        </row>
        <row r="9414">
          <cell r="I9414" t="str">
            <v>V53288</v>
          </cell>
          <cell r="J9414" t="str">
            <v>CTC</v>
          </cell>
          <cell r="K9414" t="str">
            <v>YES</v>
          </cell>
        </row>
        <row r="9415">
          <cell r="I9415" t="str">
            <v>V53198</v>
          </cell>
          <cell r="J9415" t="str">
            <v>CTC</v>
          </cell>
          <cell r="K9415" t="str">
            <v>YES</v>
          </cell>
        </row>
        <row r="9416">
          <cell r="I9416" t="str">
            <v>V50109</v>
          </cell>
          <cell r="J9416" t="str">
            <v>STAT</v>
          </cell>
          <cell r="K9416" t="str">
            <v>YES</v>
          </cell>
        </row>
        <row r="9417">
          <cell r="I9417" t="str">
            <v>V51857</v>
          </cell>
          <cell r="J9417" t="str">
            <v>STAT</v>
          </cell>
          <cell r="K9417" t="str">
            <v>YES</v>
          </cell>
        </row>
        <row r="9418">
          <cell r="I9418" t="str">
            <v>V52995</v>
          </cell>
          <cell r="J9418" t="str">
            <v>STAT</v>
          </cell>
          <cell r="K9418" t="str">
            <v>YES</v>
          </cell>
        </row>
        <row r="9419">
          <cell r="I9419" t="str">
            <v>V52297</v>
          </cell>
          <cell r="J9419" t="str">
            <v>CTC</v>
          </cell>
          <cell r="K9419" t="str">
            <v>YES</v>
          </cell>
        </row>
        <row r="9420">
          <cell r="I9420" t="str">
            <v>V52598</v>
          </cell>
          <cell r="J9420" t="str">
            <v>STAT</v>
          </cell>
          <cell r="K9420" t="str">
            <v>YES</v>
          </cell>
        </row>
        <row r="9421">
          <cell r="I9421" t="str">
            <v>V52580</v>
          </cell>
          <cell r="J9421" t="str">
            <v>STAT</v>
          </cell>
          <cell r="K9421" t="str">
            <v>YES</v>
          </cell>
        </row>
        <row r="9422">
          <cell r="I9422" t="str">
            <v>V52666</v>
          </cell>
          <cell r="J9422" t="str">
            <v>STAT</v>
          </cell>
          <cell r="K9422" t="str">
            <v>YES</v>
          </cell>
        </row>
        <row r="9423">
          <cell r="I9423" t="str">
            <v>V52607</v>
          </cell>
          <cell r="J9423" t="str">
            <v>STAT</v>
          </cell>
          <cell r="K9423" t="str">
            <v>YES</v>
          </cell>
        </row>
        <row r="9424">
          <cell r="I9424" t="str">
            <v>V53056</v>
          </cell>
          <cell r="J9424" t="str">
            <v>STAT</v>
          </cell>
          <cell r="K9424" t="str">
            <v>YES</v>
          </cell>
        </row>
        <row r="9425">
          <cell r="I9425" t="str">
            <v>V52552</v>
          </cell>
          <cell r="J9425" t="str">
            <v>STAT</v>
          </cell>
          <cell r="K9425" t="str">
            <v>YES</v>
          </cell>
        </row>
        <row r="9426">
          <cell r="I9426" t="str">
            <v>V52498</v>
          </cell>
          <cell r="J9426" t="str">
            <v>CTC</v>
          </cell>
          <cell r="K9426" t="str">
            <v>YES</v>
          </cell>
        </row>
        <row r="9427">
          <cell r="I9427" t="str">
            <v>V53284</v>
          </cell>
          <cell r="J9427" t="str">
            <v>STAT</v>
          </cell>
          <cell r="K9427" t="str">
            <v>YES</v>
          </cell>
        </row>
        <row r="9428">
          <cell r="I9428" t="str">
            <v>V53090</v>
          </cell>
          <cell r="J9428" t="str">
            <v>STAT</v>
          </cell>
          <cell r="K9428" t="str">
            <v>YES</v>
          </cell>
        </row>
        <row r="9429">
          <cell r="I9429" t="str">
            <v>V53076</v>
          </cell>
          <cell r="J9429" t="str">
            <v>STAT</v>
          </cell>
          <cell r="K9429" t="str">
            <v>YES</v>
          </cell>
        </row>
        <row r="9430">
          <cell r="I9430" t="str">
            <v>V53110</v>
          </cell>
          <cell r="J9430" t="str">
            <v>STAT</v>
          </cell>
          <cell r="K9430" t="str">
            <v>YES</v>
          </cell>
        </row>
        <row r="9431">
          <cell r="I9431" t="str">
            <v>V53499</v>
          </cell>
          <cell r="J9431" t="str">
            <v>CTC</v>
          </cell>
          <cell r="K9431" t="str">
            <v>YES</v>
          </cell>
        </row>
        <row r="9432">
          <cell r="I9432" t="str">
            <v>V53509</v>
          </cell>
          <cell r="J9432" t="str">
            <v>STAT</v>
          </cell>
          <cell r="K9432" t="str">
            <v>YES</v>
          </cell>
        </row>
        <row r="9433">
          <cell r="I9433" t="str">
            <v>V53353</v>
          </cell>
          <cell r="J9433" t="str">
            <v>CTC</v>
          </cell>
          <cell r="K9433" t="str">
            <v>YES</v>
          </cell>
        </row>
        <row r="9434">
          <cell r="I9434" t="str">
            <v>V52661</v>
          </cell>
          <cell r="J9434" t="str">
            <v>STAT</v>
          </cell>
          <cell r="K9434" t="str">
            <v>YES</v>
          </cell>
        </row>
        <row r="9435">
          <cell r="I9435" t="str">
            <v>V52873</v>
          </cell>
          <cell r="J9435" t="str">
            <v>STAT</v>
          </cell>
          <cell r="K9435" t="str">
            <v>YES</v>
          </cell>
        </row>
        <row r="9436">
          <cell r="I9436" t="str">
            <v>V52681</v>
          </cell>
          <cell r="J9436" t="str">
            <v>STAT</v>
          </cell>
          <cell r="K9436" t="str">
            <v>YES</v>
          </cell>
        </row>
        <row r="9437">
          <cell r="I9437" t="str">
            <v>V52676</v>
          </cell>
          <cell r="J9437" t="str">
            <v>STAT</v>
          </cell>
          <cell r="K9437" t="str">
            <v>YES</v>
          </cell>
        </row>
        <row r="9438">
          <cell r="I9438" t="str">
            <v>V52800</v>
          </cell>
          <cell r="J9438" t="str">
            <v>STAT</v>
          </cell>
          <cell r="K9438" t="str">
            <v>YES</v>
          </cell>
        </row>
        <row r="9439">
          <cell r="I9439" t="str">
            <v>V52801</v>
          </cell>
          <cell r="J9439" t="str">
            <v>STAT</v>
          </cell>
          <cell r="K9439" t="str">
            <v>YES</v>
          </cell>
        </row>
        <row r="9440">
          <cell r="I9440" t="str">
            <v>V51946</v>
          </cell>
          <cell r="J9440" t="str">
            <v>STAT</v>
          </cell>
          <cell r="K9440" t="str">
            <v>YES</v>
          </cell>
        </row>
        <row r="9441">
          <cell r="I9441" t="str">
            <v>V52465</v>
          </cell>
          <cell r="J9441" t="str">
            <v>STAT</v>
          </cell>
          <cell r="K9441" t="str">
            <v>YES</v>
          </cell>
        </row>
        <row r="9442">
          <cell r="I9442" t="str">
            <v>V52706</v>
          </cell>
          <cell r="J9442" t="str">
            <v>STAT</v>
          </cell>
          <cell r="K9442" t="str">
            <v>YES</v>
          </cell>
        </row>
        <row r="9443">
          <cell r="I9443" t="str">
            <v>V52691</v>
          </cell>
          <cell r="J9443" t="str">
            <v>CTC</v>
          </cell>
          <cell r="K9443" t="str">
            <v>YES</v>
          </cell>
        </row>
        <row r="9444">
          <cell r="I9444" t="str">
            <v>V52697</v>
          </cell>
          <cell r="J9444" t="str">
            <v>STAT</v>
          </cell>
          <cell r="K9444" t="str">
            <v>YES</v>
          </cell>
        </row>
        <row r="9445">
          <cell r="I9445" t="str">
            <v>V52783</v>
          </cell>
          <cell r="J9445" t="str">
            <v>STAT</v>
          </cell>
          <cell r="K9445" t="str">
            <v>YES</v>
          </cell>
        </row>
        <row r="9446">
          <cell r="I9446" t="str">
            <v>V52414</v>
          </cell>
          <cell r="J9446" t="str">
            <v>STAT</v>
          </cell>
          <cell r="K9446" t="str">
            <v>YES</v>
          </cell>
        </row>
        <row r="9447">
          <cell r="I9447" t="str">
            <v>V52567</v>
          </cell>
          <cell r="J9447" t="str">
            <v>STAT</v>
          </cell>
          <cell r="K9447" t="str">
            <v>YES</v>
          </cell>
        </row>
        <row r="9448">
          <cell r="I9448" t="str">
            <v>V51204</v>
          </cell>
          <cell r="J9448" t="str">
            <v>CTC</v>
          </cell>
          <cell r="K9448" t="str">
            <v>YES</v>
          </cell>
        </row>
        <row r="9449">
          <cell r="I9449" t="str">
            <v>V52669</v>
          </cell>
          <cell r="J9449" t="str">
            <v>STAT</v>
          </cell>
          <cell r="K9449" t="str">
            <v>YES</v>
          </cell>
        </row>
        <row r="9450">
          <cell r="I9450" t="str">
            <v>V53470</v>
          </cell>
          <cell r="J9450" t="str">
            <v>STAT</v>
          </cell>
          <cell r="K9450" t="str">
            <v>YES</v>
          </cell>
        </row>
        <row r="9451">
          <cell r="I9451" t="str">
            <v>V52787</v>
          </cell>
          <cell r="J9451" t="str">
            <v>STAT</v>
          </cell>
          <cell r="K9451" t="str">
            <v>YES</v>
          </cell>
        </row>
        <row r="9452">
          <cell r="I9452" t="str">
            <v>V53230</v>
          </cell>
          <cell r="J9452" t="str">
            <v>STAT</v>
          </cell>
          <cell r="K9452" t="str">
            <v>YES</v>
          </cell>
        </row>
        <row r="9453">
          <cell r="I9453" t="str">
            <v>V53216</v>
          </cell>
          <cell r="J9453" t="str">
            <v>CTC</v>
          </cell>
          <cell r="K9453" t="str">
            <v>YES</v>
          </cell>
        </row>
        <row r="9454">
          <cell r="I9454" t="str">
            <v>V53159</v>
          </cell>
          <cell r="J9454" t="str">
            <v>STAT</v>
          </cell>
          <cell r="K9454" t="str">
            <v>YES</v>
          </cell>
        </row>
        <row r="9455">
          <cell r="I9455" t="str">
            <v>V52038</v>
          </cell>
          <cell r="J9455" t="str">
            <v>CTC</v>
          </cell>
          <cell r="K9455" t="str">
            <v>YES</v>
          </cell>
        </row>
        <row r="9456">
          <cell r="I9456" t="str">
            <v>V52220</v>
          </cell>
          <cell r="J9456" t="str">
            <v>CTC</v>
          </cell>
          <cell r="K9456" t="str">
            <v>YES</v>
          </cell>
        </row>
        <row r="9457">
          <cell r="I9457" t="str">
            <v>V49928</v>
          </cell>
          <cell r="J9457" t="str">
            <v>CTC</v>
          </cell>
          <cell r="K9457" t="str">
            <v>YES</v>
          </cell>
        </row>
        <row r="9458">
          <cell r="I9458" t="str">
            <v>V52155</v>
          </cell>
          <cell r="J9458" t="str">
            <v>CTC</v>
          </cell>
          <cell r="K9458" t="str">
            <v>YES</v>
          </cell>
        </row>
        <row r="9459">
          <cell r="I9459" t="str">
            <v>V52947</v>
          </cell>
          <cell r="J9459" t="str">
            <v>STAT</v>
          </cell>
          <cell r="K9459" t="str">
            <v>YES</v>
          </cell>
        </row>
        <row r="9460">
          <cell r="I9460" t="str">
            <v>V52875</v>
          </cell>
          <cell r="J9460" t="str">
            <v>STAT</v>
          </cell>
          <cell r="K9460" t="str">
            <v>YES</v>
          </cell>
        </row>
        <row r="9461">
          <cell r="I9461" t="str">
            <v>V52799</v>
          </cell>
          <cell r="J9461" t="str">
            <v>STAT</v>
          </cell>
          <cell r="K9461" t="str">
            <v>YES</v>
          </cell>
        </row>
        <row r="9462">
          <cell r="I9462" t="str">
            <v>V52761</v>
          </cell>
          <cell r="J9462" t="str">
            <v>STAT</v>
          </cell>
          <cell r="K9462" t="str">
            <v>YES</v>
          </cell>
        </row>
        <row r="9463">
          <cell r="I9463" t="str">
            <v>V52797</v>
          </cell>
          <cell r="J9463" t="str">
            <v>STAT</v>
          </cell>
          <cell r="K9463" t="str">
            <v>YES</v>
          </cell>
        </row>
        <row r="9464">
          <cell r="I9464" t="str">
            <v>V52671</v>
          </cell>
          <cell r="J9464" t="str">
            <v>STAT</v>
          </cell>
          <cell r="K9464" t="str">
            <v>YES</v>
          </cell>
        </row>
        <row r="9465">
          <cell r="I9465" t="str">
            <v>V53457</v>
          </cell>
          <cell r="J9465" t="str">
            <v>CTC</v>
          </cell>
          <cell r="K9465" t="str">
            <v>YES</v>
          </cell>
        </row>
        <row r="9466">
          <cell r="I9466" t="str">
            <v>V53415</v>
          </cell>
          <cell r="J9466" t="str">
            <v>CTC</v>
          </cell>
          <cell r="K9466" t="str">
            <v>YES</v>
          </cell>
        </row>
        <row r="9467">
          <cell r="I9467" t="str">
            <v>V52125</v>
          </cell>
          <cell r="J9467" t="str">
            <v>STAT</v>
          </cell>
          <cell r="K9467" t="str">
            <v>YES</v>
          </cell>
        </row>
        <row r="9468">
          <cell r="I9468" t="str">
            <v>V52366</v>
          </cell>
          <cell r="J9468" t="str">
            <v>STAT</v>
          </cell>
          <cell r="K9468" t="str">
            <v>YES</v>
          </cell>
        </row>
        <row r="9469">
          <cell r="I9469" t="str">
            <v>V50890</v>
          </cell>
          <cell r="J9469" t="str">
            <v>CTC</v>
          </cell>
          <cell r="K9469" t="str">
            <v>YES</v>
          </cell>
        </row>
        <row r="9470">
          <cell r="I9470" t="str">
            <v>V53544</v>
          </cell>
          <cell r="J9470" t="str">
            <v>STAT</v>
          </cell>
          <cell r="K9470" t="str">
            <v>YES</v>
          </cell>
        </row>
        <row r="9471">
          <cell r="I9471" t="str">
            <v>V52041</v>
          </cell>
          <cell r="J9471" t="str">
            <v>STAT</v>
          </cell>
          <cell r="K9471" t="str">
            <v>YES</v>
          </cell>
        </row>
        <row r="9472">
          <cell r="I9472" t="str">
            <v>V51118</v>
          </cell>
          <cell r="J9472" t="str">
            <v>CTC</v>
          </cell>
          <cell r="K9472" t="str">
            <v>YES</v>
          </cell>
        </row>
        <row r="9473">
          <cell r="I9473" t="str">
            <v>V52632</v>
          </cell>
          <cell r="J9473" t="str">
            <v>STAT</v>
          </cell>
          <cell r="K9473" t="str">
            <v>YES</v>
          </cell>
        </row>
        <row r="9474">
          <cell r="I9474" t="str">
            <v>V52417</v>
          </cell>
          <cell r="J9474" t="str">
            <v>CTC</v>
          </cell>
          <cell r="K9474" t="str">
            <v>YES</v>
          </cell>
        </row>
        <row r="9475">
          <cell r="I9475" t="str">
            <v>V52574</v>
          </cell>
          <cell r="J9475" t="str">
            <v>STAT</v>
          </cell>
          <cell r="K9475" t="str">
            <v>YES</v>
          </cell>
        </row>
        <row r="9476">
          <cell r="I9476" t="str">
            <v>V52500</v>
          </cell>
          <cell r="J9476" t="str">
            <v>STAT</v>
          </cell>
          <cell r="K9476" t="str">
            <v>YES</v>
          </cell>
        </row>
        <row r="9477">
          <cell r="I9477" t="str">
            <v>V52838</v>
          </cell>
          <cell r="J9477" t="str">
            <v>STAT</v>
          </cell>
          <cell r="K9477" t="str">
            <v>YES</v>
          </cell>
        </row>
        <row r="9478">
          <cell r="I9478" t="str">
            <v>V52644</v>
          </cell>
          <cell r="J9478" t="str">
            <v>STAT</v>
          </cell>
          <cell r="K9478" t="str">
            <v>YES</v>
          </cell>
        </row>
        <row r="9479">
          <cell r="I9479" t="str">
            <v>V52902</v>
          </cell>
          <cell r="J9479" t="str">
            <v>STAT</v>
          </cell>
          <cell r="K9479" t="str">
            <v>YES</v>
          </cell>
        </row>
        <row r="9480">
          <cell r="I9480" t="str">
            <v>V52813</v>
          </cell>
          <cell r="J9480" t="str">
            <v>STAT</v>
          </cell>
          <cell r="K9480" t="str">
            <v>YES</v>
          </cell>
        </row>
        <row r="9481">
          <cell r="I9481" t="str">
            <v>V52701</v>
          </cell>
          <cell r="J9481" t="str">
            <v>STAT</v>
          </cell>
          <cell r="K9481" t="str">
            <v>YES</v>
          </cell>
        </row>
        <row r="9482">
          <cell r="I9482" t="str">
            <v>V52046</v>
          </cell>
          <cell r="J9482" t="str">
            <v>STAT</v>
          </cell>
          <cell r="K9482" t="str">
            <v>YES</v>
          </cell>
        </row>
        <row r="9483">
          <cell r="I9483" t="str">
            <v>V52303</v>
          </cell>
          <cell r="J9483" t="str">
            <v>CTC</v>
          </cell>
          <cell r="K9483" t="str">
            <v>YES</v>
          </cell>
        </row>
        <row r="9484">
          <cell r="I9484" t="str">
            <v>V50692</v>
          </cell>
          <cell r="J9484" t="str">
            <v>CTC</v>
          </cell>
          <cell r="K9484" t="str">
            <v>YES</v>
          </cell>
        </row>
        <row r="9485">
          <cell r="I9485" t="str">
            <v>V52613</v>
          </cell>
          <cell r="J9485" t="str">
            <v>STAT</v>
          </cell>
          <cell r="K9485" t="str">
            <v>YES</v>
          </cell>
        </row>
        <row r="9486">
          <cell r="I9486" t="str">
            <v>V52855</v>
          </cell>
          <cell r="J9486" t="str">
            <v>STAT</v>
          </cell>
          <cell r="K9486" t="str">
            <v>YES</v>
          </cell>
        </row>
        <row r="9487">
          <cell r="I9487" t="str">
            <v>V52612</v>
          </cell>
          <cell r="J9487" t="str">
            <v>STAT</v>
          </cell>
          <cell r="K9487" t="str">
            <v>YES</v>
          </cell>
        </row>
        <row r="9488">
          <cell r="I9488" t="str">
            <v>V52852</v>
          </cell>
          <cell r="J9488" t="str">
            <v>STAT</v>
          </cell>
          <cell r="K9488" t="str">
            <v>YES</v>
          </cell>
        </row>
        <row r="9489">
          <cell r="I9489" t="str">
            <v>V53229</v>
          </cell>
          <cell r="J9489" t="str">
            <v>CTC</v>
          </cell>
          <cell r="K9489" t="str">
            <v>YES</v>
          </cell>
        </row>
        <row r="9490">
          <cell r="I9490" t="str">
            <v>V51894</v>
          </cell>
          <cell r="J9490" t="str">
            <v>CTC</v>
          </cell>
          <cell r="K9490" t="str">
            <v>YES</v>
          </cell>
        </row>
        <row r="9491">
          <cell r="I9491" t="str">
            <v>V53447</v>
          </cell>
          <cell r="J9491" t="str">
            <v>CTC</v>
          </cell>
          <cell r="K9491" t="str">
            <v>YES</v>
          </cell>
        </row>
        <row r="9492">
          <cell r="I9492" t="str">
            <v>V54156</v>
          </cell>
          <cell r="J9492" t="str">
            <v>CTC</v>
          </cell>
          <cell r="K9492" t="str">
            <v>YES</v>
          </cell>
        </row>
        <row r="9493">
          <cell r="I9493" t="str">
            <v>V52979</v>
          </cell>
          <cell r="J9493" t="str">
            <v>STAT</v>
          </cell>
          <cell r="K9493" t="str">
            <v>YES</v>
          </cell>
        </row>
        <row r="9494">
          <cell r="I9494" t="str">
            <v>V52971</v>
          </cell>
          <cell r="J9494" t="str">
            <v>STAT</v>
          </cell>
          <cell r="K9494" t="str">
            <v>YES</v>
          </cell>
        </row>
        <row r="9495">
          <cell r="I9495" t="str">
            <v>V52968</v>
          </cell>
          <cell r="J9495" t="str">
            <v>STAT</v>
          </cell>
          <cell r="K9495" t="str">
            <v>YES</v>
          </cell>
        </row>
        <row r="9496">
          <cell r="I9496" t="str">
            <v>V53802</v>
          </cell>
          <cell r="J9496" t="str">
            <v>CTC</v>
          </cell>
          <cell r="K9496" t="str">
            <v>YES</v>
          </cell>
        </row>
        <row r="9497">
          <cell r="I9497" t="str">
            <v>V50185</v>
          </cell>
          <cell r="J9497" t="str">
            <v>STAT</v>
          </cell>
          <cell r="K9497" t="str">
            <v>YES</v>
          </cell>
        </row>
        <row r="9498">
          <cell r="I9498" t="str">
            <v>V52752</v>
          </cell>
          <cell r="J9498" t="str">
            <v>STAT</v>
          </cell>
          <cell r="K9498" t="str">
            <v>YES</v>
          </cell>
        </row>
        <row r="9499">
          <cell r="I9499" t="str">
            <v>V52695</v>
          </cell>
          <cell r="J9499" t="str">
            <v>STAT</v>
          </cell>
          <cell r="K9499" t="str">
            <v>YES</v>
          </cell>
        </row>
        <row r="9500">
          <cell r="I9500" t="str">
            <v>V52732</v>
          </cell>
          <cell r="J9500" t="str">
            <v>STAT</v>
          </cell>
          <cell r="K9500" t="str">
            <v>YES</v>
          </cell>
        </row>
        <row r="9501">
          <cell r="I9501" t="str">
            <v>V52736</v>
          </cell>
          <cell r="J9501" t="str">
            <v>STAT</v>
          </cell>
          <cell r="K9501" t="str">
            <v>YES</v>
          </cell>
        </row>
        <row r="9502">
          <cell r="I9502" t="str">
            <v>V52740</v>
          </cell>
          <cell r="J9502" t="str">
            <v>STAT</v>
          </cell>
          <cell r="K9502" t="str">
            <v>YES</v>
          </cell>
        </row>
        <row r="9503">
          <cell r="I9503" t="str">
            <v>V52742</v>
          </cell>
          <cell r="J9503" t="str">
            <v>STAT</v>
          </cell>
          <cell r="K9503" t="str">
            <v>YES</v>
          </cell>
        </row>
        <row r="9504">
          <cell r="I9504" t="str">
            <v>V52892</v>
          </cell>
          <cell r="J9504" t="str">
            <v>STAT</v>
          </cell>
          <cell r="K9504" t="str">
            <v>YES</v>
          </cell>
        </row>
        <row r="9505">
          <cell r="I9505" t="str">
            <v>V52885</v>
          </cell>
          <cell r="J9505" t="str">
            <v>STAT</v>
          </cell>
          <cell r="K9505" t="str">
            <v>YES</v>
          </cell>
        </row>
        <row r="9506">
          <cell r="I9506" t="str">
            <v>V53231</v>
          </cell>
          <cell r="J9506" t="str">
            <v>STAT</v>
          </cell>
          <cell r="K9506" t="str">
            <v>YES</v>
          </cell>
        </row>
        <row r="9507">
          <cell r="I9507" t="str">
            <v>V53259</v>
          </cell>
          <cell r="J9507" t="str">
            <v>CTC</v>
          </cell>
          <cell r="K9507" t="str">
            <v>YES</v>
          </cell>
        </row>
        <row r="9508">
          <cell r="I9508" t="str">
            <v>V53260</v>
          </cell>
          <cell r="J9508" t="str">
            <v>CTC</v>
          </cell>
          <cell r="K9508" t="str">
            <v>YES</v>
          </cell>
        </row>
        <row r="9509">
          <cell r="I9509" t="str">
            <v>V51380</v>
          </cell>
          <cell r="J9509" t="str">
            <v>CTC</v>
          </cell>
          <cell r="K9509" t="str">
            <v>YES</v>
          </cell>
        </row>
        <row r="9510">
          <cell r="I9510" t="str">
            <v>V51017</v>
          </cell>
          <cell r="J9510" t="str">
            <v>CTC</v>
          </cell>
          <cell r="K9510" t="str">
            <v>YES</v>
          </cell>
        </row>
        <row r="9511">
          <cell r="I9511" t="str">
            <v>V52457</v>
          </cell>
          <cell r="J9511" t="str">
            <v>STAT</v>
          </cell>
          <cell r="K9511" t="str">
            <v>YES</v>
          </cell>
        </row>
        <row r="9512">
          <cell r="I9512" t="str">
            <v>V52523</v>
          </cell>
          <cell r="J9512" t="str">
            <v>STAT</v>
          </cell>
          <cell r="K9512" t="str">
            <v>YES</v>
          </cell>
        </row>
        <row r="9513">
          <cell r="I9513" t="str">
            <v>V52214</v>
          </cell>
          <cell r="J9513" t="str">
            <v>STAT</v>
          </cell>
          <cell r="K9513" t="str">
            <v>YES</v>
          </cell>
        </row>
        <row r="9514">
          <cell r="I9514" t="str">
            <v>V52698</v>
          </cell>
          <cell r="J9514" t="str">
            <v>STAT</v>
          </cell>
          <cell r="K9514" t="str">
            <v>YES</v>
          </cell>
        </row>
        <row r="9515">
          <cell r="I9515" t="str">
            <v>V53213</v>
          </cell>
          <cell r="J9515" t="str">
            <v>CTC</v>
          </cell>
          <cell r="K9515" t="str">
            <v>YES</v>
          </cell>
        </row>
        <row r="9516">
          <cell r="I9516" t="str">
            <v>V52832</v>
          </cell>
          <cell r="J9516" t="str">
            <v>STAT</v>
          </cell>
          <cell r="K9516" t="str">
            <v>YES</v>
          </cell>
        </row>
        <row r="9517">
          <cell r="I9517" t="str">
            <v>V52434</v>
          </cell>
          <cell r="J9517" t="str">
            <v>CTC</v>
          </cell>
          <cell r="K9517" t="str">
            <v>YES</v>
          </cell>
        </row>
        <row r="9518">
          <cell r="I9518" t="str">
            <v>V53227</v>
          </cell>
          <cell r="J9518" t="str">
            <v>CTC</v>
          </cell>
          <cell r="K9518" t="str">
            <v>YES</v>
          </cell>
        </row>
        <row r="9519">
          <cell r="I9519" t="str">
            <v>V51008</v>
          </cell>
          <cell r="J9519" t="str">
            <v>CTC</v>
          </cell>
          <cell r="K9519" t="str">
            <v>YES</v>
          </cell>
        </row>
        <row r="9520">
          <cell r="I9520" t="str">
            <v>V53196</v>
          </cell>
          <cell r="J9520" t="str">
            <v>STAT</v>
          </cell>
          <cell r="K9520" t="str">
            <v>YES</v>
          </cell>
        </row>
        <row r="9521">
          <cell r="I9521" t="str">
            <v>V52967</v>
          </cell>
          <cell r="J9521" t="str">
            <v>STAT</v>
          </cell>
          <cell r="K9521" t="str">
            <v>YES</v>
          </cell>
        </row>
        <row r="9522">
          <cell r="I9522" t="str">
            <v>V53257</v>
          </cell>
          <cell r="J9522" t="str">
            <v>CTC</v>
          </cell>
          <cell r="K9522" t="str">
            <v>YES</v>
          </cell>
        </row>
        <row r="9523">
          <cell r="I9523" t="str">
            <v>V52886</v>
          </cell>
          <cell r="J9523" t="str">
            <v>STAT</v>
          </cell>
          <cell r="K9523" t="str">
            <v>YES</v>
          </cell>
        </row>
        <row r="9524">
          <cell r="I9524" t="str">
            <v>V51517</v>
          </cell>
          <cell r="J9524" t="str">
            <v>CTC</v>
          </cell>
          <cell r="K9524" t="str">
            <v>YES</v>
          </cell>
        </row>
        <row r="9525">
          <cell r="I9525" t="str">
            <v>V52834</v>
          </cell>
          <cell r="J9525" t="str">
            <v>STAT</v>
          </cell>
          <cell r="K9525" t="str">
            <v>YES</v>
          </cell>
        </row>
        <row r="9526">
          <cell r="I9526" t="str">
            <v>V52882</v>
          </cell>
          <cell r="J9526" t="str">
            <v>STAT</v>
          </cell>
          <cell r="K9526" t="str">
            <v>YES</v>
          </cell>
        </row>
        <row r="9527">
          <cell r="I9527" t="str">
            <v>V53431</v>
          </cell>
          <cell r="J9527" t="str">
            <v>CTC</v>
          </cell>
          <cell r="K9527" t="str">
            <v>YES</v>
          </cell>
        </row>
        <row r="9528">
          <cell r="I9528" t="str">
            <v>V52422</v>
          </cell>
          <cell r="J9528" t="str">
            <v>CTC</v>
          </cell>
          <cell r="K9528" t="str">
            <v>YES</v>
          </cell>
        </row>
        <row r="9529">
          <cell r="I9529" t="str">
            <v>V52466</v>
          </cell>
          <cell r="J9529" t="str">
            <v>STAT</v>
          </cell>
          <cell r="K9529" t="str">
            <v>YES</v>
          </cell>
        </row>
        <row r="9530">
          <cell r="I9530" t="str">
            <v>V52599</v>
          </cell>
          <cell r="J9530" t="str">
            <v>STAT</v>
          </cell>
          <cell r="K9530" t="str">
            <v>YES</v>
          </cell>
        </row>
        <row r="9531">
          <cell r="I9531" t="str">
            <v>V53350</v>
          </cell>
          <cell r="J9531" t="str">
            <v>STAT</v>
          </cell>
          <cell r="K9531" t="str">
            <v>YES</v>
          </cell>
        </row>
        <row r="9532">
          <cell r="I9532" t="str">
            <v>V53243</v>
          </cell>
          <cell r="J9532" t="str">
            <v>STAT</v>
          </cell>
          <cell r="K9532" t="str">
            <v>YES</v>
          </cell>
        </row>
        <row r="9533">
          <cell r="I9533" t="str">
            <v>V53244</v>
          </cell>
          <cell r="J9533" t="str">
            <v>STAT</v>
          </cell>
          <cell r="K9533" t="str">
            <v>YES</v>
          </cell>
        </row>
        <row r="9534">
          <cell r="I9534" t="str">
            <v>V53469</v>
          </cell>
          <cell r="J9534" t="str">
            <v>STAT</v>
          </cell>
          <cell r="K9534" t="str">
            <v>YES</v>
          </cell>
        </row>
        <row r="9535">
          <cell r="I9535" t="str">
            <v>V52606</v>
          </cell>
          <cell r="J9535" t="str">
            <v>STAT</v>
          </cell>
          <cell r="K9535" t="str">
            <v>YES</v>
          </cell>
        </row>
        <row r="9536">
          <cell r="I9536" t="str">
            <v>V53000</v>
          </cell>
          <cell r="J9536" t="str">
            <v>STAT</v>
          </cell>
          <cell r="K9536" t="str">
            <v>YES</v>
          </cell>
        </row>
        <row r="9537">
          <cell r="I9537" t="str">
            <v>V52521</v>
          </cell>
          <cell r="J9537" t="str">
            <v>STAT</v>
          </cell>
          <cell r="K9537" t="str">
            <v>YES</v>
          </cell>
        </row>
        <row r="9538">
          <cell r="I9538" t="str">
            <v>V52764</v>
          </cell>
          <cell r="J9538" t="str">
            <v>STAT</v>
          </cell>
          <cell r="K9538" t="str">
            <v>YES</v>
          </cell>
        </row>
        <row r="9539">
          <cell r="I9539" t="str">
            <v>V52772</v>
          </cell>
          <cell r="J9539" t="str">
            <v>STAT</v>
          </cell>
          <cell r="K9539" t="str">
            <v>YES</v>
          </cell>
        </row>
        <row r="9540">
          <cell r="I9540" t="str">
            <v>V52776</v>
          </cell>
          <cell r="J9540" t="str">
            <v>STAT</v>
          </cell>
          <cell r="K9540" t="str">
            <v>YES</v>
          </cell>
        </row>
        <row r="9541">
          <cell r="I9541" t="str">
            <v>V52828</v>
          </cell>
          <cell r="J9541" t="str">
            <v>CTC</v>
          </cell>
          <cell r="K9541" t="str">
            <v>YES</v>
          </cell>
        </row>
        <row r="9542">
          <cell r="I9542" t="str">
            <v>V53287</v>
          </cell>
          <cell r="J9542" t="str">
            <v>CTC</v>
          </cell>
          <cell r="K9542" t="str">
            <v>YES</v>
          </cell>
        </row>
        <row r="9543">
          <cell r="I9543" t="str">
            <v>V52475</v>
          </cell>
          <cell r="J9543" t="str">
            <v>STAT</v>
          </cell>
          <cell r="K9543" t="str">
            <v>YES</v>
          </cell>
        </row>
        <row r="9544">
          <cell r="I9544" t="str">
            <v>V53332</v>
          </cell>
          <cell r="J9544" t="str">
            <v>CTC</v>
          </cell>
          <cell r="K9544" t="str">
            <v>YES</v>
          </cell>
        </row>
        <row r="9545">
          <cell r="I9545" t="str">
            <v>V52700</v>
          </cell>
          <cell r="J9545" t="str">
            <v>STAT</v>
          </cell>
          <cell r="K9545" t="str">
            <v>YES</v>
          </cell>
        </row>
        <row r="9546">
          <cell r="I9546" t="str">
            <v>V51195</v>
          </cell>
          <cell r="J9546" t="str">
            <v>CTC</v>
          </cell>
          <cell r="K9546" t="str">
            <v>YES</v>
          </cell>
        </row>
        <row r="9547">
          <cell r="I9547" t="str">
            <v>V52677</v>
          </cell>
          <cell r="J9547" t="str">
            <v>STAT</v>
          </cell>
          <cell r="K9547" t="str">
            <v>YES</v>
          </cell>
        </row>
        <row r="9548">
          <cell r="I9548" t="str">
            <v>V53021</v>
          </cell>
          <cell r="J9548" t="str">
            <v>STAT</v>
          </cell>
          <cell r="K9548" t="str">
            <v>YES</v>
          </cell>
        </row>
        <row r="9549">
          <cell r="I9549" t="str">
            <v>V52635</v>
          </cell>
          <cell r="J9549" t="str">
            <v>STAT</v>
          </cell>
          <cell r="K9549" t="str">
            <v>YES</v>
          </cell>
        </row>
        <row r="9550">
          <cell r="I9550" t="str">
            <v>V52638</v>
          </cell>
          <cell r="J9550" t="str">
            <v>STAT</v>
          </cell>
          <cell r="K9550" t="str">
            <v>YES</v>
          </cell>
        </row>
        <row r="9551">
          <cell r="I9551" t="str">
            <v>V52640</v>
          </cell>
          <cell r="J9551" t="str">
            <v>STAT</v>
          </cell>
          <cell r="K9551" t="str">
            <v>YES</v>
          </cell>
        </row>
        <row r="9552">
          <cell r="I9552" t="str">
            <v>V53017</v>
          </cell>
          <cell r="J9552" t="str">
            <v>STAT</v>
          </cell>
          <cell r="K9552" t="str">
            <v>YES</v>
          </cell>
        </row>
        <row r="9553">
          <cell r="I9553" t="str">
            <v>V53019</v>
          </cell>
          <cell r="J9553" t="str">
            <v>STAT</v>
          </cell>
          <cell r="K9553" t="str">
            <v>YES</v>
          </cell>
        </row>
        <row r="9554">
          <cell r="I9554" t="str">
            <v>V53033</v>
          </cell>
          <cell r="J9554" t="str">
            <v>STAT</v>
          </cell>
          <cell r="K9554" t="str">
            <v>YES</v>
          </cell>
        </row>
        <row r="9555">
          <cell r="I9555" t="str">
            <v>V53035</v>
          </cell>
          <cell r="J9555" t="str">
            <v>STAT</v>
          </cell>
          <cell r="K9555" t="str">
            <v>YES</v>
          </cell>
        </row>
        <row r="9556">
          <cell r="I9556" t="str">
            <v>V52678</v>
          </cell>
          <cell r="J9556" t="str">
            <v>STAT</v>
          </cell>
          <cell r="K9556" t="str">
            <v>YES</v>
          </cell>
        </row>
        <row r="9557">
          <cell r="I9557" t="str">
            <v>V52754</v>
          </cell>
          <cell r="J9557" t="str">
            <v>STAT</v>
          </cell>
          <cell r="K9557" t="str">
            <v>YES</v>
          </cell>
        </row>
        <row r="9558">
          <cell r="I9558" t="str">
            <v>V52836</v>
          </cell>
          <cell r="J9558" t="str">
            <v>STAT</v>
          </cell>
          <cell r="K9558" t="str">
            <v>YES</v>
          </cell>
        </row>
        <row r="9559">
          <cell r="I9559" t="str">
            <v>V53458</v>
          </cell>
          <cell r="J9559" t="str">
            <v>CTC</v>
          </cell>
          <cell r="K9559" t="str">
            <v>YES</v>
          </cell>
        </row>
        <row r="9560">
          <cell r="I9560" t="str">
            <v>V53396</v>
          </cell>
          <cell r="J9560" t="str">
            <v>CTC</v>
          </cell>
          <cell r="K9560" t="str">
            <v>YES</v>
          </cell>
        </row>
        <row r="9561">
          <cell r="I9561" t="str">
            <v>V53060</v>
          </cell>
          <cell r="J9561" t="str">
            <v>STAT</v>
          </cell>
          <cell r="K9561" t="str">
            <v>YES</v>
          </cell>
        </row>
        <row r="9562">
          <cell r="I9562" t="str">
            <v>V52397</v>
          </cell>
          <cell r="J9562" t="str">
            <v>CTC</v>
          </cell>
          <cell r="K9562" t="str">
            <v>YES</v>
          </cell>
        </row>
        <row r="9563">
          <cell r="I9563" t="str">
            <v>V53430</v>
          </cell>
          <cell r="J9563" t="str">
            <v>CTC</v>
          </cell>
          <cell r="K9563" t="str">
            <v>YES</v>
          </cell>
        </row>
        <row r="9564">
          <cell r="I9564" t="str">
            <v>V52318</v>
          </cell>
          <cell r="J9564" t="str">
            <v>CTC</v>
          </cell>
          <cell r="K9564" t="str">
            <v>YES</v>
          </cell>
        </row>
        <row r="9565">
          <cell r="I9565" t="str">
            <v>V52808</v>
          </cell>
          <cell r="J9565" t="str">
            <v>STAT</v>
          </cell>
          <cell r="K9565" t="str">
            <v>YES</v>
          </cell>
        </row>
        <row r="9566">
          <cell r="I9566" t="str">
            <v>V54203</v>
          </cell>
          <cell r="J9566" t="str">
            <v>CTC</v>
          </cell>
          <cell r="K9566" t="str">
            <v>YES</v>
          </cell>
        </row>
        <row r="9567">
          <cell r="I9567" t="str">
            <v>V52670</v>
          </cell>
          <cell r="J9567" t="str">
            <v>STAT</v>
          </cell>
          <cell r="K9567" t="str">
            <v>YES</v>
          </cell>
        </row>
        <row r="9568">
          <cell r="I9568" t="str">
            <v>V52868</v>
          </cell>
          <cell r="J9568" t="str">
            <v>STAT</v>
          </cell>
          <cell r="K9568" t="str">
            <v>YES</v>
          </cell>
        </row>
        <row r="9569">
          <cell r="I9569" t="str">
            <v>V52869</v>
          </cell>
          <cell r="J9569" t="str">
            <v>STAT</v>
          </cell>
          <cell r="K9569" t="str">
            <v>YES</v>
          </cell>
        </row>
        <row r="9570">
          <cell r="I9570" t="str">
            <v>V54172</v>
          </cell>
          <cell r="J9570" t="str">
            <v>STAT</v>
          </cell>
          <cell r="K9570" t="str">
            <v>YES</v>
          </cell>
        </row>
        <row r="9571">
          <cell r="I9571" t="str">
            <v>V53087</v>
          </cell>
          <cell r="J9571" t="str">
            <v>STAT</v>
          </cell>
          <cell r="K9571" t="str">
            <v>YES</v>
          </cell>
        </row>
        <row r="9572">
          <cell r="I9572" t="str">
            <v>V53361</v>
          </cell>
          <cell r="J9572" t="str">
            <v>CTC</v>
          </cell>
          <cell r="K9572" t="str">
            <v>YES</v>
          </cell>
        </row>
        <row r="9573">
          <cell r="I9573" t="str">
            <v>V53355</v>
          </cell>
          <cell r="J9573" t="str">
            <v>CTC</v>
          </cell>
          <cell r="K9573" t="str">
            <v>YES</v>
          </cell>
        </row>
        <row r="9574">
          <cell r="I9574" t="str">
            <v>V52823</v>
          </cell>
          <cell r="J9574" t="str">
            <v>STAT</v>
          </cell>
          <cell r="K9574" t="str">
            <v>YES</v>
          </cell>
        </row>
        <row r="9575">
          <cell r="I9575" t="str">
            <v>V53098</v>
          </cell>
          <cell r="J9575" t="str">
            <v>STAT</v>
          </cell>
          <cell r="K9575" t="str">
            <v>YES</v>
          </cell>
        </row>
        <row r="9576">
          <cell r="I9576" t="str">
            <v>V53101</v>
          </cell>
          <cell r="J9576" t="str">
            <v>STAT</v>
          </cell>
          <cell r="K9576" t="str">
            <v>YES</v>
          </cell>
        </row>
        <row r="9577">
          <cell r="I9577" t="str">
            <v>V53115</v>
          </cell>
          <cell r="J9577" t="str">
            <v>STAT</v>
          </cell>
          <cell r="K9577" t="str">
            <v>YES</v>
          </cell>
        </row>
        <row r="9578">
          <cell r="I9578" t="str">
            <v>V53117</v>
          </cell>
          <cell r="J9578" t="str">
            <v>STAT</v>
          </cell>
          <cell r="K9578" t="str">
            <v>YES</v>
          </cell>
        </row>
        <row r="9579">
          <cell r="I9579" t="str">
            <v>V51575</v>
          </cell>
          <cell r="J9579" t="str">
            <v>CTC</v>
          </cell>
          <cell r="K9579" t="str">
            <v>YES</v>
          </cell>
        </row>
        <row r="9580">
          <cell r="I9580" t="str">
            <v>V52643</v>
          </cell>
          <cell r="J9580" t="str">
            <v>STAT</v>
          </cell>
          <cell r="K9580" t="str">
            <v>YES</v>
          </cell>
        </row>
        <row r="9581">
          <cell r="I9581" t="str">
            <v>V52524</v>
          </cell>
          <cell r="J9581" t="str">
            <v>STAT</v>
          </cell>
          <cell r="K9581" t="str">
            <v>YES</v>
          </cell>
        </row>
        <row r="9582">
          <cell r="I9582" t="str">
            <v>V52722</v>
          </cell>
          <cell r="J9582" t="str">
            <v>STAT</v>
          </cell>
          <cell r="K9582" t="str">
            <v>YES</v>
          </cell>
        </row>
        <row r="9583">
          <cell r="I9583" t="str">
            <v>V53207</v>
          </cell>
          <cell r="J9583" t="str">
            <v>STAT</v>
          </cell>
          <cell r="K9583" t="str">
            <v>YES</v>
          </cell>
        </row>
        <row r="9584">
          <cell r="I9584" t="str">
            <v>V52786</v>
          </cell>
          <cell r="J9584" t="str">
            <v>STAT</v>
          </cell>
          <cell r="K9584" t="str">
            <v>YES</v>
          </cell>
        </row>
        <row r="9585">
          <cell r="I9585" t="str">
            <v>V53505</v>
          </cell>
          <cell r="J9585" t="str">
            <v>STAT</v>
          </cell>
          <cell r="K9585" t="str">
            <v>YES</v>
          </cell>
        </row>
        <row r="9586">
          <cell r="I9586" t="str">
            <v>V52848</v>
          </cell>
          <cell r="J9586" t="str">
            <v>STAT</v>
          </cell>
          <cell r="K9586" t="str">
            <v>YES</v>
          </cell>
        </row>
        <row r="9587">
          <cell r="I9587" t="str">
            <v>V52861</v>
          </cell>
          <cell r="J9587" t="str">
            <v>STAT</v>
          </cell>
          <cell r="K9587" t="str">
            <v>YES</v>
          </cell>
        </row>
        <row r="9588">
          <cell r="I9588" t="str">
            <v>V52863</v>
          </cell>
          <cell r="J9588" t="str">
            <v>STAT</v>
          </cell>
          <cell r="K9588" t="str">
            <v>YES</v>
          </cell>
        </row>
        <row r="9589">
          <cell r="I9589" t="str">
            <v>V52627</v>
          </cell>
          <cell r="J9589" t="str">
            <v>STAT</v>
          </cell>
          <cell r="K9589" t="str">
            <v>YES</v>
          </cell>
        </row>
        <row r="9590">
          <cell r="I9590" t="str">
            <v>V53446</v>
          </cell>
          <cell r="J9590" t="str">
            <v>CTC</v>
          </cell>
          <cell r="K9590" t="str">
            <v>YES</v>
          </cell>
        </row>
        <row r="9591">
          <cell r="I9591" t="str">
            <v>V53282</v>
          </cell>
          <cell r="J9591" t="str">
            <v>CTC</v>
          </cell>
          <cell r="K9591" t="str">
            <v>YES</v>
          </cell>
        </row>
        <row r="9592">
          <cell r="I9592" t="str">
            <v>V51197</v>
          </cell>
          <cell r="J9592" t="str">
            <v>CTC</v>
          </cell>
          <cell r="K9592" t="str">
            <v>YES</v>
          </cell>
        </row>
        <row r="9593">
          <cell r="I9593" t="str">
            <v>V53400</v>
          </cell>
          <cell r="J9593" t="str">
            <v>CTC</v>
          </cell>
          <cell r="K9593" t="str">
            <v>YES</v>
          </cell>
        </row>
        <row r="9594">
          <cell r="I9594" t="str">
            <v>V51445</v>
          </cell>
          <cell r="J9594" t="str">
            <v>CTC</v>
          </cell>
          <cell r="K9594" t="str">
            <v>YES</v>
          </cell>
        </row>
        <row r="9595">
          <cell r="I9595" t="str">
            <v>V52040</v>
          </cell>
          <cell r="J9595" t="str">
            <v>CTC</v>
          </cell>
          <cell r="K9595" t="str">
            <v>YES</v>
          </cell>
        </row>
        <row r="9596">
          <cell r="I9596" t="str">
            <v>V52650</v>
          </cell>
          <cell r="J9596" t="str">
            <v>STAT</v>
          </cell>
          <cell r="K9596" t="str">
            <v>YES</v>
          </cell>
        </row>
        <row r="9597">
          <cell r="I9597" t="str">
            <v>V53649</v>
          </cell>
          <cell r="J9597" t="str">
            <v>CTC</v>
          </cell>
          <cell r="K9597" t="str">
            <v>YES</v>
          </cell>
        </row>
        <row r="9598">
          <cell r="I9598" t="str">
            <v>V52803</v>
          </cell>
          <cell r="J9598" t="str">
            <v>STAT</v>
          </cell>
          <cell r="K9598" t="str">
            <v>YES</v>
          </cell>
        </row>
        <row r="9599">
          <cell r="I9599" t="str">
            <v>V52994</v>
          </cell>
          <cell r="J9599" t="str">
            <v>STAT</v>
          </cell>
          <cell r="K9599" t="str">
            <v>YES</v>
          </cell>
        </row>
        <row r="9600">
          <cell r="I9600" t="str">
            <v>V52983</v>
          </cell>
          <cell r="J9600" t="str">
            <v>STAT</v>
          </cell>
          <cell r="K9600" t="str">
            <v>YES</v>
          </cell>
        </row>
        <row r="9601">
          <cell r="I9601" t="str">
            <v>V52876</v>
          </cell>
          <cell r="J9601" t="str">
            <v>STAT</v>
          </cell>
          <cell r="K9601" t="str">
            <v>YES</v>
          </cell>
        </row>
        <row r="9602">
          <cell r="I9602" t="str">
            <v>V51767</v>
          </cell>
          <cell r="J9602" t="str">
            <v>CTC</v>
          </cell>
          <cell r="K9602" t="str">
            <v>YES</v>
          </cell>
        </row>
        <row r="9603">
          <cell r="I9603" t="str">
            <v>V54195</v>
          </cell>
          <cell r="J9603" t="str">
            <v>CTC</v>
          </cell>
          <cell r="K9603" t="str">
            <v>YES</v>
          </cell>
        </row>
        <row r="9604">
          <cell r="I9604" t="str">
            <v>V52702</v>
          </cell>
          <cell r="J9604" t="str">
            <v>STAT</v>
          </cell>
          <cell r="K9604" t="str">
            <v>YES</v>
          </cell>
        </row>
        <row r="9605">
          <cell r="I9605" t="str">
            <v>V52088</v>
          </cell>
          <cell r="J9605" t="str">
            <v>STAT</v>
          </cell>
          <cell r="K9605" t="str">
            <v>YES</v>
          </cell>
        </row>
        <row r="9606">
          <cell r="I9606" t="str">
            <v>V50841</v>
          </cell>
          <cell r="J9606" t="str">
            <v>CTC</v>
          </cell>
          <cell r="K9606" t="str">
            <v>YES</v>
          </cell>
        </row>
        <row r="9607">
          <cell r="I9607" t="str">
            <v>V53228</v>
          </cell>
          <cell r="J9607" t="str">
            <v>CTC</v>
          </cell>
          <cell r="K9607" t="str">
            <v>YES</v>
          </cell>
        </row>
        <row r="9608">
          <cell r="I9608" t="str">
            <v>V53052</v>
          </cell>
          <cell r="J9608" t="str">
            <v>STAT</v>
          </cell>
          <cell r="K9608" t="str">
            <v>YES</v>
          </cell>
        </row>
        <row r="9609">
          <cell r="I9609" t="str">
            <v>V53255</v>
          </cell>
          <cell r="J9609" t="str">
            <v>CTC</v>
          </cell>
          <cell r="K9609" t="str">
            <v>YES</v>
          </cell>
        </row>
        <row r="9610">
          <cell r="I9610" t="str">
            <v>V53352</v>
          </cell>
          <cell r="J9610" t="str">
            <v>CTC</v>
          </cell>
          <cell r="K9610" t="str">
            <v>YES</v>
          </cell>
        </row>
        <row r="9611">
          <cell r="I9611" t="str">
            <v>V53253</v>
          </cell>
          <cell r="J9611" t="str">
            <v>CTC</v>
          </cell>
          <cell r="K9611" t="str">
            <v>YES</v>
          </cell>
        </row>
        <row r="9612">
          <cell r="I9612" t="str">
            <v>V52034</v>
          </cell>
          <cell r="J9612" t="str">
            <v>STAT</v>
          </cell>
          <cell r="K9612" t="str">
            <v>YES</v>
          </cell>
        </row>
        <row r="9613">
          <cell r="I9613" t="str">
            <v>V52039</v>
          </cell>
          <cell r="J9613" t="str">
            <v>STAT</v>
          </cell>
          <cell r="K9613" t="str">
            <v>YES</v>
          </cell>
        </row>
        <row r="9614">
          <cell r="I9614" t="str">
            <v>V53031</v>
          </cell>
          <cell r="J9614" t="str">
            <v>STAT</v>
          </cell>
          <cell r="K9614" t="str">
            <v>YES</v>
          </cell>
        </row>
        <row r="9615">
          <cell r="I9615" t="str">
            <v>V53508</v>
          </cell>
          <cell r="J9615" t="str">
            <v>CTC</v>
          </cell>
          <cell r="K9615" t="str">
            <v>YES</v>
          </cell>
        </row>
        <row r="9616">
          <cell r="I9616" t="str">
            <v>V53325</v>
          </cell>
          <cell r="J9616" t="str">
            <v>STAT</v>
          </cell>
          <cell r="K9616" t="str">
            <v>YES</v>
          </cell>
        </row>
        <row r="9617">
          <cell r="I9617" t="str">
            <v>V53424</v>
          </cell>
          <cell r="J9617" t="str">
            <v>CTC</v>
          </cell>
          <cell r="K9617" t="str">
            <v>YES</v>
          </cell>
        </row>
        <row r="9618">
          <cell r="I9618" t="str">
            <v>V53561</v>
          </cell>
          <cell r="J9618" t="str">
            <v>CTC</v>
          </cell>
          <cell r="K9618" t="str">
            <v>YES</v>
          </cell>
        </row>
        <row r="9619">
          <cell r="I9619" t="str">
            <v>V51315</v>
          </cell>
          <cell r="J9619" t="str">
            <v>CTC</v>
          </cell>
          <cell r="K9619" t="str">
            <v>YES</v>
          </cell>
        </row>
        <row r="9620">
          <cell r="I9620" t="str">
            <v>V53225</v>
          </cell>
          <cell r="J9620" t="str">
            <v>CTC</v>
          </cell>
          <cell r="K9620" t="str">
            <v>YES</v>
          </cell>
        </row>
        <row r="9621">
          <cell r="I9621" t="str">
            <v>V53209</v>
          </cell>
          <cell r="J9621" t="str">
            <v>STAT</v>
          </cell>
          <cell r="K9621" t="str">
            <v>YES</v>
          </cell>
        </row>
        <row r="9622">
          <cell r="I9622" t="str">
            <v>V52104</v>
          </cell>
          <cell r="J9622" t="str">
            <v>CTC</v>
          </cell>
          <cell r="K9622" t="str">
            <v>YES</v>
          </cell>
        </row>
        <row r="9623">
          <cell r="I9623" t="str">
            <v>V54213</v>
          </cell>
          <cell r="J9623" t="str">
            <v>CTC</v>
          </cell>
          <cell r="K9623" t="str">
            <v>YES</v>
          </cell>
        </row>
        <row r="9624">
          <cell r="I9624" t="str">
            <v>V52841</v>
          </cell>
          <cell r="J9624" t="str">
            <v>STAT</v>
          </cell>
          <cell r="K9624" t="str">
            <v>YES</v>
          </cell>
        </row>
        <row r="9625">
          <cell r="I9625" t="str">
            <v>V53156</v>
          </cell>
          <cell r="J9625" t="str">
            <v>CTC</v>
          </cell>
          <cell r="K9625" t="str">
            <v>YES</v>
          </cell>
        </row>
        <row r="9626">
          <cell r="I9626" t="str">
            <v>V53626</v>
          </cell>
          <cell r="J9626" t="str">
            <v>CTC</v>
          </cell>
          <cell r="K9626" t="str">
            <v>YES</v>
          </cell>
        </row>
        <row r="9627">
          <cell r="I9627" t="str">
            <v>V54214</v>
          </cell>
          <cell r="J9627" t="str">
            <v>CTC</v>
          </cell>
          <cell r="K9627" t="str">
            <v>YES</v>
          </cell>
        </row>
        <row r="9628">
          <cell r="I9628" t="str">
            <v>V53212</v>
          </cell>
          <cell r="J9628" t="str">
            <v>CTC</v>
          </cell>
          <cell r="K9628" t="str">
            <v>YES</v>
          </cell>
        </row>
        <row r="9629">
          <cell r="I9629" t="str">
            <v>V54157</v>
          </cell>
          <cell r="J9629" t="str">
            <v>CTC</v>
          </cell>
          <cell r="K9629" t="str">
            <v>YES</v>
          </cell>
        </row>
        <row r="9630">
          <cell r="I9630" t="str">
            <v>V53055</v>
          </cell>
          <cell r="J9630" t="str">
            <v>STAT</v>
          </cell>
          <cell r="K9630" t="str">
            <v>YES</v>
          </cell>
        </row>
        <row r="9631">
          <cell r="I9631" t="str">
            <v>V52862</v>
          </cell>
          <cell r="J9631" t="str">
            <v>STAT</v>
          </cell>
          <cell r="K9631" t="str">
            <v>YES</v>
          </cell>
        </row>
        <row r="9632">
          <cell r="I9632" t="str">
            <v>V53047</v>
          </cell>
          <cell r="J9632" t="str">
            <v>STAT</v>
          </cell>
          <cell r="K9632" t="str">
            <v>YES</v>
          </cell>
        </row>
        <row r="9633">
          <cell r="I9633" t="str">
            <v>V52506</v>
          </cell>
          <cell r="J9633" t="str">
            <v>STAT</v>
          </cell>
          <cell r="K9633" t="str">
            <v>YES</v>
          </cell>
        </row>
        <row r="9634">
          <cell r="I9634" t="str">
            <v>V53153</v>
          </cell>
          <cell r="J9634" t="str">
            <v>CTC</v>
          </cell>
          <cell r="K9634" t="str">
            <v>YES</v>
          </cell>
        </row>
        <row r="9635">
          <cell r="I9635" t="str">
            <v>V53037</v>
          </cell>
          <cell r="J9635" t="str">
            <v>STAT</v>
          </cell>
          <cell r="K9635" t="str">
            <v>YES</v>
          </cell>
        </row>
        <row r="9636">
          <cell r="I9636" t="str">
            <v>V52880</v>
          </cell>
          <cell r="J9636" t="str">
            <v>STAT</v>
          </cell>
          <cell r="K9636" t="str">
            <v>YES</v>
          </cell>
        </row>
        <row r="9637">
          <cell r="I9637" t="str">
            <v>V44986</v>
          </cell>
          <cell r="J9637" t="str">
            <v>STAT</v>
          </cell>
          <cell r="K9637" t="str">
            <v>YES</v>
          </cell>
        </row>
        <row r="9638">
          <cell r="I9638" t="str">
            <v>V53323</v>
          </cell>
          <cell r="J9638" t="str">
            <v>STAT</v>
          </cell>
          <cell r="K9638" t="str">
            <v>YES</v>
          </cell>
        </row>
        <row r="9639">
          <cell r="I9639" t="str">
            <v>V53137</v>
          </cell>
          <cell r="J9639" t="str">
            <v>STAT</v>
          </cell>
          <cell r="K9639" t="str">
            <v>YES</v>
          </cell>
        </row>
        <row r="9640">
          <cell r="I9640" t="str">
            <v>V53135</v>
          </cell>
          <cell r="J9640" t="str">
            <v>STAT</v>
          </cell>
          <cell r="K9640" t="str">
            <v>YES</v>
          </cell>
        </row>
        <row r="9641">
          <cell r="I9641" t="str">
            <v>V53080</v>
          </cell>
          <cell r="J9641" t="str">
            <v>STAT</v>
          </cell>
          <cell r="K9641" t="str">
            <v>YES</v>
          </cell>
        </row>
        <row r="9642">
          <cell r="I9642" t="str">
            <v>V53083</v>
          </cell>
          <cell r="J9642" t="str">
            <v>STAT</v>
          </cell>
          <cell r="K9642" t="str">
            <v>YES</v>
          </cell>
        </row>
        <row r="9643">
          <cell r="I9643" t="str">
            <v>V52219</v>
          </cell>
          <cell r="J9643" t="str">
            <v>STAT</v>
          </cell>
          <cell r="K9643" t="str">
            <v>YES</v>
          </cell>
        </row>
        <row r="9644">
          <cell r="I9644" t="str">
            <v>V53277</v>
          </cell>
          <cell r="J9644" t="str">
            <v>CTC</v>
          </cell>
          <cell r="K9644" t="str">
            <v>YES</v>
          </cell>
        </row>
        <row r="9645">
          <cell r="I9645" t="str">
            <v>V53516</v>
          </cell>
          <cell r="J9645" t="str">
            <v>CTC</v>
          </cell>
          <cell r="K9645" t="str">
            <v>YES</v>
          </cell>
        </row>
        <row r="9646">
          <cell r="I9646" t="str">
            <v>V53330</v>
          </cell>
          <cell r="J9646" t="str">
            <v>CTC</v>
          </cell>
          <cell r="K9646" t="str">
            <v>YES</v>
          </cell>
        </row>
        <row r="9647">
          <cell r="I9647" t="str">
            <v>V52991</v>
          </cell>
          <cell r="J9647" t="str">
            <v>STAT</v>
          </cell>
          <cell r="K9647" t="str">
            <v>YES</v>
          </cell>
        </row>
        <row r="9648">
          <cell r="I9648" t="str">
            <v>V53479</v>
          </cell>
          <cell r="J9648" t="str">
            <v>CTC</v>
          </cell>
          <cell r="K9648" t="str">
            <v>YES</v>
          </cell>
        </row>
        <row r="9649">
          <cell r="I9649" t="str">
            <v>V50803</v>
          </cell>
          <cell r="J9649" t="str">
            <v>CTC</v>
          </cell>
          <cell r="K9649" t="str">
            <v>YES</v>
          </cell>
        </row>
        <row r="9650">
          <cell r="I9650" t="str">
            <v>V52654</v>
          </cell>
          <cell r="J9650" t="str">
            <v>STAT</v>
          </cell>
          <cell r="K9650" t="str">
            <v>YES</v>
          </cell>
        </row>
        <row r="9651">
          <cell r="I9651" t="str">
            <v>V53665</v>
          </cell>
          <cell r="J9651" t="str">
            <v>CTC</v>
          </cell>
          <cell r="K9651" t="str">
            <v>YES</v>
          </cell>
        </row>
        <row r="9652">
          <cell r="I9652" t="str">
            <v>V53600</v>
          </cell>
          <cell r="J9652" t="str">
            <v>STAT</v>
          </cell>
          <cell r="K9652" t="str">
            <v>YES</v>
          </cell>
        </row>
        <row r="9653">
          <cell r="I9653" t="str">
            <v>V53519</v>
          </cell>
          <cell r="J9653" t="str">
            <v>CTC</v>
          </cell>
          <cell r="K9653" t="str">
            <v>YES</v>
          </cell>
        </row>
        <row r="9654">
          <cell r="I9654" t="str">
            <v>V53338</v>
          </cell>
          <cell r="J9654" t="str">
            <v>CTC</v>
          </cell>
          <cell r="K9654" t="str">
            <v>YES</v>
          </cell>
        </row>
        <row r="9655">
          <cell r="I9655" t="str">
            <v>V53226</v>
          </cell>
          <cell r="J9655" t="str">
            <v>CTC</v>
          </cell>
          <cell r="K9655" t="str">
            <v>YES</v>
          </cell>
        </row>
        <row r="9656">
          <cell r="I9656" t="str">
            <v>V53467</v>
          </cell>
          <cell r="J9656" t="str">
            <v>CTC</v>
          </cell>
          <cell r="K9656" t="str">
            <v>YES</v>
          </cell>
        </row>
        <row r="9657">
          <cell r="I9657" t="str">
            <v>V53624</v>
          </cell>
          <cell r="J9657" t="str">
            <v>CTC</v>
          </cell>
          <cell r="K9657" t="str">
            <v>YES</v>
          </cell>
        </row>
        <row r="9658">
          <cell r="I9658" t="str">
            <v>V52919</v>
          </cell>
          <cell r="J9658" t="str">
            <v>STAT</v>
          </cell>
          <cell r="K9658" t="str">
            <v>YES</v>
          </cell>
        </row>
        <row r="9659">
          <cell r="I9659" t="str">
            <v>V53002</v>
          </cell>
          <cell r="J9659" t="str">
            <v>STAT</v>
          </cell>
          <cell r="K9659" t="str">
            <v>YES</v>
          </cell>
        </row>
        <row r="9660">
          <cell r="I9660" t="str">
            <v>V51051</v>
          </cell>
          <cell r="J9660" t="str">
            <v>CTC</v>
          </cell>
          <cell r="K9660" t="str">
            <v>YES</v>
          </cell>
        </row>
        <row r="9661">
          <cell r="I9661" t="str">
            <v>V51605</v>
          </cell>
          <cell r="J9661" t="str">
            <v>CTC</v>
          </cell>
          <cell r="K9661" t="str">
            <v>YES</v>
          </cell>
        </row>
        <row r="9662">
          <cell r="I9662" t="str">
            <v>V53210</v>
          </cell>
          <cell r="J9662" t="str">
            <v>CTC</v>
          </cell>
          <cell r="K9662" t="str">
            <v>YES</v>
          </cell>
        </row>
        <row r="9663">
          <cell r="I9663" t="str">
            <v>V53099</v>
          </cell>
          <cell r="J9663" t="str">
            <v>STAT</v>
          </cell>
          <cell r="K9663" t="str">
            <v>YES</v>
          </cell>
        </row>
        <row r="9664">
          <cell r="I9664" t="str">
            <v>V53211</v>
          </cell>
          <cell r="J9664" t="str">
            <v>CTC</v>
          </cell>
          <cell r="K9664" t="str">
            <v>YES</v>
          </cell>
        </row>
        <row r="9665">
          <cell r="I9665" t="str">
            <v>V52901</v>
          </cell>
          <cell r="J9665" t="str">
            <v>STAT</v>
          </cell>
          <cell r="K9665" t="str">
            <v>YES</v>
          </cell>
        </row>
        <row r="9666">
          <cell r="I9666" t="str">
            <v>V52906</v>
          </cell>
          <cell r="J9666" t="str">
            <v>STAT</v>
          </cell>
          <cell r="K9666" t="str">
            <v>YES</v>
          </cell>
        </row>
        <row r="9667">
          <cell r="I9667" t="str">
            <v>V52908</v>
          </cell>
          <cell r="J9667" t="str">
            <v>STAT</v>
          </cell>
          <cell r="K9667" t="str">
            <v>YES</v>
          </cell>
        </row>
        <row r="9668">
          <cell r="I9668" t="str">
            <v>V53755</v>
          </cell>
          <cell r="J9668" t="str">
            <v>CTC</v>
          </cell>
          <cell r="K9668" t="str">
            <v>YES</v>
          </cell>
        </row>
        <row r="9669">
          <cell r="I9669" t="str">
            <v>V53383</v>
          </cell>
          <cell r="J9669" t="str">
            <v>CTC</v>
          </cell>
          <cell r="K9669" t="str">
            <v>YES</v>
          </cell>
        </row>
        <row r="9670">
          <cell r="I9670" t="str">
            <v>V53387</v>
          </cell>
          <cell r="J9670" t="str">
            <v>CTC</v>
          </cell>
          <cell r="K9670" t="str">
            <v>YES</v>
          </cell>
        </row>
        <row r="9671">
          <cell r="I9671" t="str">
            <v>V53399</v>
          </cell>
          <cell r="J9671" t="str">
            <v>STAT</v>
          </cell>
          <cell r="K9671" t="str">
            <v>YES</v>
          </cell>
        </row>
        <row r="9672">
          <cell r="I9672" t="str">
            <v>V53363</v>
          </cell>
          <cell r="J9672" t="str">
            <v>CTC</v>
          </cell>
          <cell r="K9672" t="str">
            <v>YES</v>
          </cell>
        </row>
        <row r="9673">
          <cell r="I9673" t="str">
            <v>V51290</v>
          </cell>
          <cell r="J9673" t="str">
            <v>CTC</v>
          </cell>
          <cell r="K9673" t="str">
            <v>YES</v>
          </cell>
        </row>
        <row r="9674">
          <cell r="I9674" t="str">
            <v>V50474</v>
          </cell>
          <cell r="J9674" t="str">
            <v>CTC</v>
          </cell>
          <cell r="K9674" t="str">
            <v>YES</v>
          </cell>
        </row>
        <row r="9675">
          <cell r="I9675" t="str">
            <v>V51376</v>
          </cell>
          <cell r="J9675" t="str">
            <v>CTC</v>
          </cell>
          <cell r="K9675" t="str">
            <v>YES</v>
          </cell>
        </row>
        <row r="9676">
          <cell r="I9676" t="str">
            <v>V52261</v>
          </cell>
          <cell r="J9676" t="str">
            <v>CTC</v>
          </cell>
          <cell r="K9676" t="str">
            <v>YES</v>
          </cell>
        </row>
        <row r="9677">
          <cell r="I9677" t="str">
            <v>V51719</v>
          </cell>
          <cell r="J9677" t="str">
            <v>CTC</v>
          </cell>
          <cell r="K9677" t="str">
            <v>YES</v>
          </cell>
        </row>
        <row r="9678">
          <cell r="I9678" t="str">
            <v>V53221</v>
          </cell>
          <cell r="J9678" t="str">
            <v>STAT</v>
          </cell>
          <cell r="K9678" t="str">
            <v>YES</v>
          </cell>
        </row>
        <row r="9679">
          <cell r="I9679" t="str">
            <v>V52930</v>
          </cell>
          <cell r="J9679" t="str">
            <v>STAT</v>
          </cell>
          <cell r="K9679" t="str">
            <v>YES</v>
          </cell>
        </row>
        <row r="9680">
          <cell r="I9680" t="str">
            <v>V52035</v>
          </cell>
          <cell r="J9680" t="str">
            <v>STAT</v>
          </cell>
          <cell r="K9680" t="str">
            <v>YES</v>
          </cell>
        </row>
        <row r="9681">
          <cell r="I9681" t="str">
            <v>V51746</v>
          </cell>
          <cell r="J9681" t="str">
            <v>CTC</v>
          </cell>
          <cell r="K9681" t="str">
            <v>YES</v>
          </cell>
        </row>
        <row r="9682">
          <cell r="I9682" t="str">
            <v>V52931</v>
          </cell>
          <cell r="J9682" t="str">
            <v>STAT</v>
          </cell>
          <cell r="K9682" t="str">
            <v>YES</v>
          </cell>
        </row>
        <row r="9683">
          <cell r="I9683" t="str">
            <v>V52952</v>
          </cell>
          <cell r="J9683" t="str">
            <v>STAT</v>
          </cell>
          <cell r="K9683" t="str">
            <v>YES</v>
          </cell>
        </row>
        <row r="9684">
          <cell r="I9684" t="str">
            <v>V52904</v>
          </cell>
          <cell r="J9684" t="str">
            <v>STAT</v>
          </cell>
          <cell r="K9684" t="str">
            <v>YES</v>
          </cell>
        </row>
        <row r="9685">
          <cell r="I9685" t="str">
            <v>V52905</v>
          </cell>
          <cell r="J9685" t="str">
            <v>STAT</v>
          </cell>
          <cell r="K9685" t="str">
            <v>YES</v>
          </cell>
        </row>
        <row r="9686">
          <cell r="I9686" t="str">
            <v>V53607</v>
          </cell>
          <cell r="J9686" t="str">
            <v>STAT</v>
          </cell>
          <cell r="K9686" t="str">
            <v>YES</v>
          </cell>
        </row>
        <row r="9687">
          <cell r="I9687" t="str">
            <v>V52636</v>
          </cell>
          <cell r="J9687" t="str">
            <v>STAT</v>
          </cell>
          <cell r="K9687" t="str">
            <v>YES</v>
          </cell>
        </row>
        <row r="9688">
          <cell r="I9688" t="str">
            <v>V53144</v>
          </cell>
          <cell r="J9688" t="str">
            <v>STAT</v>
          </cell>
          <cell r="K9688" t="str">
            <v>YES</v>
          </cell>
        </row>
        <row r="9689">
          <cell r="I9689" t="str">
            <v>V53154</v>
          </cell>
          <cell r="J9689" t="str">
            <v>CTC</v>
          </cell>
          <cell r="K9689" t="str">
            <v>YES</v>
          </cell>
        </row>
        <row r="9690">
          <cell r="I9690" t="str">
            <v>V53219</v>
          </cell>
          <cell r="J9690" t="str">
            <v>CTC</v>
          </cell>
          <cell r="K9690" t="str">
            <v>YES</v>
          </cell>
        </row>
        <row r="9691">
          <cell r="I9691" t="str">
            <v>V53224</v>
          </cell>
          <cell r="J9691" t="str">
            <v>CTC</v>
          </cell>
          <cell r="K9691" t="str">
            <v>YES</v>
          </cell>
        </row>
        <row r="9692">
          <cell r="I9692" t="str">
            <v>V52866</v>
          </cell>
          <cell r="J9692" t="str">
            <v>STAT</v>
          </cell>
          <cell r="K9692" t="str">
            <v>YES</v>
          </cell>
        </row>
        <row r="9693">
          <cell r="I9693" t="str">
            <v>V52877</v>
          </cell>
          <cell r="J9693" t="str">
            <v>STAT</v>
          </cell>
          <cell r="K9693" t="str">
            <v>YES</v>
          </cell>
        </row>
        <row r="9694">
          <cell r="I9694" t="str">
            <v>V52878</v>
          </cell>
          <cell r="J9694" t="str">
            <v>STAT</v>
          </cell>
          <cell r="K9694" t="str">
            <v>YES</v>
          </cell>
        </row>
        <row r="9695">
          <cell r="I9695" t="str">
            <v>V52879</v>
          </cell>
          <cell r="J9695" t="str">
            <v>STAT</v>
          </cell>
          <cell r="K9695" t="str">
            <v>YES</v>
          </cell>
        </row>
        <row r="9696">
          <cell r="I9696" t="str">
            <v>V53559</v>
          </cell>
          <cell r="J9696" t="str">
            <v>CTC</v>
          </cell>
          <cell r="K9696" t="str">
            <v>YES</v>
          </cell>
        </row>
        <row r="9697">
          <cell r="I9697" t="str">
            <v>V45289</v>
          </cell>
          <cell r="J9697" t="str">
            <v>STAT</v>
          </cell>
          <cell r="K9697" t="str">
            <v>YES</v>
          </cell>
        </row>
        <row r="9698">
          <cell r="I9698" t="str">
            <v>V53329</v>
          </cell>
          <cell r="J9698" t="str">
            <v>CTC</v>
          </cell>
          <cell r="K9698" t="str">
            <v>YES</v>
          </cell>
        </row>
        <row r="9699">
          <cell r="I9699" t="str">
            <v>V50935</v>
          </cell>
          <cell r="J9699" t="str">
            <v>CTC</v>
          </cell>
          <cell r="K9699" t="str">
            <v>YES</v>
          </cell>
        </row>
        <row r="9700">
          <cell r="I9700" t="str">
            <v>V52903</v>
          </cell>
          <cell r="J9700" t="str">
            <v>STAT</v>
          </cell>
          <cell r="K9700" t="str">
            <v>YES</v>
          </cell>
        </row>
        <row r="9701">
          <cell r="I9701" t="str">
            <v>V52865</v>
          </cell>
          <cell r="J9701" t="str">
            <v>STAT</v>
          </cell>
          <cell r="K9701" t="str">
            <v>YES</v>
          </cell>
        </row>
        <row r="9702">
          <cell r="I9702" t="str">
            <v>V53556</v>
          </cell>
          <cell r="J9702" t="str">
            <v>CTC</v>
          </cell>
          <cell r="K9702" t="str">
            <v>YES</v>
          </cell>
        </row>
        <row r="9703">
          <cell r="I9703" t="str">
            <v>V53205</v>
          </cell>
          <cell r="J9703" t="str">
            <v>CTC</v>
          </cell>
          <cell r="K9703" t="str">
            <v>YES</v>
          </cell>
        </row>
        <row r="9704">
          <cell r="I9704" t="str">
            <v>V53184</v>
          </cell>
          <cell r="J9704" t="str">
            <v>CTC</v>
          </cell>
          <cell r="K9704" t="str">
            <v>YES</v>
          </cell>
        </row>
        <row r="9705">
          <cell r="I9705" t="str">
            <v>V53752</v>
          </cell>
          <cell r="J9705" t="str">
            <v>STAT</v>
          </cell>
          <cell r="K9705" t="str">
            <v>YES</v>
          </cell>
        </row>
        <row r="9706">
          <cell r="I9706" t="str">
            <v>V53105</v>
          </cell>
          <cell r="J9706" t="str">
            <v>STAT</v>
          </cell>
          <cell r="K9706" t="str">
            <v>YES</v>
          </cell>
        </row>
        <row r="9707">
          <cell r="I9707" t="str">
            <v>V53106</v>
          </cell>
          <cell r="J9707" t="str">
            <v>STAT</v>
          </cell>
          <cell r="K9707" t="str">
            <v>YES</v>
          </cell>
        </row>
        <row r="9708">
          <cell r="I9708" t="str">
            <v>V52230</v>
          </cell>
          <cell r="J9708" t="str">
            <v>STAT</v>
          </cell>
          <cell r="K9708" t="str">
            <v>YES</v>
          </cell>
        </row>
        <row r="9709">
          <cell r="I9709" t="str">
            <v>V53321</v>
          </cell>
          <cell r="J9709" t="str">
            <v>STAT</v>
          </cell>
          <cell r="K9709" t="str">
            <v>YES</v>
          </cell>
        </row>
        <row r="9710">
          <cell r="I9710" t="str">
            <v>V53502</v>
          </cell>
          <cell r="J9710" t="str">
            <v>CTC</v>
          </cell>
          <cell r="K9710" t="str">
            <v>YES</v>
          </cell>
        </row>
        <row r="9711">
          <cell r="I9711" t="str">
            <v>V52870</v>
          </cell>
          <cell r="J9711" t="str">
            <v>STAT</v>
          </cell>
          <cell r="K9711" t="str">
            <v>YES</v>
          </cell>
        </row>
        <row r="9712">
          <cell r="I9712" t="str">
            <v>V51527</v>
          </cell>
          <cell r="J9712" t="str">
            <v>CTC</v>
          </cell>
          <cell r="K9712" t="str">
            <v>YES</v>
          </cell>
        </row>
        <row r="9713">
          <cell r="I9713" t="str">
            <v>V51312</v>
          </cell>
          <cell r="J9713" t="str">
            <v>CTC</v>
          </cell>
          <cell r="K9713" t="str">
            <v>YES</v>
          </cell>
        </row>
        <row r="9714">
          <cell r="I9714" t="str">
            <v>V53136</v>
          </cell>
          <cell r="J9714" t="str">
            <v>STAT</v>
          </cell>
          <cell r="K9714" t="str">
            <v>YES</v>
          </cell>
        </row>
        <row r="9715">
          <cell r="I9715" t="str">
            <v>V53204</v>
          </cell>
          <cell r="J9715" t="str">
            <v>CTC</v>
          </cell>
          <cell r="K9715" t="str">
            <v>YES</v>
          </cell>
        </row>
        <row r="9716">
          <cell r="I9716" t="str">
            <v>V53391</v>
          </cell>
          <cell r="J9716" t="str">
            <v>CTC</v>
          </cell>
          <cell r="K9716" t="str">
            <v>YES</v>
          </cell>
        </row>
        <row r="9717">
          <cell r="I9717" t="str">
            <v>V53393</v>
          </cell>
          <cell r="J9717" t="str">
            <v>STAT</v>
          </cell>
          <cell r="K9717" t="str">
            <v>YES</v>
          </cell>
        </row>
        <row r="9718">
          <cell r="I9718" t="str">
            <v>V52802</v>
          </cell>
          <cell r="J9718" t="str">
            <v>STAT</v>
          </cell>
          <cell r="K9718" t="str">
            <v>YES</v>
          </cell>
        </row>
        <row r="9719">
          <cell r="I9719" t="str">
            <v>V53358</v>
          </cell>
          <cell r="J9719" t="str">
            <v>CTC</v>
          </cell>
          <cell r="K9719" t="str">
            <v>YES</v>
          </cell>
        </row>
        <row r="9720">
          <cell r="I9720" t="str">
            <v>V52296</v>
          </cell>
          <cell r="J9720" t="str">
            <v>CTC</v>
          </cell>
          <cell r="K9720" t="str">
            <v>YES</v>
          </cell>
        </row>
        <row r="9721">
          <cell r="I9721" t="str">
            <v>V53261</v>
          </cell>
          <cell r="J9721" t="str">
            <v>CTC</v>
          </cell>
          <cell r="K9721" t="str">
            <v>YES</v>
          </cell>
        </row>
        <row r="9722">
          <cell r="I9722" t="str">
            <v>V53373</v>
          </cell>
          <cell r="J9722" t="str">
            <v>CTC</v>
          </cell>
          <cell r="K9722" t="str">
            <v>YES</v>
          </cell>
        </row>
        <row r="9723">
          <cell r="I9723" t="str">
            <v>V51665</v>
          </cell>
          <cell r="J9723" t="str">
            <v>CTC</v>
          </cell>
          <cell r="K9723" t="str">
            <v>YES</v>
          </cell>
        </row>
        <row r="9724">
          <cell r="I9724" t="str">
            <v>V52899</v>
          </cell>
          <cell r="J9724" t="str">
            <v>STAT</v>
          </cell>
          <cell r="K9724" t="str">
            <v>YES</v>
          </cell>
        </row>
        <row r="9725">
          <cell r="I9725" t="str">
            <v>V52922</v>
          </cell>
          <cell r="J9725" t="str">
            <v>STAT</v>
          </cell>
          <cell r="K9725" t="str">
            <v>YES</v>
          </cell>
        </row>
        <row r="9726">
          <cell r="I9726" t="str">
            <v>V52923</v>
          </cell>
          <cell r="J9726" t="str">
            <v>STAT</v>
          </cell>
          <cell r="K9726" t="str">
            <v>YES</v>
          </cell>
        </row>
        <row r="9727">
          <cell r="I9727" t="str">
            <v>V52925</v>
          </cell>
          <cell r="J9727" t="str">
            <v>STAT</v>
          </cell>
          <cell r="K9727" t="str">
            <v>YES</v>
          </cell>
        </row>
        <row r="9728">
          <cell r="I9728" t="str">
            <v>V52649</v>
          </cell>
          <cell r="J9728" t="str">
            <v>STAT</v>
          </cell>
          <cell r="K9728" t="str">
            <v>YES</v>
          </cell>
        </row>
        <row r="9729">
          <cell r="I9729" t="str">
            <v>V53451</v>
          </cell>
          <cell r="J9729" t="str">
            <v>CTC</v>
          </cell>
          <cell r="K9729" t="str">
            <v>YES</v>
          </cell>
        </row>
        <row r="9730">
          <cell r="I9730" t="str">
            <v>V51062</v>
          </cell>
          <cell r="J9730" t="str">
            <v>CTC</v>
          </cell>
          <cell r="K9730" t="str">
            <v>YES</v>
          </cell>
        </row>
        <row r="9731">
          <cell r="I9731" t="str">
            <v>V52639</v>
          </cell>
          <cell r="J9731" t="str">
            <v>STAT</v>
          </cell>
          <cell r="K9731" t="str">
            <v>YES</v>
          </cell>
        </row>
        <row r="9732">
          <cell r="I9732" t="str">
            <v>V53166</v>
          </cell>
          <cell r="J9732" t="str">
            <v>CTC</v>
          </cell>
          <cell r="K9732" t="str">
            <v>YES</v>
          </cell>
        </row>
        <row r="9733">
          <cell r="I9733" t="str">
            <v>V53456</v>
          </cell>
          <cell r="J9733" t="str">
            <v>CTC</v>
          </cell>
          <cell r="K9733" t="str">
            <v>YES</v>
          </cell>
        </row>
        <row r="9734">
          <cell r="I9734" t="str">
            <v>V52714</v>
          </cell>
          <cell r="J9734" t="str">
            <v>STAT</v>
          </cell>
          <cell r="K9734" t="str">
            <v>YES</v>
          </cell>
        </row>
        <row r="9735">
          <cell r="I9735" t="str">
            <v>V52715</v>
          </cell>
          <cell r="J9735" t="str">
            <v>STAT</v>
          </cell>
          <cell r="K9735" t="str">
            <v>YES</v>
          </cell>
        </row>
        <row r="9736">
          <cell r="I9736" t="str">
            <v>V52723</v>
          </cell>
          <cell r="J9736" t="str">
            <v>STAT</v>
          </cell>
          <cell r="K9736" t="str">
            <v>YES</v>
          </cell>
        </row>
        <row r="9737">
          <cell r="I9737" t="str">
            <v>V53840</v>
          </cell>
          <cell r="J9737" t="str">
            <v>CTC</v>
          </cell>
          <cell r="K9737" t="str">
            <v>YES</v>
          </cell>
        </row>
        <row r="9738">
          <cell r="I9738" t="str">
            <v>V51509</v>
          </cell>
          <cell r="J9738" t="str">
            <v>CTC</v>
          </cell>
          <cell r="K9738" t="str">
            <v>YES</v>
          </cell>
        </row>
        <row r="9739">
          <cell r="I9739" t="str">
            <v>V51253</v>
          </cell>
          <cell r="J9739" t="str">
            <v>CTC</v>
          </cell>
          <cell r="K9739" t="str">
            <v>YES</v>
          </cell>
        </row>
        <row r="9740">
          <cell r="I9740" t="str">
            <v>V52745</v>
          </cell>
          <cell r="J9740" t="str">
            <v>STAT</v>
          </cell>
          <cell r="K9740" t="str">
            <v>YES</v>
          </cell>
        </row>
        <row r="9741">
          <cell r="I9741" t="str">
            <v>V53351</v>
          </cell>
          <cell r="J9741" t="str">
            <v>CTC</v>
          </cell>
          <cell r="K9741" t="str">
            <v>YES</v>
          </cell>
        </row>
        <row r="9742">
          <cell r="I9742" t="str">
            <v>V52615</v>
          </cell>
          <cell r="J9742" t="str">
            <v>STAT</v>
          </cell>
          <cell r="K9742" t="str">
            <v>YES</v>
          </cell>
        </row>
        <row r="9743">
          <cell r="I9743" t="str">
            <v>V54154</v>
          </cell>
          <cell r="J9743" t="str">
            <v>CTC</v>
          </cell>
          <cell r="K9743" t="str">
            <v>YES</v>
          </cell>
        </row>
        <row r="9744">
          <cell r="I9744" t="str">
            <v>V50704</v>
          </cell>
          <cell r="J9744" t="str">
            <v>CTC</v>
          </cell>
          <cell r="K9744" t="str">
            <v>YES</v>
          </cell>
        </row>
        <row r="9745">
          <cell r="I9745" t="str">
            <v>V53129</v>
          </cell>
          <cell r="J9745" t="str">
            <v>STAT</v>
          </cell>
          <cell r="K9745" t="str">
            <v>YES</v>
          </cell>
        </row>
        <row r="9746">
          <cell r="I9746" t="str">
            <v>V53088</v>
          </cell>
          <cell r="J9746" t="str">
            <v>STAT</v>
          </cell>
          <cell r="K9746" t="str">
            <v>YES</v>
          </cell>
        </row>
        <row r="9747">
          <cell r="I9747" t="str">
            <v>V53285</v>
          </cell>
          <cell r="J9747" t="str">
            <v>STAT</v>
          </cell>
          <cell r="K9747" t="str">
            <v>YES</v>
          </cell>
        </row>
        <row r="9748">
          <cell r="I9748" t="str">
            <v>V53075</v>
          </cell>
          <cell r="J9748" t="str">
            <v>STAT</v>
          </cell>
          <cell r="K9748" t="str">
            <v>YES</v>
          </cell>
        </row>
        <row r="9749">
          <cell r="I9749" t="str">
            <v>V52998</v>
          </cell>
          <cell r="J9749" t="str">
            <v>STAT</v>
          </cell>
          <cell r="K9749" t="str">
            <v>YES</v>
          </cell>
        </row>
        <row r="9750">
          <cell r="I9750" t="str">
            <v>V54058</v>
          </cell>
          <cell r="J9750" t="str">
            <v>STAT</v>
          </cell>
          <cell r="K9750" t="str">
            <v>YES</v>
          </cell>
        </row>
        <row r="9751">
          <cell r="I9751" t="str">
            <v>V51991</v>
          </cell>
          <cell r="J9751" t="str">
            <v>CTC</v>
          </cell>
          <cell r="K9751" t="str">
            <v>YES</v>
          </cell>
        </row>
        <row r="9752">
          <cell r="I9752" t="str">
            <v>V52270</v>
          </cell>
          <cell r="J9752" t="str">
            <v>CTC</v>
          </cell>
          <cell r="K9752" t="str">
            <v>YES</v>
          </cell>
        </row>
        <row r="9753">
          <cell r="I9753" t="str">
            <v>V51439</v>
          </cell>
          <cell r="J9753" t="str">
            <v>CTC</v>
          </cell>
          <cell r="K9753" t="str">
            <v>YES</v>
          </cell>
        </row>
        <row r="9754">
          <cell r="I9754" t="str">
            <v>V53345</v>
          </cell>
          <cell r="J9754" t="str">
            <v>STAT</v>
          </cell>
          <cell r="K9754" t="str">
            <v>YES</v>
          </cell>
        </row>
        <row r="9755">
          <cell r="I9755" t="str">
            <v>V53347</v>
          </cell>
          <cell r="J9755" t="str">
            <v>STAT</v>
          </cell>
          <cell r="K9755" t="str">
            <v>YES</v>
          </cell>
        </row>
        <row r="9756">
          <cell r="I9756" t="str">
            <v>V53220</v>
          </cell>
          <cell r="J9756" t="str">
            <v>CTC</v>
          </cell>
          <cell r="K9756" t="str">
            <v>YES</v>
          </cell>
        </row>
        <row r="9757">
          <cell r="I9757" t="str">
            <v>V53283</v>
          </cell>
          <cell r="J9757" t="str">
            <v>CTC</v>
          </cell>
          <cell r="K9757" t="str">
            <v>YES</v>
          </cell>
        </row>
        <row r="9758">
          <cell r="I9758" t="str">
            <v>V53233</v>
          </cell>
          <cell r="J9758" t="str">
            <v>CTC</v>
          </cell>
          <cell r="K9758" t="str">
            <v>YES</v>
          </cell>
        </row>
        <row r="9759">
          <cell r="I9759" t="str">
            <v>V52570</v>
          </cell>
          <cell r="J9759" t="str">
            <v>STAT</v>
          </cell>
          <cell r="K9759" t="str">
            <v>YES</v>
          </cell>
        </row>
        <row r="9760">
          <cell r="I9760" t="str">
            <v>V52966</v>
          </cell>
          <cell r="J9760" t="str">
            <v>STAT</v>
          </cell>
          <cell r="K9760" t="str">
            <v>YES</v>
          </cell>
        </row>
        <row r="9761">
          <cell r="I9761" t="str">
            <v>V52987</v>
          </cell>
          <cell r="J9761" t="str">
            <v>STAT</v>
          </cell>
          <cell r="K9761" t="str">
            <v>YES</v>
          </cell>
        </row>
        <row r="9762">
          <cell r="I9762" t="str">
            <v>V51712</v>
          </cell>
          <cell r="J9762" t="str">
            <v>CTC</v>
          </cell>
          <cell r="K9762" t="str">
            <v>YES</v>
          </cell>
        </row>
        <row r="9763">
          <cell r="I9763" t="str">
            <v>V52850</v>
          </cell>
          <cell r="J9763" t="str">
            <v>STAT</v>
          </cell>
          <cell r="K9763" t="str">
            <v>YES</v>
          </cell>
        </row>
        <row r="9764">
          <cell r="I9764" t="str">
            <v>V53265</v>
          </cell>
          <cell r="J9764" t="str">
            <v>CTC</v>
          </cell>
          <cell r="K9764" t="str">
            <v>YES</v>
          </cell>
        </row>
        <row r="9765">
          <cell r="I9765" t="str">
            <v>V53266</v>
          </cell>
          <cell r="J9765" t="str">
            <v>CTC</v>
          </cell>
          <cell r="K9765" t="str">
            <v>YES</v>
          </cell>
        </row>
        <row r="9766">
          <cell r="I9766" t="str">
            <v>V53404</v>
          </cell>
          <cell r="J9766" t="str">
            <v>CTC</v>
          </cell>
          <cell r="K9766" t="str">
            <v>YES</v>
          </cell>
        </row>
        <row r="9767">
          <cell r="I9767" t="str">
            <v>V53597</v>
          </cell>
          <cell r="J9767" t="str">
            <v>CTC</v>
          </cell>
          <cell r="K9767" t="str">
            <v>YES</v>
          </cell>
        </row>
        <row r="9768">
          <cell r="I9768" t="str">
            <v>V53437</v>
          </cell>
          <cell r="J9768" t="str">
            <v>CTC</v>
          </cell>
          <cell r="K9768" t="str">
            <v>YES</v>
          </cell>
        </row>
        <row r="9769">
          <cell r="I9769" t="str">
            <v>V53659</v>
          </cell>
          <cell r="J9769" t="str">
            <v>STAT</v>
          </cell>
          <cell r="K9769" t="str">
            <v>YES</v>
          </cell>
        </row>
        <row r="9770">
          <cell r="I9770" t="str">
            <v>V53296</v>
          </cell>
          <cell r="J9770" t="str">
            <v>STAT</v>
          </cell>
          <cell r="K9770" t="str">
            <v>YES</v>
          </cell>
        </row>
        <row r="9771">
          <cell r="I9771" t="str">
            <v>V53297</v>
          </cell>
          <cell r="J9771" t="str">
            <v>STAT</v>
          </cell>
          <cell r="K9771" t="str">
            <v>YES</v>
          </cell>
        </row>
        <row r="9772">
          <cell r="I9772" t="str">
            <v>V53298</v>
          </cell>
          <cell r="J9772" t="str">
            <v>STAT</v>
          </cell>
          <cell r="K9772" t="str">
            <v>YES</v>
          </cell>
        </row>
        <row r="9773">
          <cell r="I9773" t="str">
            <v>V53299</v>
          </cell>
          <cell r="J9773" t="str">
            <v>CTC</v>
          </cell>
          <cell r="K9773" t="str">
            <v>YES</v>
          </cell>
        </row>
        <row r="9774">
          <cell r="I9774" t="str">
            <v>V53302</v>
          </cell>
          <cell r="J9774" t="str">
            <v>CTC</v>
          </cell>
          <cell r="K9774" t="str">
            <v>YES</v>
          </cell>
        </row>
        <row r="9775">
          <cell r="I9775" t="str">
            <v>V53274</v>
          </cell>
          <cell r="J9775" t="str">
            <v>CTC</v>
          </cell>
          <cell r="K9775" t="str">
            <v>YES</v>
          </cell>
        </row>
        <row r="9776">
          <cell r="I9776" t="str">
            <v>V53275</v>
          </cell>
          <cell r="J9776" t="str">
            <v>CTC</v>
          </cell>
          <cell r="K9776" t="str">
            <v>YES</v>
          </cell>
        </row>
        <row r="9777">
          <cell r="I9777" t="str">
            <v>V53276</v>
          </cell>
          <cell r="J9777" t="str">
            <v>CTC</v>
          </cell>
          <cell r="K9777" t="str">
            <v>YES</v>
          </cell>
        </row>
        <row r="9778">
          <cell r="I9778" t="str">
            <v>V53341</v>
          </cell>
          <cell r="J9778" t="str">
            <v>STAT</v>
          </cell>
          <cell r="K9778" t="str">
            <v>YES</v>
          </cell>
        </row>
        <row r="9779">
          <cell r="I9779" t="str">
            <v>V53591</v>
          </cell>
          <cell r="J9779" t="str">
            <v>CTC</v>
          </cell>
          <cell r="K9779" t="str">
            <v>YES</v>
          </cell>
        </row>
        <row r="9780">
          <cell r="I9780" t="str">
            <v>V53705</v>
          </cell>
          <cell r="J9780" t="str">
            <v>CTC</v>
          </cell>
          <cell r="K9780" t="str">
            <v>YES</v>
          </cell>
        </row>
        <row r="9781">
          <cell r="I9781" t="str">
            <v>V53473</v>
          </cell>
          <cell r="J9781" t="str">
            <v>STAT</v>
          </cell>
          <cell r="K9781" t="str">
            <v>YES</v>
          </cell>
        </row>
        <row r="9782">
          <cell r="I9782" t="str">
            <v>V53474</v>
          </cell>
          <cell r="J9782" t="str">
            <v>STAT</v>
          </cell>
          <cell r="K9782" t="str">
            <v>YES</v>
          </cell>
        </row>
        <row r="9783">
          <cell r="I9783" t="str">
            <v>V53077</v>
          </cell>
          <cell r="J9783" t="str">
            <v>STAT</v>
          </cell>
          <cell r="K9783" t="str">
            <v>YES</v>
          </cell>
        </row>
        <row r="9784">
          <cell r="I9784" t="str">
            <v>V51429</v>
          </cell>
          <cell r="J9784" t="str">
            <v>CTC</v>
          </cell>
          <cell r="K9784" t="str">
            <v>YES</v>
          </cell>
        </row>
        <row r="9785">
          <cell r="I9785" t="str">
            <v>V53402</v>
          </cell>
          <cell r="J9785" t="str">
            <v>STAT</v>
          </cell>
          <cell r="K9785" t="str">
            <v>YES</v>
          </cell>
        </row>
        <row r="9786">
          <cell r="I9786" t="str">
            <v>V53093</v>
          </cell>
          <cell r="J9786" t="str">
            <v>STAT</v>
          </cell>
          <cell r="K9786" t="str">
            <v>YES</v>
          </cell>
        </row>
        <row r="9787">
          <cell r="I9787" t="str">
            <v>V51186</v>
          </cell>
          <cell r="J9787" t="str">
            <v>CTC</v>
          </cell>
          <cell r="K9787" t="str">
            <v>YES</v>
          </cell>
        </row>
        <row r="9788">
          <cell r="I9788" t="str">
            <v>V53130</v>
          </cell>
          <cell r="J9788" t="str">
            <v>STAT</v>
          </cell>
          <cell r="K9788" t="str">
            <v>YES</v>
          </cell>
        </row>
        <row r="9789">
          <cell r="I9789" t="str">
            <v>V53125</v>
          </cell>
          <cell r="J9789" t="str">
            <v>STAT</v>
          </cell>
          <cell r="K9789" t="str">
            <v>YES</v>
          </cell>
        </row>
        <row r="9790">
          <cell r="I9790" t="str">
            <v>V53126</v>
          </cell>
          <cell r="J9790" t="str">
            <v>STAT</v>
          </cell>
          <cell r="K9790" t="str">
            <v>YES</v>
          </cell>
        </row>
        <row r="9791">
          <cell r="I9791" t="str">
            <v>V53104</v>
          </cell>
          <cell r="J9791" t="str">
            <v>STAT</v>
          </cell>
          <cell r="K9791" t="str">
            <v>YES</v>
          </cell>
        </row>
        <row r="9792">
          <cell r="I9792" t="str">
            <v>V53953</v>
          </cell>
          <cell r="J9792" t="str">
            <v>CTC</v>
          </cell>
          <cell r="K9792" t="str">
            <v>YES</v>
          </cell>
        </row>
        <row r="9793">
          <cell r="I9793" t="str">
            <v>V52793</v>
          </cell>
          <cell r="J9793" t="str">
            <v>STAT</v>
          </cell>
          <cell r="K9793" t="str">
            <v>YES</v>
          </cell>
        </row>
        <row r="9794">
          <cell r="I9794" t="str">
            <v>V53084</v>
          </cell>
          <cell r="J9794" t="str">
            <v>STAT</v>
          </cell>
          <cell r="K9794" t="str">
            <v>YES</v>
          </cell>
        </row>
        <row r="9795">
          <cell r="I9795" t="str">
            <v>V53811</v>
          </cell>
          <cell r="J9795" t="str">
            <v>CTC</v>
          </cell>
          <cell r="K9795" t="str">
            <v>YES</v>
          </cell>
        </row>
        <row r="9796">
          <cell r="I9796" t="str">
            <v>V51790</v>
          </cell>
          <cell r="J9796" t="str">
            <v>CTC</v>
          </cell>
          <cell r="K9796" t="str">
            <v>YES</v>
          </cell>
        </row>
        <row r="9797">
          <cell r="I9797" t="str">
            <v>V53572</v>
          </cell>
          <cell r="J9797" t="str">
            <v>CTC</v>
          </cell>
          <cell r="K9797" t="str">
            <v>YES</v>
          </cell>
        </row>
        <row r="9798">
          <cell r="I9798" t="str">
            <v>V52996</v>
          </cell>
          <cell r="J9798" t="str">
            <v>STAT</v>
          </cell>
          <cell r="K9798" t="str">
            <v>YES</v>
          </cell>
        </row>
        <row r="9799">
          <cell r="I9799" t="str">
            <v>V53062</v>
          </cell>
          <cell r="J9799" t="str">
            <v>STAT</v>
          </cell>
          <cell r="K9799" t="str">
            <v>YES</v>
          </cell>
        </row>
        <row r="9800">
          <cell r="I9800" t="str">
            <v>V53078</v>
          </cell>
          <cell r="J9800" t="str">
            <v>STAT</v>
          </cell>
          <cell r="K9800" t="str">
            <v>YES</v>
          </cell>
        </row>
        <row r="9801">
          <cell r="I9801" t="str">
            <v>V53072</v>
          </cell>
          <cell r="J9801" t="str">
            <v>STAT</v>
          </cell>
          <cell r="K9801" t="str">
            <v>YES</v>
          </cell>
        </row>
        <row r="9802">
          <cell r="I9802" t="str">
            <v>V53149</v>
          </cell>
          <cell r="J9802" t="str">
            <v>CTC</v>
          </cell>
          <cell r="K9802" t="str">
            <v>YES</v>
          </cell>
        </row>
        <row r="9803">
          <cell r="I9803" t="str">
            <v>V53571</v>
          </cell>
          <cell r="J9803" t="str">
            <v>CTC</v>
          </cell>
          <cell r="K9803" t="str">
            <v>YES</v>
          </cell>
        </row>
        <row r="9804">
          <cell r="I9804" t="str">
            <v>V53587</v>
          </cell>
          <cell r="J9804" t="str">
            <v>CTC</v>
          </cell>
          <cell r="K9804" t="str">
            <v>YES</v>
          </cell>
        </row>
        <row r="9805">
          <cell r="I9805" t="str">
            <v>V53127</v>
          </cell>
          <cell r="J9805" t="str">
            <v>STAT</v>
          </cell>
          <cell r="K9805" t="str">
            <v>YES</v>
          </cell>
        </row>
        <row r="9806">
          <cell r="I9806" t="str">
            <v>V53472</v>
          </cell>
          <cell r="J9806" t="str">
            <v>STAT</v>
          </cell>
          <cell r="K9806" t="str">
            <v>YES</v>
          </cell>
        </row>
        <row r="9807">
          <cell r="I9807" t="str">
            <v>V53320</v>
          </cell>
          <cell r="J9807" t="str">
            <v>CTC</v>
          </cell>
          <cell r="K9807" t="str">
            <v>YES</v>
          </cell>
        </row>
        <row r="9808">
          <cell r="I9808" t="str">
            <v>V53357</v>
          </cell>
          <cell r="J9808" t="str">
            <v>CTC</v>
          </cell>
          <cell r="K9808" t="str">
            <v>YES</v>
          </cell>
        </row>
        <row r="9809">
          <cell r="I9809" t="str">
            <v>V53203</v>
          </cell>
          <cell r="J9809" t="str">
            <v>STAT</v>
          </cell>
          <cell r="K9809" t="str">
            <v>YES</v>
          </cell>
        </row>
        <row r="9810">
          <cell r="I9810" t="str">
            <v>V53286</v>
          </cell>
          <cell r="J9810" t="str">
            <v>CTC</v>
          </cell>
          <cell r="K9810" t="str">
            <v>YES</v>
          </cell>
        </row>
        <row r="9811">
          <cell r="I9811" t="str">
            <v>V52713</v>
          </cell>
          <cell r="J9811" t="str">
            <v>STAT</v>
          </cell>
          <cell r="K9811" t="str">
            <v>YES</v>
          </cell>
        </row>
        <row r="9812">
          <cell r="I9812" t="str">
            <v>V53436</v>
          </cell>
          <cell r="J9812" t="str">
            <v>CTC</v>
          </cell>
          <cell r="K9812" t="str">
            <v>YES</v>
          </cell>
        </row>
        <row r="9813">
          <cell r="I9813" t="str">
            <v>V52860</v>
          </cell>
          <cell r="J9813" t="str">
            <v>STAT</v>
          </cell>
          <cell r="K9813" t="str">
            <v>YES</v>
          </cell>
        </row>
        <row r="9814">
          <cell r="I9814" t="str">
            <v>V51311</v>
          </cell>
          <cell r="J9814" t="str">
            <v>CTC</v>
          </cell>
          <cell r="K9814" t="str">
            <v>YES</v>
          </cell>
        </row>
        <row r="9815">
          <cell r="I9815" t="str">
            <v>V51556</v>
          </cell>
          <cell r="J9815" t="str">
            <v>CTC</v>
          </cell>
          <cell r="K9815" t="str">
            <v>YES</v>
          </cell>
        </row>
        <row r="9816">
          <cell r="I9816" t="str">
            <v>V52360</v>
          </cell>
          <cell r="J9816" t="str">
            <v>CTC</v>
          </cell>
          <cell r="K9816" t="str">
            <v>YES</v>
          </cell>
        </row>
        <row r="9817">
          <cell r="I9817" t="str">
            <v>V53085</v>
          </cell>
          <cell r="J9817" t="str">
            <v>STAT</v>
          </cell>
          <cell r="K9817" t="str">
            <v>YES</v>
          </cell>
        </row>
        <row r="9818">
          <cell r="I9818" t="str">
            <v>V52831</v>
          </cell>
          <cell r="J9818" t="str">
            <v>STAT</v>
          </cell>
          <cell r="K9818" t="str">
            <v>YES</v>
          </cell>
        </row>
        <row r="9819">
          <cell r="I9819" t="str">
            <v>V53418</v>
          </cell>
          <cell r="J9819" t="str">
            <v>CTC</v>
          </cell>
          <cell r="K9819" t="str">
            <v>YES</v>
          </cell>
        </row>
        <row r="9820">
          <cell r="I9820" t="str">
            <v>V52760</v>
          </cell>
          <cell r="J9820" t="str">
            <v>STAT</v>
          </cell>
          <cell r="K9820" t="str">
            <v>YES</v>
          </cell>
        </row>
        <row r="9821">
          <cell r="I9821" t="str">
            <v>V53097</v>
          </cell>
          <cell r="J9821" t="str">
            <v>STAT</v>
          </cell>
          <cell r="K9821" t="str">
            <v>YES</v>
          </cell>
        </row>
        <row r="9822">
          <cell r="I9822" t="str">
            <v>V53176</v>
          </cell>
          <cell r="J9822" t="str">
            <v>STAT</v>
          </cell>
          <cell r="K9822" t="str">
            <v>YES</v>
          </cell>
        </row>
        <row r="9823">
          <cell r="I9823" t="str">
            <v>V53038</v>
          </cell>
          <cell r="J9823" t="str">
            <v>STAT</v>
          </cell>
          <cell r="K9823" t="str">
            <v>YES</v>
          </cell>
        </row>
        <row r="9824">
          <cell r="I9824" t="str">
            <v>V53160</v>
          </cell>
          <cell r="J9824" t="str">
            <v>CTC</v>
          </cell>
          <cell r="K9824" t="str">
            <v>YES</v>
          </cell>
        </row>
        <row r="9825">
          <cell r="I9825" t="str">
            <v>V53848</v>
          </cell>
          <cell r="J9825" t="str">
            <v>CTC</v>
          </cell>
          <cell r="K9825" t="str">
            <v>YES</v>
          </cell>
        </row>
        <row r="9826">
          <cell r="I9826" t="str">
            <v>V53790</v>
          </cell>
          <cell r="J9826" t="str">
            <v>CTC</v>
          </cell>
          <cell r="K9826" t="str">
            <v>YES</v>
          </cell>
        </row>
        <row r="9827">
          <cell r="I9827" t="str">
            <v>V53152</v>
          </cell>
          <cell r="J9827" t="str">
            <v>STAT</v>
          </cell>
          <cell r="K9827" t="str">
            <v>YES</v>
          </cell>
        </row>
        <row r="9828">
          <cell r="I9828" t="str">
            <v>V53155</v>
          </cell>
          <cell r="J9828" t="str">
            <v>CTC</v>
          </cell>
          <cell r="K9828" t="str">
            <v>YES</v>
          </cell>
        </row>
        <row r="9829">
          <cell r="I9829" t="str">
            <v>V53189</v>
          </cell>
          <cell r="J9829" t="str">
            <v>CTC</v>
          </cell>
          <cell r="K9829" t="str">
            <v>YES</v>
          </cell>
        </row>
        <row r="9830">
          <cell r="I9830" t="str">
            <v>V53192</v>
          </cell>
          <cell r="J9830" t="str">
            <v>STAT</v>
          </cell>
          <cell r="K9830" t="str">
            <v>YES</v>
          </cell>
        </row>
        <row r="9831">
          <cell r="I9831" t="str">
            <v>V53200</v>
          </cell>
          <cell r="J9831" t="str">
            <v>STAT</v>
          </cell>
          <cell r="K9831" t="str">
            <v>YES</v>
          </cell>
        </row>
        <row r="9832">
          <cell r="I9832" t="str">
            <v>V53201</v>
          </cell>
          <cell r="J9832" t="str">
            <v>CTC</v>
          </cell>
          <cell r="K9832" t="str">
            <v>YES</v>
          </cell>
        </row>
        <row r="9833">
          <cell r="I9833" t="str">
            <v>V53202</v>
          </cell>
          <cell r="J9833" t="str">
            <v>STAT</v>
          </cell>
          <cell r="K9833" t="str">
            <v>YES</v>
          </cell>
        </row>
        <row r="9834">
          <cell r="I9834" t="str">
            <v>V53339</v>
          </cell>
          <cell r="J9834" t="str">
            <v>CTC</v>
          </cell>
          <cell r="K9834" t="str">
            <v>YES</v>
          </cell>
        </row>
        <row r="9835">
          <cell r="I9835" t="str">
            <v>V51267</v>
          </cell>
          <cell r="J9835" t="str">
            <v>CTC</v>
          </cell>
          <cell r="K9835" t="str">
            <v>YES</v>
          </cell>
        </row>
        <row r="9836">
          <cell r="I9836" t="str">
            <v>V50909</v>
          </cell>
          <cell r="J9836" t="str">
            <v>CTC</v>
          </cell>
          <cell r="K9836" t="str">
            <v>YES</v>
          </cell>
        </row>
        <row r="9837">
          <cell r="I9837" t="str">
            <v>V51773</v>
          </cell>
          <cell r="J9837" t="str">
            <v>CTC</v>
          </cell>
          <cell r="K9837" t="str">
            <v>YES</v>
          </cell>
        </row>
        <row r="9838">
          <cell r="I9838" t="str">
            <v>V53349</v>
          </cell>
          <cell r="J9838" t="str">
            <v>STAT</v>
          </cell>
          <cell r="K9838" t="str">
            <v>YES</v>
          </cell>
        </row>
        <row r="9839">
          <cell r="I9839" t="str">
            <v>V53295</v>
          </cell>
          <cell r="J9839" t="str">
            <v>CTC</v>
          </cell>
          <cell r="K9839" t="str">
            <v>YES</v>
          </cell>
        </row>
        <row r="9840">
          <cell r="I9840" t="str">
            <v>V53279</v>
          </cell>
          <cell r="J9840" t="str">
            <v>CTC</v>
          </cell>
          <cell r="K9840" t="str">
            <v>YES</v>
          </cell>
        </row>
        <row r="9841">
          <cell r="I9841" t="str">
            <v>V51860</v>
          </cell>
          <cell r="J9841" t="str">
            <v>CTC</v>
          </cell>
          <cell r="K9841" t="str">
            <v>YES</v>
          </cell>
        </row>
        <row r="9842">
          <cell r="I9842" t="str">
            <v>V53608</v>
          </cell>
          <cell r="J9842" t="str">
            <v>STAT</v>
          </cell>
          <cell r="K9842" t="str">
            <v>YES</v>
          </cell>
        </row>
        <row r="9843">
          <cell r="I9843" t="str">
            <v>V52412</v>
          </cell>
          <cell r="J9843" t="str">
            <v>STAT</v>
          </cell>
          <cell r="K9843" t="str">
            <v>YES</v>
          </cell>
        </row>
        <row r="9844">
          <cell r="I9844" t="str">
            <v>V53692</v>
          </cell>
          <cell r="J9844" t="str">
            <v>STAT</v>
          </cell>
          <cell r="K9844" t="str">
            <v>YES</v>
          </cell>
        </row>
        <row r="9845">
          <cell r="I9845" t="str">
            <v>V53370</v>
          </cell>
          <cell r="J9845" t="str">
            <v>CTC</v>
          </cell>
          <cell r="K9845" t="str">
            <v>YES</v>
          </cell>
        </row>
        <row r="9846">
          <cell r="I9846" t="str">
            <v>V53485</v>
          </cell>
          <cell r="J9846" t="str">
            <v>CTC</v>
          </cell>
          <cell r="K9846" t="str">
            <v>YES</v>
          </cell>
        </row>
        <row r="9847">
          <cell r="I9847" t="str">
            <v>V53269</v>
          </cell>
          <cell r="J9847" t="str">
            <v>CTC</v>
          </cell>
          <cell r="K9847" t="str">
            <v>YES</v>
          </cell>
        </row>
        <row r="9848">
          <cell r="I9848" t="str">
            <v>V53272</v>
          </cell>
          <cell r="J9848" t="str">
            <v>CTC</v>
          </cell>
          <cell r="K9848" t="str">
            <v>YES</v>
          </cell>
        </row>
        <row r="9849">
          <cell r="I9849" t="str">
            <v>V53165</v>
          </cell>
          <cell r="J9849" t="str">
            <v>CTC</v>
          </cell>
          <cell r="K9849" t="str">
            <v>YES</v>
          </cell>
        </row>
        <row r="9850">
          <cell r="I9850" t="str">
            <v>V53268</v>
          </cell>
          <cell r="J9850" t="str">
            <v>CTC</v>
          </cell>
          <cell r="K9850" t="str">
            <v>YES</v>
          </cell>
        </row>
        <row r="9851">
          <cell r="I9851" t="str">
            <v>V53490</v>
          </cell>
          <cell r="J9851" t="str">
            <v>STAT</v>
          </cell>
          <cell r="K9851" t="str">
            <v>YES</v>
          </cell>
        </row>
        <row r="9852">
          <cell r="I9852" t="str">
            <v>V51738</v>
          </cell>
          <cell r="J9852" t="str">
            <v>CTC</v>
          </cell>
          <cell r="K9852" t="str">
            <v>YES</v>
          </cell>
        </row>
        <row r="9853">
          <cell r="I9853" t="str">
            <v>V53453</v>
          </cell>
          <cell r="J9853" t="str">
            <v>CTC</v>
          </cell>
          <cell r="K9853" t="str">
            <v>YES</v>
          </cell>
        </row>
        <row r="9854">
          <cell r="I9854" t="str">
            <v>V53301</v>
          </cell>
          <cell r="J9854" t="str">
            <v>CTC</v>
          </cell>
          <cell r="K9854" t="str">
            <v>YES</v>
          </cell>
        </row>
        <row r="9855">
          <cell r="I9855" t="str">
            <v>V51861</v>
          </cell>
          <cell r="J9855" t="str">
            <v>CTC</v>
          </cell>
          <cell r="K9855" t="str">
            <v>YES</v>
          </cell>
        </row>
        <row r="9856">
          <cell r="I9856" t="str">
            <v>V51741</v>
          </cell>
          <cell r="J9856" t="str">
            <v>CTC</v>
          </cell>
          <cell r="K9856" t="str">
            <v>YES</v>
          </cell>
        </row>
        <row r="9857">
          <cell r="I9857" t="str">
            <v>V53167</v>
          </cell>
          <cell r="J9857" t="str">
            <v>CTC</v>
          </cell>
          <cell r="K9857" t="str">
            <v>YES</v>
          </cell>
        </row>
        <row r="9858">
          <cell r="I9858" t="str">
            <v>V53443</v>
          </cell>
          <cell r="J9858" t="str">
            <v>STAT</v>
          </cell>
          <cell r="K9858" t="str">
            <v>YES</v>
          </cell>
        </row>
        <row r="9859">
          <cell r="I9859" t="str">
            <v>V53497</v>
          </cell>
          <cell r="J9859" t="str">
            <v>CTC</v>
          </cell>
          <cell r="K9859" t="str">
            <v>YES</v>
          </cell>
        </row>
        <row r="9860">
          <cell r="I9860" t="str">
            <v>V52037</v>
          </cell>
          <cell r="J9860" t="str">
            <v>STAT</v>
          </cell>
          <cell r="K9860" t="str">
            <v>YES</v>
          </cell>
        </row>
        <row r="9861">
          <cell r="I9861" t="str">
            <v>V52042</v>
          </cell>
          <cell r="J9861" t="str">
            <v>STAT</v>
          </cell>
          <cell r="K9861" t="str">
            <v>YES</v>
          </cell>
        </row>
        <row r="9862">
          <cell r="I9862" t="str">
            <v>V53070</v>
          </cell>
          <cell r="J9862" t="str">
            <v>STAT</v>
          </cell>
          <cell r="K9862" t="str">
            <v>YES</v>
          </cell>
        </row>
        <row r="9863">
          <cell r="I9863" t="str">
            <v>V53465</v>
          </cell>
          <cell r="J9863" t="str">
            <v>CTC</v>
          </cell>
          <cell r="K9863" t="str">
            <v>YES</v>
          </cell>
        </row>
        <row r="9864">
          <cell r="I9864" t="str">
            <v>V53460</v>
          </cell>
          <cell r="J9864" t="str">
            <v>CTC</v>
          </cell>
          <cell r="K9864" t="str">
            <v>YES</v>
          </cell>
        </row>
        <row r="9865">
          <cell r="I9865" t="str">
            <v>V53462</v>
          </cell>
          <cell r="J9865" t="str">
            <v>CTC</v>
          </cell>
          <cell r="K9865" t="str">
            <v>YES</v>
          </cell>
        </row>
        <row r="9866">
          <cell r="I9866" t="str">
            <v>V53463</v>
          </cell>
          <cell r="J9866" t="str">
            <v>CTC</v>
          </cell>
          <cell r="K9866" t="str">
            <v>YES</v>
          </cell>
        </row>
        <row r="9867">
          <cell r="I9867" t="str">
            <v>V52938</v>
          </cell>
          <cell r="J9867" t="str">
            <v>STAT</v>
          </cell>
          <cell r="K9867" t="str">
            <v>YES</v>
          </cell>
        </row>
        <row r="9868">
          <cell r="I9868" t="str">
            <v>V53756</v>
          </cell>
          <cell r="J9868" t="str">
            <v>CTC</v>
          </cell>
          <cell r="K9868" t="str">
            <v>YES</v>
          </cell>
        </row>
        <row r="9869">
          <cell r="I9869" t="str">
            <v>V53395</v>
          </cell>
          <cell r="J9869" t="str">
            <v>STAT</v>
          </cell>
          <cell r="K9869" t="str">
            <v>YES</v>
          </cell>
        </row>
        <row r="9870">
          <cell r="I9870" t="str">
            <v>V53759</v>
          </cell>
          <cell r="J9870" t="str">
            <v>CTC</v>
          </cell>
          <cell r="K9870" t="str">
            <v>YES</v>
          </cell>
        </row>
        <row r="9871">
          <cell r="I9871" t="str">
            <v>V53760</v>
          </cell>
          <cell r="J9871" t="str">
            <v>CTC</v>
          </cell>
          <cell r="K9871" t="str">
            <v>YES</v>
          </cell>
        </row>
        <row r="9872">
          <cell r="I9872" t="str">
            <v>V53982</v>
          </cell>
          <cell r="J9872" t="str">
            <v>CTC</v>
          </cell>
          <cell r="K9872" t="str">
            <v>YES</v>
          </cell>
        </row>
        <row r="9873">
          <cell r="I9873" t="str">
            <v>V53452</v>
          </cell>
          <cell r="J9873" t="str">
            <v>CTC</v>
          </cell>
          <cell r="K9873" t="str">
            <v>YES</v>
          </cell>
        </row>
        <row r="9874">
          <cell r="I9874" t="str">
            <v>V53748</v>
          </cell>
          <cell r="J9874" t="str">
            <v>CTC</v>
          </cell>
          <cell r="K9874" t="str">
            <v>YES</v>
          </cell>
        </row>
        <row r="9875">
          <cell r="I9875" t="str">
            <v>V53613</v>
          </cell>
          <cell r="J9875" t="str">
            <v>CTC</v>
          </cell>
          <cell r="K9875" t="str">
            <v>YES</v>
          </cell>
        </row>
        <row r="9876">
          <cell r="I9876" t="str">
            <v>V53178</v>
          </cell>
          <cell r="J9876" t="str">
            <v>CTC</v>
          </cell>
          <cell r="K9876" t="str">
            <v>YES</v>
          </cell>
        </row>
        <row r="9877">
          <cell r="I9877" t="str">
            <v>V53185</v>
          </cell>
          <cell r="J9877" t="str">
            <v>CTC</v>
          </cell>
          <cell r="K9877" t="str">
            <v>YES</v>
          </cell>
        </row>
        <row r="9878">
          <cell r="I9878" t="str">
            <v>V53187</v>
          </cell>
          <cell r="J9878" t="str">
            <v>CTC</v>
          </cell>
          <cell r="K9878" t="str">
            <v>YES</v>
          </cell>
        </row>
        <row r="9879">
          <cell r="I9879" t="str">
            <v>V52963</v>
          </cell>
          <cell r="J9879" t="str">
            <v>STAT</v>
          </cell>
          <cell r="K9879" t="str">
            <v>YES</v>
          </cell>
        </row>
        <row r="9880">
          <cell r="I9880" t="str">
            <v>V53173</v>
          </cell>
          <cell r="J9880" t="str">
            <v>CTC</v>
          </cell>
          <cell r="K9880" t="str">
            <v>YES</v>
          </cell>
        </row>
        <row r="9881">
          <cell r="I9881" t="str">
            <v>V51530</v>
          </cell>
          <cell r="J9881" t="str">
            <v>CTC</v>
          </cell>
          <cell r="K9881" t="str">
            <v>YES</v>
          </cell>
        </row>
        <row r="9882">
          <cell r="I9882" t="str">
            <v>V53448</v>
          </cell>
          <cell r="J9882" t="str">
            <v>CTC</v>
          </cell>
          <cell r="K9882" t="str">
            <v>YES</v>
          </cell>
        </row>
        <row r="9883">
          <cell r="I9883" t="str">
            <v>V53449</v>
          </cell>
          <cell r="J9883" t="str">
            <v>CTC</v>
          </cell>
          <cell r="K9883" t="str">
            <v>YES</v>
          </cell>
        </row>
        <row r="9884">
          <cell r="I9884" t="str">
            <v>V53503</v>
          </cell>
          <cell r="J9884" t="str">
            <v>CTC</v>
          </cell>
          <cell r="K9884" t="str">
            <v>YES</v>
          </cell>
        </row>
        <row r="9885">
          <cell r="I9885" t="str">
            <v>V53504</v>
          </cell>
          <cell r="J9885" t="str">
            <v>CTC</v>
          </cell>
          <cell r="K9885" t="str">
            <v>YES</v>
          </cell>
        </row>
        <row r="9886">
          <cell r="I9886" t="str">
            <v>V53081</v>
          </cell>
          <cell r="J9886" t="str">
            <v>STAT</v>
          </cell>
          <cell r="K9886" t="str">
            <v>YES</v>
          </cell>
        </row>
        <row r="9887">
          <cell r="I9887" t="str">
            <v>V53175</v>
          </cell>
          <cell r="J9887" t="str">
            <v>CTC</v>
          </cell>
          <cell r="K9887" t="str">
            <v>YES</v>
          </cell>
        </row>
        <row r="9888">
          <cell r="I9888" t="str">
            <v>V53518</v>
          </cell>
          <cell r="J9888" t="str">
            <v>CTC</v>
          </cell>
          <cell r="K9888" t="str">
            <v>YES</v>
          </cell>
        </row>
        <row r="9889">
          <cell r="I9889" t="str">
            <v>V53549</v>
          </cell>
          <cell r="J9889" t="str">
            <v>CTC</v>
          </cell>
          <cell r="K9889" t="str">
            <v>YES</v>
          </cell>
        </row>
        <row r="9890">
          <cell r="I9890" t="str">
            <v>V52689</v>
          </cell>
          <cell r="J9890" t="str">
            <v>STAT</v>
          </cell>
          <cell r="K9890" t="str">
            <v>YES</v>
          </cell>
        </row>
        <row r="9891">
          <cell r="I9891" t="str">
            <v>V53356</v>
          </cell>
          <cell r="J9891" t="str">
            <v>CTC</v>
          </cell>
          <cell r="K9891" t="str">
            <v>YES</v>
          </cell>
        </row>
        <row r="9892">
          <cell r="I9892" t="str">
            <v>V53641</v>
          </cell>
          <cell r="J9892" t="str">
            <v>CTC</v>
          </cell>
          <cell r="K9892" t="str">
            <v>YES</v>
          </cell>
        </row>
        <row r="9893">
          <cell r="I9893" t="str">
            <v>V53112</v>
          </cell>
          <cell r="J9893" t="str">
            <v>STAT</v>
          </cell>
          <cell r="K9893" t="str">
            <v>YES</v>
          </cell>
        </row>
        <row r="9894">
          <cell r="I9894" t="str">
            <v>V52750</v>
          </cell>
          <cell r="J9894" t="str">
            <v>STAT</v>
          </cell>
          <cell r="K9894" t="str">
            <v>YES</v>
          </cell>
        </row>
        <row r="9895">
          <cell r="I9895" t="str">
            <v>V53096</v>
          </cell>
          <cell r="J9895" t="str">
            <v>STAT</v>
          </cell>
          <cell r="K9895" t="str">
            <v>YES</v>
          </cell>
        </row>
        <row r="9896">
          <cell r="I9896" t="str">
            <v>V53411</v>
          </cell>
          <cell r="J9896" t="str">
            <v>CTC</v>
          </cell>
          <cell r="K9896" t="str">
            <v>YES</v>
          </cell>
        </row>
        <row r="9897">
          <cell r="I9897" t="str">
            <v>V53493</v>
          </cell>
          <cell r="J9897" t="str">
            <v>CTC</v>
          </cell>
          <cell r="K9897" t="str">
            <v>YES</v>
          </cell>
        </row>
        <row r="9898">
          <cell r="I9898" t="str">
            <v>V53445</v>
          </cell>
          <cell r="J9898" t="str">
            <v>STAT</v>
          </cell>
          <cell r="K9898" t="str">
            <v>YES</v>
          </cell>
        </row>
        <row r="9899">
          <cell r="I9899" t="str">
            <v>V53726</v>
          </cell>
          <cell r="J9899" t="str">
            <v>CTC</v>
          </cell>
          <cell r="K9899" t="str">
            <v>YES</v>
          </cell>
        </row>
        <row r="9900">
          <cell r="I9900" t="str">
            <v>V53699</v>
          </cell>
          <cell r="J9900" t="str">
            <v>CTC</v>
          </cell>
          <cell r="K9900" t="str">
            <v>YES</v>
          </cell>
        </row>
        <row r="9901">
          <cell r="I9901" t="str">
            <v>V53788</v>
          </cell>
          <cell r="J9901" t="str">
            <v>CTC</v>
          </cell>
          <cell r="K9901" t="str">
            <v>YES</v>
          </cell>
        </row>
        <row r="9902">
          <cell r="I9902" t="str">
            <v>V53693</v>
          </cell>
          <cell r="J9902" t="str">
            <v>STAT</v>
          </cell>
          <cell r="K9902" t="str">
            <v>YES</v>
          </cell>
        </row>
        <row r="9903">
          <cell r="I9903" t="str">
            <v>V53040</v>
          </cell>
          <cell r="J9903" t="str">
            <v>STAT</v>
          </cell>
          <cell r="K9903" t="str">
            <v>YES</v>
          </cell>
        </row>
        <row r="9904">
          <cell r="I9904" t="str">
            <v>V53438</v>
          </cell>
          <cell r="J9904" t="str">
            <v>CTC</v>
          </cell>
          <cell r="K9904" t="str">
            <v>YES</v>
          </cell>
        </row>
        <row r="9905">
          <cell r="I9905" t="str">
            <v>V53780</v>
          </cell>
          <cell r="J9905" t="str">
            <v>CTC</v>
          </cell>
          <cell r="K9905" t="str">
            <v>YES</v>
          </cell>
        </row>
        <row r="9906">
          <cell r="I9906" t="str">
            <v>V53627</v>
          </cell>
          <cell r="J9906" t="str">
            <v>CTC</v>
          </cell>
          <cell r="K9906" t="str">
            <v>YES</v>
          </cell>
        </row>
        <row r="9907">
          <cell r="I9907" t="str">
            <v>V53543</v>
          </cell>
          <cell r="J9907" t="str">
            <v>CTC</v>
          </cell>
          <cell r="K9907" t="str">
            <v>YES</v>
          </cell>
        </row>
        <row r="9908">
          <cell r="I9908" t="str">
            <v>V53622</v>
          </cell>
          <cell r="J9908" t="str">
            <v>CTC</v>
          </cell>
          <cell r="K9908" t="str">
            <v>YES</v>
          </cell>
        </row>
        <row r="9909">
          <cell r="I9909" t="str">
            <v>V52510</v>
          </cell>
          <cell r="J9909" t="str">
            <v>STAT</v>
          </cell>
          <cell r="K9909" t="str">
            <v>YES</v>
          </cell>
        </row>
        <row r="9910">
          <cell r="I9910" t="str">
            <v>V52884</v>
          </cell>
          <cell r="J9910" t="str">
            <v>STAT</v>
          </cell>
          <cell r="K9910" t="str">
            <v>YES</v>
          </cell>
        </row>
        <row r="9911">
          <cell r="I9911" t="str">
            <v>V51872</v>
          </cell>
          <cell r="J9911" t="str">
            <v>CTC</v>
          </cell>
          <cell r="K9911" t="str">
            <v>YES</v>
          </cell>
        </row>
        <row r="9912">
          <cell r="I9912" t="str">
            <v>V53180</v>
          </cell>
          <cell r="J9912" t="str">
            <v>CTC</v>
          </cell>
          <cell r="K9912" t="str">
            <v>YES</v>
          </cell>
        </row>
        <row r="9913">
          <cell r="I9913" t="str">
            <v>V52854</v>
          </cell>
          <cell r="J9913" t="str">
            <v>STAT</v>
          </cell>
          <cell r="K9913" t="str">
            <v>YES</v>
          </cell>
        </row>
        <row r="9914">
          <cell r="I9914" t="str">
            <v>V53222</v>
          </cell>
          <cell r="J9914" t="str">
            <v>CTC</v>
          </cell>
          <cell r="K9914" t="str">
            <v>YES</v>
          </cell>
        </row>
        <row r="9915">
          <cell r="I9915" t="str">
            <v>V53500</v>
          </cell>
          <cell r="J9915" t="str">
            <v>CTC</v>
          </cell>
          <cell r="K9915" t="str">
            <v>YES</v>
          </cell>
        </row>
        <row r="9916">
          <cell r="I9916" t="str">
            <v>V52614</v>
          </cell>
          <cell r="J9916" t="str">
            <v>STAT</v>
          </cell>
          <cell r="K9916" t="str">
            <v>YES</v>
          </cell>
        </row>
        <row r="9917">
          <cell r="I9917" t="str">
            <v>V53064</v>
          </cell>
          <cell r="J9917" t="str">
            <v>STAT</v>
          </cell>
          <cell r="K9917" t="str">
            <v>YES</v>
          </cell>
        </row>
        <row r="9918">
          <cell r="I9918" t="str">
            <v>V53553</v>
          </cell>
          <cell r="J9918" t="str">
            <v>CTC</v>
          </cell>
          <cell r="K9918" t="str">
            <v>YES</v>
          </cell>
        </row>
        <row r="9919">
          <cell r="I9919" t="str">
            <v>V51623</v>
          </cell>
          <cell r="J9919" t="str">
            <v>CTC</v>
          </cell>
          <cell r="K9919" t="str">
            <v>YES</v>
          </cell>
        </row>
        <row r="9920">
          <cell r="I9920" t="str">
            <v>V53164</v>
          </cell>
          <cell r="J9920" t="str">
            <v>CTC</v>
          </cell>
          <cell r="K9920" t="str">
            <v>YES</v>
          </cell>
        </row>
        <row r="9921">
          <cell r="I9921" t="str">
            <v>V52770</v>
          </cell>
          <cell r="J9921" t="str">
            <v>STAT</v>
          </cell>
          <cell r="K9921" t="str">
            <v>YES</v>
          </cell>
        </row>
        <row r="9922">
          <cell r="I9922" t="str">
            <v>V54003</v>
          </cell>
          <cell r="J9922" t="str">
            <v>CTC</v>
          </cell>
          <cell r="K9922" t="str">
            <v>YES</v>
          </cell>
        </row>
        <row r="9923">
          <cell r="I9923" t="str">
            <v>V53365</v>
          </cell>
          <cell r="J9923" t="str">
            <v>CTC</v>
          </cell>
          <cell r="K9923" t="str">
            <v>YES</v>
          </cell>
        </row>
        <row r="9924">
          <cell r="I9924" t="str">
            <v>V53364</v>
          </cell>
          <cell r="J9924" t="str">
            <v>CTC</v>
          </cell>
          <cell r="K9924" t="str">
            <v>YES</v>
          </cell>
        </row>
        <row r="9925">
          <cell r="I9925" t="str">
            <v>V53122</v>
          </cell>
          <cell r="J9925" t="str">
            <v>STAT</v>
          </cell>
          <cell r="K9925" t="str">
            <v>YES</v>
          </cell>
        </row>
        <row r="9926">
          <cell r="I9926" t="str">
            <v>V51560</v>
          </cell>
          <cell r="J9926" t="str">
            <v>CTC</v>
          </cell>
          <cell r="K9926" t="str">
            <v>YES</v>
          </cell>
        </row>
        <row r="9927">
          <cell r="I9927" t="str">
            <v>V53403</v>
          </cell>
          <cell r="J9927" t="str">
            <v>CTC</v>
          </cell>
          <cell r="K9927" t="str">
            <v>YES</v>
          </cell>
        </row>
        <row r="9928">
          <cell r="I9928" t="str">
            <v>V53879</v>
          </cell>
          <cell r="J9928" t="str">
            <v>STAT</v>
          </cell>
          <cell r="K9928" t="str">
            <v>YES</v>
          </cell>
        </row>
        <row r="9929">
          <cell r="I9929" t="str">
            <v>V54045</v>
          </cell>
          <cell r="J9929" t="str">
            <v>STAT</v>
          </cell>
          <cell r="K9929" t="str">
            <v>YES</v>
          </cell>
        </row>
        <row r="9930">
          <cell r="I9930" t="str">
            <v>V52122</v>
          </cell>
          <cell r="J9930" t="str">
            <v>STAT</v>
          </cell>
          <cell r="K9930" t="str">
            <v>YES</v>
          </cell>
        </row>
        <row r="9931">
          <cell r="I9931" t="str">
            <v>V52418</v>
          </cell>
          <cell r="J9931" t="str">
            <v>STAT</v>
          </cell>
          <cell r="K9931" t="str">
            <v>YES</v>
          </cell>
        </row>
        <row r="9932">
          <cell r="I9932" t="str">
            <v>V52074</v>
          </cell>
          <cell r="J9932" t="str">
            <v>STAT</v>
          </cell>
          <cell r="K9932" t="str">
            <v>YES</v>
          </cell>
        </row>
        <row r="9933">
          <cell r="I9933" t="str">
            <v>V53429</v>
          </cell>
          <cell r="J9933" t="str">
            <v>CTC</v>
          </cell>
          <cell r="K9933" t="str">
            <v>YES</v>
          </cell>
        </row>
        <row r="9934">
          <cell r="I9934" t="str">
            <v>V53874</v>
          </cell>
          <cell r="J9934" t="str">
            <v>STAT</v>
          </cell>
          <cell r="K9934" t="str">
            <v>YES</v>
          </cell>
        </row>
        <row r="9935">
          <cell r="I9935" t="str">
            <v>V53664</v>
          </cell>
          <cell r="J9935" t="str">
            <v>CTC</v>
          </cell>
          <cell r="K9935" t="str">
            <v>YES</v>
          </cell>
        </row>
        <row r="9936">
          <cell r="I9936" t="str">
            <v>V52984</v>
          </cell>
          <cell r="J9936" t="str">
            <v>STAT</v>
          </cell>
          <cell r="K9936" t="str">
            <v>YES</v>
          </cell>
        </row>
        <row r="9937">
          <cell r="I9937" t="str">
            <v>V53177</v>
          </cell>
          <cell r="J9937" t="str">
            <v>CTC</v>
          </cell>
          <cell r="K9937" t="str">
            <v>YES</v>
          </cell>
        </row>
        <row r="9938">
          <cell r="I9938" t="str">
            <v>V53183</v>
          </cell>
          <cell r="J9938" t="str">
            <v>CTC</v>
          </cell>
          <cell r="K9938" t="str">
            <v>YES</v>
          </cell>
        </row>
        <row r="9939">
          <cell r="I9939" t="str">
            <v>V53188</v>
          </cell>
          <cell r="J9939" t="str">
            <v>CTC</v>
          </cell>
          <cell r="K9939" t="str">
            <v>YES</v>
          </cell>
        </row>
        <row r="9940">
          <cell r="I9940" t="str">
            <v>V53868</v>
          </cell>
          <cell r="J9940" t="str">
            <v>CTC</v>
          </cell>
          <cell r="K9940" t="str">
            <v>YES</v>
          </cell>
        </row>
        <row r="9941">
          <cell r="I9941" t="str">
            <v>V52709</v>
          </cell>
          <cell r="J9941" t="str">
            <v>STAT</v>
          </cell>
          <cell r="K9941" t="str">
            <v>YES</v>
          </cell>
        </row>
        <row r="9942">
          <cell r="I9942" t="str">
            <v>V53611</v>
          </cell>
          <cell r="J9942" t="str">
            <v>CTC</v>
          </cell>
          <cell r="K9942" t="str">
            <v>YES</v>
          </cell>
        </row>
        <row r="9943">
          <cell r="I9943" t="str">
            <v>V53654</v>
          </cell>
          <cell r="J9943" t="str">
            <v>CTC</v>
          </cell>
          <cell r="K9943" t="str">
            <v>YES</v>
          </cell>
        </row>
        <row r="9944">
          <cell r="I9944" t="str">
            <v>V53454</v>
          </cell>
          <cell r="J9944" t="str">
            <v>CTC</v>
          </cell>
          <cell r="K9944" t="str">
            <v>YES</v>
          </cell>
        </row>
        <row r="9945">
          <cell r="I9945" t="str">
            <v>V53455</v>
          </cell>
          <cell r="J9945" t="str">
            <v>CTC</v>
          </cell>
          <cell r="K9945" t="str">
            <v>YES</v>
          </cell>
        </row>
        <row r="9946">
          <cell r="I9946" t="str">
            <v>V52954</v>
          </cell>
          <cell r="J9946" t="str">
            <v>STAT</v>
          </cell>
          <cell r="K9946" t="str">
            <v>YES</v>
          </cell>
        </row>
        <row r="9947">
          <cell r="I9947" t="str">
            <v>V53124</v>
          </cell>
          <cell r="J9947" t="str">
            <v>STAT</v>
          </cell>
          <cell r="K9947" t="str">
            <v>YES</v>
          </cell>
        </row>
        <row r="9948">
          <cell r="I9948" t="str">
            <v>V53386</v>
          </cell>
          <cell r="J9948" t="str">
            <v>CTC</v>
          </cell>
          <cell r="K9948" t="str">
            <v>YES</v>
          </cell>
        </row>
        <row r="9949">
          <cell r="I9949" t="str">
            <v>V52549</v>
          </cell>
          <cell r="J9949" t="str">
            <v>STAT</v>
          </cell>
          <cell r="K9949" t="str">
            <v>YES</v>
          </cell>
        </row>
        <row r="9950">
          <cell r="I9950" t="str">
            <v>V53346</v>
          </cell>
          <cell r="J9950" t="str">
            <v>STAT</v>
          </cell>
          <cell r="K9950" t="str">
            <v>YES</v>
          </cell>
        </row>
        <row r="9951">
          <cell r="I9951" t="str">
            <v>V51847</v>
          </cell>
          <cell r="J9951" t="str">
            <v>CTC</v>
          </cell>
          <cell r="K9951" t="str">
            <v>YES</v>
          </cell>
        </row>
        <row r="9952">
          <cell r="I9952" t="str">
            <v>V51563</v>
          </cell>
          <cell r="J9952" t="str">
            <v>CTC</v>
          </cell>
          <cell r="K9952" t="str">
            <v>YES</v>
          </cell>
        </row>
        <row r="9953">
          <cell r="I9953" t="str">
            <v>V52961</v>
          </cell>
          <cell r="J9953" t="str">
            <v>STAT</v>
          </cell>
          <cell r="K9953" t="str">
            <v>YES</v>
          </cell>
        </row>
        <row r="9954">
          <cell r="I9954" t="str">
            <v>V53234</v>
          </cell>
          <cell r="J9954" t="str">
            <v>CTC</v>
          </cell>
          <cell r="K9954" t="str">
            <v>YES</v>
          </cell>
        </row>
        <row r="9955">
          <cell r="I9955" t="str">
            <v>V51277</v>
          </cell>
          <cell r="J9955" t="str">
            <v>CTC</v>
          </cell>
          <cell r="K9955" t="str">
            <v>YES</v>
          </cell>
        </row>
        <row r="9956">
          <cell r="I9956" t="str">
            <v>V52619</v>
          </cell>
          <cell r="J9956" t="str">
            <v>STAT</v>
          </cell>
          <cell r="K9956" t="str">
            <v>YES</v>
          </cell>
        </row>
        <row r="9957">
          <cell r="I9957" t="str">
            <v>V53855</v>
          </cell>
          <cell r="J9957" t="str">
            <v>STAT</v>
          </cell>
          <cell r="K9957" t="str">
            <v>YES</v>
          </cell>
        </row>
        <row r="9958">
          <cell r="I9958" t="str">
            <v>V53139</v>
          </cell>
          <cell r="J9958" t="str">
            <v>STAT</v>
          </cell>
          <cell r="K9958" t="str">
            <v>YES</v>
          </cell>
        </row>
        <row r="9959">
          <cell r="I9959" t="str">
            <v>V52237</v>
          </cell>
          <cell r="J9959" t="str">
            <v>STAT</v>
          </cell>
          <cell r="K9959" t="str">
            <v>YES</v>
          </cell>
        </row>
        <row r="9960">
          <cell r="I9960" t="str">
            <v>V53792</v>
          </cell>
          <cell r="J9960" t="str">
            <v>CTC</v>
          </cell>
          <cell r="K9960" t="str">
            <v>YES</v>
          </cell>
        </row>
        <row r="9961">
          <cell r="I9961" t="str">
            <v>V53398</v>
          </cell>
          <cell r="J9961" t="str">
            <v>CTC</v>
          </cell>
          <cell r="K9961" t="str">
            <v>YES</v>
          </cell>
        </row>
        <row r="9962">
          <cell r="I9962" t="str">
            <v>V53696</v>
          </cell>
          <cell r="J9962" t="str">
            <v>STAT</v>
          </cell>
          <cell r="K9962" t="str">
            <v>YES</v>
          </cell>
        </row>
        <row r="9963">
          <cell r="I9963" t="str">
            <v>V53694</v>
          </cell>
          <cell r="J9963" t="str">
            <v>STAT</v>
          </cell>
          <cell r="K9963" t="str">
            <v>YES</v>
          </cell>
        </row>
        <row r="9964">
          <cell r="I9964" t="str">
            <v>V53278</v>
          </cell>
          <cell r="J9964" t="str">
            <v>CTC</v>
          </cell>
          <cell r="K9964" t="str">
            <v>YES</v>
          </cell>
        </row>
        <row r="9965">
          <cell r="I9965" t="str">
            <v>V54042</v>
          </cell>
          <cell r="J9965" t="str">
            <v>CTC</v>
          </cell>
          <cell r="K9965" t="str">
            <v>YES</v>
          </cell>
        </row>
        <row r="9966">
          <cell r="I9966" t="str">
            <v>V54043</v>
          </cell>
          <cell r="J9966" t="str">
            <v>CTC</v>
          </cell>
          <cell r="K9966" t="str">
            <v>YES</v>
          </cell>
        </row>
        <row r="9967">
          <cell r="I9967" t="str">
            <v>V53939</v>
          </cell>
          <cell r="J9967" t="str">
            <v>CTC</v>
          </cell>
          <cell r="K9967" t="str">
            <v>YES</v>
          </cell>
        </row>
        <row r="9968">
          <cell r="I9968" t="str">
            <v>V53739</v>
          </cell>
          <cell r="J9968" t="str">
            <v>STAT</v>
          </cell>
          <cell r="K9968" t="str">
            <v>YES</v>
          </cell>
        </row>
        <row r="9969">
          <cell r="I9969" t="str">
            <v>V53464</v>
          </cell>
          <cell r="J9969" t="str">
            <v>CTC</v>
          </cell>
          <cell r="K9969" t="str">
            <v>YES</v>
          </cell>
        </row>
        <row r="9970">
          <cell r="I9970" t="str">
            <v>V53368</v>
          </cell>
          <cell r="J9970" t="str">
            <v>CTC</v>
          </cell>
          <cell r="K9970" t="str">
            <v>YES</v>
          </cell>
        </row>
        <row r="9971">
          <cell r="I9971" t="str">
            <v>V52468</v>
          </cell>
          <cell r="J9971" t="str">
            <v>STAT</v>
          </cell>
          <cell r="K9971" t="str">
            <v>YES</v>
          </cell>
        </row>
        <row r="9972">
          <cell r="I9972" t="str">
            <v>V53569</v>
          </cell>
          <cell r="J9972" t="str">
            <v>CTC</v>
          </cell>
          <cell r="K9972" t="str">
            <v>YES</v>
          </cell>
        </row>
        <row r="9973">
          <cell r="I9973" t="str">
            <v>V53883</v>
          </cell>
          <cell r="J9973" t="str">
            <v>CTC</v>
          </cell>
          <cell r="K9973" t="str">
            <v>YES</v>
          </cell>
        </row>
        <row r="9974">
          <cell r="I9974" t="str">
            <v>V51809</v>
          </cell>
          <cell r="J9974" t="str">
            <v>CTC</v>
          </cell>
          <cell r="K9974" t="str">
            <v>YES</v>
          </cell>
        </row>
        <row r="9975">
          <cell r="I9975" t="str">
            <v>V50842</v>
          </cell>
          <cell r="J9975" t="str">
            <v>CTC</v>
          </cell>
          <cell r="K9975" t="str">
            <v>YES</v>
          </cell>
        </row>
        <row r="9976">
          <cell r="I9976" t="str">
            <v>V52196</v>
          </cell>
          <cell r="J9976" t="str">
            <v>CTC</v>
          </cell>
          <cell r="K9976" t="str">
            <v>YES</v>
          </cell>
        </row>
        <row r="9977">
          <cell r="I9977" t="str">
            <v>V51998</v>
          </cell>
          <cell r="J9977" t="str">
            <v>CTC</v>
          </cell>
          <cell r="K9977" t="str">
            <v>YES</v>
          </cell>
        </row>
        <row r="9978">
          <cell r="I9978" t="str">
            <v>V53630</v>
          </cell>
          <cell r="J9978" t="str">
            <v>CTC</v>
          </cell>
          <cell r="K9978" t="str">
            <v>YES</v>
          </cell>
        </row>
        <row r="9979">
          <cell r="I9979" t="str">
            <v>V54029</v>
          </cell>
          <cell r="J9979" t="str">
            <v>CTC</v>
          </cell>
          <cell r="K9979" t="str">
            <v>YES</v>
          </cell>
        </row>
        <row r="9980">
          <cell r="I9980" t="str">
            <v>V53197</v>
          </cell>
          <cell r="J9980" t="str">
            <v>STAT</v>
          </cell>
          <cell r="K9980" t="str">
            <v>YES</v>
          </cell>
        </row>
        <row r="9981">
          <cell r="I9981" t="str">
            <v>V53737</v>
          </cell>
          <cell r="J9981" t="str">
            <v>CTC</v>
          </cell>
          <cell r="K9981" t="str">
            <v>YES</v>
          </cell>
        </row>
        <row r="9982">
          <cell r="I9982" t="str">
            <v>V53120</v>
          </cell>
          <cell r="J9982" t="str">
            <v>STAT</v>
          </cell>
          <cell r="K9982" t="str">
            <v>YES</v>
          </cell>
        </row>
        <row r="9983">
          <cell r="I9983" t="str">
            <v>V53182</v>
          </cell>
          <cell r="J9983" t="str">
            <v>CTC</v>
          </cell>
          <cell r="K9983" t="str">
            <v>YES</v>
          </cell>
        </row>
        <row r="9984">
          <cell r="I9984" t="str">
            <v>V53620</v>
          </cell>
          <cell r="J9984" t="str">
            <v>CTC</v>
          </cell>
          <cell r="K9984" t="str">
            <v>YES</v>
          </cell>
        </row>
        <row r="9985">
          <cell r="I9985" t="str">
            <v>V53837</v>
          </cell>
          <cell r="J9985" t="str">
            <v>CTC</v>
          </cell>
          <cell r="K9985" t="str">
            <v>YES</v>
          </cell>
        </row>
        <row r="9986">
          <cell r="I9986" t="str">
            <v>V53791</v>
          </cell>
          <cell r="J9986" t="str">
            <v>CTC</v>
          </cell>
          <cell r="K9986" t="str">
            <v>YES</v>
          </cell>
        </row>
        <row r="9987">
          <cell r="I9987" t="str">
            <v>V53738</v>
          </cell>
          <cell r="J9987" t="str">
            <v>CTC</v>
          </cell>
          <cell r="K9987" t="str">
            <v>YES</v>
          </cell>
        </row>
        <row r="9988">
          <cell r="I9988" t="str">
            <v>V54017</v>
          </cell>
          <cell r="J9988" t="str">
            <v>CTC</v>
          </cell>
          <cell r="K9988" t="str">
            <v>YES</v>
          </cell>
        </row>
        <row r="9989">
          <cell r="I9989" t="str">
            <v>V53145</v>
          </cell>
          <cell r="J9989" t="str">
            <v>CTC</v>
          </cell>
          <cell r="K9989" t="str">
            <v>YES</v>
          </cell>
        </row>
        <row r="9990">
          <cell r="I9990" t="str">
            <v>V52317</v>
          </cell>
          <cell r="J9990" t="str">
            <v>CTC</v>
          </cell>
          <cell r="K9990" t="str">
            <v>YES</v>
          </cell>
        </row>
        <row r="9991">
          <cell r="I9991" t="str">
            <v>V31519</v>
          </cell>
          <cell r="J9991" t="str">
            <v>CTC</v>
          </cell>
          <cell r="K9991" t="str">
            <v>YES</v>
          </cell>
        </row>
        <row r="9992">
          <cell r="I9992" t="str">
            <v>V53552</v>
          </cell>
          <cell r="J9992" t="str">
            <v>CTC</v>
          </cell>
          <cell r="K9992" t="str">
            <v>YES</v>
          </cell>
        </row>
        <row r="9993">
          <cell r="I9993" t="str">
            <v>V53995</v>
          </cell>
          <cell r="J9993" t="str">
            <v>CTC</v>
          </cell>
          <cell r="K9993" t="str">
            <v>YES</v>
          </cell>
        </row>
        <row r="9994">
          <cell r="I9994" t="str">
            <v>V53940</v>
          </cell>
          <cell r="J9994" t="str">
            <v>CTC</v>
          </cell>
          <cell r="K9994" t="str">
            <v>YES</v>
          </cell>
        </row>
        <row r="9995">
          <cell r="I9995" t="str">
            <v>V53367</v>
          </cell>
          <cell r="J9995" t="str">
            <v>CTC</v>
          </cell>
          <cell r="K9995" t="str">
            <v>YES</v>
          </cell>
        </row>
        <row r="9996">
          <cell r="I9996" t="str">
            <v>V53955</v>
          </cell>
          <cell r="J9996" t="str">
            <v>STAT</v>
          </cell>
          <cell r="K9996" t="str">
            <v>YES</v>
          </cell>
        </row>
        <row r="9997">
          <cell r="I9997" t="str">
            <v>V53782</v>
          </cell>
          <cell r="J9997" t="str">
            <v>CTC</v>
          </cell>
          <cell r="K9997" t="str">
            <v>YES</v>
          </cell>
        </row>
        <row r="9998">
          <cell r="I9998" t="str">
            <v>V51481</v>
          </cell>
          <cell r="J9998" t="str">
            <v>CTC</v>
          </cell>
          <cell r="K9998" t="str">
            <v>YES</v>
          </cell>
        </row>
        <row r="9999">
          <cell r="I9999" t="str">
            <v>V53531</v>
          </cell>
          <cell r="J9999" t="str">
            <v>CTC</v>
          </cell>
          <cell r="K9999" t="str">
            <v>YES</v>
          </cell>
        </row>
        <row r="10000">
          <cell r="I10000" t="str">
            <v>V53878</v>
          </cell>
          <cell r="J10000" t="str">
            <v>STAT</v>
          </cell>
          <cell r="K10000" t="str">
            <v>YES</v>
          </cell>
        </row>
        <row r="10001">
          <cell r="I10001" t="str">
            <v>V53662</v>
          </cell>
          <cell r="J10001" t="str">
            <v>CTC</v>
          </cell>
          <cell r="K10001" t="str">
            <v>YES</v>
          </cell>
        </row>
        <row r="10002">
          <cell r="I10002" t="str">
            <v>V53560</v>
          </cell>
          <cell r="J10002" t="str">
            <v>CTC</v>
          </cell>
          <cell r="K10002" t="str">
            <v>YES</v>
          </cell>
        </row>
        <row r="10003">
          <cell r="I10003" t="str">
            <v>V51948</v>
          </cell>
          <cell r="J10003" t="str">
            <v>CTC</v>
          </cell>
          <cell r="K10003" t="str">
            <v>YES</v>
          </cell>
        </row>
        <row r="10004">
          <cell r="I10004" t="str">
            <v>V53471</v>
          </cell>
          <cell r="J10004" t="str">
            <v>CTC</v>
          </cell>
          <cell r="K10004" t="str">
            <v>YES</v>
          </cell>
        </row>
        <row r="10005">
          <cell r="I10005" t="str">
            <v>V54024</v>
          </cell>
          <cell r="J10005" t="str">
            <v>CTC</v>
          </cell>
          <cell r="K10005" t="str">
            <v>YES</v>
          </cell>
        </row>
        <row r="10006">
          <cell r="I10006" t="str">
            <v>V53289</v>
          </cell>
          <cell r="J10006" t="str">
            <v>STAT</v>
          </cell>
          <cell r="K10006" t="str">
            <v>YES</v>
          </cell>
        </row>
        <row r="10007">
          <cell r="I10007" t="str">
            <v>V52049</v>
          </cell>
          <cell r="J10007" t="str">
            <v>STAT</v>
          </cell>
          <cell r="K10007" t="str">
            <v>YES</v>
          </cell>
        </row>
        <row r="10008">
          <cell r="I10008" t="str">
            <v>V52774</v>
          </cell>
          <cell r="J10008" t="str">
            <v>STAT</v>
          </cell>
          <cell r="K10008" t="str">
            <v>YES</v>
          </cell>
        </row>
        <row r="10009">
          <cell r="I10009" t="str">
            <v>V51628</v>
          </cell>
          <cell r="J10009" t="str">
            <v>CTC</v>
          </cell>
          <cell r="K10009" t="str">
            <v>YES</v>
          </cell>
        </row>
        <row r="10010">
          <cell r="I10010" t="str">
            <v>V54039</v>
          </cell>
          <cell r="J10010" t="str">
            <v>CTC</v>
          </cell>
          <cell r="K10010" t="str">
            <v>YES</v>
          </cell>
        </row>
        <row r="10011">
          <cell r="I10011" t="str">
            <v>V53758</v>
          </cell>
          <cell r="J10011" t="str">
            <v>CTC</v>
          </cell>
          <cell r="K10011" t="str">
            <v>YES</v>
          </cell>
        </row>
        <row r="10012">
          <cell r="I10012" t="str">
            <v>V52462</v>
          </cell>
          <cell r="J10012" t="str">
            <v>STAT</v>
          </cell>
          <cell r="K10012" t="str">
            <v>YES</v>
          </cell>
        </row>
        <row r="10013">
          <cell r="I10013" t="str">
            <v>V53223</v>
          </cell>
          <cell r="J10013" t="str">
            <v>CTC</v>
          </cell>
          <cell r="K10013" t="str">
            <v>YES</v>
          </cell>
        </row>
        <row r="10014">
          <cell r="I10014" t="str">
            <v>V52193</v>
          </cell>
          <cell r="J10014" t="str">
            <v>CTC</v>
          </cell>
          <cell r="K10014" t="str">
            <v>YES</v>
          </cell>
        </row>
        <row r="10015">
          <cell r="I10015" t="str">
            <v>V53965</v>
          </cell>
          <cell r="J10015" t="str">
            <v>CTC</v>
          </cell>
          <cell r="K10015" t="str">
            <v>YES</v>
          </cell>
        </row>
        <row r="10016">
          <cell r="I10016" t="str">
            <v>V53942</v>
          </cell>
          <cell r="J10016" t="str">
            <v>CTC</v>
          </cell>
          <cell r="K10016" t="str">
            <v>YES</v>
          </cell>
        </row>
        <row r="10017">
          <cell r="I10017" t="str">
            <v>V52611</v>
          </cell>
          <cell r="J10017" t="str">
            <v>STAT</v>
          </cell>
          <cell r="K10017" t="str">
            <v>YES</v>
          </cell>
        </row>
        <row r="10018">
          <cell r="I10018" t="str">
            <v>V53657</v>
          </cell>
          <cell r="J10018" t="str">
            <v>CTC</v>
          </cell>
          <cell r="K10018" t="str">
            <v>YES</v>
          </cell>
        </row>
        <row r="10019">
          <cell r="I10019" t="str">
            <v>V53658</v>
          </cell>
          <cell r="J10019" t="str">
            <v>CTC</v>
          </cell>
          <cell r="K10019" t="str">
            <v>YES</v>
          </cell>
        </row>
        <row r="10020">
          <cell r="I10020" t="str">
            <v>V53779</v>
          </cell>
          <cell r="J10020" t="str">
            <v>CTC</v>
          </cell>
          <cell r="K10020" t="str">
            <v>YES</v>
          </cell>
        </row>
        <row r="10021">
          <cell r="I10021" t="str">
            <v>V51995</v>
          </cell>
          <cell r="J10021" t="str">
            <v>CTC</v>
          </cell>
          <cell r="K10021" t="str">
            <v>YES</v>
          </cell>
        </row>
        <row r="10022">
          <cell r="I10022" t="str">
            <v>V52815</v>
          </cell>
          <cell r="J10022" t="str">
            <v>STAT</v>
          </cell>
          <cell r="K10022" t="str">
            <v>YES</v>
          </cell>
        </row>
        <row r="10023">
          <cell r="I10023" t="str">
            <v>V53714</v>
          </cell>
          <cell r="J10023" t="str">
            <v>CTC</v>
          </cell>
          <cell r="K10023" t="str">
            <v>YES</v>
          </cell>
        </row>
        <row r="10024">
          <cell r="I10024" t="str">
            <v>V51835</v>
          </cell>
          <cell r="J10024" t="str">
            <v>STAT</v>
          </cell>
          <cell r="K10024" t="str">
            <v>YES</v>
          </cell>
        </row>
        <row r="10025">
          <cell r="I10025" t="str">
            <v>V52027</v>
          </cell>
          <cell r="J10025" t="str">
            <v>CTC</v>
          </cell>
          <cell r="K10025" t="str">
            <v>YES</v>
          </cell>
        </row>
        <row r="10026">
          <cell r="I10026" t="str">
            <v>V52687</v>
          </cell>
          <cell r="J10026" t="str">
            <v>STAT</v>
          </cell>
          <cell r="K10026" t="str">
            <v>YES</v>
          </cell>
        </row>
        <row r="10027">
          <cell r="I10027" t="str">
            <v>V53639</v>
          </cell>
          <cell r="J10027" t="str">
            <v>CTC</v>
          </cell>
          <cell r="K10027" t="str">
            <v>YES</v>
          </cell>
        </row>
        <row r="10028">
          <cell r="I10028" t="str">
            <v>V53575</v>
          </cell>
          <cell r="J10028" t="str">
            <v>CTC</v>
          </cell>
          <cell r="K10028" t="str">
            <v>YES</v>
          </cell>
        </row>
        <row r="10029">
          <cell r="I10029" t="str">
            <v>V53576</v>
          </cell>
          <cell r="J10029" t="str">
            <v>CTC</v>
          </cell>
          <cell r="K10029" t="str">
            <v>YES</v>
          </cell>
        </row>
        <row r="10030">
          <cell r="I10030" t="str">
            <v>V53647</v>
          </cell>
          <cell r="J10030" t="str">
            <v>CTC</v>
          </cell>
          <cell r="K10030" t="str">
            <v>YES</v>
          </cell>
        </row>
        <row r="10031">
          <cell r="I10031" t="str">
            <v>V52603</v>
          </cell>
          <cell r="J10031" t="str">
            <v>STAT</v>
          </cell>
          <cell r="K10031" t="str">
            <v>YES</v>
          </cell>
        </row>
        <row r="10032">
          <cell r="I10032" t="str">
            <v>V53679</v>
          </cell>
          <cell r="J10032" t="str">
            <v>CTC</v>
          </cell>
          <cell r="K10032" t="str">
            <v>YES</v>
          </cell>
        </row>
        <row r="10033">
          <cell r="I10033" t="str">
            <v>V53826</v>
          </cell>
          <cell r="J10033" t="str">
            <v>CTC</v>
          </cell>
          <cell r="K10033" t="str">
            <v>YES</v>
          </cell>
        </row>
        <row r="10034">
          <cell r="I10034" t="str">
            <v>V53842</v>
          </cell>
          <cell r="J10034" t="str">
            <v>CTC</v>
          </cell>
          <cell r="K10034" t="str">
            <v>YES</v>
          </cell>
        </row>
        <row r="10035">
          <cell r="I10035" t="str">
            <v>V53753</v>
          </cell>
          <cell r="J10035" t="str">
            <v>CTC</v>
          </cell>
          <cell r="K10035" t="str">
            <v>YES</v>
          </cell>
        </row>
        <row r="10036">
          <cell r="I10036" t="str">
            <v>V53814</v>
          </cell>
          <cell r="J10036" t="str">
            <v>CTC</v>
          </cell>
          <cell r="K10036" t="str">
            <v>YES</v>
          </cell>
        </row>
        <row r="10037">
          <cell r="I10037" t="str">
            <v>V53816</v>
          </cell>
          <cell r="J10037" t="str">
            <v>CTC</v>
          </cell>
          <cell r="K10037" t="str">
            <v>YES</v>
          </cell>
        </row>
        <row r="10038">
          <cell r="I10038" t="str">
            <v>V53817</v>
          </cell>
          <cell r="J10038" t="str">
            <v>CTC</v>
          </cell>
          <cell r="K10038" t="str">
            <v>YES</v>
          </cell>
        </row>
        <row r="10039">
          <cell r="I10039" t="str">
            <v>V53827</v>
          </cell>
          <cell r="J10039" t="str">
            <v>CTC</v>
          </cell>
          <cell r="K10039" t="str">
            <v>YES</v>
          </cell>
        </row>
        <row r="10040">
          <cell r="I10040" t="str">
            <v>V53741</v>
          </cell>
          <cell r="J10040" t="str">
            <v>CTC</v>
          </cell>
          <cell r="K10040" t="str">
            <v>YES</v>
          </cell>
        </row>
        <row r="10041">
          <cell r="I10041" t="str">
            <v>V53742</v>
          </cell>
          <cell r="J10041" t="str">
            <v>CTC</v>
          </cell>
          <cell r="K10041" t="str">
            <v>YES</v>
          </cell>
        </row>
        <row r="10042">
          <cell r="I10042" t="str">
            <v>V53844</v>
          </cell>
          <cell r="J10042" t="str">
            <v>CTC</v>
          </cell>
          <cell r="K10042" t="str">
            <v>YES</v>
          </cell>
        </row>
        <row r="10043">
          <cell r="I10043" t="str">
            <v>V53344</v>
          </cell>
          <cell r="J10043" t="str">
            <v>STAT</v>
          </cell>
          <cell r="K10043" t="str">
            <v>YES</v>
          </cell>
        </row>
        <row r="10044">
          <cell r="I10044" t="str">
            <v>V52055</v>
          </cell>
          <cell r="J10044" t="str">
            <v>CTC</v>
          </cell>
          <cell r="K10044" t="str">
            <v>YES</v>
          </cell>
        </row>
        <row r="10045">
          <cell r="I10045" t="str">
            <v>V53806</v>
          </cell>
          <cell r="J10045" t="str">
            <v>CTC</v>
          </cell>
          <cell r="K10045" t="str">
            <v>YES</v>
          </cell>
        </row>
        <row r="10046">
          <cell r="I10046" t="str">
            <v>V53766</v>
          </cell>
          <cell r="J10046" t="str">
            <v>CTC</v>
          </cell>
          <cell r="K10046" t="str">
            <v>YES</v>
          </cell>
        </row>
        <row r="10047">
          <cell r="I10047" t="str">
            <v>V52250</v>
          </cell>
          <cell r="J10047" t="str">
            <v>CTC</v>
          </cell>
          <cell r="K10047" t="str">
            <v>YES</v>
          </cell>
        </row>
        <row r="10048">
          <cell r="I10048" t="str">
            <v>V53859</v>
          </cell>
          <cell r="J10048" t="str">
            <v>CTC</v>
          </cell>
          <cell r="K10048" t="str">
            <v>YES</v>
          </cell>
        </row>
        <row r="10049">
          <cell r="I10049" t="str">
            <v>V53691</v>
          </cell>
          <cell r="J10049" t="str">
            <v>STAT</v>
          </cell>
          <cell r="K10049" t="str">
            <v>YES</v>
          </cell>
        </row>
        <row r="10050">
          <cell r="I10050" t="str">
            <v>V53964</v>
          </cell>
          <cell r="J10050" t="str">
            <v>CTC</v>
          </cell>
          <cell r="K10050" t="str">
            <v>YES</v>
          </cell>
        </row>
        <row r="10051">
          <cell r="I10051" t="str">
            <v>V54007</v>
          </cell>
          <cell r="J10051" t="str">
            <v>CTC</v>
          </cell>
          <cell r="K10051" t="str">
            <v>YES</v>
          </cell>
        </row>
        <row r="10052">
          <cell r="I10052" t="str">
            <v>V52940</v>
          </cell>
          <cell r="J10052" t="str">
            <v>STAT</v>
          </cell>
          <cell r="K10052" t="str">
            <v>YES</v>
          </cell>
        </row>
        <row r="10053">
          <cell r="I10053" t="str">
            <v>V53941</v>
          </cell>
          <cell r="J10053" t="str">
            <v>STAT</v>
          </cell>
          <cell r="K10053" t="str">
            <v>YES</v>
          </cell>
        </row>
        <row r="10054">
          <cell r="I10054" t="str">
            <v>V53652</v>
          </cell>
          <cell r="J10054" t="str">
            <v>CTC</v>
          </cell>
          <cell r="K10054" t="str">
            <v>YES</v>
          </cell>
        </row>
        <row r="10055">
          <cell r="I10055" t="str">
            <v>V53667</v>
          </cell>
          <cell r="J10055" t="str">
            <v>CTC</v>
          </cell>
          <cell r="K10055" t="str">
            <v>YES</v>
          </cell>
        </row>
        <row r="10056">
          <cell r="I10056" t="str">
            <v>V52781</v>
          </cell>
          <cell r="J10056" t="str">
            <v>STAT</v>
          </cell>
          <cell r="K10056" t="str">
            <v>YES</v>
          </cell>
        </row>
        <row r="10057">
          <cell r="I10057" t="str">
            <v>V52965</v>
          </cell>
          <cell r="J10057" t="str">
            <v>STAT</v>
          </cell>
          <cell r="K10057" t="str">
            <v>YES</v>
          </cell>
        </row>
        <row r="10058">
          <cell r="I10058" t="str">
            <v>V52705</v>
          </cell>
          <cell r="J10058" t="str">
            <v>STAT</v>
          </cell>
          <cell r="K10058" t="str">
            <v>YES</v>
          </cell>
        </row>
        <row r="10059">
          <cell r="I10059" t="str">
            <v>V52542</v>
          </cell>
          <cell r="J10059" t="str">
            <v>STAT</v>
          </cell>
          <cell r="K10059" t="str">
            <v>YES</v>
          </cell>
        </row>
        <row r="10060">
          <cell r="I10060" t="str">
            <v>V53637</v>
          </cell>
          <cell r="J10060" t="str">
            <v>CTC</v>
          </cell>
          <cell r="K10060" t="str">
            <v>YES</v>
          </cell>
        </row>
        <row r="10061">
          <cell r="I10061" t="str">
            <v>V53310</v>
          </cell>
          <cell r="J10061" t="str">
            <v>STAT</v>
          </cell>
          <cell r="K10061" t="str">
            <v>YES</v>
          </cell>
        </row>
        <row r="10062">
          <cell r="I10062" t="str">
            <v>V51926</v>
          </cell>
          <cell r="J10062" t="str">
            <v>CTC</v>
          </cell>
          <cell r="K10062" t="str">
            <v>YES</v>
          </cell>
        </row>
        <row r="10063">
          <cell r="I10063" t="str">
            <v>V53609</v>
          </cell>
          <cell r="J10063" t="str">
            <v>CTC</v>
          </cell>
          <cell r="K10063" t="str">
            <v>YES</v>
          </cell>
        </row>
        <row r="10064">
          <cell r="I10064" t="str">
            <v>V53708</v>
          </cell>
          <cell r="J10064" t="str">
            <v>CTC</v>
          </cell>
          <cell r="K10064" t="str">
            <v>YES</v>
          </cell>
        </row>
        <row r="10065">
          <cell r="I10065" t="str">
            <v>V53377</v>
          </cell>
          <cell r="J10065" t="str">
            <v>CTC</v>
          </cell>
          <cell r="K10065" t="str">
            <v>YES</v>
          </cell>
        </row>
        <row r="10066">
          <cell r="I10066" t="str">
            <v>V53877</v>
          </cell>
          <cell r="J10066" t="str">
            <v>CTC</v>
          </cell>
          <cell r="K10066" t="str">
            <v>YES</v>
          </cell>
        </row>
        <row r="10067">
          <cell r="I10067" t="str">
            <v>V52602</v>
          </cell>
          <cell r="J10067" t="str">
            <v>STAT</v>
          </cell>
          <cell r="K10067" t="str">
            <v>YES</v>
          </cell>
        </row>
        <row r="10068">
          <cell r="I10068" t="str">
            <v>V53459</v>
          </cell>
          <cell r="J10068" t="str">
            <v>CTC</v>
          </cell>
          <cell r="K10068" t="str">
            <v>YES</v>
          </cell>
        </row>
        <row r="10069">
          <cell r="I10069" t="str">
            <v>V53761</v>
          </cell>
          <cell r="J10069" t="str">
            <v>CTC</v>
          </cell>
          <cell r="K10069" t="str">
            <v>YES</v>
          </cell>
        </row>
        <row r="10070">
          <cell r="I10070" t="str">
            <v>V54232</v>
          </cell>
          <cell r="J10070" t="str">
            <v>CTC</v>
          </cell>
          <cell r="K10070" t="str">
            <v>YES</v>
          </cell>
        </row>
        <row r="10071">
          <cell r="I10071" t="str">
            <v>V53860</v>
          </cell>
          <cell r="J10071" t="str">
            <v>CTC</v>
          </cell>
          <cell r="K10071" t="str">
            <v>YES</v>
          </cell>
        </row>
        <row r="10072">
          <cell r="I10072" t="str">
            <v>V51918</v>
          </cell>
          <cell r="J10072" t="str">
            <v>CTC</v>
          </cell>
          <cell r="K10072" t="str">
            <v>YES</v>
          </cell>
        </row>
        <row r="10073">
          <cell r="I10073" t="str">
            <v>V54047</v>
          </cell>
          <cell r="J10073" t="str">
            <v>CTC</v>
          </cell>
          <cell r="K10073" t="str">
            <v>YES</v>
          </cell>
        </row>
        <row r="10074">
          <cell r="I10074" t="str">
            <v>V54071</v>
          </cell>
          <cell r="J10074" t="str">
            <v>CTC</v>
          </cell>
          <cell r="K10074" t="str">
            <v>YES</v>
          </cell>
        </row>
        <row r="10075">
          <cell r="I10075" t="str">
            <v>V54074</v>
          </cell>
          <cell r="J10075" t="str">
            <v>CTC</v>
          </cell>
          <cell r="K10075" t="str">
            <v>YES</v>
          </cell>
        </row>
        <row r="10076">
          <cell r="I10076" t="str">
            <v>V54127</v>
          </cell>
          <cell r="J10076" t="str">
            <v>STAT</v>
          </cell>
          <cell r="K10076" t="str">
            <v>YES</v>
          </cell>
        </row>
        <row r="10077">
          <cell r="I10077" t="str">
            <v>V53711</v>
          </cell>
          <cell r="J10077" t="str">
            <v>CTC</v>
          </cell>
          <cell r="K10077" t="str">
            <v>YES</v>
          </cell>
        </row>
        <row r="10078">
          <cell r="I10078" t="str">
            <v>V53809</v>
          </cell>
          <cell r="J10078" t="str">
            <v>CTC</v>
          </cell>
          <cell r="K10078" t="str">
            <v>YES</v>
          </cell>
        </row>
        <row r="10079">
          <cell r="I10079" t="str">
            <v>V53865</v>
          </cell>
          <cell r="J10079" t="str">
            <v>CTC</v>
          </cell>
          <cell r="K10079" t="str">
            <v>YES</v>
          </cell>
        </row>
        <row r="10080">
          <cell r="I10080" t="str">
            <v>V53866</v>
          </cell>
          <cell r="J10080" t="str">
            <v>STAT</v>
          </cell>
          <cell r="K10080" t="str">
            <v>YES</v>
          </cell>
        </row>
        <row r="10081">
          <cell r="I10081" t="str">
            <v>V51039</v>
          </cell>
          <cell r="J10081" t="str">
            <v>CTC</v>
          </cell>
          <cell r="K10081" t="str">
            <v>YES</v>
          </cell>
        </row>
        <row r="10082">
          <cell r="I10082" t="str">
            <v>V53757</v>
          </cell>
          <cell r="J10082" t="str">
            <v>CTC</v>
          </cell>
          <cell r="K10082" t="str">
            <v>YES</v>
          </cell>
        </row>
        <row r="10083">
          <cell r="I10083" t="str">
            <v>V53682</v>
          </cell>
          <cell r="J10083" t="str">
            <v>CTC</v>
          </cell>
          <cell r="K10083" t="str">
            <v>YES</v>
          </cell>
        </row>
        <row r="10084">
          <cell r="I10084" t="str">
            <v>V53723</v>
          </cell>
          <cell r="J10084" t="str">
            <v>CTC</v>
          </cell>
          <cell r="K10084" t="str">
            <v>YES</v>
          </cell>
        </row>
        <row r="10085">
          <cell r="I10085" t="str">
            <v>V53656</v>
          </cell>
          <cell r="J10085" t="str">
            <v>CTC</v>
          </cell>
          <cell r="K10085" t="str">
            <v>YES</v>
          </cell>
        </row>
        <row r="10086">
          <cell r="I10086" t="str">
            <v>V53749</v>
          </cell>
          <cell r="J10086" t="str">
            <v>CTC</v>
          </cell>
          <cell r="K10086" t="str">
            <v>YES</v>
          </cell>
        </row>
        <row r="10087">
          <cell r="I10087" t="str">
            <v>V53954</v>
          </cell>
          <cell r="J10087" t="str">
            <v>STAT</v>
          </cell>
          <cell r="K10087" t="str">
            <v>YES</v>
          </cell>
        </row>
        <row r="10088">
          <cell r="I10088" t="str">
            <v>V53524</v>
          </cell>
          <cell r="J10088" t="str">
            <v>CTC</v>
          </cell>
          <cell r="K10088" t="str">
            <v>YES</v>
          </cell>
        </row>
        <row r="10089">
          <cell r="I10089" t="str">
            <v>V54044</v>
          </cell>
          <cell r="J10089" t="str">
            <v>CTC</v>
          </cell>
          <cell r="K10089" t="str">
            <v>YES</v>
          </cell>
        </row>
        <row r="10090">
          <cell r="I10090" t="str">
            <v>V53707</v>
          </cell>
          <cell r="J10090" t="str">
            <v>CTC</v>
          </cell>
          <cell r="K10090" t="str">
            <v>YES</v>
          </cell>
        </row>
        <row r="10091">
          <cell r="I10091" t="str">
            <v>V53751</v>
          </cell>
          <cell r="J10091" t="str">
            <v>CTC</v>
          </cell>
          <cell r="K10091" t="str">
            <v>YES</v>
          </cell>
        </row>
        <row r="10092">
          <cell r="I10092" t="str">
            <v>V53797</v>
          </cell>
          <cell r="J10092" t="str">
            <v>CTC</v>
          </cell>
          <cell r="K10092" t="str">
            <v>YES</v>
          </cell>
        </row>
        <row r="10093">
          <cell r="I10093" t="str">
            <v>V52942</v>
          </cell>
          <cell r="J10093" t="str">
            <v>STAT</v>
          </cell>
          <cell r="K10093" t="str">
            <v>YES</v>
          </cell>
        </row>
        <row r="10094">
          <cell r="I10094" t="str">
            <v>V53522</v>
          </cell>
          <cell r="J10094" t="str">
            <v>CTC</v>
          </cell>
          <cell r="K10094" t="str">
            <v>YES</v>
          </cell>
        </row>
        <row r="10095">
          <cell r="I10095" t="str">
            <v>V52086</v>
          </cell>
          <cell r="J10095" t="str">
            <v>CTC</v>
          </cell>
          <cell r="K10095" t="str">
            <v>YES</v>
          </cell>
        </row>
        <row r="10096">
          <cell r="I10096" t="str">
            <v>V53206</v>
          </cell>
          <cell r="J10096" t="str">
            <v>STAT</v>
          </cell>
          <cell r="K10096" t="str">
            <v>YES</v>
          </cell>
        </row>
        <row r="10097">
          <cell r="I10097" t="str">
            <v>V53812</v>
          </cell>
          <cell r="J10097" t="str">
            <v>CTC</v>
          </cell>
          <cell r="K10097" t="str">
            <v>YES</v>
          </cell>
        </row>
        <row r="10098">
          <cell r="I10098" t="str">
            <v>V53194</v>
          </cell>
          <cell r="J10098" t="str">
            <v>STAT</v>
          </cell>
          <cell r="K10098" t="str">
            <v>YES</v>
          </cell>
        </row>
        <row r="10099">
          <cell r="I10099" t="str">
            <v>V53444</v>
          </cell>
          <cell r="J10099" t="str">
            <v>CTC</v>
          </cell>
          <cell r="K10099" t="str">
            <v>YES</v>
          </cell>
        </row>
        <row r="10100">
          <cell r="I10100" t="str">
            <v>V53653</v>
          </cell>
          <cell r="J10100" t="str">
            <v>CTC</v>
          </cell>
          <cell r="K10100" t="str">
            <v>YES</v>
          </cell>
        </row>
        <row r="10101">
          <cell r="I10101" t="str">
            <v>V53558</v>
          </cell>
          <cell r="J10101" t="str">
            <v>CTC</v>
          </cell>
          <cell r="K10101" t="str">
            <v>YES</v>
          </cell>
        </row>
        <row r="10102">
          <cell r="I10102" t="str">
            <v>V54000</v>
          </cell>
          <cell r="J10102" t="str">
            <v>CTC</v>
          </cell>
          <cell r="K10102" t="str">
            <v>YES</v>
          </cell>
        </row>
        <row r="10103">
          <cell r="I10103" t="str">
            <v>V53718</v>
          </cell>
          <cell r="J10103" t="str">
            <v>CTC</v>
          </cell>
          <cell r="K10103" t="str">
            <v>YES</v>
          </cell>
        </row>
        <row r="10104">
          <cell r="I10104" t="str">
            <v>V52520</v>
          </cell>
          <cell r="J10104" t="str">
            <v>STAT</v>
          </cell>
          <cell r="K10104" t="str">
            <v>YES</v>
          </cell>
        </row>
        <row r="10105">
          <cell r="I10105" t="str">
            <v>V54116</v>
          </cell>
          <cell r="J10105" t="str">
            <v>STAT</v>
          </cell>
          <cell r="K10105" t="str">
            <v>YES</v>
          </cell>
        </row>
        <row r="10106">
          <cell r="I10106" t="str">
            <v>V53716</v>
          </cell>
          <cell r="J10106" t="str">
            <v>CTC</v>
          </cell>
          <cell r="K10106" t="str">
            <v>YES</v>
          </cell>
        </row>
        <row r="10107">
          <cell r="I10107" t="str">
            <v>V51471</v>
          </cell>
          <cell r="J10107" t="str">
            <v>CTC</v>
          </cell>
          <cell r="K10107" t="str">
            <v>YES</v>
          </cell>
        </row>
        <row r="10108">
          <cell r="I10108" t="str">
            <v>V53114</v>
          </cell>
          <cell r="J10108" t="str">
            <v>STAT</v>
          </cell>
          <cell r="K10108" t="str">
            <v>YES</v>
          </cell>
        </row>
        <row r="10109">
          <cell r="I10109" t="str">
            <v>V53908</v>
          </cell>
          <cell r="J10109" t="str">
            <v>CTC</v>
          </cell>
          <cell r="K10109" t="str">
            <v>YES</v>
          </cell>
        </row>
        <row r="10110">
          <cell r="I10110" t="str">
            <v>V53481</v>
          </cell>
          <cell r="J10110" t="str">
            <v>CTC</v>
          </cell>
          <cell r="K10110" t="str">
            <v>YES</v>
          </cell>
        </row>
        <row r="10111">
          <cell r="I10111" t="str">
            <v>V53925</v>
          </cell>
          <cell r="J10111" t="str">
            <v>CTC</v>
          </cell>
          <cell r="K10111" t="str">
            <v>YES</v>
          </cell>
        </row>
        <row r="10112">
          <cell r="I10112" t="str">
            <v>V53838</v>
          </cell>
          <cell r="J10112" t="str">
            <v>CTC</v>
          </cell>
          <cell r="K10112" t="str">
            <v>YES</v>
          </cell>
        </row>
        <row r="10113">
          <cell r="I10113" t="str">
            <v>V53929</v>
          </cell>
          <cell r="J10113" t="str">
            <v>CTC</v>
          </cell>
          <cell r="K10113" t="str">
            <v>YES</v>
          </cell>
        </row>
        <row r="10114">
          <cell r="I10114" t="str">
            <v>V53951</v>
          </cell>
          <cell r="J10114" t="str">
            <v>CTC</v>
          </cell>
          <cell r="K10114" t="str">
            <v>YES</v>
          </cell>
        </row>
        <row r="10115">
          <cell r="I10115" t="str">
            <v>V53910</v>
          </cell>
          <cell r="J10115" t="str">
            <v>CTC</v>
          </cell>
          <cell r="K10115" t="str">
            <v>YES</v>
          </cell>
        </row>
        <row r="10116">
          <cell r="I10116" t="str">
            <v>V53141</v>
          </cell>
          <cell r="J10116" t="str">
            <v>STAT</v>
          </cell>
          <cell r="K10116" t="str">
            <v>YES</v>
          </cell>
        </row>
        <row r="10117">
          <cell r="I10117" t="str">
            <v>V52969</v>
          </cell>
          <cell r="J10117" t="str">
            <v>STAT</v>
          </cell>
          <cell r="K10117" t="str">
            <v>YES</v>
          </cell>
        </row>
        <row r="10118">
          <cell r="I10118" t="str">
            <v>V53794</v>
          </cell>
          <cell r="J10118" t="str">
            <v>CTC</v>
          </cell>
          <cell r="K10118" t="str">
            <v>YES</v>
          </cell>
        </row>
        <row r="10119">
          <cell r="I10119" t="str">
            <v>V53985</v>
          </cell>
          <cell r="J10119" t="str">
            <v>CTC</v>
          </cell>
          <cell r="K10119" t="str">
            <v>YES</v>
          </cell>
        </row>
        <row r="10120">
          <cell r="I10120" t="str">
            <v>V53896</v>
          </cell>
          <cell r="J10120" t="str">
            <v>CTC</v>
          </cell>
          <cell r="K10120" t="str">
            <v>YES</v>
          </cell>
        </row>
        <row r="10121">
          <cell r="I10121" t="str">
            <v>V53900</v>
          </cell>
          <cell r="J10121" t="str">
            <v>CTC</v>
          </cell>
          <cell r="K10121" t="str">
            <v>YES</v>
          </cell>
        </row>
        <row r="10122">
          <cell r="I10122" t="str">
            <v>V51565</v>
          </cell>
          <cell r="J10122" t="str">
            <v>CTC</v>
          </cell>
          <cell r="K10122" t="str">
            <v>YES</v>
          </cell>
        </row>
        <row r="10123">
          <cell r="I10123" t="str">
            <v>V53128</v>
          </cell>
          <cell r="J10123" t="str">
            <v>STAT</v>
          </cell>
          <cell r="K10123" t="str">
            <v>YES</v>
          </cell>
        </row>
        <row r="10124">
          <cell r="I10124" t="str">
            <v>V53307</v>
          </cell>
          <cell r="J10124" t="str">
            <v>CTC</v>
          </cell>
          <cell r="K10124" t="str">
            <v>YES</v>
          </cell>
        </row>
        <row r="10125">
          <cell r="I10125" t="str">
            <v>V45285</v>
          </cell>
          <cell r="J10125" t="str">
            <v>STAT</v>
          </cell>
          <cell r="K10125" t="str">
            <v>YES</v>
          </cell>
        </row>
        <row r="10126">
          <cell r="I10126" t="str">
            <v>V53326</v>
          </cell>
          <cell r="J10126" t="str">
            <v>CTC</v>
          </cell>
          <cell r="K10126" t="str">
            <v>YES</v>
          </cell>
        </row>
        <row r="10127">
          <cell r="I10127" t="str">
            <v>V52111</v>
          </cell>
          <cell r="J10127" t="str">
            <v>CTC</v>
          </cell>
          <cell r="K10127" t="str">
            <v>YES</v>
          </cell>
        </row>
        <row r="10128">
          <cell r="I10128" t="str">
            <v>V53065</v>
          </cell>
          <cell r="J10128" t="str">
            <v>STAT</v>
          </cell>
          <cell r="K10128" t="str">
            <v>YES</v>
          </cell>
        </row>
        <row r="10129">
          <cell r="I10129" t="str">
            <v>V51519</v>
          </cell>
          <cell r="J10129" t="str">
            <v>CTC</v>
          </cell>
          <cell r="K10129" t="str">
            <v>YES</v>
          </cell>
        </row>
        <row r="10130">
          <cell r="I10130" t="str">
            <v>V52871</v>
          </cell>
          <cell r="J10130" t="str">
            <v>STAT</v>
          </cell>
          <cell r="K10130" t="str">
            <v>YES</v>
          </cell>
        </row>
        <row r="10131">
          <cell r="I10131" t="str">
            <v>V53680</v>
          </cell>
          <cell r="J10131" t="str">
            <v>CTC</v>
          </cell>
          <cell r="K10131" t="str">
            <v>YES</v>
          </cell>
        </row>
        <row r="10132">
          <cell r="I10132" t="str">
            <v>V53681</v>
          </cell>
          <cell r="J10132" t="str">
            <v>CTC</v>
          </cell>
          <cell r="K10132" t="str">
            <v>YES</v>
          </cell>
        </row>
        <row r="10133">
          <cell r="I10133" t="str">
            <v>V54004</v>
          </cell>
          <cell r="J10133" t="str">
            <v>CTC</v>
          </cell>
          <cell r="K10133" t="str">
            <v>YES</v>
          </cell>
        </row>
        <row r="10134">
          <cell r="I10134" t="str">
            <v>V54006</v>
          </cell>
          <cell r="J10134" t="str">
            <v>CTC</v>
          </cell>
          <cell r="K10134" t="str">
            <v>YES</v>
          </cell>
        </row>
        <row r="10135">
          <cell r="I10135" t="str">
            <v>V53324</v>
          </cell>
          <cell r="J10135" t="str">
            <v>CTC</v>
          </cell>
          <cell r="K10135" t="str">
            <v>YES</v>
          </cell>
        </row>
        <row r="10136">
          <cell r="I10136" t="str">
            <v>V52945</v>
          </cell>
          <cell r="J10136" t="str">
            <v>STAT</v>
          </cell>
          <cell r="K10136" t="str">
            <v>YES</v>
          </cell>
        </row>
        <row r="10137">
          <cell r="I10137" t="str">
            <v>V51456</v>
          </cell>
          <cell r="J10137" t="str">
            <v>CTC</v>
          </cell>
          <cell r="K10137" t="str">
            <v>YES</v>
          </cell>
        </row>
        <row r="10138">
          <cell r="I10138" t="str">
            <v>V54072</v>
          </cell>
          <cell r="J10138" t="str">
            <v>CTC</v>
          </cell>
          <cell r="K10138" t="str">
            <v>YES</v>
          </cell>
        </row>
        <row r="10139">
          <cell r="I10139" t="str">
            <v>V53710</v>
          </cell>
          <cell r="J10139" t="str">
            <v>CTC</v>
          </cell>
          <cell r="K10139" t="str">
            <v>YES</v>
          </cell>
        </row>
        <row r="10140">
          <cell r="I10140" t="str">
            <v>V54023</v>
          </cell>
          <cell r="J10140" t="str">
            <v>YES</v>
          </cell>
          <cell r="K10140" t="str">
            <v>YES</v>
          </cell>
        </row>
        <row r="10141">
          <cell r="I10141" t="str">
            <v>V53745</v>
          </cell>
          <cell r="J10141" t="str">
            <v>CTC</v>
          </cell>
          <cell r="K10141" t="str">
            <v>YES</v>
          </cell>
        </row>
        <row r="10142">
          <cell r="I10142" t="str">
            <v>V53921</v>
          </cell>
          <cell r="J10142" t="str">
            <v>CTC</v>
          </cell>
          <cell r="K10142" t="str">
            <v>YES</v>
          </cell>
        </row>
        <row r="10143">
          <cell r="I10143" t="str">
            <v>V53750</v>
          </cell>
          <cell r="J10143" t="str">
            <v>CTC</v>
          </cell>
          <cell r="K10143" t="str">
            <v>YES</v>
          </cell>
        </row>
        <row r="10144">
          <cell r="I10144" t="str">
            <v>V52974</v>
          </cell>
          <cell r="J10144" t="str">
            <v>STAT</v>
          </cell>
          <cell r="K10144" t="str">
            <v>YES</v>
          </cell>
        </row>
        <row r="10145">
          <cell r="I10145" t="str">
            <v>V52314</v>
          </cell>
          <cell r="J10145" t="str">
            <v>STAT</v>
          </cell>
          <cell r="K10145" t="str">
            <v>YES</v>
          </cell>
        </row>
        <row r="10146">
          <cell r="I10146" t="str">
            <v>V53928</v>
          </cell>
          <cell r="J10146" t="str">
            <v>CTC</v>
          </cell>
          <cell r="K10146" t="str">
            <v>YES</v>
          </cell>
        </row>
        <row r="10147">
          <cell r="I10147" t="str">
            <v>V52820</v>
          </cell>
          <cell r="J10147" t="str">
            <v>STAT</v>
          </cell>
          <cell r="K10147" t="str">
            <v>YES</v>
          </cell>
        </row>
        <row r="10148">
          <cell r="I10148" t="str">
            <v>V53971</v>
          </cell>
          <cell r="J10148" t="str">
            <v>CTC</v>
          </cell>
          <cell r="K10148" t="str">
            <v>YES</v>
          </cell>
        </row>
        <row r="10149">
          <cell r="I10149" t="str">
            <v>V53918</v>
          </cell>
          <cell r="J10149" t="str">
            <v>STAT</v>
          </cell>
          <cell r="K10149" t="str">
            <v>YES</v>
          </cell>
        </row>
        <row r="10150">
          <cell r="I10150" t="str">
            <v>V52304</v>
          </cell>
          <cell r="J10150" t="str">
            <v>CTC</v>
          </cell>
          <cell r="K10150" t="str">
            <v>YES</v>
          </cell>
        </row>
        <row r="10151">
          <cell r="I10151" t="str">
            <v>V54439</v>
          </cell>
          <cell r="J10151" t="str">
            <v>YES</v>
          </cell>
          <cell r="K10151" t="str">
            <v>YES</v>
          </cell>
        </row>
        <row r="10152">
          <cell r="I10152" t="str">
            <v>V53924</v>
          </cell>
          <cell r="J10152" t="str">
            <v>STAT</v>
          </cell>
          <cell r="K10152" t="str">
            <v>YES</v>
          </cell>
        </row>
        <row r="10153">
          <cell r="I10153" t="str">
            <v>V43906</v>
          </cell>
          <cell r="J10153" t="str">
            <v>STAT</v>
          </cell>
          <cell r="K10153" t="str">
            <v>YES</v>
          </cell>
        </row>
        <row r="10154">
          <cell r="I10154" t="str">
            <v>V53938</v>
          </cell>
          <cell r="J10154" t="str">
            <v>CTC</v>
          </cell>
          <cell r="K10154" t="str">
            <v>YES</v>
          </cell>
        </row>
        <row r="10155">
          <cell r="I10155" t="str">
            <v>V49965</v>
          </cell>
          <cell r="J10155" t="str">
            <v>STAT</v>
          </cell>
          <cell r="K10155" t="str">
            <v>YES</v>
          </cell>
        </row>
        <row r="10156">
          <cell r="I10156" t="str">
            <v>V53963</v>
          </cell>
          <cell r="J10156" t="str">
            <v>CTC</v>
          </cell>
          <cell r="K10156" t="str">
            <v>YES</v>
          </cell>
        </row>
        <row r="10157">
          <cell r="I10157" t="str">
            <v>V51412</v>
          </cell>
          <cell r="J10157" t="str">
            <v>CTC</v>
          </cell>
          <cell r="K10157" t="str">
            <v>YES</v>
          </cell>
        </row>
        <row r="10158">
          <cell r="I10158" t="str">
            <v>V54095</v>
          </cell>
          <cell r="J10158" t="str">
            <v>CTC</v>
          </cell>
          <cell r="K10158" t="str">
            <v>YES</v>
          </cell>
        </row>
        <row r="10159">
          <cell r="I10159" t="str">
            <v>V54115</v>
          </cell>
          <cell r="J10159" t="str">
            <v>STAT</v>
          </cell>
          <cell r="K10159" t="str">
            <v>YES</v>
          </cell>
        </row>
        <row r="10160">
          <cell r="I10160" t="str">
            <v>V53891</v>
          </cell>
          <cell r="J10160" t="str">
            <v>CTC</v>
          </cell>
          <cell r="K10160" t="str">
            <v>YES</v>
          </cell>
        </row>
        <row r="10161">
          <cell r="I10161" t="str">
            <v>V54028</v>
          </cell>
          <cell r="J10161" t="str">
            <v>CTC</v>
          </cell>
          <cell r="K10161" t="str">
            <v>YES</v>
          </cell>
        </row>
        <row r="10162">
          <cell r="I10162" t="str">
            <v>V53962</v>
          </cell>
          <cell r="J10162" t="str">
            <v>CTC</v>
          </cell>
          <cell r="K10162" t="str">
            <v>YES</v>
          </cell>
        </row>
        <row r="10163">
          <cell r="I10163" t="str">
            <v>V54041</v>
          </cell>
          <cell r="J10163" t="str">
            <v>CTC</v>
          </cell>
          <cell r="K10163" t="str">
            <v>YES</v>
          </cell>
        </row>
        <row r="10164">
          <cell r="I10164" t="str">
            <v>V54021</v>
          </cell>
          <cell r="J10164" t="str">
            <v>CTC</v>
          </cell>
          <cell r="K10164" t="str">
            <v>YES</v>
          </cell>
        </row>
        <row r="10165">
          <cell r="I10165" t="str">
            <v>V52609</v>
          </cell>
          <cell r="J10165" t="str">
            <v>STAT</v>
          </cell>
          <cell r="K10165" t="str">
            <v>YES</v>
          </cell>
        </row>
        <row r="10166">
          <cell r="I10166" t="str">
            <v>V52729</v>
          </cell>
          <cell r="J10166" t="str">
            <v>STAT</v>
          </cell>
          <cell r="K10166" t="str">
            <v>YES</v>
          </cell>
        </row>
        <row r="10167">
          <cell r="I10167" t="str">
            <v>V52652</v>
          </cell>
          <cell r="J10167" t="str">
            <v>STAT</v>
          </cell>
          <cell r="K10167" t="str">
            <v>YES</v>
          </cell>
        </row>
        <row r="10168">
          <cell r="I10168" t="str">
            <v>V54070</v>
          </cell>
          <cell r="J10168" t="str">
            <v>CTC</v>
          </cell>
          <cell r="K10168" t="str">
            <v>YES</v>
          </cell>
        </row>
        <row r="10169">
          <cell r="I10169" t="str">
            <v>V53530</v>
          </cell>
          <cell r="J10169" t="str">
            <v>CTC</v>
          </cell>
          <cell r="K10169" t="str">
            <v>YES</v>
          </cell>
        </row>
        <row r="10170">
          <cell r="I10170" t="str">
            <v>V53823</v>
          </cell>
          <cell r="J10170" t="str">
            <v>CTC</v>
          </cell>
          <cell r="K10170" t="str">
            <v>YES</v>
          </cell>
        </row>
        <row r="10171">
          <cell r="I10171" t="str">
            <v>V53917</v>
          </cell>
          <cell r="J10171" t="str">
            <v>STAT</v>
          </cell>
          <cell r="K10171" t="str">
            <v>YES</v>
          </cell>
        </row>
        <row r="10172">
          <cell r="I10172" t="str">
            <v>V52365</v>
          </cell>
          <cell r="J10172" t="str">
            <v>CTC</v>
          </cell>
          <cell r="K10172" t="str">
            <v>YES</v>
          </cell>
        </row>
        <row r="10173">
          <cell r="I10173" t="str">
            <v>V54122</v>
          </cell>
          <cell r="J10173" t="str">
            <v>STAT</v>
          </cell>
          <cell r="K10173" t="str">
            <v>YES</v>
          </cell>
        </row>
        <row r="10174">
          <cell r="I10174" t="str">
            <v>V53850</v>
          </cell>
          <cell r="J10174" t="str">
            <v>CTC</v>
          </cell>
          <cell r="K10174" t="str">
            <v>YES</v>
          </cell>
        </row>
        <row r="10175">
          <cell r="I10175" t="str">
            <v>V53440</v>
          </cell>
          <cell r="J10175" t="str">
            <v>CTC</v>
          </cell>
          <cell r="K10175" t="str">
            <v>YES</v>
          </cell>
        </row>
        <row r="10176">
          <cell r="I10176" t="str">
            <v>V54142</v>
          </cell>
          <cell r="J10176" t="str">
            <v>STAT</v>
          </cell>
          <cell r="K10176" t="str">
            <v>YES</v>
          </cell>
        </row>
        <row r="10177">
          <cell r="I10177" t="str">
            <v>V53899</v>
          </cell>
          <cell r="J10177" t="str">
            <v>CTC</v>
          </cell>
          <cell r="K10177" t="str">
            <v>YES</v>
          </cell>
        </row>
        <row r="10178">
          <cell r="I10178" t="str">
            <v>V53931</v>
          </cell>
          <cell r="J10178" t="str">
            <v>CTC</v>
          </cell>
          <cell r="K10178" t="str">
            <v>YES</v>
          </cell>
        </row>
        <row r="10179">
          <cell r="I10179" t="str">
            <v>V54105</v>
          </cell>
          <cell r="J10179" t="str">
            <v>STAT</v>
          </cell>
          <cell r="K10179" t="str">
            <v>YES</v>
          </cell>
        </row>
        <row r="10180">
          <cell r="I10180" t="str">
            <v>V53960</v>
          </cell>
          <cell r="J10180" t="str">
            <v>CTC</v>
          </cell>
          <cell r="K10180" t="str">
            <v>YES</v>
          </cell>
        </row>
        <row r="10181">
          <cell r="I10181" t="str">
            <v>V54037</v>
          </cell>
          <cell r="J10181" t="str">
            <v>STAT</v>
          </cell>
          <cell r="K10181" t="str">
            <v>YES</v>
          </cell>
        </row>
        <row r="10182">
          <cell r="I10182" t="str">
            <v>V54049</v>
          </cell>
          <cell r="J10182" t="str">
            <v>CTC</v>
          </cell>
          <cell r="K10182" t="str">
            <v>YES</v>
          </cell>
        </row>
        <row r="10183">
          <cell r="I10183" t="str">
            <v>V54048</v>
          </cell>
          <cell r="J10183" t="str">
            <v>CTC</v>
          </cell>
          <cell r="K10183" t="str">
            <v>YES</v>
          </cell>
        </row>
        <row r="10184">
          <cell r="I10184" t="str">
            <v>V54094</v>
          </cell>
          <cell r="J10184" t="str">
            <v>CTC</v>
          </cell>
          <cell r="K10184" t="str">
            <v>YES</v>
          </cell>
        </row>
        <row r="10185">
          <cell r="I10185" t="str">
            <v>V54059</v>
          </cell>
          <cell r="J10185" t="str">
            <v>CTC</v>
          </cell>
          <cell r="K10185" t="str">
            <v>YES</v>
          </cell>
        </row>
        <row r="10186">
          <cell r="I10186" t="str">
            <v>V53545</v>
          </cell>
          <cell r="J10186" t="str">
            <v>CTC</v>
          </cell>
          <cell r="K10186" t="str">
            <v>YES</v>
          </cell>
        </row>
        <row r="10187">
          <cell r="I10187" t="str">
            <v>V53450</v>
          </cell>
          <cell r="J10187" t="str">
            <v>CTC</v>
          </cell>
          <cell r="K10187" t="str">
            <v>YES</v>
          </cell>
        </row>
        <row r="10188">
          <cell r="I10188" t="str">
            <v>V53795</v>
          </cell>
          <cell r="J10188" t="str">
            <v>CTC</v>
          </cell>
          <cell r="K10188" t="str">
            <v>YES</v>
          </cell>
        </row>
        <row r="10189">
          <cell r="I10189" t="str">
            <v>V54173</v>
          </cell>
          <cell r="J10189" t="str">
            <v>CTC</v>
          </cell>
          <cell r="K10189" t="str">
            <v>YES</v>
          </cell>
        </row>
        <row r="10190">
          <cell r="I10190" t="str">
            <v>V51583</v>
          </cell>
          <cell r="J10190" t="str">
            <v>CTC</v>
          </cell>
          <cell r="K10190" t="str">
            <v>YES</v>
          </cell>
        </row>
        <row r="10191">
          <cell r="I10191" t="str">
            <v>V51484</v>
          </cell>
          <cell r="J10191" t="str">
            <v>CTC</v>
          </cell>
          <cell r="K10191" t="str">
            <v>YES</v>
          </cell>
        </row>
        <row r="10192">
          <cell r="I10192" t="str">
            <v>V52203</v>
          </cell>
          <cell r="J10192" t="str">
            <v>CTC</v>
          </cell>
          <cell r="K10192" t="str">
            <v>YES</v>
          </cell>
        </row>
        <row r="10193">
          <cell r="I10193" t="str">
            <v>V51837</v>
          </cell>
          <cell r="J10193" t="str">
            <v>CTC</v>
          </cell>
          <cell r="K10193" t="str">
            <v>YES</v>
          </cell>
        </row>
        <row r="10194">
          <cell r="I10194" t="str">
            <v>V54013</v>
          </cell>
          <cell r="J10194" t="str">
            <v>CTC</v>
          </cell>
          <cell r="K10194" t="str">
            <v>YES</v>
          </cell>
        </row>
        <row r="10195">
          <cell r="I10195" t="str">
            <v>V52972</v>
          </cell>
          <cell r="J10195" t="str">
            <v>STAT</v>
          </cell>
          <cell r="K10195" t="str">
            <v>YES</v>
          </cell>
        </row>
        <row r="10196">
          <cell r="I10196" t="str">
            <v>V53947</v>
          </cell>
          <cell r="J10196" t="str">
            <v>STAT</v>
          </cell>
          <cell r="K10196" t="str">
            <v>YES</v>
          </cell>
        </row>
        <row r="10197">
          <cell r="I10197" t="str">
            <v>V53892</v>
          </cell>
          <cell r="J10197" t="str">
            <v>CTC</v>
          </cell>
          <cell r="K10197" t="str">
            <v>YES</v>
          </cell>
        </row>
        <row r="10198">
          <cell r="I10198" t="str">
            <v>V53961</v>
          </cell>
          <cell r="J10198" t="str">
            <v>CTC</v>
          </cell>
          <cell r="K10198" t="str">
            <v>YES</v>
          </cell>
        </row>
        <row r="10199">
          <cell r="I10199" t="str">
            <v>V53870</v>
          </cell>
          <cell r="J10199" t="str">
            <v>CTC</v>
          </cell>
          <cell r="K10199" t="str">
            <v>YES</v>
          </cell>
        </row>
        <row r="10200">
          <cell r="I10200" t="str">
            <v>V52084</v>
          </cell>
          <cell r="J10200" t="str">
            <v>CTC</v>
          </cell>
          <cell r="K10200" t="str">
            <v>YES</v>
          </cell>
        </row>
        <row r="10201">
          <cell r="I10201" t="str">
            <v>V52095</v>
          </cell>
          <cell r="J10201" t="str">
            <v>CTC</v>
          </cell>
          <cell r="K10201" t="str">
            <v>YES</v>
          </cell>
        </row>
        <row r="10202">
          <cell r="I10202" t="str">
            <v>V54073</v>
          </cell>
          <cell r="J10202" t="str">
            <v>CTC</v>
          </cell>
          <cell r="K10202" t="str">
            <v>YES</v>
          </cell>
        </row>
        <row r="10203">
          <cell r="I10203" t="str">
            <v>V52767</v>
          </cell>
          <cell r="J10203" t="str">
            <v>STAT</v>
          </cell>
          <cell r="K10203" t="str">
            <v>YES</v>
          </cell>
        </row>
        <row r="10204">
          <cell r="I10204" t="str">
            <v>V54097</v>
          </cell>
          <cell r="J10204" t="str">
            <v>STAT</v>
          </cell>
          <cell r="K10204" t="str">
            <v>YES</v>
          </cell>
        </row>
        <row r="10205">
          <cell r="I10205" t="str">
            <v>V52197</v>
          </cell>
          <cell r="J10205" t="str">
            <v>CTC</v>
          </cell>
          <cell r="K10205" t="str">
            <v>YES</v>
          </cell>
        </row>
        <row r="10206">
          <cell r="I10206" t="str">
            <v>V53888</v>
          </cell>
          <cell r="J10206" t="str">
            <v>CTC</v>
          </cell>
          <cell r="K10206" t="str">
            <v>YES</v>
          </cell>
        </row>
        <row r="10207">
          <cell r="I10207" t="str">
            <v>V51421</v>
          </cell>
          <cell r="J10207" t="str">
            <v>STAT</v>
          </cell>
          <cell r="K10207" t="str">
            <v>YES</v>
          </cell>
        </row>
        <row r="10208">
          <cell r="I10208" t="str">
            <v>V51422</v>
          </cell>
          <cell r="J10208" t="str">
            <v>STAT</v>
          </cell>
          <cell r="K10208" t="str">
            <v>YES</v>
          </cell>
        </row>
        <row r="10209">
          <cell r="I10209" t="str">
            <v>V51433</v>
          </cell>
          <cell r="J10209" t="str">
            <v>STAT</v>
          </cell>
          <cell r="K10209" t="str">
            <v>YES</v>
          </cell>
        </row>
        <row r="10210">
          <cell r="I10210" t="str">
            <v>V51945</v>
          </cell>
          <cell r="J10210" t="str">
            <v>STAT</v>
          </cell>
          <cell r="K10210" t="str">
            <v>YES</v>
          </cell>
        </row>
        <row r="10211">
          <cell r="I10211" t="str">
            <v>V53360</v>
          </cell>
          <cell r="J10211" t="str">
            <v>CTC</v>
          </cell>
          <cell r="K10211" t="str">
            <v>YES</v>
          </cell>
        </row>
        <row r="10212">
          <cell r="I10212" t="str">
            <v>V53803</v>
          </cell>
          <cell r="J10212" t="str">
            <v>CTC</v>
          </cell>
          <cell r="K10212" t="str">
            <v>YES</v>
          </cell>
        </row>
        <row r="10213">
          <cell r="I10213" t="str">
            <v>V54099</v>
          </cell>
          <cell r="J10213" t="str">
            <v>CTC</v>
          </cell>
          <cell r="K10213" t="str">
            <v>YES</v>
          </cell>
        </row>
        <row r="10214">
          <cell r="I10214" t="str">
            <v>V53059</v>
          </cell>
          <cell r="J10214" t="str">
            <v>STAT</v>
          </cell>
          <cell r="K10214" t="str">
            <v>YES</v>
          </cell>
        </row>
        <row r="10215">
          <cell r="I10215" t="str">
            <v>V53895</v>
          </cell>
          <cell r="J10215" t="str">
            <v>CTC</v>
          </cell>
          <cell r="K10215" t="str">
            <v>YES</v>
          </cell>
        </row>
        <row r="10216">
          <cell r="I10216" t="str">
            <v>V54141</v>
          </cell>
          <cell r="J10216" t="str">
            <v>CTC</v>
          </cell>
          <cell r="K10216" t="str">
            <v>YES</v>
          </cell>
        </row>
        <row r="10217">
          <cell r="I10217" t="str">
            <v>V54150</v>
          </cell>
          <cell r="J10217" t="str">
            <v>STAT</v>
          </cell>
          <cell r="K10217" t="str">
            <v>YES</v>
          </cell>
        </row>
        <row r="10218">
          <cell r="I10218" t="str">
            <v>V52727</v>
          </cell>
          <cell r="J10218" t="str">
            <v>STAT</v>
          </cell>
          <cell r="K10218" t="str">
            <v>YES</v>
          </cell>
        </row>
        <row r="10219">
          <cell r="I10219" t="str">
            <v>V51853</v>
          </cell>
          <cell r="J10219" t="str">
            <v>CTC</v>
          </cell>
          <cell r="K10219" t="str">
            <v>YES</v>
          </cell>
        </row>
        <row r="10220">
          <cell r="I10220" t="str">
            <v>V42409</v>
          </cell>
          <cell r="J10220" t="str">
            <v>CTC</v>
          </cell>
          <cell r="K10220" t="str">
            <v>YES</v>
          </cell>
        </row>
        <row r="10221">
          <cell r="I10221" t="str">
            <v>V52391</v>
          </cell>
          <cell r="J10221" t="str">
            <v>STAT</v>
          </cell>
          <cell r="K10221" t="str">
            <v>YES</v>
          </cell>
        </row>
        <row r="10222">
          <cell r="I10222" t="str">
            <v>V53956</v>
          </cell>
          <cell r="J10222" t="str">
            <v>STAT</v>
          </cell>
          <cell r="K10222" t="str">
            <v>YES</v>
          </cell>
        </row>
        <row r="10223">
          <cell r="I10223" t="str">
            <v>V54187</v>
          </cell>
          <cell r="J10223" t="str">
            <v>STAT</v>
          </cell>
          <cell r="K10223" t="str">
            <v>YES</v>
          </cell>
        </row>
        <row r="10224">
          <cell r="I10224" t="str">
            <v>V54188</v>
          </cell>
          <cell r="J10224" t="str">
            <v>STAT</v>
          </cell>
          <cell r="K10224" t="str">
            <v>YES</v>
          </cell>
        </row>
        <row r="10225">
          <cell r="I10225" t="str">
            <v>V53563</v>
          </cell>
          <cell r="J10225" t="str">
            <v>CTC</v>
          </cell>
          <cell r="K10225" t="str">
            <v>YES</v>
          </cell>
        </row>
        <row r="10226">
          <cell r="I10226" t="str">
            <v>V53732</v>
          </cell>
          <cell r="J10226" t="str">
            <v>CTC</v>
          </cell>
          <cell r="K10226" t="str">
            <v>YES</v>
          </cell>
        </row>
        <row r="10227">
          <cell r="I10227" t="str">
            <v>V53937</v>
          </cell>
          <cell r="J10227" t="str">
            <v>CTC</v>
          </cell>
          <cell r="K10227" t="str">
            <v>YES</v>
          </cell>
        </row>
        <row r="10228">
          <cell r="I10228" t="str">
            <v>V52293</v>
          </cell>
          <cell r="J10228" t="str">
            <v>CTC</v>
          </cell>
          <cell r="K10228" t="str">
            <v>YES</v>
          </cell>
        </row>
        <row r="10229">
          <cell r="I10229" t="str">
            <v>V53095</v>
          </cell>
          <cell r="J10229" t="str">
            <v>STAT</v>
          </cell>
          <cell r="K10229" t="str">
            <v>YES</v>
          </cell>
        </row>
        <row r="10230">
          <cell r="I10230" t="str">
            <v>V53853</v>
          </cell>
          <cell r="J10230" t="str">
            <v>CTC</v>
          </cell>
          <cell r="K10230" t="str">
            <v>YES</v>
          </cell>
        </row>
        <row r="10231">
          <cell r="I10231" t="str">
            <v>V52630</v>
          </cell>
          <cell r="J10231" t="str">
            <v>STAT</v>
          </cell>
          <cell r="K10231" t="str">
            <v>YES</v>
          </cell>
        </row>
        <row r="10232">
          <cell r="I10232" t="str">
            <v>V54186</v>
          </cell>
          <cell r="J10232" t="str">
            <v>STAT</v>
          </cell>
          <cell r="K10232" t="str">
            <v>YES</v>
          </cell>
        </row>
        <row r="10233">
          <cell r="I10233" t="str">
            <v>V52128</v>
          </cell>
          <cell r="J10233" t="str">
            <v>STAT</v>
          </cell>
          <cell r="K10233" t="str">
            <v>YES</v>
          </cell>
        </row>
        <row r="10234">
          <cell r="I10234" t="str">
            <v>V52748</v>
          </cell>
          <cell r="J10234" t="str">
            <v>STAT</v>
          </cell>
          <cell r="K10234" t="str">
            <v>YES</v>
          </cell>
        </row>
        <row r="10235">
          <cell r="I10235" t="str">
            <v>V53992</v>
          </cell>
          <cell r="J10235" t="str">
            <v>CTC</v>
          </cell>
          <cell r="K10235" t="str">
            <v>YES</v>
          </cell>
        </row>
        <row r="10236">
          <cell r="I10236" t="str">
            <v>V53113</v>
          </cell>
          <cell r="J10236" t="str">
            <v>STAT</v>
          </cell>
          <cell r="K10236" t="str">
            <v>YES</v>
          </cell>
        </row>
        <row r="10237">
          <cell r="I10237" t="str">
            <v>V54133</v>
          </cell>
          <cell r="J10237" t="str">
            <v>STAT</v>
          </cell>
          <cell r="K10237" t="str">
            <v>YES</v>
          </cell>
        </row>
        <row r="10238">
          <cell r="I10238" t="str">
            <v>V51865</v>
          </cell>
          <cell r="J10238" t="str">
            <v>CTC</v>
          </cell>
          <cell r="K10238" t="str">
            <v>YES</v>
          </cell>
        </row>
        <row r="10239">
          <cell r="I10239" t="str">
            <v>V54138</v>
          </cell>
          <cell r="J10239" t="str">
            <v>CTC</v>
          </cell>
          <cell r="K10239" t="str">
            <v>YES</v>
          </cell>
        </row>
        <row r="10240">
          <cell r="I10240" t="str">
            <v>V53977</v>
          </cell>
          <cell r="J10240" t="str">
            <v>CTC</v>
          </cell>
          <cell r="K10240" t="str">
            <v>YES</v>
          </cell>
        </row>
        <row r="10241">
          <cell r="I10241" t="str">
            <v>V54056</v>
          </cell>
          <cell r="J10241" t="str">
            <v>STAT</v>
          </cell>
          <cell r="K10241" t="str">
            <v>YES</v>
          </cell>
        </row>
        <row r="10242">
          <cell r="I10242" t="str">
            <v>V54038</v>
          </cell>
          <cell r="J10242" t="str">
            <v>CTC</v>
          </cell>
          <cell r="K10242" t="str">
            <v>YES</v>
          </cell>
        </row>
        <row r="10243">
          <cell r="I10243" t="str">
            <v>V52564</v>
          </cell>
          <cell r="J10243" t="str">
            <v>STAT</v>
          </cell>
          <cell r="K10243" t="str">
            <v>YES</v>
          </cell>
        </row>
        <row r="10244">
          <cell r="I10244" t="str">
            <v>V53468</v>
          </cell>
          <cell r="J10244" t="str">
            <v>CTC</v>
          </cell>
          <cell r="K10244" t="str">
            <v>YES</v>
          </cell>
        </row>
        <row r="10245">
          <cell r="I10245" t="str">
            <v>V53111</v>
          </cell>
          <cell r="J10245" t="str">
            <v>STAT</v>
          </cell>
          <cell r="K10245" t="str">
            <v>YES</v>
          </cell>
        </row>
        <row r="10246">
          <cell r="I10246" t="str">
            <v>V54251</v>
          </cell>
          <cell r="J10246" t="str">
            <v>STAT</v>
          </cell>
          <cell r="K10246" t="str">
            <v>YES</v>
          </cell>
        </row>
        <row r="10247">
          <cell r="I10247" t="str">
            <v>V54046</v>
          </cell>
          <cell r="J10247" t="str">
            <v>CTC</v>
          </cell>
          <cell r="K10247" t="str">
            <v>YES</v>
          </cell>
        </row>
        <row r="10248">
          <cell r="I10248" t="str">
            <v>V54440</v>
          </cell>
          <cell r="J10248" t="str">
            <v>CTC</v>
          </cell>
          <cell r="K10248" t="str">
            <v>YES</v>
          </cell>
        </row>
        <row r="10249">
          <cell r="I10249" t="str">
            <v>V52633</v>
          </cell>
          <cell r="J10249" t="str">
            <v>STAT</v>
          </cell>
          <cell r="K10249" t="str">
            <v>YES</v>
          </cell>
        </row>
        <row r="10250">
          <cell r="I10250" t="str">
            <v>V53466</v>
          </cell>
          <cell r="J10250" t="str">
            <v>CTC</v>
          </cell>
          <cell r="K10250" t="str">
            <v>YES</v>
          </cell>
        </row>
        <row r="10251">
          <cell r="I10251" t="str">
            <v>V52274</v>
          </cell>
          <cell r="J10251" t="str">
            <v>STAT</v>
          </cell>
          <cell r="K10251" t="str">
            <v>YES</v>
          </cell>
        </row>
        <row r="10252">
          <cell r="I10252" t="str">
            <v>V52458</v>
          </cell>
          <cell r="J10252" t="str">
            <v>STAT</v>
          </cell>
          <cell r="K10252" t="str">
            <v>YES</v>
          </cell>
        </row>
        <row r="10253">
          <cell r="I10253" t="str">
            <v>V52818</v>
          </cell>
          <cell r="J10253" t="str">
            <v>STAT</v>
          </cell>
          <cell r="K10253" t="str">
            <v>YES</v>
          </cell>
        </row>
        <row r="10254">
          <cell r="I10254" t="str">
            <v>V54211</v>
          </cell>
          <cell r="J10254" t="str">
            <v>STAT</v>
          </cell>
          <cell r="K10254" t="str">
            <v>YES</v>
          </cell>
        </row>
        <row r="10255">
          <cell r="I10255" t="str">
            <v>V54243</v>
          </cell>
          <cell r="J10255" t="str">
            <v>STAT</v>
          </cell>
          <cell r="K10255" t="str">
            <v>YES</v>
          </cell>
        </row>
        <row r="10256">
          <cell r="I10256" t="str">
            <v>V54245</v>
          </cell>
          <cell r="J10256" t="str">
            <v>STAT</v>
          </cell>
          <cell r="K10256" t="str">
            <v>YES</v>
          </cell>
        </row>
        <row r="10257">
          <cell r="I10257" t="str">
            <v>V54151</v>
          </cell>
          <cell r="J10257" t="str">
            <v>CTC</v>
          </cell>
          <cell r="K10257" t="str">
            <v>YES</v>
          </cell>
        </row>
        <row r="10258">
          <cell r="I10258" t="str">
            <v>V53968</v>
          </cell>
          <cell r="J10258" t="str">
            <v>CTC</v>
          </cell>
          <cell r="K10258" t="str">
            <v>YES</v>
          </cell>
        </row>
        <row r="10259">
          <cell r="I10259" t="str">
            <v>V53970</v>
          </cell>
          <cell r="J10259" t="str">
            <v>CTC</v>
          </cell>
          <cell r="K10259" t="str">
            <v>YES</v>
          </cell>
        </row>
        <row r="10260">
          <cell r="I10260" t="str">
            <v>V53884</v>
          </cell>
          <cell r="J10260" t="str">
            <v>CTC</v>
          </cell>
          <cell r="K10260" t="str">
            <v>YES</v>
          </cell>
        </row>
        <row r="10261">
          <cell r="I10261" t="str">
            <v>V53506</v>
          </cell>
          <cell r="J10261" t="str">
            <v>CTC</v>
          </cell>
          <cell r="K10261" t="str">
            <v>YES</v>
          </cell>
        </row>
        <row r="10262">
          <cell r="I10262" t="str">
            <v>V54020</v>
          </cell>
          <cell r="J10262" t="str">
            <v>CTC</v>
          </cell>
          <cell r="K10262" t="str">
            <v>YES</v>
          </cell>
        </row>
        <row r="10263">
          <cell r="I10263" t="str">
            <v>V54204</v>
          </cell>
          <cell r="J10263" t="str">
            <v>STAT</v>
          </cell>
          <cell r="K10263" t="str">
            <v>YES</v>
          </cell>
        </row>
        <row r="10264">
          <cell r="I10264" t="str">
            <v>V52257</v>
          </cell>
          <cell r="J10264" t="str">
            <v>CTC</v>
          </cell>
          <cell r="K10264" t="str">
            <v>YES</v>
          </cell>
        </row>
        <row r="10265">
          <cell r="I10265" t="str">
            <v>V54436</v>
          </cell>
          <cell r="J10265" t="str">
            <v>STAT</v>
          </cell>
          <cell r="K10265" t="str">
            <v>YES</v>
          </cell>
        </row>
        <row r="10266">
          <cell r="I10266" t="str">
            <v>V52168</v>
          </cell>
          <cell r="J10266" t="str">
            <v>CTC</v>
          </cell>
          <cell r="K10266" t="str">
            <v>YES</v>
          </cell>
        </row>
        <row r="10267">
          <cell r="I10267" t="str">
            <v>V52333</v>
          </cell>
          <cell r="J10267" t="str">
            <v>CTC</v>
          </cell>
          <cell r="K10267" t="str">
            <v>YES</v>
          </cell>
        </row>
        <row r="10268">
          <cell r="I10268" t="str">
            <v>V54085</v>
          </cell>
          <cell r="J10268" t="str">
            <v>CTC</v>
          </cell>
          <cell r="K10268" t="str">
            <v>YES</v>
          </cell>
        </row>
        <row r="10269">
          <cell r="I10269" t="str">
            <v>V54227</v>
          </cell>
          <cell r="J10269" t="str">
            <v>CTC</v>
          </cell>
          <cell r="K10269" t="str">
            <v>YES</v>
          </cell>
        </row>
        <row r="10270">
          <cell r="I10270" t="str">
            <v>V54169</v>
          </cell>
          <cell r="J10270" t="str">
            <v>CTC</v>
          </cell>
          <cell r="K10270" t="str">
            <v>YES</v>
          </cell>
        </row>
        <row r="10271">
          <cell r="I10271" t="str">
            <v>V52375</v>
          </cell>
          <cell r="J10271" t="str">
            <v>CTC</v>
          </cell>
          <cell r="K10271" t="str">
            <v>YES</v>
          </cell>
        </row>
        <row r="10272">
          <cell r="I10272" t="str">
            <v>V53906</v>
          </cell>
          <cell r="J10272" t="str">
            <v>CTC</v>
          </cell>
          <cell r="K10272" t="str">
            <v>YES</v>
          </cell>
        </row>
        <row r="10273">
          <cell r="I10273" t="str">
            <v>V53907</v>
          </cell>
          <cell r="J10273" t="str">
            <v>CTC</v>
          </cell>
          <cell r="K10273" t="str">
            <v>YES</v>
          </cell>
        </row>
        <row r="10274">
          <cell r="I10274" t="str">
            <v>V54342</v>
          </cell>
          <cell r="J10274" t="str">
            <v>CTC</v>
          </cell>
          <cell r="K10274" t="str">
            <v>YES</v>
          </cell>
        </row>
        <row r="10275">
          <cell r="I10275" t="str">
            <v>V54218</v>
          </cell>
          <cell r="J10275" t="str">
            <v>CTC</v>
          </cell>
          <cell r="K10275" t="str">
            <v>YES</v>
          </cell>
        </row>
        <row r="10276">
          <cell r="I10276" t="str">
            <v>V54135</v>
          </cell>
          <cell r="J10276" t="str">
            <v>CTC</v>
          </cell>
          <cell r="K10276" t="str">
            <v>YES</v>
          </cell>
        </row>
        <row r="10277">
          <cell r="I10277" t="str">
            <v>V54134</v>
          </cell>
          <cell r="J10277" t="str">
            <v>CTC</v>
          </cell>
          <cell r="K10277" t="str">
            <v>YES</v>
          </cell>
        </row>
        <row r="10278">
          <cell r="I10278" t="str">
            <v>V54149</v>
          </cell>
          <cell r="J10278" t="str">
            <v>CTC</v>
          </cell>
          <cell r="K10278" t="str">
            <v>YES</v>
          </cell>
        </row>
        <row r="10279">
          <cell r="I10279" t="str">
            <v>V53134</v>
          </cell>
          <cell r="J10279" t="str">
            <v>STAT</v>
          </cell>
          <cell r="K10279" t="str">
            <v>YES</v>
          </cell>
        </row>
        <row r="10280">
          <cell r="I10280" t="str">
            <v>V52426</v>
          </cell>
          <cell r="J10280" t="str">
            <v>CTC</v>
          </cell>
          <cell r="K10280" t="str">
            <v>YES</v>
          </cell>
        </row>
        <row r="10281">
          <cell r="I10281" t="str">
            <v>V54215</v>
          </cell>
          <cell r="J10281" t="str">
            <v>STAT</v>
          </cell>
          <cell r="K10281" t="str">
            <v>YES</v>
          </cell>
        </row>
        <row r="10282">
          <cell r="I10282" t="str">
            <v>V54208</v>
          </cell>
          <cell r="J10282" t="str">
            <v>STAT</v>
          </cell>
          <cell r="K10282" t="str">
            <v>YES</v>
          </cell>
        </row>
        <row r="10283">
          <cell r="I10283" t="str">
            <v>V54075</v>
          </cell>
          <cell r="J10283" t="str">
            <v>STAT</v>
          </cell>
          <cell r="K10283" t="str">
            <v>YES</v>
          </cell>
        </row>
        <row r="10284">
          <cell r="I10284" t="str">
            <v>V54196</v>
          </cell>
          <cell r="J10284" t="str">
            <v>CTC</v>
          </cell>
          <cell r="K10284" t="str">
            <v>YES</v>
          </cell>
        </row>
        <row r="10285">
          <cell r="I10285" t="str">
            <v>V54164</v>
          </cell>
          <cell r="J10285" t="str">
            <v>CTC</v>
          </cell>
          <cell r="K10285" t="str">
            <v>YES</v>
          </cell>
        </row>
        <row r="10286">
          <cell r="I10286" t="str">
            <v>V54027</v>
          </cell>
          <cell r="J10286" t="str">
            <v>STAT</v>
          </cell>
          <cell r="K10286" t="str">
            <v>YES</v>
          </cell>
        </row>
        <row r="10287">
          <cell r="I10287" t="str">
            <v>V54065</v>
          </cell>
          <cell r="J10287" t="str">
            <v>CTC</v>
          </cell>
          <cell r="K10287" t="str">
            <v>YES</v>
          </cell>
        </row>
        <row r="10288">
          <cell r="I10288" t="str">
            <v>V54100</v>
          </cell>
          <cell r="J10288" t="str">
            <v>CTC</v>
          </cell>
          <cell r="K10288" t="str">
            <v>YES</v>
          </cell>
        </row>
        <row r="10289">
          <cell r="I10289" t="str">
            <v>V54310</v>
          </cell>
          <cell r="J10289" t="str">
            <v>CTC</v>
          </cell>
          <cell r="K10289" t="str">
            <v>YES</v>
          </cell>
        </row>
        <row r="10290">
          <cell r="I10290" t="str">
            <v>V53729</v>
          </cell>
          <cell r="J10290" t="str">
            <v>CTC</v>
          </cell>
          <cell r="K10290" t="str">
            <v>YES</v>
          </cell>
        </row>
        <row r="10291">
          <cell r="I10291" t="str">
            <v>V54266</v>
          </cell>
          <cell r="J10291" t="str">
            <v>STAT</v>
          </cell>
          <cell r="K10291" t="str">
            <v>YES</v>
          </cell>
        </row>
        <row r="10292">
          <cell r="I10292" t="str">
            <v>V54293</v>
          </cell>
          <cell r="J10292" t="str">
            <v>STAT</v>
          </cell>
          <cell r="K10292" t="str">
            <v>YES</v>
          </cell>
        </row>
        <row r="10293">
          <cell r="I10293" t="str">
            <v>V54297</v>
          </cell>
          <cell r="J10293" t="str">
            <v>STAT</v>
          </cell>
          <cell r="K10293" t="str">
            <v>YES</v>
          </cell>
        </row>
        <row r="10294">
          <cell r="I10294" t="str">
            <v>V53733</v>
          </cell>
          <cell r="J10294" t="str">
            <v>CTC</v>
          </cell>
          <cell r="K10294" t="str">
            <v>YES</v>
          </cell>
        </row>
        <row r="10295">
          <cell r="I10295" t="str">
            <v>V54209</v>
          </cell>
          <cell r="J10295" t="str">
            <v>CTC</v>
          </cell>
          <cell r="K10295" t="str">
            <v>YES</v>
          </cell>
        </row>
        <row r="10296">
          <cell r="I10296" t="str">
            <v>V53554</v>
          </cell>
          <cell r="J10296" t="str">
            <v>CTC</v>
          </cell>
          <cell r="K10296" t="str">
            <v>YES</v>
          </cell>
        </row>
        <row r="10297">
          <cell r="I10297" t="str">
            <v>V53831</v>
          </cell>
          <cell r="J10297" t="str">
            <v>CTC</v>
          </cell>
          <cell r="K10297" t="str">
            <v>YES</v>
          </cell>
        </row>
        <row r="10298">
          <cell r="I10298" t="str">
            <v>V54207</v>
          </cell>
          <cell r="J10298" t="str">
            <v>STAT</v>
          </cell>
          <cell r="K10298" t="str">
            <v>YES</v>
          </cell>
        </row>
        <row r="10299">
          <cell r="I10299" t="str">
            <v>V54087</v>
          </cell>
          <cell r="J10299" t="str">
            <v>CTC</v>
          </cell>
          <cell r="K10299" t="str">
            <v>YES</v>
          </cell>
        </row>
        <row r="10300">
          <cell r="I10300" t="str">
            <v>V54669</v>
          </cell>
          <cell r="J10300" t="str">
            <v>STAT</v>
          </cell>
          <cell r="K10300" t="str">
            <v>YES</v>
          </cell>
        </row>
        <row r="10301">
          <cell r="I10301" t="str">
            <v>V54670</v>
          </cell>
          <cell r="J10301" t="str">
            <v>STAT</v>
          </cell>
          <cell r="K10301" t="str">
            <v>YES</v>
          </cell>
        </row>
        <row r="10302">
          <cell r="I10302" t="str">
            <v>V54066</v>
          </cell>
          <cell r="J10302" t="str">
            <v>STAT</v>
          </cell>
          <cell r="K10302" t="str">
            <v>YES</v>
          </cell>
        </row>
        <row r="10303">
          <cell r="I10303" t="str">
            <v>V54034</v>
          </cell>
          <cell r="J10303" t="str">
            <v>STAT</v>
          </cell>
          <cell r="K10303" t="str">
            <v>YES</v>
          </cell>
        </row>
        <row r="10304">
          <cell r="I10304" t="str">
            <v>V53486</v>
          </cell>
          <cell r="J10304" t="str">
            <v>CTC</v>
          </cell>
          <cell r="K10304" t="str">
            <v>YES</v>
          </cell>
        </row>
        <row r="10305">
          <cell r="I10305" t="str">
            <v>V54011</v>
          </cell>
          <cell r="J10305" t="str">
            <v>CTC</v>
          </cell>
          <cell r="K10305" t="str">
            <v>YES</v>
          </cell>
        </row>
        <row r="10306">
          <cell r="I10306" t="str">
            <v>V53432</v>
          </cell>
          <cell r="J10306" t="str">
            <v>CTC</v>
          </cell>
          <cell r="K10306" t="str">
            <v>YES</v>
          </cell>
        </row>
        <row r="10307">
          <cell r="I10307" t="str">
            <v>V53764</v>
          </cell>
          <cell r="J10307" t="str">
            <v>CTC</v>
          </cell>
          <cell r="K10307" t="str">
            <v>YES</v>
          </cell>
        </row>
        <row r="10308">
          <cell r="I10308" t="str">
            <v>V53765</v>
          </cell>
          <cell r="J10308" t="str">
            <v>CTC</v>
          </cell>
          <cell r="K10308" t="str">
            <v>YES</v>
          </cell>
        </row>
        <row r="10309">
          <cell r="I10309" t="str">
            <v>V54079</v>
          </cell>
          <cell r="J10309" t="str">
            <v>CTC</v>
          </cell>
          <cell r="K10309" t="str">
            <v>YES</v>
          </cell>
        </row>
        <row r="10310">
          <cell r="I10310" t="str">
            <v>V54252</v>
          </cell>
          <cell r="J10310" t="str">
            <v>STAT</v>
          </cell>
          <cell r="K10310" t="str">
            <v>YES</v>
          </cell>
        </row>
        <row r="10311">
          <cell r="I10311" t="str">
            <v>V54143</v>
          </cell>
          <cell r="J10311" t="str">
            <v>STAT</v>
          </cell>
          <cell r="K10311" t="str">
            <v>YES</v>
          </cell>
        </row>
        <row r="10312">
          <cell r="I10312" t="str">
            <v>V54205</v>
          </cell>
          <cell r="J10312" t="str">
            <v>STAT</v>
          </cell>
          <cell r="K10312" t="str">
            <v>YES</v>
          </cell>
        </row>
        <row r="10313">
          <cell r="I10313" t="str">
            <v>V51310</v>
          </cell>
          <cell r="J10313" t="str">
            <v>STAT</v>
          </cell>
          <cell r="K10313" t="str">
            <v>YES</v>
          </cell>
        </row>
        <row r="10314">
          <cell r="I10314" t="str">
            <v>V53007</v>
          </cell>
          <cell r="J10314" t="str">
            <v>STAT</v>
          </cell>
          <cell r="K10314" t="str">
            <v>YES</v>
          </cell>
        </row>
        <row r="10315">
          <cell r="I10315" t="str">
            <v>V54343</v>
          </cell>
          <cell r="J10315" t="str">
            <v>CTC</v>
          </cell>
          <cell r="K10315" t="str">
            <v>YES</v>
          </cell>
        </row>
        <row r="10316">
          <cell r="I10316" t="str">
            <v>V54057</v>
          </cell>
          <cell r="J10316" t="str">
            <v>STAT</v>
          </cell>
          <cell r="K10316" t="str">
            <v>YES</v>
          </cell>
        </row>
        <row r="10317">
          <cell r="I10317" t="str">
            <v>V54248</v>
          </cell>
          <cell r="J10317" t="str">
            <v>CTC</v>
          </cell>
          <cell r="K10317" t="str">
            <v>YES</v>
          </cell>
        </row>
        <row r="10318">
          <cell r="I10318" t="str">
            <v>V54033</v>
          </cell>
          <cell r="J10318" t="str">
            <v>YES</v>
          </cell>
          <cell r="K10318" t="str">
            <v>YES</v>
          </cell>
        </row>
        <row r="10319">
          <cell r="I10319" t="str">
            <v>V53912</v>
          </cell>
          <cell r="J10319" t="str">
            <v>STAT</v>
          </cell>
          <cell r="K10319" t="str">
            <v>YES</v>
          </cell>
        </row>
        <row r="10320">
          <cell r="I10320" t="str">
            <v>V52152</v>
          </cell>
          <cell r="J10320" t="str">
            <v>CTC</v>
          </cell>
          <cell r="K10320" t="str">
            <v>YES</v>
          </cell>
        </row>
        <row r="10321">
          <cell r="I10321" t="str">
            <v>V54268</v>
          </cell>
          <cell r="J10321" t="str">
            <v>STAT</v>
          </cell>
          <cell r="K10321" t="str">
            <v>YES</v>
          </cell>
        </row>
        <row r="10322">
          <cell r="I10322" t="str">
            <v>V54265</v>
          </cell>
          <cell r="J10322" t="str">
            <v>CTC</v>
          </cell>
          <cell r="K10322" t="str">
            <v>YES</v>
          </cell>
        </row>
        <row r="10323">
          <cell r="I10323" t="str">
            <v>V54363</v>
          </cell>
          <cell r="J10323" t="str">
            <v>STAT</v>
          </cell>
          <cell r="K10323" t="str">
            <v>YES</v>
          </cell>
        </row>
        <row r="10324">
          <cell r="I10324" t="str">
            <v>V54244</v>
          </cell>
          <cell r="J10324" t="str">
            <v>STAT</v>
          </cell>
          <cell r="K10324" t="str">
            <v>YES</v>
          </cell>
        </row>
        <row r="10325">
          <cell r="I10325" t="str">
            <v>V52300</v>
          </cell>
          <cell r="J10325" t="str">
            <v>CTC</v>
          </cell>
          <cell r="K10325" t="str">
            <v>YES</v>
          </cell>
        </row>
        <row r="10326">
          <cell r="I10326" t="str">
            <v>V54067</v>
          </cell>
          <cell r="J10326" t="str">
            <v>STAT</v>
          </cell>
          <cell r="K10326" t="str">
            <v>YES</v>
          </cell>
        </row>
        <row r="10327">
          <cell r="I10327" t="str">
            <v>V53936</v>
          </cell>
          <cell r="J10327" t="str">
            <v>STAT</v>
          </cell>
          <cell r="K10327" t="str">
            <v>YES</v>
          </cell>
        </row>
        <row r="10328">
          <cell r="I10328" t="str">
            <v>V54010</v>
          </cell>
          <cell r="J10328" t="str">
            <v>STAT</v>
          </cell>
          <cell r="K10328" t="str">
            <v>YES</v>
          </cell>
        </row>
        <row r="10329">
          <cell r="I10329" t="str">
            <v>V53830</v>
          </cell>
          <cell r="J10329" t="str">
            <v>CTC</v>
          </cell>
          <cell r="K10329" t="str">
            <v>YES</v>
          </cell>
        </row>
        <row r="10330">
          <cell r="I10330" t="str">
            <v>V53533</v>
          </cell>
          <cell r="J10330" t="str">
            <v>CTC</v>
          </cell>
          <cell r="K10330" t="str">
            <v>YES</v>
          </cell>
        </row>
        <row r="10331">
          <cell r="I10331" t="str">
            <v>V54206</v>
          </cell>
          <cell r="J10331" t="str">
            <v>STAT</v>
          </cell>
          <cell r="K10331" t="str">
            <v>YES</v>
          </cell>
        </row>
        <row r="10332">
          <cell r="I10332" t="str">
            <v>V53958</v>
          </cell>
          <cell r="J10332" t="str">
            <v>CTC</v>
          </cell>
          <cell r="K10332" t="str">
            <v>YES</v>
          </cell>
        </row>
        <row r="10333">
          <cell r="I10333" t="str">
            <v>V54228</v>
          </cell>
          <cell r="J10333" t="str">
            <v>STAT</v>
          </cell>
          <cell r="K10333" t="str">
            <v>YES</v>
          </cell>
        </row>
        <row r="10334">
          <cell r="I10334" t="str">
            <v>V54229</v>
          </cell>
          <cell r="J10334" t="str">
            <v>STAT</v>
          </cell>
          <cell r="K10334" t="str">
            <v>YES</v>
          </cell>
        </row>
        <row r="10335">
          <cell r="I10335" t="str">
            <v>V54250</v>
          </cell>
          <cell r="J10335" t="str">
            <v>STAT</v>
          </cell>
          <cell r="K10335" t="str">
            <v>YES</v>
          </cell>
        </row>
        <row r="10336">
          <cell r="I10336" t="str">
            <v>V54238</v>
          </cell>
          <cell r="J10336" t="str">
            <v>CTC</v>
          </cell>
          <cell r="K10336" t="str">
            <v>YES</v>
          </cell>
        </row>
        <row r="10337">
          <cell r="I10337" t="str">
            <v>V54240</v>
          </cell>
          <cell r="J10337" t="str">
            <v>CTC</v>
          </cell>
          <cell r="K10337" t="str">
            <v>YES</v>
          </cell>
        </row>
        <row r="10338">
          <cell r="I10338" t="str">
            <v>V54263</v>
          </cell>
          <cell r="J10338" t="str">
            <v>STAT</v>
          </cell>
          <cell r="K10338" t="str">
            <v>YES</v>
          </cell>
        </row>
        <row r="10339">
          <cell r="I10339" t="str">
            <v>V53074</v>
          </cell>
          <cell r="J10339" t="str">
            <v>STAT</v>
          </cell>
          <cell r="K10339" t="str">
            <v>YES</v>
          </cell>
        </row>
        <row r="10340">
          <cell r="I10340" t="str">
            <v>V52766</v>
          </cell>
          <cell r="J10340" t="str">
            <v>STAT</v>
          </cell>
          <cell r="K10340" t="str">
            <v>YES</v>
          </cell>
        </row>
        <row r="10341">
          <cell r="I10341" t="str">
            <v>V54317</v>
          </cell>
          <cell r="J10341" t="str">
            <v>CTC</v>
          </cell>
          <cell r="K10341" t="str">
            <v>YES</v>
          </cell>
        </row>
        <row r="10342">
          <cell r="I10342" t="str">
            <v>V54534</v>
          </cell>
          <cell r="J10342" t="str">
            <v>CTC</v>
          </cell>
          <cell r="K10342" t="str">
            <v>YES</v>
          </cell>
        </row>
        <row r="10343">
          <cell r="I10343" t="str">
            <v>V54313</v>
          </cell>
          <cell r="J10343" t="str">
            <v>CTC</v>
          </cell>
          <cell r="K10343" t="str">
            <v>YES</v>
          </cell>
        </row>
        <row r="10344">
          <cell r="I10344" t="str">
            <v>V53700</v>
          </cell>
          <cell r="J10344" t="str">
            <v>CTC</v>
          </cell>
          <cell r="K10344" t="str">
            <v>YES</v>
          </cell>
        </row>
        <row r="10345">
          <cell r="I10345" t="str">
            <v>V53061</v>
          </cell>
          <cell r="J10345" t="str">
            <v>STAT</v>
          </cell>
          <cell r="K10345" t="str">
            <v>YES</v>
          </cell>
        </row>
        <row r="10346">
          <cell r="I10346" t="str">
            <v>V54269</v>
          </cell>
          <cell r="J10346" t="str">
            <v>STAT</v>
          </cell>
          <cell r="K10346" t="str">
            <v>YES</v>
          </cell>
        </row>
        <row r="10347">
          <cell r="I10347" t="str">
            <v>V54191</v>
          </cell>
          <cell r="J10347" t="str">
            <v>STAT</v>
          </cell>
          <cell r="K10347" t="str">
            <v>YES</v>
          </cell>
        </row>
        <row r="10348">
          <cell r="I10348" t="str">
            <v>V54185</v>
          </cell>
          <cell r="J10348" t="str">
            <v>CTC</v>
          </cell>
          <cell r="K10348" t="str">
            <v>YES</v>
          </cell>
        </row>
        <row r="10349">
          <cell r="I10349" t="str">
            <v>V54294</v>
          </cell>
          <cell r="J10349" t="str">
            <v>STAT</v>
          </cell>
          <cell r="K10349" t="str">
            <v>YES</v>
          </cell>
        </row>
        <row r="10350">
          <cell r="I10350" t="str">
            <v>V54295</v>
          </cell>
          <cell r="J10350" t="str">
            <v>STAT</v>
          </cell>
          <cell r="K10350" t="str">
            <v>YES</v>
          </cell>
        </row>
        <row r="10351">
          <cell r="I10351" t="str">
            <v>V53734</v>
          </cell>
          <cell r="J10351" t="str">
            <v>CTC</v>
          </cell>
          <cell r="K10351" t="str">
            <v>YES</v>
          </cell>
        </row>
        <row r="10352">
          <cell r="I10352" t="str">
            <v>V52990</v>
          </cell>
          <cell r="J10352" t="str">
            <v>STAT</v>
          </cell>
          <cell r="K10352" t="str">
            <v>YES</v>
          </cell>
        </row>
        <row r="10353">
          <cell r="I10353" t="str">
            <v>V54374</v>
          </cell>
          <cell r="J10353" t="str">
            <v>CTC</v>
          </cell>
          <cell r="K10353" t="str">
            <v>YES</v>
          </cell>
        </row>
        <row r="10354">
          <cell r="I10354" t="str">
            <v>V54378</v>
          </cell>
          <cell r="J10354" t="str">
            <v>STAT</v>
          </cell>
          <cell r="K10354" t="str">
            <v>YES</v>
          </cell>
        </row>
        <row r="10355">
          <cell r="I10355" t="str">
            <v>V54233</v>
          </cell>
          <cell r="J10355" t="str">
            <v>STAT</v>
          </cell>
          <cell r="K10355" t="str">
            <v>YES</v>
          </cell>
        </row>
        <row r="10356">
          <cell r="I10356" t="str">
            <v>V54318</v>
          </cell>
          <cell r="J10356" t="str">
            <v>STAT</v>
          </cell>
          <cell r="K10356" t="str">
            <v>YES</v>
          </cell>
        </row>
        <row r="10357">
          <cell r="I10357" t="str">
            <v>V54441</v>
          </cell>
          <cell r="J10357" t="str">
            <v>CTC</v>
          </cell>
          <cell r="K10357" t="str">
            <v>YES</v>
          </cell>
        </row>
        <row r="10358">
          <cell r="I10358" t="str">
            <v>V54219</v>
          </cell>
          <cell r="J10358" t="str">
            <v>CTC</v>
          </cell>
          <cell r="K10358" t="str">
            <v>YES</v>
          </cell>
        </row>
        <row r="10359">
          <cell r="I10359" t="str">
            <v>V54324</v>
          </cell>
          <cell r="J10359" t="str">
            <v>STAT</v>
          </cell>
          <cell r="K10359" t="str">
            <v>YES</v>
          </cell>
        </row>
        <row r="10360">
          <cell r="I10360" t="str">
            <v>V54325</v>
          </cell>
          <cell r="J10360" t="str">
            <v>STAT</v>
          </cell>
          <cell r="K10360" t="str">
            <v>YES</v>
          </cell>
        </row>
        <row r="10361">
          <cell r="I10361" t="str">
            <v>V54322</v>
          </cell>
          <cell r="J10361" t="str">
            <v>CTC</v>
          </cell>
          <cell r="K10361" t="str">
            <v>YES</v>
          </cell>
        </row>
        <row r="10362">
          <cell r="I10362" t="str">
            <v>V54323</v>
          </cell>
          <cell r="J10362" t="str">
            <v>CTC</v>
          </cell>
          <cell r="K10362" t="str">
            <v>YES</v>
          </cell>
        </row>
        <row r="10363">
          <cell r="I10363" t="str">
            <v>V54391</v>
          </cell>
          <cell r="J10363" t="str">
            <v>CTC</v>
          </cell>
          <cell r="K10363" t="str">
            <v>YES</v>
          </cell>
        </row>
        <row r="10364">
          <cell r="I10364" t="str">
            <v>V54286</v>
          </cell>
          <cell r="J10364" t="str">
            <v>STAT</v>
          </cell>
          <cell r="K10364" t="str">
            <v>YES</v>
          </cell>
        </row>
        <row r="10365">
          <cell r="I10365" t="str">
            <v>V54287</v>
          </cell>
          <cell r="J10365" t="str">
            <v>STAT</v>
          </cell>
          <cell r="K10365" t="str">
            <v>YES</v>
          </cell>
        </row>
        <row r="10366">
          <cell r="I10366" t="str">
            <v>V54288</v>
          </cell>
          <cell r="J10366" t="str">
            <v>STAT</v>
          </cell>
          <cell r="K10366" t="str">
            <v>YES</v>
          </cell>
        </row>
        <row r="10367">
          <cell r="I10367" t="str">
            <v>V54289</v>
          </cell>
          <cell r="J10367" t="str">
            <v>STAT</v>
          </cell>
          <cell r="K10367" t="str">
            <v>YES</v>
          </cell>
        </row>
        <row r="10368">
          <cell r="I10368" t="str">
            <v>V54161</v>
          </cell>
          <cell r="J10368" t="str">
            <v>STAT</v>
          </cell>
          <cell r="K10368" t="str">
            <v>YES</v>
          </cell>
        </row>
        <row r="10369">
          <cell r="I10369" t="str">
            <v>V54061</v>
          </cell>
          <cell r="J10369" t="str">
            <v>CTC</v>
          </cell>
          <cell r="K10369" t="str">
            <v>YES</v>
          </cell>
        </row>
        <row r="10370">
          <cell r="I10370" t="str">
            <v>V54376</v>
          </cell>
          <cell r="J10370" t="str">
            <v>CTC</v>
          </cell>
          <cell r="K10370" t="str">
            <v>YES</v>
          </cell>
        </row>
        <row r="10371">
          <cell r="I10371" t="str">
            <v>V54284</v>
          </cell>
          <cell r="J10371" t="str">
            <v>STAT</v>
          </cell>
          <cell r="K10371" t="str">
            <v>YES</v>
          </cell>
        </row>
        <row r="10372">
          <cell r="I10372" t="str">
            <v>V52311</v>
          </cell>
          <cell r="J10372" t="str">
            <v>CTC</v>
          </cell>
          <cell r="K10372" t="str">
            <v>YES</v>
          </cell>
        </row>
        <row r="10373">
          <cell r="I10373" t="str">
            <v>V54235</v>
          </cell>
          <cell r="J10373" t="str">
            <v>CTC</v>
          </cell>
          <cell r="K10373" t="str">
            <v>YES</v>
          </cell>
        </row>
        <row r="10374">
          <cell r="I10374" t="str">
            <v>V54375</v>
          </cell>
          <cell r="J10374" t="str">
            <v>CTC</v>
          </cell>
          <cell r="K10374" t="str">
            <v>YES</v>
          </cell>
        </row>
        <row r="10375">
          <cell r="I10375" t="str">
            <v>V54500</v>
          </cell>
          <cell r="J10375" t="str">
            <v>STAT</v>
          </cell>
          <cell r="K10375" t="str">
            <v>YES</v>
          </cell>
        </row>
        <row r="10376">
          <cell r="I10376" t="str">
            <v>V54351</v>
          </cell>
          <cell r="J10376" t="str">
            <v>STAT</v>
          </cell>
          <cell r="K10376" t="str">
            <v>YES</v>
          </cell>
        </row>
        <row r="10377">
          <cell r="I10377" t="str">
            <v>V54344</v>
          </cell>
          <cell r="J10377" t="str">
            <v>STAT</v>
          </cell>
          <cell r="K10377" t="str">
            <v>YES</v>
          </cell>
        </row>
        <row r="10378">
          <cell r="I10378" t="str">
            <v>V54255</v>
          </cell>
          <cell r="J10378" t="str">
            <v>STAT</v>
          </cell>
          <cell r="K10378" t="str">
            <v>YES</v>
          </cell>
        </row>
        <row r="10379">
          <cell r="I10379" t="str">
            <v>V54257</v>
          </cell>
          <cell r="J10379" t="str">
            <v>CTC</v>
          </cell>
          <cell r="K10379" t="str">
            <v>YES</v>
          </cell>
        </row>
        <row r="10380">
          <cell r="I10380" t="str">
            <v>V54320</v>
          </cell>
          <cell r="J10380" t="str">
            <v>STAT</v>
          </cell>
          <cell r="K10380" t="str">
            <v>YES</v>
          </cell>
        </row>
        <row r="10381">
          <cell r="I10381" t="str">
            <v>V53616</v>
          </cell>
          <cell r="J10381" t="str">
            <v>CTC</v>
          </cell>
          <cell r="K10381" t="str">
            <v>YES</v>
          </cell>
        </row>
        <row r="10382">
          <cell r="I10382" t="str">
            <v>V54348</v>
          </cell>
          <cell r="J10382" t="str">
            <v>CTC</v>
          </cell>
          <cell r="K10382" t="str">
            <v>YES</v>
          </cell>
        </row>
        <row r="10383">
          <cell r="I10383" t="str">
            <v>V54280</v>
          </cell>
          <cell r="J10383" t="str">
            <v>CTC</v>
          </cell>
          <cell r="K10383" t="str">
            <v>YES</v>
          </cell>
        </row>
        <row r="10384">
          <cell r="I10384" t="str">
            <v>V54281</v>
          </cell>
          <cell r="J10384" t="str">
            <v>CTC</v>
          </cell>
          <cell r="K10384" t="str">
            <v>YES</v>
          </cell>
        </row>
        <row r="10385">
          <cell r="I10385" t="str">
            <v>V54216</v>
          </cell>
          <cell r="J10385" t="str">
            <v>CTC</v>
          </cell>
          <cell r="K10385" t="str">
            <v>YES</v>
          </cell>
        </row>
        <row r="10386">
          <cell r="I10386" t="str">
            <v>V54217</v>
          </cell>
          <cell r="J10386" t="str">
            <v>CTC</v>
          </cell>
          <cell r="K10386" t="str">
            <v>YES</v>
          </cell>
        </row>
        <row r="10387">
          <cell r="I10387" t="str">
            <v>V54262</v>
          </cell>
          <cell r="J10387" t="str">
            <v>STAT</v>
          </cell>
          <cell r="K10387" t="str">
            <v>YES</v>
          </cell>
        </row>
        <row r="10388">
          <cell r="I10388" t="str">
            <v>V54308</v>
          </cell>
          <cell r="J10388" t="str">
            <v>STAT</v>
          </cell>
          <cell r="K10388" t="str">
            <v>YES</v>
          </cell>
        </row>
        <row r="10389">
          <cell r="I10389" t="str">
            <v>V54380</v>
          </cell>
          <cell r="J10389" t="str">
            <v>STAT</v>
          </cell>
          <cell r="K10389" t="str">
            <v>YES</v>
          </cell>
        </row>
        <row r="10390">
          <cell r="I10390" t="str">
            <v>V54290</v>
          </cell>
          <cell r="J10390" t="str">
            <v>STAT</v>
          </cell>
          <cell r="K10390" t="str">
            <v>YES</v>
          </cell>
        </row>
        <row r="10391">
          <cell r="I10391" t="str">
            <v>V52201</v>
          </cell>
          <cell r="J10391" t="str">
            <v>STAT</v>
          </cell>
          <cell r="K10391" t="str">
            <v>YES</v>
          </cell>
        </row>
        <row r="10392">
          <cell r="I10392" t="str">
            <v>V54379</v>
          </cell>
          <cell r="J10392" t="str">
            <v>STAT</v>
          </cell>
          <cell r="K10392" t="str">
            <v>YES</v>
          </cell>
        </row>
        <row r="10393">
          <cell r="I10393" t="str">
            <v>V53290</v>
          </cell>
          <cell r="J10393" t="str">
            <v>STAT</v>
          </cell>
          <cell r="K10393" t="str">
            <v>YES</v>
          </cell>
        </row>
        <row r="10394">
          <cell r="I10394" t="str">
            <v>V54145</v>
          </cell>
          <cell r="J10394" t="str">
            <v>CTC</v>
          </cell>
          <cell r="K10394" t="str">
            <v>YES</v>
          </cell>
        </row>
        <row r="10395">
          <cell r="I10395" t="str">
            <v>V54305</v>
          </cell>
          <cell r="J10395" t="str">
            <v>STAT</v>
          </cell>
          <cell r="K10395" t="str">
            <v>YES</v>
          </cell>
        </row>
        <row r="10396">
          <cell r="I10396" t="str">
            <v>V54435</v>
          </cell>
          <cell r="J10396" t="str">
            <v>CTC</v>
          </cell>
          <cell r="K10396" t="str">
            <v>YES</v>
          </cell>
        </row>
        <row r="10397">
          <cell r="I10397" t="str">
            <v>V54333</v>
          </cell>
          <cell r="J10397" t="str">
            <v>STAT</v>
          </cell>
          <cell r="K10397" t="str">
            <v>YES</v>
          </cell>
        </row>
        <row r="10398">
          <cell r="I10398" t="str">
            <v>V51982</v>
          </cell>
          <cell r="J10398" t="str">
            <v>CTC</v>
          </cell>
          <cell r="K10398" t="str">
            <v>YES</v>
          </cell>
        </row>
        <row r="10399">
          <cell r="I10399" t="str">
            <v>V54386</v>
          </cell>
          <cell r="J10399" t="str">
            <v>CTC</v>
          </cell>
          <cell r="K10399" t="str">
            <v>YES</v>
          </cell>
        </row>
        <row r="10400">
          <cell r="I10400" t="str">
            <v>V54603</v>
          </cell>
          <cell r="J10400" t="str">
            <v>CTC</v>
          </cell>
          <cell r="K10400" t="str">
            <v>YES</v>
          </cell>
        </row>
        <row r="10401">
          <cell r="I10401" t="str">
            <v>V54253</v>
          </cell>
          <cell r="J10401" t="str">
            <v>STAT</v>
          </cell>
          <cell r="K10401" t="str">
            <v>YES</v>
          </cell>
        </row>
        <row r="10402">
          <cell r="I10402" t="str">
            <v>V54239</v>
          </cell>
          <cell r="J10402" t="str">
            <v>CTC</v>
          </cell>
          <cell r="K10402" t="str">
            <v>YES</v>
          </cell>
        </row>
        <row r="10403">
          <cell r="I10403" t="str">
            <v>V54329</v>
          </cell>
          <cell r="J10403" t="str">
            <v>STAT</v>
          </cell>
          <cell r="K10403" t="str">
            <v>YES</v>
          </cell>
        </row>
        <row r="10404">
          <cell r="I10404" t="str">
            <v>V54350</v>
          </cell>
          <cell r="J10404" t="str">
            <v>STAT</v>
          </cell>
          <cell r="K10404" t="str">
            <v>YES</v>
          </cell>
        </row>
        <row r="10405">
          <cell r="I10405" t="str">
            <v>V54353</v>
          </cell>
          <cell r="J10405" t="str">
            <v>STAT</v>
          </cell>
          <cell r="K10405" t="str">
            <v>YES</v>
          </cell>
        </row>
        <row r="10406">
          <cell r="I10406" t="str">
            <v>V54356</v>
          </cell>
          <cell r="J10406" t="str">
            <v>CTC</v>
          </cell>
          <cell r="K10406" t="str">
            <v>YES</v>
          </cell>
        </row>
        <row r="10407">
          <cell r="I10407" t="str">
            <v>V54357</v>
          </cell>
          <cell r="J10407" t="str">
            <v>CTC</v>
          </cell>
          <cell r="K10407" t="str">
            <v>YES</v>
          </cell>
        </row>
        <row r="10408">
          <cell r="I10408" t="str">
            <v>V54400</v>
          </cell>
          <cell r="J10408" t="str">
            <v>STAT</v>
          </cell>
          <cell r="K10408" t="str">
            <v>YES</v>
          </cell>
        </row>
        <row r="10409">
          <cell r="I10409" t="str">
            <v>V54212</v>
          </cell>
          <cell r="J10409" t="str">
            <v>STAT</v>
          </cell>
          <cell r="K10409" t="str">
            <v>YES</v>
          </cell>
        </row>
        <row r="10410">
          <cell r="I10410" t="str">
            <v>V54279</v>
          </cell>
          <cell r="J10410" t="str">
            <v>CTC</v>
          </cell>
          <cell r="K10410" t="str">
            <v>YES</v>
          </cell>
        </row>
        <row r="10411">
          <cell r="I10411" t="str">
            <v>V54346</v>
          </cell>
          <cell r="J10411" t="str">
            <v>STAT</v>
          </cell>
          <cell r="K10411" t="str">
            <v>YES</v>
          </cell>
        </row>
        <row r="10412">
          <cell r="I10412" t="str">
            <v>V54349</v>
          </cell>
          <cell r="J10412" t="str">
            <v>STAT</v>
          </cell>
          <cell r="K10412" t="str">
            <v>YES</v>
          </cell>
        </row>
        <row r="10413">
          <cell r="I10413" t="str">
            <v>V54246</v>
          </cell>
          <cell r="J10413" t="str">
            <v>CTC</v>
          </cell>
          <cell r="K10413" t="str">
            <v>YES</v>
          </cell>
        </row>
        <row r="10414">
          <cell r="I10414" t="str">
            <v>V54296</v>
          </cell>
          <cell r="J10414" t="str">
            <v>STAT</v>
          </cell>
          <cell r="K10414" t="str">
            <v>YES</v>
          </cell>
        </row>
        <row r="10415">
          <cell r="I10415" t="str">
            <v>V54299</v>
          </cell>
          <cell r="J10415" t="str">
            <v>STAT</v>
          </cell>
          <cell r="K10415" t="str">
            <v>YES</v>
          </cell>
        </row>
        <row r="10416">
          <cell r="I10416" t="str">
            <v>V54347</v>
          </cell>
          <cell r="J10416" t="str">
            <v>STAT</v>
          </cell>
          <cell r="K10416" t="str">
            <v>YES</v>
          </cell>
        </row>
        <row r="10417">
          <cell r="I10417" t="str">
            <v>V53434</v>
          </cell>
          <cell r="J10417" t="str">
            <v>CTC</v>
          </cell>
          <cell r="K10417" t="str">
            <v>YES</v>
          </cell>
        </row>
        <row r="10418">
          <cell r="I10418" t="str">
            <v>V54542</v>
          </cell>
          <cell r="J10418" t="str">
            <v>CTC</v>
          </cell>
          <cell r="K10418" t="str">
            <v>YES</v>
          </cell>
        </row>
        <row r="10419">
          <cell r="I10419" t="str">
            <v>V53747</v>
          </cell>
          <cell r="J10419" t="str">
            <v>CTC</v>
          </cell>
          <cell r="K10419" t="str">
            <v>YES</v>
          </cell>
        </row>
        <row r="10420">
          <cell r="I10420" t="str">
            <v>V52036</v>
          </cell>
          <cell r="J10420" t="str">
            <v>STAT</v>
          </cell>
          <cell r="K10420" t="str">
            <v>YES</v>
          </cell>
        </row>
        <row r="10421">
          <cell r="I10421" t="str">
            <v>V52182</v>
          </cell>
          <cell r="J10421" t="str">
            <v>CTC</v>
          </cell>
          <cell r="K10421" t="str">
            <v>YES</v>
          </cell>
        </row>
        <row r="10422">
          <cell r="I10422" t="str">
            <v>V51491</v>
          </cell>
          <cell r="J10422" t="str">
            <v>CTC</v>
          </cell>
          <cell r="K10422" t="str">
            <v>YES</v>
          </cell>
        </row>
        <row r="10423">
          <cell r="I10423" t="str">
            <v>V52394</v>
          </cell>
          <cell r="J10423" t="str">
            <v>CTC</v>
          </cell>
          <cell r="K10423" t="str">
            <v>YES</v>
          </cell>
        </row>
        <row r="10424">
          <cell r="I10424" t="str">
            <v>V54271</v>
          </cell>
          <cell r="J10424" t="str">
            <v>STAT</v>
          </cell>
          <cell r="K10424" t="str">
            <v>YES</v>
          </cell>
        </row>
        <row r="10425">
          <cell r="I10425" t="str">
            <v>V54456</v>
          </cell>
          <cell r="J10425" t="str">
            <v>STAT</v>
          </cell>
          <cell r="K10425" t="str">
            <v>YES</v>
          </cell>
        </row>
        <row r="10426">
          <cell r="I10426" t="str">
            <v>V54501</v>
          </cell>
          <cell r="J10426" t="str">
            <v>STAT</v>
          </cell>
          <cell r="K10426" t="str">
            <v>YES</v>
          </cell>
        </row>
        <row r="10427">
          <cell r="I10427" t="str">
            <v>V53781</v>
          </cell>
          <cell r="J10427" t="str">
            <v>CTC</v>
          </cell>
          <cell r="K10427" t="str">
            <v>YES</v>
          </cell>
        </row>
        <row r="10428">
          <cell r="I10428" t="str">
            <v>V54419</v>
          </cell>
          <cell r="J10428" t="str">
            <v>STAT</v>
          </cell>
          <cell r="K10428" t="str">
            <v>YES</v>
          </cell>
        </row>
        <row r="10429">
          <cell r="I10429" t="str">
            <v>V54421</v>
          </cell>
          <cell r="J10429" t="str">
            <v>STAT</v>
          </cell>
          <cell r="K10429" t="str">
            <v>YES</v>
          </cell>
        </row>
        <row r="10430">
          <cell r="I10430" t="str">
            <v>V54422</v>
          </cell>
          <cell r="J10430" t="str">
            <v>STAT</v>
          </cell>
          <cell r="K10430" t="str">
            <v>YES</v>
          </cell>
        </row>
        <row r="10431">
          <cell r="I10431" t="str">
            <v>V54345</v>
          </cell>
          <cell r="J10431" t="str">
            <v>STAT</v>
          </cell>
          <cell r="K10431" t="str">
            <v>YES</v>
          </cell>
        </row>
        <row r="10432">
          <cell r="I10432" t="str">
            <v>V54368</v>
          </cell>
          <cell r="J10432" t="str">
            <v>STAT</v>
          </cell>
          <cell r="K10432" t="str">
            <v>YES</v>
          </cell>
        </row>
        <row r="10433">
          <cell r="I10433" t="str">
            <v>V54369</v>
          </cell>
          <cell r="J10433" t="str">
            <v>STAT</v>
          </cell>
          <cell r="K10433" t="str">
            <v>YES</v>
          </cell>
        </row>
        <row r="10434">
          <cell r="I10434" t="str">
            <v>V54370</v>
          </cell>
          <cell r="J10434" t="str">
            <v>STAT</v>
          </cell>
          <cell r="K10434" t="str">
            <v>YES</v>
          </cell>
        </row>
        <row r="10435">
          <cell r="I10435" t="str">
            <v>V53057</v>
          </cell>
          <cell r="J10435" t="str">
            <v>STAT</v>
          </cell>
          <cell r="K10435" t="str">
            <v>YES</v>
          </cell>
        </row>
        <row r="10436">
          <cell r="I10436" t="str">
            <v>V53058</v>
          </cell>
          <cell r="J10436" t="str">
            <v>STAT</v>
          </cell>
          <cell r="K10436" t="str">
            <v>YES</v>
          </cell>
        </row>
        <row r="10437">
          <cell r="I10437" t="str">
            <v>V54443</v>
          </cell>
          <cell r="J10437" t="str">
            <v>STAT</v>
          </cell>
          <cell r="K10437" t="str">
            <v>YES</v>
          </cell>
        </row>
        <row r="10438">
          <cell r="I10438" t="str">
            <v>V54393</v>
          </cell>
          <cell r="J10438" t="str">
            <v>CTC</v>
          </cell>
          <cell r="K10438" t="str">
            <v>YES</v>
          </cell>
        </row>
        <row r="10439">
          <cell r="I10439" t="str">
            <v>V54352</v>
          </cell>
          <cell r="J10439" t="str">
            <v>STAT</v>
          </cell>
          <cell r="K10439" t="str">
            <v>YES</v>
          </cell>
        </row>
        <row r="10440">
          <cell r="I10440" t="str">
            <v>V54355</v>
          </cell>
          <cell r="J10440" t="str">
            <v>STAT</v>
          </cell>
          <cell r="K10440" t="str">
            <v>YES</v>
          </cell>
        </row>
        <row r="10441">
          <cell r="I10441" t="str">
            <v>V54398</v>
          </cell>
          <cell r="J10441" t="str">
            <v>STAT</v>
          </cell>
          <cell r="K10441" t="str">
            <v>YES</v>
          </cell>
        </row>
        <row r="10442">
          <cell r="I10442" t="str">
            <v>V53577</v>
          </cell>
          <cell r="J10442" t="str">
            <v>CTC</v>
          </cell>
          <cell r="K10442" t="str">
            <v>YES</v>
          </cell>
        </row>
        <row r="10443">
          <cell r="I10443" t="str">
            <v>V53697</v>
          </cell>
          <cell r="J10443" t="str">
            <v>CTC</v>
          </cell>
          <cell r="K10443" t="str">
            <v>YES</v>
          </cell>
        </row>
        <row r="10444">
          <cell r="I10444" t="str">
            <v>V53983</v>
          </cell>
          <cell r="J10444" t="str">
            <v>CTC</v>
          </cell>
          <cell r="K10444" t="str">
            <v>YES</v>
          </cell>
        </row>
        <row r="10445">
          <cell r="I10445" t="str">
            <v>V54077</v>
          </cell>
          <cell r="J10445" t="str">
            <v>CTC</v>
          </cell>
          <cell r="K10445" t="str">
            <v>YES</v>
          </cell>
        </row>
        <row r="10446">
          <cell r="I10446" t="str">
            <v>V54337</v>
          </cell>
          <cell r="J10446" t="str">
            <v>STAT</v>
          </cell>
          <cell r="K10446" t="str">
            <v>YES</v>
          </cell>
        </row>
        <row r="10447">
          <cell r="I10447" t="str">
            <v>V54373</v>
          </cell>
          <cell r="J10447" t="str">
            <v>CTC</v>
          </cell>
          <cell r="K10447" t="str">
            <v>YES</v>
          </cell>
        </row>
        <row r="10448">
          <cell r="I10448" t="str">
            <v>V52356</v>
          </cell>
          <cell r="J10448" t="str">
            <v>CTC</v>
          </cell>
          <cell r="K10448" t="str">
            <v>YES</v>
          </cell>
        </row>
        <row r="10449">
          <cell r="I10449" t="str">
            <v>V54483</v>
          </cell>
          <cell r="J10449" t="str">
            <v>STAT</v>
          </cell>
          <cell r="K10449" t="str">
            <v>YES</v>
          </cell>
        </row>
        <row r="10450">
          <cell r="I10450" t="str">
            <v>V54327</v>
          </cell>
          <cell r="J10450" t="str">
            <v>STAT</v>
          </cell>
          <cell r="K10450" t="str">
            <v>YES</v>
          </cell>
        </row>
        <row r="10451">
          <cell r="I10451" t="str">
            <v>V54328</v>
          </cell>
          <cell r="J10451" t="str">
            <v>STAT</v>
          </cell>
          <cell r="K10451" t="str">
            <v>YES</v>
          </cell>
        </row>
        <row r="10452">
          <cell r="I10452" t="str">
            <v>V54040</v>
          </cell>
          <cell r="J10452" t="str">
            <v>YES</v>
          </cell>
          <cell r="K10452" t="str">
            <v>YES</v>
          </cell>
        </row>
        <row r="10453">
          <cell r="I10453" t="str">
            <v>V51949</v>
          </cell>
          <cell r="J10453" t="str">
            <v>STAT</v>
          </cell>
          <cell r="K10453" t="str">
            <v>YES</v>
          </cell>
        </row>
        <row r="10454">
          <cell r="I10454" t="str">
            <v>V51951</v>
          </cell>
          <cell r="J10454" t="str">
            <v>STAT</v>
          </cell>
          <cell r="K10454" t="str">
            <v>YES</v>
          </cell>
        </row>
        <row r="10455">
          <cell r="I10455" t="str">
            <v>V54505</v>
          </cell>
          <cell r="J10455" t="str">
            <v>STAT</v>
          </cell>
          <cell r="K10455" t="str">
            <v>YES</v>
          </cell>
        </row>
        <row r="10456">
          <cell r="I10456" t="str">
            <v>V54514</v>
          </cell>
          <cell r="J10456" t="str">
            <v>STAT</v>
          </cell>
          <cell r="K10456" t="str">
            <v>YES</v>
          </cell>
        </row>
        <row r="10457">
          <cell r="I10457" t="str">
            <v>V54425</v>
          </cell>
          <cell r="J10457" t="str">
            <v>CTC</v>
          </cell>
          <cell r="K10457" t="str">
            <v>YES</v>
          </cell>
        </row>
        <row r="10458">
          <cell r="I10458" t="str">
            <v>V53435</v>
          </cell>
          <cell r="J10458" t="str">
            <v>CTC</v>
          </cell>
          <cell r="K10458" t="str">
            <v>YES</v>
          </cell>
        </row>
        <row r="10459">
          <cell r="I10459" t="str">
            <v>V54506</v>
          </cell>
          <cell r="J10459" t="str">
            <v>CTC</v>
          </cell>
          <cell r="K10459" t="str">
            <v>YES</v>
          </cell>
        </row>
        <row r="10460">
          <cell r="I10460" t="str">
            <v>V54407</v>
          </cell>
          <cell r="J10460" t="str">
            <v>CTC</v>
          </cell>
          <cell r="K10460" t="str">
            <v>YES</v>
          </cell>
        </row>
        <row r="10461">
          <cell r="I10461" t="str">
            <v>V54016</v>
          </cell>
          <cell r="J10461" t="str">
            <v>CTC</v>
          </cell>
          <cell r="K10461" t="str">
            <v>YES</v>
          </cell>
        </row>
        <row r="10462">
          <cell r="I10462" t="str">
            <v>V54276</v>
          </cell>
          <cell r="J10462" t="str">
            <v>STAT</v>
          </cell>
          <cell r="K10462" t="str">
            <v>YES</v>
          </cell>
        </row>
        <row r="10463">
          <cell r="I10463" t="str">
            <v>V53731</v>
          </cell>
          <cell r="J10463" t="str">
            <v>CTC</v>
          </cell>
          <cell r="K10463" t="str">
            <v>YES</v>
          </cell>
        </row>
        <row r="10464">
          <cell r="I10464" t="str">
            <v>V54107</v>
          </cell>
          <cell r="J10464" t="str">
            <v>CTC</v>
          </cell>
          <cell r="K10464" t="str">
            <v>YES</v>
          </cell>
        </row>
        <row r="10465">
          <cell r="I10465" t="str">
            <v>V54424</v>
          </cell>
          <cell r="J10465" t="str">
            <v>STAT</v>
          </cell>
          <cell r="K10465" t="str">
            <v>YES</v>
          </cell>
        </row>
        <row r="10466">
          <cell r="I10466" t="str">
            <v>V52374</v>
          </cell>
          <cell r="J10466" t="str">
            <v>CTC</v>
          </cell>
          <cell r="K10466" t="str">
            <v>YES</v>
          </cell>
        </row>
        <row r="10467">
          <cell r="I10467" t="str">
            <v>V54254</v>
          </cell>
          <cell r="J10467" t="str">
            <v>STAT</v>
          </cell>
          <cell r="K10467" t="str">
            <v>YES</v>
          </cell>
        </row>
        <row r="10468">
          <cell r="I10468" t="str">
            <v>V54319</v>
          </cell>
          <cell r="J10468" t="str">
            <v>CTC</v>
          </cell>
          <cell r="K10468" t="str">
            <v>YES</v>
          </cell>
        </row>
        <row r="10469">
          <cell r="I10469" t="str">
            <v>V54399</v>
          </cell>
          <cell r="J10469" t="str">
            <v>STAT</v>
          </cell>
          <cell r="K10469" t="str">
            <v>YES</v>
          </cell>
        </row>
        <row r="10470">
          <cell r="I10470" t="str">
            <v>V54184</v>
          </cell>
          <cell r="J10470" t="str">
            <v>CTC</v>
          </cell>
          <cell r="K10470" t="str">
            <v>YES</v>
          </cell>
        </row>
        <row r="10471">
          <cell r="I10471" t="str">
            <v>V54429</v>
          </cell>
          <cell r="J10471" t="str">
            <v>STAT</v>
          </cell>
          <cell r="K10471" t="str">
            <v>YES</v>
          </cell>
        </row>
        <row r="10472">
          <cell r="I10472" t="str">
            <v>V54431</v>
          </cell>
          <cell r="J10472" t="str">
            <v>STAT</v>
          </cell>
          <cell r="K10472" t="str">
            <v>YES</v>
          </cell>
        </row>
        <row r="10473">
          <cell r="I10473" t="str">
            <v>V54432</v>
          </cell>
          <cell r="J10473" t="str">
            <v>STAT</v>
          </cell>
          <cell r="K10473" t="str">
            <v>YES</v>
          </cell>
        </row>
        <row r="10474">
          <cell r="I10474" t="str">
            <v>V54473</v>
          </cell>
          <cell r="J10474" t="str">
            <v>CTC</v>
          </cell>
          <cell r="K10474" t="str">
            <v>YES</v>
          </cell>
        </row>
        <row r="10475">
          <cell r="I10475" t="str">
            <v>V54092</v>
          </cell>
          <cell r="J10475" t="str">
            <v>CTC</v>
          </cell>
          <cell r="K10475" t="str">
            <v>YES</v>
          </cell>
        </row>
        <row r="10476">
          <cell r="I10476" t="str">
            <v>V54537</v>
          </cell>
          <cell r="J10476" t="str">
            <v>STAT</v>
          </cell>
          <cell r="K10476" t="str">
            <v>YES</v>
          </cell>
        </row>
        <row r="10477">
          <cell r="I10477" t="str">
            <v>V54277</v>
          </cell>
          <cell r="J10477" t="str">
            <v>STAT</v>
          </cell>
          <cell r="K10477" t="str">
            <v>YES</v>
          </cell>
        </row>
        <row r="10478">
          <cell r="I10478" t="str">
            <v>V52262</v>
          </cell>
          <cell r="J10478" t="str">
            <v>CTC</v>
          </cell>
          <cell r="K10478" t="str">
            <v>YES</v>
          </cell>
        </row>
        <row r="10479">
          <cell r="I10479" t="str">
            <v>V54358</v>
          </cell>
          <cell r="J10479" t="str">
            <v>STAT</v>
          </cell>
          <cell r="K10479" t="str">
            <v>YES</v>
          </cell>
        </row>
        <row r="10480">
          <cell r="I10480" t="str">
            <v>V54453</v>
          </cell>
          <cell r="J10480" t="str">
            <v>CTC</v>
          </cell>
          <cell r="K10480" t="str">
            <v>YES</v>
          </cell>
        </row>
        <row r="10481">
          <cell r="I10481" t="str">
            <v>V54462</v>
          </cell>
          <cell r="J10481" t="str">
            <v>STAT</v>
          </cell>
          <cell r="K10481" t="str">
            <v>YES</v>
          </cell>
        </row>
        <row r="10482">
          <cell r="I10482" t="str">
            <v>V54403</v>
          </cell>
          <cell r="J10482" t="str">
            <v>CTC</v>
          </cell>
          <cell r="K10482" t="str">
            <v>YES</v>
          </cell>
        </row>
        <row r="10483">
          <cell r="I10483" t="str">
            <v>V54442</v>
          </cell>
          <cell r="J10483" t="str">
            <v>STAT</v>
          </cell>
          <cell r="K10483" t="str">
            <v>YES</v>
          </cell>
        </row>
        <row r="10484">
          <cell r="I10484" t="str">
            <v>V52662</v>
          </cell>
          <cell r="J10484" t="str">
            <v>STAT</v>
          </cell>
          <cell r="K10484" t="str">
            <v>YES</v>
          </cell>
        </row>
        <row r="10485">
          <cell r="I10485" t="str">
            <v>V53909</v>
          </cell>
          <cell r="J10485" t="str">
            <v>CTC</v>
          </cell>
          <cell r="K10485" t="str">
            <v>YES</v>
          </cell>
        </row>
        <row r="10486">
          <cell r="I10486" t="str">
            <v>V54291</v>
          </cell>
          <cell r="J10486" t="str">
            <v>STAT</v>
          </cell>
          <cell r="K10486" t="str">
            <v>YES</v>
          </cell>
        </row>
        <row r="10487">
          <cell r="I10487" t="str">
            <v>V54292</v>
          </cell>
          <cell r="J10487" t="str">
            <v>STAT</v>
          </cell>
          <cell r="K10487" t="str">
            <v>YES</v>
          </cell>
        </row>
        <row r="10488">
          <cell r="I10488" t="str">
            <v>V54367</v>
          </cell>
          <cell r="J10488" t="str">
            <v>STAT</v>
          </cell>
          <cell r="K10488" t="str">
            <v>YES</v>
          </cell>
        </row>
        <row r="10489">
          <cell r="I10489" t="str">
            <v>V54460</v>
          </cell>
          <cell r="J10489" t="str">
            <v>STAT</v>
          </cell>
          <cell r="K10489" t="str">
            <v>YES</v>
          </cell>
        </row>
        <row r="10490">
          <cell r="I10490" t="str">
            <v>V54463</v>
          </cell>
          <cell r="J10490" t="str">
            <v>STAT</v>
          </cell>
          <cell r="K10490" t="str">
            <v>YES</v>
          </cell>
        </row>
        <row r="10491">
          <cell r="I10491" t="str">
            <v>V54461</v>
          </cell>
          <cell r="J10491" t="str">
            <v>STAT</v>
          </cell>
          <cell r="K10491" t="str">
            <v>YES</v>
          </cell>
        </row>
        <row r="10492">
          <cell r="I10492" t="str">
            <v>V54471</v>
          </cell>
          <cell r="J10492" t="str">
            <v>STAT</v>
          </cell>
          <cell r="K10492" t="str">
            <v>YES</v>
          </cell>
        </row>
        <row r="10493">
          <cell r="I10493" t="str">
            <v>V53103</v>
          </cell>
          <cell r="J10493" t="str">
            <v>STAT</v>
          </cell>
          <cell r="K10493" t="str">
            <v>YES</v>
          </cell>
        </row>
        <row r="10494">
          <cell r="I10494" t="str">
            <v>V54516</v>
          </cell>
          <cell r="J10494" t="str">
            <v>STAT</v>
          </cell>
          <cell r="K10494" t="str">
            <v>YES</v>
          </cell>
        </row>
        <row r="10495">
          <cell r="I10495" t="str">
            <v>V53701</v>
          </cell>
          <cell r="J10495" t="str">
            <v>CTC</v>
          </cell>
          <cell r="K10495" t="str">
            <v>YES</v>
          </cell>
        </row>
        <row r="10496">
          <cell r="I10496" t="str">
            <v>V53640</v>
          </cell>
          <cell r="J10496" t="str">
            <v>CTC</v>
          </cell>
          <cell r="K10496" t="str">
            <v>YES</v>
          </cell>
        </row>
        <row r="10497">
          <cell r="I10497" t="str">
            <v>V54405</v>
          </cell>
          <cell r="J10497" t="str">
            <v>CTC</v>
          </cell>
          <cell r="K10497" t="str">
            <v>YES</v>
          </cell>
        </row>
        <row r="10498">
          <cell r="I10498" t="str">
            <v>V54401</v>
          </cell>
          <cell r="J10498" t="str">
            <v>STAT</v>
          </cell>
          <cell r="K10498" t="str">
            <v>YES</v>
          </cell>
        </row>
        <row r="10499">
          <cell r="I10499" t="str">
            <v>V54416</v>
          </cell>
          <cell r="J10499" t="str">
            <v>STAT</v>
          </cell>
          <cell r="K10499" t="str">
            <v>YES</v>
          </cell>
        </row>
        <row r="10500">
          <cell r="I10500" t="str">
            <v>V52665</v>
          </cell>
          <cell r="J10500" t="str">
            <v>STAT</v>
          </cell>
          <cell r="K10500" t="str">
            <v>YES</v>
          </cell>
        </row>
        <row r="10501">
          <cell r="I10501" t="str">
            <v>V54584</v>
          </cell>
          <cell r="J10501" t="str">
            <v>CTC</v>
          </cell>
          <cell r="K10501" t="str">
            <v>YES</v>
          </cell>
        </row>
        <row r="10502">
          <cell r="I10502" t="str">
            <v>V54427</v>
          </cell>
          <cell r="J10502" t="str">
            <v>STAT</v>
          </cell>
          <cell r="K10502" t="str">
            <v>YES</v>
          </cell>
        </row>
        <row r="10503">
          <cell r="I10503" t="str">
            <v>V53235</v>
          </cell>
          <cell r="J10503" t="str">
            <v>CTC</v>
          </cell>
          <cell r="K10503" t="str">
            <v>YES</v>
          </cell>
        </row>
        <row r="10504">
          <cell r="I10504" t="str">
            <v>V52946</v>
          </cell>
          <cell r="J10504" t="str">
            <v>STAT</v>
          </cell>
          <cell r="K10504" t="str">
            <v>YES</v>
          </cell>
        </row>
        <row r="10505">
          <cell r="I10505" t="str">
            <v>V54315</v>
          </cell>
          <cell r="J10505" t="str">
            <v>CTC</v>
          </cell>
          <cell r="K10505" t="str">
            <v>YES</v>
          </cell>
        </row>
        <row r="10506">
          <cell r="I10506" t="str">
            <v>V52814</v>
          </cell>
          <cell r="J10506" t="str">
            <v>STAT</v>
          </cell>
          <cell r="K10506" t="str">
            <v>YES</v>
          </cell>
        </row>
        <row r="10507">
          <cell r="I10507" t="str">
            <v>V54381</v>
          </cell>
          <cell r="J10507" t="str">
            <v>STAT</v>
          </cell>
          <cell r="K10507" t="str">
            <v>YES</v>
          </cell>
        </row>
        <row r="10508">
          <cell r="I10508" t="str">
            <v>V54383</v>
          </cell>
          <cell r="J10508" t="str">
            <v>STAT</v>
          </cell>
          <cell r="K10508" t="str">
            <v>YES</v>
          </cell>
        </row>
        <row r="10509">
          <cell r="I10509" t="str">
            <v>V54503</v>
          </cell>
          <cell r="J10509" t="str">
            <v>STAT</v>
          </cell>
          <cell r="K10509" t="str">
            <v>YES</v>
          </cell>
        </row>
        <row r="10510">
          <cell r="I10510" t="str">
            <v>V53871</v>
          </cell>
          <cell r="J10510" t="str">
            <v>CTC</v>
          </cell>
          <cell r="K10510" t="str">
            <v>YES</v>
          </cell>
        </row>
        <row r="10511">
          <cell r="I10511" t="str">
            <v>V54527</v>
          </cell>
          <cell r="J10511" t="str">
            <v>STAT</v>
          </cell>
          <cell r="K10511" t="str">
            <v>YES</v>
          </cell>
        </row>
        <row r="10512">
          <cell r="I10512" t="str">
            <v>V54573</v>
          </cell>
          <cell r="J10512" t="str">
            <v>CTC</v>
          </cell>
          <cell r="K10512" t="str">
            <v>YES</v>
          </cell>
        </row>
        <row r="10513">
          <cell r="I10513" t="str">
            <v>V54511</v>
          </cell>
          <cell r="J10513" t="str">
            <v>STAT</v>
          </cell>
          <cell r="K10513" t="str">
            <v>YES</v>
          </cell>
        </row>
        <row r="10514">
          <cell r="I10514" t="str">
            <v>V54539</v>
          </cell>
          <cell r="J10514" t="str">
            <v>STAT</v>
          </cell>
          <cell r="K10514" t="str">
            <v>YES</v>
          </cell>
        </row>
        <row r="10515">
          <cell r="I10515" t="str">
            <v>V54509</v>
          </cell>
          <cell r="J10515" t="str">
            <v>STAT</v>
          </cell>
          <cell r="K10515" t="str">
            <v>YES</v>
          </cell>
        </row>
        <row r="10516">
          <cell r="I10516" t="str">
            <v>V53218</v>
          </cell>
          <cell r="J10516" t="str">
            <v>STAT</v>
          </cell>
          <cell r="K10516" t="str">
            <v>YES</v>
          </cell>
        </row>
        <row r="10517">
          <cell r="I10517" t="str">
            <v>V54283</v>
          </cell>
          <cell r="J10517" t="str">
            <v>STAT</v>
          </cell>
          <cell r="K10517" t="str">
            <v>YES</v>
          </cell>
        </row>
        <row r="10518">
          <cell r="I10518" t="str">
            <v>V54583</v>
          </cell>
          <cell r="J10518" t="str">
            <v>STAT</v>
          </cell>
          <cell r="K10518" t="str">
            <v>YES</v>
          </cell>
        </row>
        <row r="10519">
          <cell r="I10519" t="str">
            <v>V54601</v>
          </cell>
          <cell r="J10519" t="str">
            <v>STAT</v>
          </cell>
          <cell r="K10519" t="str">
            <v>YES</v>
          </cell>
        </row>
        <row r="10520">
          <cell r="I10520" t="str">
            <v>V52663</v>
          </cell>
          <cell r="J10520" t="str">
            <v>STAT</v>
          </cell>
          <cell r="K10520" t="str">
            <v>YES</v>
          </cell>
        </row>
        <row r="10521">
          <cell r="I10521" t="str">
            <v>V53769</v>
          </cell>
          <cell r="J10521" t="str">
            <v>CTC</v>
          </cell>
          <cell r="K10521" t="str">
            <v>YES</v>
          </cell>
        </row>
        <row r="10522">
          <cell r="I10522" t="str">
            <v>V52320</v>
          </cell>
          <cell r="J10522" t="str">
            <v>CTC</v>
          </cell>
          <cell r="K10522" t="str">
            <v>YES</v>
          </cell>
        </row>
        <row r="10523">
          <cell r="I10523" t="str">
            <v>V53722</v>
          </cell>
          <cell r="J10523" t="str">
            <v>CTC</v>
          </cell>
          <cell r="K10523" t="str">
            <v>YES</v>
          </cell>
        </row>
        <row r="10524">
          <cell r="I10524" t="str">
            <v>V54171</v>
          </cell>
          <cell r="J10524" t="str">
            <v>STAT</v>
          </cell>
          <cell r="K10524" t="str">
            <v>YES</v>
          </cell>
        </row>
        <row r="10525">
          <cell r="I10525" t="str">
            <v>V54528</v>
          </cell>
          <cell r="J10525" t="str">
            <v>STAT</v>
          </cell>
          <cell r="K10525" t="str">
            <v>YES</v>
          </cell>
        </row>
        <row r="10526">
          <cell r="I10526" t="str">
            <v>V54588</v>
          </cell>
          <cell r="J10526" t="str">
            <v>STAT</v>
          </cell>
          <cell r="K10526" t="str">
            <v>YES</v>
          </cell>
        </row>
        <row r="10527">
          <cell r="I10527" t="str">
            <v>V54517</v>
          </cell>
          <cell r="J10527" t="str">
            <v>STAT</v>
          </cell>
          <cell r="K10527" t="str">
            <v>YES</v>
          </cell>
        </row>
        <row r="10528">
          <cell r="I10528" t="str">
            <v>V52346</v>
          </cell>
          <cell r="J10528" t="str">
            <v>CTC</v>
          </cell>
          <cell r="K10528" t="str">
            <v>YES</v>
          </cell>
        </row>
        <row r="10529">
          <cell r="I10529" t="str">
            <v>V53922</v>
          </cell>
          <cell r="J10529" t="str">
            <v>STAT</v>
          </cell>
          <cell r="K10529" t="str">
            <v>YES</v>
          </cell>
        </row>
        <row r="10530">
          <cell r="I10530" t="str">
            <v>V52451</v>
          </cell>
          <cell r="J10530" t="str">
            <v>CTC</v>
          </cell>
          <cell r="K10530" t="str">
            <v>YES</v>
          </cell>
        </row>
        <row r="10531">
          <cell r="I10531" t="str">
            <v>V54397</v>
          </cell>
          <cell r="J10531" t="str">
            <v>CTC</v>
          </cell>
          <cell r="K10531" t="str">
            <v>YES</v>
          </cell>
        </row>
        <row r="10532">
          <cell r="I10532" t="str">
            <v>V54366</v>
          </cell>
          <cell r="J10532" t="str">
            <v>STAT</v>
          </cell>
          <cell r="K10532" t="str">
            <v>YES</v>
          </cell>
        </row>
        <row r="10533">
          <cell r="I10533" t="str">
            <v>V54576</v>
          </cell>
          <cell r="J10533" t="str">
            <v>STAT</v>
          </cell>
          <cell r="K10533" t="str">
            <v>YES</v>
          </cell>
        </row>
        <row r="10534">
          <cell r="I10534" t="str">
            <v>V52817</v>
          </cell>
          <cell r="J10534" t="str">
            <v>STAT</v>
          </cell>
          <cell r="K10534" t="str">
            <v>YES</v>
          </cell>
        </row>
        <row r="10535">
          <cell r="I10535" t="str">
            <v>V53602</v>
          </cell>
          <cell r="J10535" t="str">
            <v>CTC</v>
          </cell>
          <cell r="K10535" t="str">
            <v>YES</v>
          </cell>
        </row>
        <row r="10536">
          <cell r="I10536" t="str">
            <v>V54002</v>
          </cell>
          <cell r="J10536" t="str">
            <v>CTC</v>
          </cell>
          <cell r="K10536" t="str">
            <v>YES</v>
          </cell>
        </row>
        <row r="10537">
          <cell r="I10537" t="str">
            <v>V52497</v>
          </cell>
          <cell r="J10537" t="str">
            <v>STAT</v>
          </cell>
          <cell r="K10537" t="str">
            <v>YES</v>
          </cell>
        </row>
        <row r="10538">
          <cell r="I10538" t="str">
            <v>V52406</v>
          </cell>
          <cell r="J10538" t="str">
            <v>CTC</v>
          </cell>
          <cell r="K10538" t="str">
            <v>YES</v>
          </cell>
        </row>
        <row r="10539">
          <cell r="I10539" t="str">
            <v>V52604</v>
          </cell>
          <cell r="J10539" t="str">
            <v>STAT</v>
          </cell>
          <cell r="K10539" t="str">
            <v>YES</v>
          </cell>
        </row>
        <row r="10540">
          <cell r="I10540" t="str">
            <v>V54336</v>
          </cell>
          <cell r="J10540" t="str">
            <v>STAT</v>
          </cell>
          <cell r="K10540" t="str">
            <v>YES</v>
          </cell>
        </row>
        <row r="10541">
          <cell r="I10541" t="str">
            <v>V54249</v>
          </cell>
          <cell r="J10541" t="str">
            <v>STAT</v>
          </cell>
          <cell r="K10541" t="str">
            <v>YES</v>
          </cell>
        </row>
        <row r="10542">
          <cell r="I10542" t="str">
            <v>V54594</v>
          </cell>
          <cell r="J10542" t="str">
            <v>STAT</v>
          </cell>
          <cell r="K10542" t="str">
            <v>YES</v>
          </cell>
        </row>
        <row r="10543">
          <cell r="I10543" t="str">
            <v>V52924</v>
          </cell>
          <cell r="J10543" t="str">
            <v>STAT</v>
          </cell>
          <cell r="K10543" t="str">
            <v>YES</v>
          </cell>
        </row>
        <row r="10544">
          <cell r="I10544" t="str">
            <v>V54341</v>
          </cell>
          <cell r="J10544" t="str">
            <v>CTC</v>
          </cell>
          <cell r="K10544" t="str">
            <v>YES</v>
          </cell>
        </row>
        <row r="10545">
          <cell r="I10545" t="str">
            <v>V54590</v>
          </cell>
          <cell r="J10545" t="str">
            <v>STAT</v>
          </cell>
          <cell r="K10545" t="str">
            <v>YES</v>
          </cell>
        </row>
        <row r="10546">
          <cell r="I10546" t="str">
            <v>V54354</v>
          </cell>
          <cell r="J10546" t="str">
            <v>STAT</v>
          </cell>
          <cell r="K10546" t="str">
            <v>YES</v>
          </cell>
        </row>
        <row r="10547">
          <cell r="I10547" t="str">
            <v>V54592</v>
          </cell>
          <cell r="J10547" t="str">
            <v>STAT</v>
          </cell>
          <cell r="K10547" t="str">
            <v>YES</v>
          </cell>
        </row>
        <row r="10548">
          <cell r="I10548" t="str">
            <v>V52538</v>
          </cell>
          <cell r="J10548" t="str">
            <v>STAT</v>
          </cell>
          <cell r="K10548" t="str">
            <v>YES</v>
          </cell>
        </row>
        <row r="10549">
          <cell r="I10549" t="str">
            <v>V53972</v>
          </cell>
          <cell r="J10549" t="str">
            <v>STAT</v>
          </cell>
          <cell r="K10549" t="str">
            <v>YES</v>
          </cell>
        </row>
        <row r="10550">
          <cell r="I10550" t="str">
            <v>V53869</v>
          </cell>
          <cell r="J10550" t="str">
            <v>CTC</v>
          </cell>
          <cell r="K10550" t="str">
            <v>YES</v>
          </cell>
        </row>
        <row r="10551">
          <cell r="I10551" t="str">
            <v>V53294</v>
          </cell>
          <cell r="J10551" t="str">
            <v>CTC</v>
          </cell>
          <cell r="K10551" t="str">
            <v>YES</v>
          </cell>
        </row>
        <row r="10552">
          <cell r="I10552" t="str">
            <v>V54545</v>
          </cell>
          <cell r="J10552" t="str">
            <v>CTC</v>
          </cell>
          <cell r="K10552" t="str">
            <v>YES</v>
          </cell>
        </row>
        <row r="10553">
          <cell r="I10553" t="str">
            <v>V53719</v>
          </cell>
          <cell r="J10553" t="str">
            <v>CTC</v>
          </cell>
          <cell r="K10553" t="str">
            <v>YES</v>
          </cell>
        </row>
        <row r="10554">
          <cell r="I10554" t="str">
            <v>V54556</v>
          </cell>
          <cell r="J10554" t="str">
            <v>STAT</v>
          </cell>
          <cell r="K10554" t="str">
            <v>YES</v>
          </cell>
        </row>
        <row r="10555">
          <cell r="I10555" t="str">
            <v>V54117</v>
          </cell>
          <cell r="J10555" t="str">
            <v>CTC</v>
          </cell>
          <cell r="K10555" t="str">
            <v>YES</v>
          </cell>
        </row>
        <row r="10556">
          <cell r="I10556" t="str">
            <v>V54326</v>
          </cell>
          <cell r="J10556" t="str">
            <v>STAT</v>
          </cell>
          <cell r="K10556" t="str">
            <v>YES</v>
          </cell>
        </row>
        <row r="10557">
          <cell r="I10557" t="str">
            <v>V54420</v>
          </cell>
          <cell r="J10557" t="str">
            <v>STAT</v>
          </cell>
          <cell r="K10557" t="str">
            <v>YES</v>
          </cell>
        </row>
        <row r="10558">
          <cell r="I10558" t="str">
            <v>V54486</v>
          </cell>
          <cell r="J10558" t="str">
            <v>STAT</v>
          </cell>
          <cell r="K10558" t="str">
            <v>YES</v>
          </cell>
        </row>
        <row r="10559">
          <cell r="I10559" t="str">
            <v>V53405</v>
          </cell>
          <cell r="J10559" t="str">
            <v>CTC</v>
          </cell>
          <cell r="K10559" t="str">
            <v>YES</v>
          </cell>
        </row>
        <row r="10560">
          <cell r="I10560" t="str">
            <v>V54472</v>
          </cell>
          <cell r="J10560" t="str">
            <v>CTC</v>
          </cell>
          <cell r="K10560" t="str">
            <v>YES</v>
          </cell>
        </row>
        <row r="10561">
          <cell r="I10561" t="str">
            <v>V54423</v>
          </cell>
          <cell r="J10561" t="str">
            <v>CTC</v>
          </cell>
          <cell r="K10561" t="str">
            <v>YES</v>
          </cell>
        </row>
        <row r="10562">
          <cell r="I10562" t="str">
            <v>V52988</v>
          </cell>
          <cell r="J10562" t="str">
            <v>STAT</v>
          </cell>
          <cell r="K10562" t="str">
            <v>YES</v>
          </cell>
        </row>
        <row r="10563">
          <cell r="I10563" t="str">
            <v>V53406</v>
          </cell>
          <cell r="J10563" t="str">
            <v>CTC</v>
          </cell>
          <cell r="K10563" t="str">
            <v>YES</v>
          </cell>
        </row>
        <row r="10564">
          <cell r="I10564" t="str">
            <v>V53121</v>
          </cell>
          <cell r="J10564" t="str">
            <v>STAT</v>
          </cell>
          <cell r="K10564" t="str">
            <v>YES</v>
          </cell>
        </row>
        <row r="10565">
          <cell r="I10565" t="str">
            <v>V52438</v>
          </cell>
          <cell r="J10565" t="str">
            <v>CTC</v>
          </cell>
          <cell r="K10565" t="str">
            <v>YES</v>
          </cell>
        </row>
        <row r="10566">
          <cell r="I10566" t="str">
            <v>V54267</v>
          </cell>
          <cell r="J10566" t="str">
            <v>STAT</v>
          </cell>
          <cell r="K10566" t="str">
            <v>YES</v>
          </cell>
        </row>
        <row r="10567">
          <cell r="I10567" t="str">
            <v>V53280</v>
          </cell>
          <cell r="J10567" t="str">
            <v>STAT</v>
          </cell>
          <cell r="K10567" t="str">
            <v>YES</v>
          </cell>
        </row>
        <row r="10568">
          <cell r="I10568" t="str">
            <v>V53217</v>
          </cell>
          <cell r="J10568" t="str">
            <v>STAT</v>
          </cell>
          <cell r="K10568" t="str">
            <v>YES</v>
          </cell>
        </row>
        <row r="10569">
          <cell r="I10569" t="str">
            <v>V52682</v>
          </cell>
          <cell r="J10569" t="str">
            <v>STAT</v>
          </cell>
          <cell r="K10569" t="str">
            <v>YES</v>
          </cell>
        </row>
        <row r="10570">
          <cell r="I10570" t="str">
            <v>V53836</v>
          </cell>
          <cell r="J10570" t="str">
            <v>STAT</v>
          </cell>
          <cell r="K10570" t="str">
            <v>YES</v>
          </cell>
        </row>
        <row r="10571">
          <cell r="I10571" t="str">
            <v>V54602</v>
          </cell>
          <cell r="J10571" t="str">
            <v>CTC</v>
          </cell>
          <cell r="K10571" t="str">
            <v>YES</v>
          </cell>
        </row>
        <row r="10572">
          <cell r="I10572" t="str">
            <v>V52585</v>
          </cell>
          <cell r="J10572" t="str">
            <v>STAT</v>
          </cell>
          <cell r="K10572" t="str">
            <v>YES</v>
          </cell>
        </row>
        <row r="10573">
          <cell r="I10573" t="str">
            <v>V54595</v>
          </cell>
          <cell r="J10573" t="str">
            <v>STAT</v>
          </cell>
          <cell r="K10573" t="str">
            <v>YES</v>
          </cell>
        </row>
        <row r="10574">
          <cell r="I10574" t="str">
            <v>V54321</v>
          </cell>
          <cell r="J10574" t="str">
            <v>CTC</v>
          </cell>
          <cell r="K10574" t="str">
            <v>YES</v>
          </cell>
        </row>
        <row r="10575">
          <cell r="I10575" t="str">
            <v>V53778</v>
          </cell>
          <cell r="J10575" t="str">
            <v>CTC</v>
          </cell>
          <cell r="K10575" t="str">
            <v>YES</v>
          </cell>
        </row>
        <row r="10576">
          <cell r="I10576" t="str">
            <v>V51446</v>
          </cell>
          <cell r="J10576" t="str">
            <v>STAT</v>
          </cell>
          <cell r="K10576" t="str">
            <v>YES</v>
          </cell>
        </row>
        <row r="10577">
          <cell r="I10577" t="str">
            <v>V52673</v>
          </cell>
          <cell r="J10577" t="str">
            <v>STAT</v>
          </cell>
          <cell r="K10577" t="str">
            <v>YES</v>
          </cell>
        </row>
        <row r="10578">
          <cell r="I10578" t="str">
            <v>V52674</v>
          </cell>
          <cell r="J10578" t="str">
            <v>STAT</v>
          </cell>
          <cell r="K10578" t="str">
            <v>YES</v>
          </cell>
        </row>
        <row r="10579">
          <cell r="I10579" t="str">
            <v>V54163</v>
          </cell>
          <cell r="J10579" t="str">
            <v>STAT</v>
          </cell>
          <cell r="K10579" t="str">
            <v>YES</v>
          </cell>
        </row>
        <row r="10580">
          <cell r="I10580" t="str">
            <v>V54434</v>
          </cell>
          <cell r="J10580" t="str">
            <v>STAT</v>
          </cell>
          <cell r="K10580" t="str">
            <v>YES</v>
          </cell>
        </row>
        <row r="10581">
          <cell r="I10581" t="str">
            <v>V54554</v>
          </cell>
          <cell r="J10581" t="str">
            <v>CTC</v>
          </cell>
          <cell r="K10581" t="str">
            <v>YES</v>
          </cell>
        </row>
        <row r="10582">
          <cell r="I10582" t="str">
            <v>V54480</v>
          </cell>
          <cell r="J10582" t="str">
            <v>STAT</v>
          </cell>
          <cell r="K10582" t="str">
            <v>YES</v>
          </cell>
        </row>
        <row r="10583">
          <cell r="I10583" t="str">
            <v>V54180</v>
          </cell>
          <cell r="J10583" t="str">
            <v>STAT</v>
          </cell>
          <cell r="K10583" t="str">
            <v>YES</v>
          </cell>
        </row>
        <row r="10584">
          <cell r="I10584" t="str">
            <v>V54598</v>
          </cell>
          <cell r="J10584" t="str">
            <v>STAT</v>
          </cell>
          <cell r="K10584" t="str">
            <v>YES</v>
          </cell>
        </row>
        <row r="10585">
          <cell r="I10585" t="str">
            <v>V54577</v>
          </cell>
          <cell r="J10585" t="str">
            <v>STAT</v>
          </cell>
          <cell r="K10585" t="str">
            <v>YES</v>
          </cell>
        </row>
        <row r="10586">
          <cell r="I10586" t="str">
            <v>V52741</v>
          </cell>
          <cell r="J10586" t="str">
            <v>STAT</v>
          </cell>
          <cell r="K10586" t="str">
            <v>YES</v>
          </cell>
        </row>
        <row r="10587">
          <cell r="I10587" t="str">
            <v>V54653</v>
          </cell>
          <cell r="J10587" t="str">
            <v>CTC</v>
          </cell>
          <cell r="K10587" t="str">
            <v>YES</v>
          </cell>
        </row>
        <row r="10588">
          <cell r="I10588" t="str">
            <v>V54618</v>
          </cell>
          <cell r="J10588" t="str">
            <v>Stat</v>
          </cell>
          <cell r="K10588" t="str">
            <v>YES</v>
          </cell>
        </row>
        <row r="10589">
          <cell r="I10589" t="str">
            <v>V54611</v>
          </cell>
          <cell r="J10589" t="str">
            <v>Stat</v>
          </cell>
          <cell r="K10589" t="str">
            <v>YES</v>
          </cell>
        </row>
        <row r="10590">
          <cell r="I10590" t="str">
            <v>V54660</v>
          </cell>
          <cell r="J10590" t="str">
            <v>CTC</v>
          </cell>
          <cell r="K10590" t="str">
            <v>YES</v>
          </cell>
        </row>
        <row r="10591">
          <cell r="I10591" t="str">
            <v>V53309</v>
          </cell>
          <cell r="J10591" t="str">
            <v>CTC</v>
          </cell>
          <cell r="K10591" t="str">
            <v>YES</v>
          </cell>
        </row>
        <row r="10592">
          <cell r="I10592" t="str">
            <v>V52586</v>
          </cell>
          <cell r="J10592" t="str">
            <v>STAT</v>
          </cell>
          <cell r="K10592" t="str">
            <v>YES</v>
          </cell>
        </row>
        <row r="10593">
          <cell r="I10593" t="str">
            <v>V54340</v>
          </cell>
          <cell r="J10593" t="str">
            <v>STAT</v>
          </cell>
          <cell r="K10593" t="str">
            <v>YES</v>
          </cell>
        </row>
        <row r="10594">
          <cell r="I10594" t="str">
            <v>V52276</v>
          </cell>
          <cell r="J10594" t="str">
            <v>STAT</v>
          </cell>
          <cell r="K10594" t="str">
            <v>YES</v>
          </cell>
        </row>
        <row r="10595">
          <cell r="I10595" t="str">
            <v>V54551</v>
          </cell>
          <cell r="J10595" t="str">
            <v>STAT</v>
          </cell>
          <cell r="K10595" t="str">
            <v>YES</v>
          </cell>
        </row>
        <row r="10596">
          <cell r="I10596" t="str">
            <v>V54555</v>
          </cell>
          <cell r="J10596" t="str">
            <v>STAT</v>
          </cell>
          <cell r="K10596" t="str">
            <v>YES</v>
          </cell>
        </row>
        <row r="10597">
          <cell r="I10597" t="str">
            <v>V54559</v>
          </cell>
          <cell r="J10597" t="str">
            <v>STAT</v>
          </cell>
          <cell r="K10597" t="str">
            <v>YES</v>
          </cell>
        </row>
        <row r="10598">
          <cell r="I10598" t="str">
            <v>V54479</v>
          </cell>
          <cell r="J10598" t="str">
            <v>STAT</v>
          </cell>
          <cell r="K10598" t="str">
            <v>YES</v>
          </cell>
        </row>
        <row r="10599">
          <cell r="I10599" t="str">
            <v>V54625</v>
          </cell>
          <cell r="J10599" t="str">
            <v>CTC</v>
          </cell>
          <cell r="K10599" t="str">
            <v>YES</v>
          </cell>
        </row>
        <row r="10600">
          <cell r="I10600" t="str">
            <v>V53880</v>
          </cell>
          <cell r="J10600" t="str">
            <v>CTC</v>
          </cell>
          <cell r="K10600" t="str">
            <v>YES</v>
          </cell>
        </row>
        <row r="10601">
          <cell r="I10601" t="str">
            <v>V53967</v>
          </cell>
          <cell r="J10601" t="str">
            <v>STAT</v>
          </cell>
          <cell r="K10601" t="str">
            <v>YES</v>
          </cell>
        </row>
        <row r="10602">
          <cell r="I10602" t="str">
            <v>V54484</v>
          </cell>
          <cell r="J10602" t="str">
            <v>STAT</v>
          </cell>
          <cell r="K10602" t="str">
            <v>YES</v>
          </cell>
        </row>
        <row r="10603">
          <cell r="I10603" t="str">
            <v>V54599</v>
          </cell>
          <cell r="J10603" t="str">
            <v>STAT</v>
          </cell>
          <cell r="K10603" t="str">
            <v>YES</v>
          </cell>
        </row>
        <row r="10604">
          <cell r="I10604" t="str">
            <v>V53916</v>
          </cell>
          <cell r="J10604" t="str">
            <v>CTC</v>
          </cell>
          <cell r="K10604" t="str">
            <v>YES</v>
          </cell>
        </row>
        <row r="10605">
          <cell r="I10605" t="str">
            <v>V54620</v>
          </cell>
          <cell r="J10605" t="str">
            <v>CTC</v>
          </cell>
          <cell r="K10605" t="str">
            <v>YES</v>
          </cell>
        </row>
        <row r="10606">
          <cell r="I10606" t="str">
            <v>V54404</v>
          </cell>
          <cell r="J10606" t="str">
            <v>CTC</v>
          </cell>
          <cell r="K10606" t="str">
            <v>YES</v>
          </cell>
        </row>
        <row r="10607">
          <cell r="I10607" t="str">
            <v>V53709</v>
          </cell>
          <cell r="J10607" t="str">
            <v>CTC</v>
          </cell>
          <cell r="K10607" t="str">
            <v>YES</v>
          </cell>
        </row>
        <row r="10608">
          <cell r="I10608" t="str">
            <v>V53725</v>
          </cell>
          <cell r="J10608" t="str">
            <v>CTC</v>
          </cell>
          <cell r="K10608" t="str">
            <v>YES</v>
          </cell>
        </row>
        <row r="10609">
          <cell r="I10609" t="str">
            <v>V54112</v>
          </cell>
          <cell r="J10609" t="str">
            <v>STAT</v>
          </cell>
          <cell r="K10609" t="str">
            <v>YES</v>
          </cell>
        </row>
        <row r="10610">
          <cell r="I10610" t="str">
            <v>V54591</v>
          </cell>
          <cell r="J10610" t="str">
            <v>STAT</v>
          </cell>
          <cell r="K10610" t="str">
            <v>YES</v>
          </cell>
        </row>
        <row r="10611">
          <cell r="I10611" t="str">
            <v>V54495</v>
          </cell>
          <cell r="J10611" t="str">
            <v>STAT</v>
          </cell>
          <cell r="K10611" t="str">
            <v>YES</v>
          </cell>
        </row>
        <row r="10612">
          <cell r="I10612" t="str">
            <v>V52501</v>
          </cell>
          <cell r="J10612" t="str">
            <v>STAT</v>
          </cell>
          <cell r="K10612" t="str">
            <v>YES</v>
          </cell>
        </row>
        <row r="10613">
          <cell r="I10613" t="str">
            <v>V53319</v>
          </cell>
          <cell r="J10613" t="str">
            <v>CTC</v>
          </cell>
          <cell r="K10613" t="str">
            <v>YES</v>
          </cell>
        </row>
        <row r="10614">
          <cell r="I10614" t="str">
            <v>V51896</v>
          </cell>
          <cell r="J10614" t="str">
            <v>STAT</v>
          </cell>
          <cell r="K10614" t="str">
            <v>YES</v>
          </cell>
        </row>
        <row r="10615">
          <cell r="I10615" t="str">
            <v>V54230</v>
          </cell>
          <cell r="J10615" t="str">
            <v>STAT</v>
          </cell>
          <cell r="K10615" t="str">
            <v>YES</v>
          </cell>
        </row>
        <row r="10616">
          <cell r="I10616" t="str">
            <v>V52749</v>
          </cell>
          <cell r="J10616" t="str">
            <v>STAT</v>
          </cell>
          <cell r="K10616" t="str">
            <v>YES</v>
          </cell>
        </row>
        <row r="10617">
          <cell r="I10617" t="str">
            <v>V53412</v>
          </cell>
          <cell r="J10617" t="str">
            <v>CTC</v>
          </cell>
          <cell r="K10617" t="str">
            <v>YES</v>
          </cell>
        </row>
        <row r="10618">
          <cell r="I10618" t="str">
            <v>V52763</v>
          </cell>
          <cell r="J10618" t="str">
            <v>STAT</v>
          </cell>
          <cell r="K10618" t="str">
            <v>YES</v>
          </cell>
        </row>
        <row r="10619">
          <cell r="I10619" t="str">
            <v>V53461</v>
          </cell>
          <cell r="J10619" t="str">
            <v>CTC</v>
          </cell>
          <cell r="K10619" t="str">
            <v>YES</v>
          </cell>
        </row>
        <row r="10620">
          <cell r="I10620" t="str">
            <v>V54019</v>
          </cell>
          <cell r="J10620" t="str">
            <v>CTC</v>
          </cell>
          <cell r="K10620" t="str">
            <v>YES</v>
          </cell>
        </row>
        <row r="10621">
          <cell r="I10621" t="str">
            <v>V54062</v>
          </cell>
          <cell r="J10621" t="str">
            <v>CTC</v>
          </cell>
          <cell r="K10621" t="str">
            <v>YES</v>
          </cell>
        </row>
        <row r="10622">
          <cell r="I10622" t="str">
            <v>V54604</v>
          </cell>
          <cell r="J10622" t="str">
            <v>CTC</v>
          </cell>
          <cell r="K10622" t="str">
            <v>YES</v>
          </cell>
        </row>
        <row r="10623">
          <cell r="I10623" t="str">
            <v>V53478</v>
          </cell>
          <cell r="J10623" t="str">
            <v>CTC</v>
          </cell>
          <cell r="K10623" t="str">
            <v>YES</v>
          </cell>
        </row>
        <row r="10624">
          <cell r="I10624" t="str">
            <v>V54569</v>
          </cell>
          <cell r="J10624" t="str">
            <v>CTC</v>
          </cell>
          <cell r="K10624" t="str">
            <v>YES</v>
          </cell>
        </row>
        <row r="10625">
          <cell r="I10625" t="str">
            <v>V54630</v>
          </cell>
          <cell r="J10625" t="str">
            <v>CTC</v>
          </cell>
          <cell r="K10625" t="str">
            <v>YES</v>
          </cell>
        </row>
        <row r="10626">
          <cell r="I10626" t="str">
            <v>V54622</v>
          </cell>
          <cell r="J10626" t="str">
            <v>CTC</v>
          </cell>
          <cell r="K10626" t="str">
            <v>YES</v>
          </cell>
        </row>
        <row r="10627">
          <cell r="I10627" t="str">
            <v>V52696</v>
          </cell>
          <cell r="J10627" t="str">
            <v>STAT</v>
          </cell>
          <cell r="K10627" t="str">
            <v>YES</v>
          </cell>
        </row>
        <row r="10628">
          <cell r="I10628" t="str">
            <v>V53014</v>
          </cell>
          <cell r="J10628" t="str">
            <v>STAT</v>
          </cell>
          <cell r="K10628" t="str">
            <v>YES</v>
          </cell>
        </row>
        <row r="10629">
          <cell r="I10629" t="str">
            <v>V53317</v>
          </cell>
          <cell r="J10629" t="str">
            <v>CTC</v>
          </cell>
          <cell r="K10629" t="str">
            <v>YES</v>
          </cell>
        </row>
        <row r="10630">
          <cell r="I10630" t="str">
            <v>V54532</v>
          </cell>
          <cell r="J10630" t="str">
            <v>CTC</v>
          </cell>
          <cell r="K10630" t="str">
            <v>YES</v>
          </cell>
        </row>
        <row r="10631">
          <cell r="I10631" t="str">
            <v>V54533</v>
          </cell>
          <cell r="J10631" t="str">
            <v>CTC</v>
          </cell>
          <cell r="K10631" t="str">
            <v>YES</v>
          </cell>
        </row>
        <row r="10632">
          <cell r="I10632" t="str">
            <v>V54609</v>
          </cell>
          <cell r="J10632" t="str">
            <v>STAT</v>
          </cell>
          <cell r="K10632" t="str">
            <v>YES</v>
          </cell>
        </row>
        <row r="10633">
          <cell r="I10633" t="str">
            <v>V53547</v>
          </cell>
          <cell r="J10633" t="str">
            <v>CTC</v>
          </cell>
          <cell r="K10633" t="str">
            <v>YES</v>
          </cell>
        </row>
        <row r="10634">
          <cell r="I10634" t="str">
            <v>V54624</v>
          </cell>
          <cell r="J10634" t="str">
            <v>CTC</v>
          </cell>
          <cell r="K10634" t="str">
            <v>YES</v>
          </cell>
        </row>
        <row r="10635">
          <cell r="I10635" t="str">
            <v>V54304</v>
          </cell>
          <cell r="J10635" t="str">
            <v>STAT</v>
          </cell>
          <cell r="K10635" t="str">
            <v>YES</v>
          </cell>
        </row>
        <row r="10636">
          <cell r="I10636" t="str">
            <v>V54558</v>
          </cell>
          <cell r="J10636" t="str">
            <v>CTC</v>
          </cell>
          <cell r="K10636" t="str">
            <v>YES</v>
          </cell>
        </row>
        <row r="10637">
          <cell r="I10637" t="str">
            <v>V53312</v>
          </cell>
          <cell r="J10637" t="str">
            <v>CTC</v>
          </cell>
          <cell r="K10637" t="str">
            <v>YES</v>
          </cell>
        </row>
        <row r="10638">
          <cell r="I10638" t="str">
            <v>V53775</v>
          </cell>
          <cell r="J10638" t="str">
            <v>CTC</v>
          </cell>
          <cell r="K10638" t="str">
            <v>YES</v>
          </cell>
        </row>
        <row r="10639">
          <cell r="I10639" t="str">
            <v>V53784</v>
          </cell>
          <cell r="J10639" t="str">
            <v>CTC</v>
          </cell>
          <cell r="K10639" t="str">
            <v>YES</v>
          </cell>
        </row>
        <row r="10640">
          <cell r="I10640" t="str">
            <v>V54418</v>
          </cell>
          <cell r="J10640" t="str">
            <v>STAT</v>
          </cell>
          <cell r="K10640" t="str">
            <v>YES</v>
          </cell>
        </row>
        <row r="10641">
          <cell r="I10641" t="str">
            <v>V53315</v>
          </cell>
          <cell r="J10641" t="str">
            <v>STAT</v>
          </cell>
          <cell r="K10641" t="str">
            <v>YES</v>
          </cell>
        </row>
        <row r="10642">
          <cell r="I10642" t="str">
            <v>V53546</v>
          </cell>
          <cell r="J10642" t="str">
            <v>STAT</v>
          </cell>
          <cell r="K10642" t="str">
            <v>YES</v>
          </cell>
        </row>
        <row r="10643">
          <cell r="I10643" t="str">
            <v>V53094</v>
          </cell>
          <cell r="J10643" t="str">
            <v>STAT</v>
          </cell>
          <cell r="K10643" t="str">
            <v>YES</v>
          </cell>
        </row>
        <row r="10644">
          <cell r="I10644" t="str">
            <v>V54298</v>
          </cell>
          <cell r="J10644" t="str">
            <v>STAT</v>
          </cell>
          <cell r="K10644" t="str">
            <v>YES</v>
          </cell>
        </row>
        <row r="10645">
          <cell r="I10645" t="str">
            <v>V54221</v>
          </cell>
          <cell r="J10645" t="str">
            <v>CTC</v>
          </cell>
          <cell r="K10645" t="str">
            <v>YES</v>
          </cell>
        </row>
        <row r="10646">
          <cell r="I10646" t="str">
            <v>V52537</v>
          </cell>
          <cell r="J10646" t="str">
            <v>STAT</v>
          </cell>
          <cell r="K10646" t="str">
            <v>YES</v>
          </cell>
        </row>
        <row r="10647">
          <cell r="I10647" t="str">
            <v>V53772</v>
          </cell>
          <cell r="J10647" t="str">
            <v>CTC</v>
          </cell>
          <cell r="K10647" t="str">
            <v>YES</v>
          </cell>
        </row>
        <row r="10648">
          <cell r="I10648" t="str">
            <v>V54447</v>
          </cell>
          <cell r="J10648" t="str">
            <v>CTC</v>
          </cell>
          <cell r="K10648" t="str">
            <v>YES</v>
          </cell>
        </row>
        <row r="10649">
          <cell r="I10649" t="str">
            <v>V52989</v>
          </cell>
          <cell r="J10649" t="str">
            <v>STAT</v>
          </cell>
          <cell r="K10649" t="str">
            <v>YES</v>
          </cell>
        </row>
        <row r="10650">
          <cell r="I10650" t="str">
            <v>V54619</v>
          </cell>
          <cell r="J10650" t="str">
            <v>STAT</v>
          </cell>
          <cell r="K10650" t="str">
            <v>YES</v>
          </cell>
        </row>
        <row r="10651">
          <cell r="I10651" t="str">
            <v>V54621</v>
          </cell>
          <cell r="J10651" t="str">
            <v>STAT</v>
          </cell>
          <cell r="K10651" t="str">
            <v>YES</v>
          </cell>
        </row>
        <row r="10652">
          <cell r="I10652" t="str">
            <v>V54468</v>
          </cell>
          <cell r="J10652" t="str">
            <v>CTC</v>
          </cell>
          <cell r="K10652" t="str">
            <v>YES</v>
          </cell>
        </row>
        <row r="10653">
          <cell r="I10653" t="str">
            <v>V54540</v>
          </cell>
          <cell r="J10653" t="str">
            <v>STAT</v>
          </cell>
          <cell r="K10653" t="str">
            <v>YES</v>
          </cell>
        </row>
        <row r="10654">
          <cell r="I10654" t="str">
            <v>V52272</v>
          </cell>
          <cell r="J10654" t="str">
            <v>STAT</v>
          </cell>
          <cell r="K10654" t="str">
            <v>YES</v>
          </cell>
        </row>
        <row r="10655">
          <cell r="I10655" t="str">
            <v>V52235</v>
          </cell>
          <cell r="J10655" t="str">
            <v>STAT</v>
          </cell>
          <cell r="K10655" t="str">
            <v>YES</v>
          </cell>
        </row>
        <row r="10656">
          <cell r="I10656" t="str">
            <v>V54338</v>
          </cell>
          <cell r="J10656" t="str">
            <v>STAT</v>
          </cell>
          <cell r="K10656" t="str">
            <v>YES</v>
          </cell>
        </row>
        <row r="10657">
          <cell r="I10657" t="str">
            <v>V52368</v>
          </cell>
          <cell r="J10657" t="str">
            <v>STAT</v>
          </cell>
          <cell r="K10657" t="str">
            <v>YES</v>
          </cell>
        </row>
        <row r="10658">
          <cell r="I10658" t="str">
            <v>V52618</v>
          </cell>
          <cell r="J10658" t="str">
            <v>STAT</v>
          </cell>
          <cell r="K10658" t="str">
            <v>YES</v>
          </cell>
        </row>
        <row r="10659">
          <cell r="I10659" t="str">
            <v>V54642</v>
          </cell>
          <cell r="J10659" t="str">
            <v>STAT</v>
          </cell>
          <cell r="K10659" t="str">
            <v>YES</v>
          </cell>
        </row>
        <row r="10660">
          <cell r="I10660" t="str">
            <v>V54689</v>
          </cell>
          <cell r="J10660" t="str">
            <v>CTC</v>
          </cell>
          <cell r="K10660" t="str">
            <v>YES</v>
          </cell>
        </row>
        <row r="10661">
          <cell r="I10661" t="str">
            <v>V54600</v>
          </cell>
          <cell r="J10661" t="str">
            <v>CTC</v>
          </cell>
          <cell r="K10661" t="str">
            <v>YES</v>
          </cell>
        </row>
        <row r="10662">
          <cell r="I10662" t="str">
            <v>V53005</v>
          </cell>
          <cell r="J10662" t="str">
            <v>STAT</v>
          </cell>
          <cell r="K10662" t="str">
            <v>YES</v>
          </cell>
        </row>
        <row r="10663">
          <cell r="I10663" t="str">
            <v>V52672</v>
          </cell>
          <cell r="J10663" t="str">
            <v>STAT</v>
          </cell>
          <cell r="K10663" t="str">
            <v>YES</v>
          </cell>
        </row>
        <row r="10664">
          <cell r="I10664" t="str">
            <v>V52283</v>
          </cell>
          <cell r="J10664" t="str">
            <v>STAT</v>
          </cell>
          <cell r="K10664" t="str">
            <v>YES</v>
          </cell>
        </row>
        <row r="10665">
          <cell r="I10665" t="str">
            <v>V54529</v>
          </cell>
          <cell r="J10665" t="str">
            <v>CTC</v>
          </cell>
          <cell r="K10665" t="str">
            <v>YES</v>
          </cell>
        </row>
        <row r="10666">
          <cell r="I10666" t="str">
            <v>V54530</v>
          </cell>
          <cell r="J10666" t="str">
            <v>STAT</v>
          </cell>
          <cell r="K10666" t="str">
            <v>YES</v>
          </cell>
        </row>
        <row r="10667">
          <cell r="I10667" t="str">
            <v>V52209</v>
          </cell>
          <cell r="J10667" t="str">
            <v>CTC</v>
          </cell>
          <cell r="K10667" t="str">
            <v>YES</v>
          </cell>
        </row>
        <row r="10668">
          <cell r="I10668" t="str">
            <v>V53901</v>
          </cell>
          <cell r="J10668" t="str">
            <v>CTC</v>
          </cell>
          <cell r="K10668" t="str">
            <v>YES</v>
          </cell>
        </row>
        <row r="10669">
          <cell r="I10669" t="str">
            <v>V53832</v>
          </cell>
          <cell r="J10669" t="str">
            <v>CTC</v>
          </cell>
          <cell r="K10669" t="str">
            <v>YES</v>
          </cell>
        </row>
        <row r="10670">
          <cell r="I10670" t="str">
            <v>V53557</v>
          </cell>
          <cell r="J10670" t="str">
            <v>CTC</v>
          </cell>
          <cell r="K10670" t="str">
            <v>YES</v>
          </cell>
        </row>
        <row r="10671">
          <cell r="I10671" t="str">
            <v>V54661</v>
          </cell>
          <cell r="J10671" t="str">
            <v>STAT</v>
          </cell>
          <cell r="K10671" t="str">
            <v>YES</v>
          </cell>
        </row>
        <row r="10672">
          <cell r="I10672" t="str">
            <v>V54663</v>
          </cell>
          <cell r="J10672" t="str">
            <v>STAT</v>
          </cell>
          <cell r="K10672" t="str">
            <v>YES</v>
          </cell>
        </row>
        <row r="10673">
          <cell r="I10673" t="str">
            <v>V53311</v>
          </cell>
          <cell r="J10673" t="str">
            <v>CTC</v>
          </cell>
          <cell r="K10673" t="str">
            <v>YES</v>
          </cell>
        </row>
        <row r="10674">
          <cell r="I10674" t="str">
            <v>V53162</v>
          </cell>
          <cell r="J10674" t="str">
            <v>CTC</v>
          </cell>
          <cell r="K10674" t="str">
            <v>YES</v>
          </cell>
        </row>
        <row r="10675">
          <cell r="I10675" t="str">
            <v>V53564</v>
          </cell>
          <cell r="J10675" t="str">
            <v>CTC</v>
          </cell>
          <cell r="K10675" t="str">
            <v>YES</v>
          </cell>
        </row>
        <row r="10676">
          <cell r="I10676" t="str">
            <v>V54364</v>
          </cell>
          <cell r="J10676" t="str">
            <v>STAT</v>
          </cell>
          <cell r="K10676" t="str">
            <v>YES</v>
          </cell>
        </row>
        <row r="10677">
          <cell r="I10677" t="str">
            <v>V54365</v>
          </cell>
          <cell r="J10677" t="str">
            <v>STAT</v>
          </cell>
          <cell r="K10677" t="str">
            <v>YES</v>
          </cell>
        </row>
        <row r="10678">
          <cell r="I10678" t="str">
            <v>V52443</v>
          </cell>
          <cell r="J10678" t="str">
            <v>STAT</v>
          </cell>
          <cell r="K10678" t="str">
            <v>YES</v>
          </cell>
        </row>
        <row r="10679">
          <cell r="I10679" t="str">
            <v>V53618</v>
          </cell>
          <cell r="J10679" t="str">
            <v>CTC</v>
          </cell>
          <cell r="K10679" t="str">
            <v>YES</v>
          </cell>
        </row>
        <row r="10680">
          <cell r="I10680" t="str">
            <v>V54680</v>
          </cell>
          <cell r="J10680" t="str">
            <v>STAT</v>
          </cell>
          <cell r="K10680" t="str">
            <v>YES</v>
          </cell>
        </row>
        <row r="10681">
          <cell r="I10681" t="str">
            <v>V53660</v>
          </cell>
          <cell r="J10681" t="str">
            <v>CTC</v>
          </cell>
          <cell r="K10681" t="str">
            <v>YES</v>
          </cell>
        </row>
        <row r="10682">
          <cell r="I10682" t="str">
            <v>V53890</v>
          </cell>
          <cell r="J10682" t="str">
            <v>CTC</v>
          </cell>
          <cell r="K10682" t="str">
            <v>YES</v>
          </cell>
        </row>
        <row r="10683">
          <cell r="I10683" t="str">
            <v>V54076</v>
          </cell>
          <cell r="J10683" t="str">
            <v>CTC</v>
          </cell>
          <cell r="K10683" t="str">
            <v>YES</v>
          </cell>
        </row>
        <row r="10684">
          <cell r="I10684" t="str">
            <v>V53566</v>
          </cell>
          <cell r="J10684" t="str">
            <v>CTC</v>
          </cell>
          <cell r="K10684" t="str">
            <v>YES</v>
          </cell>
        </row>
        <row r="10685">
          <cell r="I10685" t="str">
            <v>V52637</v>
          </cell>
          <cell r="J10685" t="str">
            <v>STAT</v>
          </cell>
          <cell r="K10685" t="str">
            <v>YES</v>
          </cell>
        </row>
        <row r="10686">
          <cell r="I10686" t="str">
            <v>V53946</v>
          </cell>
          <cell r="J10686" t="str">
            <v>STAT</v>
          </cell>
          <cell r="K10686" t="str">
            <v>YES</v>
          </cell>
        </row>
        <row r="10687">
          <cell r="I10687" t="str">
            <v>V54009</v>
          </cell>
          <cell r="J10687" t="str">
            <v>STAT</v>
          </cell>
          <cell r="K10687" t="str">
            <v>YES</v>
          </cell>
        </row>
        <row r="10688">
          <cell r="I10688" t="str">
            <v>V53578</v>
          </cell>
          <cell r="J10688" t="str">
            <v>CTC</v>
          </cell>
          <cell r="K10688" t="str">
            <v>YES</v>
          </cell>
        </row>
        <row r="10689">
          <cell r="I10689" t="str">
            <v>V52684</v>
          </cell>
          <cell r="J10689" t="str">
            <v>STAT</v>
          </cell>
          <cell r="K10689" t="str">
            <v>YES</v>
          </cell>
        </row>
        <row r="10690">
          <cell r="I10690" t="str">
            <v>V54672</v>
          </cell>
          <cell r="J10690" t="str">
            <v>CTC</v>
          </cell>
          <cell r="K10690" t="str">
            <v>YES</v>
          </cell>
        </row>
        <row r="10691">
          <cell r="I10691" t="str">
            <v>V54673</v>
          </cell>
          <cell r="J10691" t="str">
            <v>CTC</v>
          </cell>
          <cell r="K10691" t="str">
            <v>YES</v>
          </cell>
        </row>
        <row r="10692">
          <cell r="I10692" t="str">
            <v>V54520</v>
          </cell>
          <cell r="J10692" t="str">
            <v>CTC</v>
          </cell>
          <cell r="K10692" t="str">
            <v>YES</v>
          </cell>
        </row>
        <row r="10693">
          <cell r="I10693" t="str">
            <v>V54359</v>
          </cell>
          <cell r="J10693" t="str">
            <v>STAT</v>
          </cell>
          <cell r="K10693" t="str">
            <v>YES</v>
          </cell>
        </row>
        <row r="10694">
          <cell r="I10694" t="str">
            <v>V54538</v>
          </cell>
          <cell r="J10694" t="str">
            <v>STAT</v>
          </cell>
          <cell r="K10694" t="str">
            <v>YES</v>
          </cell>
        </row>
        <row r="10695">
          <cell r="I10695" t="str">
            <v>V54687</v>
          </cell>
          <cell r="J10695" t="str">
            <v>CTC</v>
          </cell>
          <cell r="K10695" t="str">
            <v>YES</v>
          </cell>
        </row>
        <row r="10696">
          <cell r="I10696" t="str">
            <v>V53305</v>
          </cell>
          <cell r="J10696" t="str">
            <v>CTC</v>
          </cell>
          <cell r="K10696" t="str">
            <v>YES</v>
          </cell>
        </row>
        <row r="10697">
          <cell r="I10697" t="str">
            <v>V53140</v>
          </cell>
          <cell r="J10697" t="str">
            <v>STAT</v>
          </cell>
          <cell r="K10697" t="str">
            <v>YES</v>
          </cell>
        </row>
        <row r="10698">
          <cell r="I10698" t="str">
            <v>V52858</v>
          </cell>
          <cell r="J10698" t="str">
            <v>STAT</v>
          </cell>
          <cell r="K10698" t="str">
            <v>YES</v>
          </cell>
        </row>
        <row r="10699">
          <cell r="I10699" t="str">
            <v>V52519</v>
          </cell>
          <cell r="J10699" t="str">
            <v>STAT</v>
          </cell>
          <cell r="K10699" t="str">
            <v>YES</v>
          </cell>
        </row>
        <row r="10700">
          <cell r="I10700" t="str">
            <v>V54031</v>
          </cell>
          <cell r="J10700" t="str">
            <v>CTC</v>
          </cell>
          <cell r="K10700" t="str">
            <v>YES</v>
          </cell>
        </row>
        <row r="10701">
          <cell r="I10701" t="str">
            <v>V54679</v>
          </cell>
          <cell r="J10701" t="str">
            <v>STAT</v>
          </cell>
          <cell r="K10701" t="str">
            <v>YES</v>
          </cell>
        </row>
        <row r="10702">
          <cell r="I10702" t="str">
            <v>V52675</v>
          </cell>
          <cell r="J10702" t="str">
            <v>STAT</v>
          </cell>
          <cell r="K10702" t="str">
            <v>YES</v>
          </cell>
        </row>
        <row r="10703">
          <cell r="I10703" t="str">
            <v>V54394</v>
          </cell>
          <cell r="J10703" t="str">
            <v>CTC</v>
          </cell>
          <cell r="K10703" t="str">
            <v>YES</v>
          </cell>
        </row>
        <row r="10704">
          <cell r="I10704" t="str">
            <v>V54690</v>
          </cell>
          <cell r="J10704" t="str">
            <v>STAT</v>
          </cell>
          <cell r="K10704" t="str">
            <v>YES</v>
          </cell>
        </row>
        <row r="10705">
          <cell r="I10705" t="str">
            <v>V54686</v>
          </cell>
          <cell r="J10705" t="str">
            <v>STAT</v>
          </cell>
          <cell r="K10705" t="str">
            <v>YES</v>
          </cell>
        </row>
        <row r="10706">
          <cell r="I10706" t="str">
            <v>V54616</v>
          </cell>
          <cell r="J10706" t="str">
            <v>STAT</v>
          </cell>
          <cell r="K10706" t="str">
            <v>YES</v>
          </cell>
        </row>
        <row r="10707">
          <cell r="I10707" t="str">
            <v>V53735</v>
          </cell>
          <cell r="J10707" t="str">
            <v>CTC</v>
          </cell>
          <cell r="K10707" t="str">
            <v>YES</v>
          </cell>
        </row>
        <row r="10708">
          <cell r="I10708" t="str">
            <v>V52910</v>
          </cell>
          <cell r="J10708" t="str">
            <v>STAT</v>
          </cell>
          <cell r="K10708" t="str">
            <v>YES</v>
          </cell>
        </row>
        <row r="10709">
          <cell r="I10709" t="str">
            <v>V53150</v>
          </cell>
          <cell r="J10709" t="str">
            <v>CTC</v>
          </cell>
          <cell r="K10709" t="str">
            <v>YES</v>
          </cell>
        </row>
        <row r="10710">
          <cell r="I10710" t="str">
            <v>V53372</v>
          </cell>
          <cell r="J10710" t="str">
            <v>CTC</v>
          </cell>
          <cell r="K10710" t="str">
            <v>YES</v>
          </cell>
        </row>
        <row r="10711">
          <cell r="I10711" t="str">
            <v>V54681</v>
          </cell>
          <cell r="J10711" t="str">
            <v>STAT</v>
          </cell>
          <cell r="K10711" t="str">
            <v>YES</v>
          </cell>
        </row>
        <row r="10712">
          <cell r="I10712" t="str">
            <v>V02023</v>
          </cell>
          <cell r="J10712" t="str">
            <v>STAT</v>
          </cell>
          <cell r="K10712" t="str">
            <v>YES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276C4-DA85-489B-9872-42EB4A967975}">
  <sheetPr codeName="Sheet27"/>
  <dimension ref="A1:M10712"/>
  <sheetViews>
    <sheetView workbookViewId="0">
      <pane ySplit="2" topLeftCell="A113" activePane="bottomLeft" state="frozen"/>
      <selection pane="bottomLeft" activeCell="B142" sqref="B142"/>
    </sheetView>
  </sheetViews>
  <sheetFormatPr defaultRowHeight="15" x14ac:dyDescent="0.25"/>
  <cols>
    <col min="12" max="12" width="55.140625" bestFit="1" customWidth="1"/>
  </cols>
  <sheetData>
    <row r="1" spans="1:13" ht="34.5" x14ac:dyDescent="0.25">
      <c r="A1" s="151" t="s">
        <v>19192</v>
      </c>
      <c r="B1" s="151" t="s">
        <v>19193</v>
      </c>
      <c r="C1" s="151" t="s">
        <v>19193</v>
      </c>
      <c r="D1" s="151" t="s">
        <v>19194</v>
      </c>
      <c r="E1" s="151" t="s">
        <v>18242</v>
      </c>
      <c r="F1" s="152" t="s">
        <v>19195</v>
      </c>
      <c r="G1" s="153" t="s">
        <v>19196</v>
      </c>
      <c r="I1" t="s">
        <v>19197</v>
      </c>
      <c r="J1" t="s">
        <v>19198</v>
      </c>
      <c r="K1" t="s">
        <v>19199</v>
      </c>
      <c r="L1" t="s">
        <v>19200</v>
      </c>
    </row>
    <row r="2" spans="1:13" x14ac:dyDescent="0.25">
      <c r="A2" s="154"/>
      <c r="B2" s="154"/>
      <c r="C2" s="154"/>
      <c r="D2" s="154"/>
      <c r="E2" s="154"/>
      <c r="F2" s="155"/>
      <c r="G2" s="1"/>
    </row>
    <row r="3" spans="1:13" x14ac:dyDescent="0.25">
      <c r="A3" s="156" t="s">
        <v>17381</v>
      </c>
      <c r="B3" s="156" t="s">
        <v>19201</v>
      </c>
      <c r="C3" s="26">
        <f t="shared" ref="C3:C66" si="0">IF(A3=A2,0,1)</f>
        <v>1</v>
      </c>
      <c r="D3" s="157"/>
      <c r="E3" s="158">
        <v>168946</v>
      </c>
      <c r="F3" s="159">
        <v>0.7</v>
      </c>
      <c r="G3" s="160">
        <v>46691</v>
      </c>
      <c r="I3" t="s">
        <v>1915</v>
      </c>
      <c r="J3" s="161" t="s">
        <v>19202</v>
      </c>
      <c r="K3" t="s">
        <v>19203</v>
      </c>
      <c r="L3" t="s">
        <v>1914</v>
      </c>
      <c r="M3" s="161" t="s">
        <v>19202</v>
      </c>
    </row>
    <row r="4" spans="1:13" x14ac:dyDescent="0.25">
      <c r="A4" s="156" t="s">
        <v>1915</v>
      </c>
      <c r="B4" s="156" t="s">
        <v>19204</v>
      </c>
      <c r="C4" s="26">
        <f t="shared" si="0"/>
        <v>1</v>
      </c>
      <c r="D4" s="157" t="s">
        <v>1396</v>
      </c>
      <c r="E4" s="158">
        <v>823521</v>
      </c>
      <c r="F4" s="159">
        <v>0.7</v>
      </c>
      <c r="G4" s="160">
        <v>46691</v>
      </c>
      <c r="I4" t="s">
        <v>1897</v>
      </c>
      <c r="J4" s="161" t="s">
        <v>19202</v>
      </c>
      <c r="K4" t="s">
        <v>19203</v>
      </c>
      <c r="L4" t="s">
        <v>1896</v>
      </c>
      <c r="M4" s="161" t="s">
        <v>19202</v>
      </c>
    </row>
    <row r="5" spans="1:13" x14ac:dyDescent="0.25">
      <c r="A5" s="156" t="s">
        <v>1912</v>
      </c>
      <c r="B5" s="156" t="s">
        <v>19205</v>
      </c>
      <c r="C5" s="26">
        <f t="shared" si="0"/>
        <v>1</v>
      </c>
      <c r="D5" s="157"/>
      <c r="E5" s="158">
        <v>295488</v>
      </c>
      <c r="F5" s="159">
        <v>0.7</v>
      </c>
      <c r="G5" s="160">
        <v>46691</v>
      </c>
      <c r="I5" t="s">
        <v>17779</v>
      </c>
      <c r="J5" s="161" t="s">
        <v>19202</v>
      </c>
      <c r="K5" t="s">
        <v>19203</v>
      </c>
      <c r="L5" t="s">
        <v>17778</v>
      </c>
      <c r="M5" s="161" t="s">
        <v>19202</v>
      </c>
    </row>
    <row r="6" spans="1:13" x14ac:dyDescent="0.25">
      <c r="A6" s="156" t="s">
        <v>17379</v>
      </c>
      <c r="B6" s="156" t="s">
        <v>19206</v>
      </c>
      <c r="C6" s="26">
        <f t="shared" si="0"/>
        <v>1</v>
      </c>
      <c r="D6" s="162"/>
      <c r="E6" s="26">
        <v>99360</v>
      </c>
      <c r="F6" s="159">
        <v>0.7</v>
      </c>
      <c r="G6" s="160">
        <v>46691</v>
      </c>
      <c r="I6" t="s">
        <v>2107</v>
      </c>
      <c r="J6" s="161" t="s">
        <v>19202</v>
      </c>
      <c r="K6" t="s">
        <v>19203</v>
      </c>
      <c r="L6" t="s">
        <v>2106</v>
      </c>
      <c r="M6" s="161" t="s">
        <v>19202</v>
      </c>
    </row>
    <row r="7" spans="1:13" x14ac:dyDescent="0.25">
      <c r="A7" s="156" t="s">
        <v>17784</v>
      </c>
      <c r="B7" s="156" t="s">
        <v>19207</v>
      </c>
      <c r="C7" s="26">
        <f t="shared" si="0"/>
        <v>1</v>
      </c>
      <c r="D7" s="162"/>
      <c r="E7" s="26">
        <v>42577</v>
      </c>
      <c r="F7" s="159">
        <v>0.5</v>
      </c>
      <c r="G7" s="160">
        <v>46843</v>
      </c>
      <c r="I7" t="s">
        <v>1912</v>
      </c>
      <c r="J7" s="161" t="s">
        <v>19202</v>
      </c>
      <c r="K7" t="s">
        <v>19203</v>
      </c>
      <c r="L7" t="s">
        <v>1911</v>
      </c>
      <c r="M7" s="161" t="s">
        <v>19202</v>
      </c>
    </row>
    <row r="8" spans="1:13" x14ac:dyDescent="0.25">
      <c r="A8" s="163" t="s">
        <v>1395</v>
      </c>
      <c r="B8" s="163" t="s">
        <v>19208</v>
      </c>
      <c r="C8" s="26">
        <f t="shared" si="0"/>
        <v>1</v>
      </c>
      <c r="D8" s="157"/>
      <c r="E8" s="158">
        <v>127648</v>
      </c>
      <c r="F8" s="159">
        <v>0.5</v>
      </c>
      <c r="G8" s="160">
        <v>46934</v>
      </c>
      <c r="I8" t="s">
        <v>2062</v>
      </c>
      <c r="J8" s="161" t="s">
        <v>19202</v>
      </c>
      <c r="K8" t="s">
        <v>19203</v>
      </c>
      <c r="L8" t="s">
        <v>2061</v>
      </c>
      <c r="M8" s="161" t="s">
        <v>19202</v>
      </c>
    </row>
    <row r="9" spans="1:13" x14ac:dyDescent="0.25">
      <c r="A9" s="156" t="s">
        <v>17781</v>
      </c>
      <c r="B9" s="156" t="s">
        <v>19209</v>
      </c>
      <c r="C9" s="26">
        <f t="shared" si="0"/>
        <v>1</v>
      </c>
      <c r="D9" s="162"/>
      <c r="E9" s="26">
        <v>73574</v>
      </c>
      <c r="F9" s="159">
        <v>0.2</v>
      </c>
      <c r="G9" s="160">
        <v>46843</v>
      </c>
      <c r="I9" t="s">
        <v>17340</v>
      </c>
      <c r="J9" s="161" t="s">
        <v>19202</v>
      </c>
      <c r="K9" t="s">
        <v>19203</v>
      </c>
      <c r="L9" t="s">
        <v>17339</v>
      </c>
      <c r="M9" s="161" t="s">
        <v>19202</v>
      </c>
    </row>
    <row r="10" spans="1:13" x14ac:dyDescent="0.25">
      <c r="A10" s="156" t="s">
        <v>17378</v>
      </c>
      <c r="B10" s="156" t="s">
        <v>19210</v>
      </c>
      <c r="C10" s="26">
        <f t="shared" si="0"/>
        <v>1</v>
      </c>
      <c r="D10" s="162"/>
      <c r="E10" s="26">
        <v>97152</v>
      </c>
      <c r="F10" s="159">
        <v>0.7</v>
      </c>
      <c r="G10" s="160">
        <v>46843</v>
      </c>
      <c r="I10" t="s">
        <v>17369</v>
      </c>
      <c r="J10" s="161" t="s">
        <v>19202</v>
      </c>
      <c r="K10" t="s">
        <v>19203</v>
      </c>
      <c r="L10" t="s">
        <v>13578</v>
      </c>
      <c r="M10" s="161" t="s">
        <v>19202</v>
      </c>
    </row>
    <row r="11" spans="1:13" x14ac:dyDescent="0.25">
      <c r="A11" s="156" t="s">
        <v>17779</v>
      </c>
      <c r="B11" s="156" t="s">
        <v>19211</v>
      </c>
      <c r="C11" s="26">
        <f t="shared" si="0"/>
        <v>1</v>
      </c>
      <c r="D11" s="162"/>
      <c r="E11" s="26">
        <v>444528</v>
      </c>
      <c r="F11" s="159">
        <v>0.7</v>
      </c>
      <c r="G11" s="160">
        <v>46691</v>
      </c>
      <c r="I11" t="s">
        <v>17338</v>
      </c>
      <c r="J11" s="161" t="s">
        <v>19202</v>
      </c>
      <c r="K11" t="s">
        <v>19203</v>
      </c>
      <c r="L11" t="s">
        <v>17337</v>
      </c>
      <c r="M11" s="161" t="s">
        <v>19202</v>
      </c>
    </row>
    <row r="12" spans="1:13" x14ac:dyDescent="0.25">
      <c r="A12" s="156" t="s">
        <v>1909</v>
      </c>
      <c r="B12" s="156" t="s">
        <v>19212</v>
      </c>
      <c r="C12" s="26">
        <f t="shared" si="0"/>
        <v>1</v>
      </c>
      <c r="D12" s="157"/>
      <c r="E12" s="158">
        <v>107553</v>
      </c>
      <c r="F12" s="159">
        <v>0.5</v>
      </c>
      <c r="G12" s="160">
        <v>46843</v>
      </c>
      <c r="I12" t="s">
        <v>1488</v>
      </c>
      <c r="J12" s="161" t="s">
        <v>19202</v>
      </c>
      <c r="K12" t="s">
        <v>19203</v>
      </c>
      <c r="L12" t="s">
        <v>1487</v>
      </c>
      <c r="M12" s="161" t="s">
        <v>19202</v>
      </c>
    </row>
    <row r="13" spans="1:13" x14ac:dyDescent="0.25">
      <c r="A13" s="156" t="s">
        <v>17850</v>
      </c>
      <c r="B13" s="156" t="s">
        <v>19213</v>
      </c>
      <c r="C13" s="26">
        <f t="shared" si="0"/>
        <v>1</v>
      </c>
      <c r="D13" s="157"/>
      <c r="E13" s="158">
        <v>39165</v>
      </c>
      <c r="F13" s="159">
        <v>0.2</v>
      </c>
      <c r="G13" s="160">
        <v>46843</v>
      </c>
      <c r="I13" t="s">
        <v>1476</v>
      </c>
      <c r="J13" s="161" t="s">
        <v>19202</v>
      </c>
      <c r="K13" t="s">
        <v>19203</v>
      </c>
      <c r="L13" t="s">
        <v>612</v>
      </c>
      <c r="M13" s="161" t="s">
        <v>19202</v>
      </c>
    </row>
    <row r="14" spans="1:13" x14ac:dyDescent="0.25">
      <c r="A14" s="156" t="s">
        <v>17974</v>
      </c>
      <c r="B14" s="156" t="s">
        <v>19214</v>
      </c>
      <c r="C14" s="26">
        <f t="shared" si="0"/>
        <v>1</v>
      </c>
      <c r="D14" s="157"/>
      <c r="E14" s="158">
        <v>78470</v>
      </c>
      <c r="F14" s="159">
        <v>0.2</v>
      </c>
      <c r="G14" s="160">
        <v>46611</v>
      </c>
      <c r="I14" t="s">
        <v>1905</v>
      </c>
      <c r="J14" s="161" t="s">
        <v>19202</v>
      </c>
      <c r="K14" t="s">
        <v>19203</v>
      </c>
      <c r="L14" t="s">
        <v>1374</v>
      </c>
      <c r="M14" s="161" t="s">
        <v>19202</v>
      </c>
    </row>
    <row r="15" spans="1:13" x14ac:dyDescent="0.25">
      <c r="A15" s="156" t="s">
        <v>17920</v>
      </c>
      <c r="B15" s="156" t="s">
        <v>19215</v>
      </c>
      <c r="C15" s="26">
        <f t="shared" si="0"/>
        <v>1</v>
      </c>
      <c r="D15" s="162"/>
      <c r="E15" s="26">
        <v>65121</v>
      </c>
      <c r="F15" s="159">
        <v>0.2</v>
      </c>
      <c r="G15" s="160">
        <v>46843</v>
      </c>
      <c r="I15" t="s">
        <v>17844</v>
      </c>
      <c r="J15" s="161" t="s">
        <v>19202</v>
      </c>
      <c r="K15" t="s">
        <v>19203</v>
      </c>
      <c r="L15" t="s">
        <v>181</v>
      </c>
      <c r="M15" s="161" t="s">
        <v>19202</v>
      </c>
    </row>
    <row r="16" spans="1:13" x14ac:dyDescent="0.25">
      <c r="A16" s="156" t="s">
        <v>17776</v>
      </c>
      <c r="B16" s="156" t="s">
        <v>19216</v>
      </c>
      <c r="C16" s="26">
        <f t="shared" si="0"/>
        <v>1</v>
      </c>
      <c r="D16" s="162"/>
      <c r="E16" s="26">
        <v>102562</v>
      </c>
      <c r="F16" s="159">
        <v>0.5</v>
      </c>
      <c r="G16" s="160">
        <v>46843</v>
      </c>
      <c r="I16" t="s">
        <v>2128</v>
      </c>
      <c r="J16" s="161" t="s">
        <v>19202</v>
      </c>
      <c r="K16" t="s">
        <v>19203</v>
      </c>
      <c r="L16" t="s">
        <v>2127</v>
      </c>
      <c r="M16" s="161" t="s">
        <v>19202</v>
      </c>
    </row>
    <row r="17" spans="1:13" x14ac:dyDescent="0.25">
      <c r="A17" s="156" t="s">
        <v>2128</v>
      </c>
      <c r="B17" s="156" t="s">
        <v>19217</v>
      </c>
      <c r="C17" s="26">
        <f t="shared" si="0"/>
        <v>1</v>
      </c>
      <c r="D17" s="162"/>
      <c r="E17" s="26">
        <v>185395</v>
      </c>
      <c r="F17" s="159">
        <v>0.5</v>
      </c>
      <c r="G17" s="160">
        <v>46843</v>
      </c>
      <c r="I17" t="s">
        <v>1445</v>
      </c>
      <c r="J17" s="161" t="s">
        <v>19202</v>
      </c>
      <c r="K17" t="s">
        <v>19203</v>
      </c>
      <c r="L17" t="s">
        <v>1444</v>
      </c>
      <c r="M17" s="161" t="s">
        <v>19202</v>
      </c>
    </row>
    <row r="18" spans="1:13" x14ac:dyDescent="0.25">
      <c r="A18" s="156" t="s">
        <v>1905</v>
      </c>
      <c r="B18" s="156" t="s">
        <v>19218</v>
      </c>
      <c r="C18" s="26">
        <f t="shared" si="0"/>
        <v>1</v>
      </c>
      <c r="D18" s="157"/>
      <c r="E18" s="158">
        <v>211216</v>
      </c>
      <c r="F18" s="159">
        <v>0.5</v>
      </c>
      <c r="G18" s="160">
        <v>46843</v>
      </c>
      <c r="I18" t="s">
        <v>17680</v>
      </c>
      <c r="J18" s="161" t="s">
        <v>19202</v>
      </c>
      <c r="K18" t="s">
        <v>19203</v>
      </c>
      <c r="L18" t="s">
        <v>17679</v>
      </c>
      <c r="M18" s="161" t="s">
        <v>19202</v>
      </c>
    </row>
    <row r="19" spans="1:13" x14ac:dyDescent="0.25">
      <c r="A19" s="156" t="s">
        <v>18026</v>
      </c>
      <c r="B19" s="156" t="s">
        <v>19219</v>
      </c>
      <c r="C19" s="26">
        <f t="shared" si="0"/>
        <v>1</v>
      </c>
      <c r="D19" s="162"/>
      <c r="E19" s="26">
        <v>45700</v>
      </c>
      <c r="F19" s="159">
        <v>0.5</v>
      </c>
      <c r="G19" s="160">
        <v>46843</v>
      </c>
      <c r="I19" t="s">
        <v>1706</v>
      </c>
      <c r="J19" s="161" t="s">
        <v>19202</v>
      </c>
      <c r="K19" t="s">
        <v>19203</v>
      </c>
      <c r="L19" t="s">
        <v>181</v>
      </c>
      <c r="M19" s="161" t="s">
        <v>19202</v>
      </c>
    </row>
    <row r="20" spans="1:13" x14ac:dyDescent="0.25">
      <c r="A20" s="156" t="s">
        <v>17844</v>
      </c>
      <c r="B20" s="156" t="s">
        <v>19220</v>
      </c>
      <c r="C20" s="26">
        <f t="shared" si="0"/>
        <v>1</v>
      </c>
      <c r="D20" s="157"/>
      <c r="E20" s="158">
        <v>185926</v>
      </c>
      <c r="F20" s="159">
        <v>0.7</v>
      </c>
      <c r="G20" s="160">
        <v>46691</v>
      </c>
      <c r="I20" t="s">
        <v>17381</v>
      </c>
      <c r="J20" s="161" t="s">
        <v>19202</v>
      </c>
      <c r="K20" t="s">
        <v>19203</v>
      </c>
      <c r="L20" t="s">
        <v>17380</v>
      </c>
      <c r="M20" s="161" t="s">
        <v>19202</v>
      </c>
    </row>
    <row r="21" spans="1:13" x14ac:dyDescent="0.25">
      <c r="A21" s="156" t="s">
        <v>1511</v>
      </c>
      <c r="B21" s="156" t="s">
        <v>19221</v>
      </c>
      <c r="C21" s="26">
        <f t="shared" si="0"/>
        <v>1</v>
      </c>
      <c r="D21" s="162"/>
      <c r="E21" s="26">
        <v>36543</v>
      </c>
      <c r="F21" s="159">
        <v>0.2</v>
      </c>
      <c r="G21" s="160">
        <v>46843</v>
      </c>
      <c r="I21" t="s">
        <v>2052</v>
      </c>
      <c r="J21" s="161" t="s">
        <v>19202</v>
      </c>
      <c r="K21" t="s">
        <v>19203</v>
      </c>
      <c r="L21" t="s">
        <v>2051</v>
      </c>
      <c r="M21" s="161" t="s">
        <v>19202</v>
      </c>
    </row>
    <row r="22" spans="1:13" x14ac:dyDescent="0.25">
      <c r="A22" s="156" t="s">
        <v>2125</v>
      </c>
      <c r="B22" s="156" t="s">
        <v>19222</v>
      </c>
      <c r="C22" s="26">
        <f t="shared" si="0"/>
        <v>1</v>
      </c>
      <c r="D22" s="162"/>
      <c r="E22" s="26">
        <v>55149</v>
      </c>
      <c r="F22" s="159">
        <v>0.5</v>
      </c>
      <c r="G22" s="160">
        <v>46843</v>
      </c>
      <c r="I22" t="s">
        <v>1735</v>
      </c>
      <c r="J22" s="161" t="s">
        <v>19202</v>
      </c>
      <c r="K22" t="s">
        <v>19203</v>
      </c>
      <c r="L22" t="s">
        <v>1734</v>
      </c>
      <c r="M22" s="161" t="s">
        <v>19202</v>
      </c>
    </row>
    <row r="23" spans="1:13" x14ac:dyDescent="0.25">
      <c r="A23" s="156" t="s">
        <v>2125</v>
      </c>
      <c r="B23" s="156" t="s">
        <v>19222</v>
      </c>
      <c r="C23" s="26">
        <f t="shared" si="0"/>
        <v>0</v>
      </c>
      <c r="D23" s="162"/>
      <c r="E23" s="26">
        <v>45957</v>
      </c>
      <c r="F23" s="159">
        <v>0.2</v>
      </c>
      <c r="G23" s="160">
        <v>46611</v>
      </c>
      <c r="I23" t="s">
        <v>1618</v>
      </c>
      <c r="J23" s="161" t="s">
        <v>19202</v>
      </c>
      <c r="K23" t="s">
        <v>19203</v>
      </c>
      <c r="L23" t="s">
        <v>646</v>
      </c>
      <c r="M23" s="161" t="s">
        <v>19202</v>
      </c>
    </row>
    <row r="24" spans="1:13" x14ac:dyDescent="0.25">
      <c r="A24" s="156" t="s">
        <v>17935</v>
      </c>
      <c r="B24" s="156" t="s">
        <v>19223</v>
      </c>
      <c r="C24" s="26">
        <f t="shared" si="0"/>
        <v>1</v>
      </c>
      <c r="D24" s="157"/>
      <c r="E24" s="158">
        <v>49991</v>
      </c>
      <c r="F24" s="159">
        <v>0.5</v>
      </c>
      <c r="G24" s="160">
        <v>46843</v>
      </c>
      <c r="I24" t="s">
        <v>17379</v>
      </c>
      <c r="J24" s="161" t="s">
        <v>19202</v>
      </c>
      <c r="K24" t="s">
        <v>19203</v>
      </c>
      <c r="L24" t="s">
        <v>16718</v>
      </c>
      <c r="M24" s="161" t="s">
        <v>19202</v>
      </c>
    </row>
    <row r="25" spans="1:13" x14ac:dyDescent="0.25">
      <c r="A25" s="156" t="s">
        <v>17763</v>
      </c>
      <c r="B25" s="156" t="s">
        <v>19224</v>
      </c>
      <c r="C25" s="26">
        <f t="shared" si="0"/>
        <v>1</v>
      </c>
      <c r="D25" s="162"/>
      <c r="E25" s="26">
        <v>43264</v>
      </c>
      <c r="F25" s="159">
        <v>0.5</v>
      </c>
      <c r="G25" s="160">
        <v>46843</v>
      </c>
      <c r="I25" t="s">
        <v>17550</v>
      </c>
      <c r="J25" s="161" t="s">
        <v>19202</v>
      </c>
      <c r="K25" t="s">
        <v>19203</v>
      </c>
      <c r="L25" t="s">
        <v>17549</v>
      </c>
      <c r="M25" s="161" t="s">
        <v>19202</v>
      </c>
    </row>
    <row r="26" spans="1:13" x14ac:dyDescent="0.25">
      <c r="A26" s="156" t="s">
        <v>17763</v>
      </c>
      <c r="B26" s="156" t="s">
        <v>19224</v>
      </c>
      <c r="C26" s="26">
        <f t="shared" si="0"/>
        <v>0</v>
      </c>
      <c r="D26" s="157"/>
      <c r="E26" s="158">
        <v>39331</v>
      </c>
      <c r="F26" s="159">
        <v>0.2</v>
      </c>
      <c r="G26" s="160">
        <v>46611</v>
      </c>
      <c r="I26" t="s">
        <v>17721</v>
      </c>
      <c r="J26" s="161" t="s">
        <v>19202</v>
      </c>
      <c r="K26" t="s">
        <v>19203</v>
      </c>
      <c r="L26" t="s">
        <v>17720</v>
      </c>
      <c r="M26" s="161" t="s">
        <v>19202</v>
      </c>
    </row>
    <row r="27" spans="1:13" x14ac:dyDescent="0.25">
      <c r="A27" s="156" t="s">
        <v>17842</v>
      </c>
      <c r="B27" s="156" t="s">
        <v>19225</v>
      </c>
      <c r="C27" s="26">
        <f t="shared" si="0"/>
        <v>1</v>
      </c>
      <c r="D27" s="162"/>
      <c r="E27" s="26">
        <v>66929</v>
      </c>
      <c r="F27" s="159">
        <v>0.2</v>
      </c>
      <c r="G27" s="160">
        <v>46843</v>
      </c>
      <c r="I27" t="s">
        <v>1534</v>
      </c>
      <c r="J27" s="161" t="s">
        <v>19202</v>
      </c>
      <c r="K27" t="s">
        <v>19203</v>
      </c>
      <c r="L27" t="s">
        <v>1533</v>
      </c>
      <c r="M27" s="161" t="s">
        <v>19202</v>
      </c>
    </row>
    <row r="28" spans="1:13" x14ac:dyDescent="0.25">
      <c r="A28" s="156" t="s">
        <v>1508</v>
      </c>
      <c r="B28" s="156" t="s">
        <v>19222</v>
      </c>
      <c r="C28" s="26">
        <f t="shared" si="0"/>
        <v>1</v>
      </c>
      <c r="D28" s="162"/>
      <c r="E28" s="26">
        <v>102961</v>
      </c>
      <c r="F28" s="159">
        <v>0.7</v>
      </c>
      <c r="G28" s="160">
        <v>46691</v>
      </c>
      <c r="I28" t="s">
        <v>1785</v>
      </c>
      <c r="J28" s="161" t="s">
        <v>19202</v>
      </c>
      <c r="K28" t="s">
        <v>19203</v>
      </c>
      <c r="L28" t="s">
        <v>1784</v>
      </c>
      <c r="M28" s="161" t="s">
        <v>19202</v>
      </c>
    </row>
    <row r="29" spans="1:13" x14ac:dyDescent="0.25">
      <c r="A29" s="156" t="s">
        <v>1892</v>
      </c>
      <c r="B29" s="156" t="s">
        <v>19226</v>
      </c>
      <c r="C29" s="26">
        <f t="shared" si="0"/>
        <v>1</v>
      </c>
      <c r="D29" s="162"/>
      <c r="E29" s="26">
        <v>37961</v>
      </c>
      <c r="F29" s="159">
        <v>0.5</v>
      </c>
      <c r="G29" s="160">
        <v>46843</v>
      </c>
      <c r="I29" t="s">
        <v>17671</v>
      </c>
      <c r="J29" s="161" t="s">
        <v>19202</v>
      </c>
      <c r="K29" t="s">
        <v>19203</v>
      </c>
      <c r="L29" t="s">
        <v>405</v>
      </c>
      <c r="M29" s="161" t="s">
        <v>19202</v>
      </c>
    </row>
    <row r="30" spans="1:13" x14ac:dyDescent="0.25">
      <c r="A30" s="156" t="s">
        <v>1892</v>
      </c>
      <c r="B30" s="156" t="s">
        <v>19226</v>
      </c>
      <c r="C30" s="26">
        <f t="shared" si="0"/>
        <v>0</v>
      </c>
      <c r="D30" s="157"/>
      <c r="E30" s="158">
        <v>31634</v>
      </c>
      <c r="F30" s="159">
        <v>0.2</v>
      </c>
      <c r="G30" s="160">
        <v>46611</v>
      </c>
      <c r="I30" t="s">
        <v>1395</v>
      </c>
      <c r="J30" s="161" t="s">
        <v>19202</v>
      </c>
      <c r="K30" t="s">
        <v>19203</v>
      </c>
      <c r="L30" t="s">
        <v>1394</v>
      </c>
      <c r="M30" s="161" t="s">
        <v>19202</v>
      </c>
    </row>
    <row r="31" spans="1:13" x14ac:dyDescent="0.25">
      <c r="A31" s="156" t="s">
        <v>2122</v>
      </c>
      <c r="B31" s="156" t="s">
        <v>19227</v>
      </c>
      <c r="C31" s="26">
        <f t="shared" si="0"/>
        <v>1</v>
      </c>
      <c r="D31" s="157"/>
      <c r="E31" s="158">
        <v>37495</v>
      </c>
      <c r="F31" s="159">
        <v>0.2</v>
      </c>
      <c r="G31" s="160">
        <v>46843</v>
      </c>
      <c r="I31" t="s">
        <v>1879</v>
      </c>
      <c r="J31" s="161" t="s">
        <v>19202</v>
      </c>
      <c r="K31" t="s">
        <v>19203</v>
      </c>
      <c r="L31" t="s">
        <v>1878</v>
      </c>
      <c r="M31" s="161" t="s">
        <v>19202</v>
      </c>
    </row>
    <row r="32" spans="1:13" x14ac:dyDescent="0.25">
      <c r="A32" s="156" t="s">
        <v>1353</v>
      </c>
      <c r="B32" s="156" t="s">
        <v>19228</v>
      </c>
      <c r="C32" s="26">
        <f t="shared" si="0"/>
        <v>1</v>
      </c>
      <c r="D32" s="157"/>
      <c r="E32" s="158">
        <v>57778</v>
      </c>
      <c r="F32" s="159">
        <v>0.2</v>
      </c>
      <c r="G32" s="160">
        <v>46611</v>
      </c>
      <c r="I32" t="s">
        <v>19229</v>
      </c>
      <c r="J32" s="161" t="s">
        <v>19202</v>
      </c>
      <c r="K32" t="s">
        <v>19203</v>
      </c>
      <c r="L32" t="s">
        <v>19230</v>
      </c>
      <c r="M32" s="161" t="s">
        <v>19202</v>
      </c>
    </row>
    <row r="33" spans="1:13" x14ac:dyDescent="0.25">
      <c r="A33" s="156" t="s">
        <v>1890</v>
      </c>
      <c r="B33" s="156" t="s">
        <v>19231</v>
      </c>
      <c r="C33" s="26">
        <f t="shared" si="0"/>
        <v>1</v>
      </c>
      <c r="D33" s="162"/>
      <c r="E33" s="26">
        <v>64145</v>
      </c>
      <c r="F33" s="159">
        <v>0.2</v>
      </c>
      <c r="G33" s="160">
        <v>46611</v>
      </c>
      <c r="I33" t="s">
        <v>17686</v>
      </c>
      <c r="J33" s="161" t="s">
        <v>19202</v>
      </c>
      <c r="K33" t="s">
        <v>19203</v>
      </c>
      <c r="L33" t="s">
        <v>17685</v>
      </c>
      <c r="M33" s="161" t="s">
        <v>19202</v>
      </c>
    </row>
    <row r="34" spans="1:13" x14ac:dyDescent="0.25">
      <c r="A34" s="156" t="s">
        <v>2117</v>
      </c>
      <c r="B34" s="156" t="s">
        <v>19232</v>
      </c>
      <c r="C34" s="26">
        <f t="shared" si="0"/>
        <v>1</v>
      </c>
      <c r="D34" s="162"/>
      <c r="E34" s="26">
        <v>105156</v>
      </c>
      <c r="F34" s="159">
        <v>0.7</v>
      </c>
      <c r="G34" s="160">
        <v>46691</v>
      </c>
      <c r="I34" t="s">
        <v>17533</v>
      </c>
      <c r="J34" s="161" t="s">
        <v>19202</v>
      </c>
      <c r="K34" t="s">
        <v>19203</v>
      </c>
      <c r="L34" t="s">
        <v>17532</v>
      </c>
      <c r="M34" s="161" t="s">
        <v>19202</v>
      </c>
    </row>
    <row r="35" spans="1:13" x14ac:dyDescent="0.25">
      <c r="A35" s="156" t="s">
        <v>18042</v>
      </c>
      <c r="B35" s="156" t="s">
        <v>19233</v>
      </c>
      <c r="C35" s="26">
        <f t="shared" si="0"/>
        <v>1</v>
      </c>
      <c r="D35" s="162"/>
      <c r="E35" s="26">
        <v>55538</v>
      </c>
      <c r="F35" s="159">
        <v>0.2</v>
      </c>
      <c r="G35" s="160">
        <v>46622</v>
      </c>
      <c r="I35" t="s">
        <v>1871</v>
      </c>
      <c r="J35" s="161" t="s">
        <v>19202</v>
      </c>
      <c r="K35" t="s">
        <v>19203</v>
      </c>
      <c r="L35" t="s">
        <v>1870</v>
      </c>
      <c r="M35" s="161" t="s">
        <v>19202</v>
      </c>
    </row>
    <row r="36" spans="1:13" x14ac:dyDescent="0.25">
      <c r="A36" s="156" t="s">
        <v>1505</v>
      </c>
      <c r="B36" s="156" t="s">
        <v>19234</v>
      </c>
      <c r="C36" s="26">
        <f t="shared" si="0"/>
        <v>1</v>
      </c>
      <c r="D36" s="157"/>
      <c r="E36" s="158">
        <v>80000</v>
      </c>
      <c r="F36" s="159">
        <v>0.7</v>
      </c>
      <c r="G36" s="160">
        <v>46691</v>
      </c>
      <c r="I36" t="s">
        <v>2034</v>
      </c>
      <c r="J36" s="161" t="s">
        <v>19202</v>
      </c>
      <c r="K36" t="s">
        <v>19203</v>
      </c>
      <c r="L36" t="s">
        <v>2033</v>
      </c>
      <c r="M36" s="161" t="s">
        <v>19202</v>
      </c>
    </row>
    <row r="37" spans="1:13" x14ac:dyDescent="0.25">
      <c r="A37" s="156" t="s">
        <v>1882</v>
      </c>
      <c r="B37" s="156" t="s">
        <v>19235</v>
      </c>
      <c r="C37" s="26">
        <f t="shared" si="0"/>
        <v>1</v>
      </c>
      <c r="D37" s="162"/>
      <c r="E37" s="26">
        <v>54000</v>
      </c>
      <c r="F37" s="159">
        <v>0.5</v>
      </c>
      <c r="G37" s="160">
        <v>46843</v>
      </c>
      <c r="I37" t="s">
        <v>17454</v>
      </c>
      <c r="J37" s="161" t="s">
        <v>19202</v>
      </c>
      <c r="K37" t="s">
        <v>19203</v>
      </c>
      <c r="L37" t="s">
        <v>17453</v>
      </c>
      <c r="M37" s="161" t="s">
        <v>19202</v>
      </c>
    </row>
    <row r="38" spans="1:13" x14ac:dyDescent="0.25">
      <c r="A38" s="156" t="s">
        <v>1882</v>
      </c>
      <c r="B38" s="156" t="s">
        <v>19235</v>
      </c>
      <c r="C38" s="26">
        <f t="shared" si="0"/>
        <v>0</v>
      </c>
      <c r="D38" s="162"/>
      <c r="E38" s="26">
        <v>45000</v>
      </c>
      <c r="F38" s="159">
        <v>0.2</v>
      </c>
      <c r="G38" s="160">
        <v>46626</v>
      </c>
      <c r="I38" t="s">
        <v>1888</v>
      </c>
      <c r="J38" s="161" t="s">
        <v>19202</v>
      </c>
      <c r="K38" t="s">
        <v>19203</v>
      </c>
      <c r="L38" t="s">
        <v>1887</v>
      </c>
      <c r="M38" s="161" t="s">
        <v>19202</v>
      </c>
    </row>
    <row r="39" spans="1:13" x14ac:dyDescent="0.25">
      <c r="A39" s="156" t="s">
        <v>1502</v>
      </c>
      <c r="B39" s="156" t="s">
        <v>19236</v>
      </c>
      <c r="C39" s="26">
        <f t="shared" si="0"/>
        <v>1</v>
      </c>
      <c r="D39" s="157"/>
      <c r="E39" s="158">
        <v>89040</v>
      </c>
      <c r="F39" s="159">
        <v>0.7</v>
      </c>
      <c r="G39" s="160">
        <v>46843</v>
      </c>
      <c r="I39" t="s">
        <v>1816</v>
      </c>
      <c r="J39" s="161" t="s">
        <v>19202</v>
      </c>
      <c r="K39" t="s">
        <v>19203</v>
      </c>
      <c r="L39" t="s">
        <v>1815</v>
      </c>
      <c r="M39" s="161" t="s">
        <v>19202</v>
      </c>
    </row>
    <row r="40" spans="1:13" x14ac:dyDescent="0.25">
      <c r="A40" s="156" t="s">
        <v>17753</v>
      </c>
      <c r="B40" s="156" t="s">
        <v>19237</v>
      </c>
      <c r="C40" s="26">
        <f t="shared" si="0"/>
        <v>1</v>
      </c>
      <c r="D40" s="162"/>
      <c r="E40" s="26">
        <v>48335</v>
      </c>
      <c r="F40" s="159">
        <v>0.5</v>
      </c>
      <c r="G40" s="160">
        <v>46843</v>
      </c>
      <c r="I40" t="s">
        <v>1836</v>
      </c>
      <c r="J40" s="161" t="s">
        <v>19202</v>
      </c>
      <c r="K40" t="s">
        <v>19203</v>
      </c>
      <c r="L40" t="s">
        <v>1835</v>
      </c>
      <c r="M40" s="161" t="s">
        <v>19202</v>
      </c>
    </row>
    <row r="41" spans="1:13" x14ac:dyDescent="0.25">
      <c r="A41" s="156" t="s">
        <v>17749</v>
      </c>
      <c r="B41" s="156" t="s">
        <v>19238</v>
      </c>
      <c r="C41" s="26">
        <f t="shared" si="0"/>
        <v>1</v>
      </c>
      <c r="D41" s="157"/>
      <c r="E41" s="158">
        <v>49670</v>
      </c>
      <c r="F41" s="159">
        <v>0.5</v>
      </c>
      <c r="G41" s="160">
        <v>46843</v>
      </c>
      <c r="I41" t="s">
        <v>1909</v>
      </c>
      <c r="J41" s="161" t="s">
        <v>19202</v>
      </c>
      <c r="K41" t="s">
        <v>19203</v>
      </c>
      <c r="L41" t="s">
        <v>1908</v>
      </c>
      <c r="M41" s="161" t="s">
        <v>19202</v>
      </c>
    </row>
    <row r="42" spans="1:13" x14ac:dyDescent="0.25">
      <c r="A42" s="156" t="s">
        <v>17749</v>
      </c>
      <c r="B42" s="156" t="s">
        <v>19238</v>
      </c>
      <c r="C42" s="26">
        <f t="shared" si="0"/>
        <v>0</v>
      </c>
      <c r="D42" s="157"/>
      <c r="E42" s="158">
        <v>43192</v>
      </c>
      <c r="F42" s="159">
        <v>0.2</v>
      </c>
      <c r="G42" s="160">
        <v>46611</v>
      </c>
      <c r="I42" t="s">
        <v>1653</v>
      </c>
      <c r="J42" s="161" t="s">
        <v>19202</v>
      </c>
      <c r="K42" t="s">
        <v>19203</v>
      </c>
      <c r="L42" t="s">
        <v>1652</v>
      </c>
      <c r="M42" s="161" t="s">
        <v>19202</v>
      </c>
    </row>
    <row r="43" spans="1:13" x14ac:dyDescent="0.25">
      <c r="A43" s="156" t="s">
        <v>1879</v>
      </c>
      <c r="B43" s="156" t="s">
        <v>19239</v>
      </c>
      <c r="C43" s="26">
        <f t="shared" si="0"/>
        <v>1</v>
      </c>
      <c r="D43" s="162"/>
      <c r="E43" s="26">
        <v>127183</v>
      </c>
      <c r="F43" s="159">
        <v>0.7</v>
      </c>
      <c r="G43" s="160">
        <v>46843</v>
      </c>
      <c r="I43" t="s">
        <v>2066</v>
      </c>
      <c r="J43" s="161" t="s">
        <v>19202</v>
      </c>
      <c r="K43" t="s">
        <v>19203</v>
      </c>
      <c r="L43" t="s">
        <v>2065</v>
      </c>
      <c r="M43" s="161" t="s">
        <v>19202</v>
      </c>
    </row>
    <row r="44" spans="1:13" x14ac:dyDescent="0.25">
      <c r="A44" s="156" t="s">
        <v>2115</v>
      </c>
      <c r="B44" s="156" t="s">
        <v>19240</v>
      </c>
      <c r="C44" s="26">
        <f t="shared" si="0"/>
        <v>1</v>
      </c>
      <c r="D44" s="157"/>
      <c r="E44" s="158">
        <v>39802</v>
      </c>
      <c r="F44" s="159">
        <v>0.5</v>
      </c>
      <c r="G44" s="160">
        <v>46843</v>
      </c>
      <c r="I44" t="s">
        <v>17974</v>
      </c>
      <c r="J44" s="161" t="s">
        <v>19202</v>
      </c>
      <c r="K44" t="s">
        <v>19203</v>
      </c>
      <c r="L44" t="s">
        <v>17973</v>
      </c>
      <c r="M44" s="161" t="s">
        <v>19202</v>
      </c>
    </row>
    <row r="45" spans="1:13" x14ac:dyDescent="0.25">
      <c r="A45" s="156" t="s">
        <v>1874</v>
      </c>
      <c r="B45" s="156" t="s">
        <v>19241</v>
      </c>
      <c r="C45" s="26">
        <f t="shared" si="0"/>
        <v>1</v>
      </c>
      <c r="D45" s="157"/>
      <c r="E45" s="158">
        <v>40310</v>
      </c>
      <c r="F45" s="159">
        <v>0.2</v>
      </c>
      <c r="G45" s="160">
        <v>46843</v>
      </c>
      <c r="I45" t="s">
        <v>2117</v>
      </c>
      <c r="J45" s="161" t="s">
        <v>19202</v>
      </c>
      <c r="K45" t="s">
        <v>19203</v>
      </c>
      <c r="L45" t="s">
        <v>2116</v>
      </c>
      <c r="M45" s="161" t="s">
        <v>19202</v>
      </c>
    </row>
    <row r="46" spans="1:13" x14ac:dyDescent="0.25">
      <c r="A46" s="156" t="s">
        <v>17969</v>
      </c>
      <c r="B46" s="156" t="s">
        <v>19242</v>
      </c>
      <c r="C46" s="26">
        <f t="shared" si="0"/>
        <v>1</v>
      </c>
      <c r="D46" s="162"/>
      <c r="E46" s="26">
        <v>40874</v>
      </c>
      <c r="F46" s="159">
        <v>0.2</v>
      </c>
      <c r="G46" s="160">
        <v>46611</v>
      </c>
      <c r="I46" t="s">
        <v>1442</v>
      </c>
      <c r="J46" s="161" t="s">
        <v>19202</v>
      </c>
      <c r="K46" t="s">
        <v>19203</v>
      </c>
      <c r="L46" t="s">
        <v>1441</v>
      </c>
      <c r="M46" s="161" t="s">
        <v>19202</v>
      </c>
    </row>
    <row r="47" spans="1:13" x14ac:dyDescent="0.25">
      <c r="A47" s="156" t="s">
        <v>17730</v>
      </c>
      <c r="B47" s="156" t="s">
        <v>19243</v>
      </c>
      <c r="C47" s="26">
        <f t="shared" si="0"/>
        <v>1</v>
      </c>
      <c r="D47" s="164"/>
      <c r="E47" s="165">
        <v>26268</v>
      </c>
      <c r="F47" s="159">
        <v>0.2</v>
      </c>
      <c r="G47" s="160">
        <v>46611</v>
      </c>
      <c r="I47" t="s">
        <v>1894</v>
      </c>
      <c r="J47" s="161" t="s">
        <v>19202</v>
      </c>
      <c r="K47" t="s">
        <v>19203</v>
      </c>
      <c r="L47" t="s">
        <v>1893</v>
      </c>
      <c r="M47" s="161" t="s">
        <v>19202</v>
      </c>
    </row>
    <row r="48" spans="1:13" x14ac:dyDescent="0.25">
      <c r="A48" s="156" t="s">
        <v>17372</v>
      </c>
      <c r="B48" s="156" t="s">
        <v>19244</v>
      </c>
      <c r="C48" s="26">
        <f t="shared" si="0"/>
        <v>1</v>
      </c>
      <c r="D48" s="162"/>
      <c r="E48" s="26">
        <v>72000</v>
      </c>
      <c r="F48" s="159">
        <v>0.7</v>
      </c>
      <c r="G48" s="160">
        <v>46691</v>
      </c>
      <c r="I48" t="s">
        <v>17776</v>
      </c>
      <c r="J48" s="161" t="s">
        <v>19202</v>
      </c>
      <c r="K48" t="s">
        <v>19203</v>
      </c>
      <c r="L48" t="s">
        <v>970</v>
      </c>
      <c r="M48" s="161" t="s">
        <v>19202</v>
      </c>
    </row>
    <row r="49" spans="1:13" x14ac:dyDescent="0.25">
      <c r="A49" s="156" t="s">
        <v>17372</v>
      </c>
      <c r="B49" s="156" t="s">
        <v>19244</v>
      </c>
      <c r="C49" s="26">
        <f t="shared" si="0"/>
        <v>0</v>
      </c>
      <c r="D49" s="157"/>
      <c r="E49" s="158">
        <v>60000</v>
      </c>
      <c r="F49" s="159">
        <v>0.2</v>
      </c>
      <c r="G49" s="160">
        <v>46611</v>
      </c>
      <c r="I49" t="s">
        <v>1841</v>
      </c>
      <c r="J49" s="161" t="s">
        <v>19202</v>
      </c>
      <c r="K49" t="s">
        <v>19203</v>
      </c>
      <c r="L49" t="s">
        <v>1736</v>
      </c>
      <c r="M49" s="161" t="s">
        <v>19202</v>
      </c>
    </row>
    <row r="50" spans="1:13" x14ac:dyDescent="0.25">
      <c r="A50" s="156" t="s">
        <v>1499</v>
      </c>
      <c r="B50" s="156" t="s">
        <v>19245</v>
      </c>
      <c r="C50" s="26">
        <f t="shared" si="0"/>
        <v>1</v>
      </c>
      <c r="D50" s="157"/>
      <c r="E50" s="158">
        <v>57500</v>
      </c>
      <c r="F50" s="159">
        <v>0.5</v>
      </c>
      <c r="G50" s="160">
        <v>46843</v>
      </c>
      <c r="I50" t="s">
        <v>1530</v>
      </c>
      <c r="J50" s="161" t="s">
        <v>19202</v>
      </c>
      <c r="K50" t="s">
        <v>19203</v>
      </c>
      <c r="L50" t="s">
        <v>1529</v>
      </c>
      <c r="M50" s="161" t="s">
        <v>19202</v>
      </c>
    </row>
    <row r="51" spans="1:13" x14ac:dyDescent="0.25">
      <c r="A51" s="156" t="s">
        <v>1499</v>
      </c>
      <c r="B51" s="156" t="s">
        <v>19245</v>
      </c>
      <c r="C51" s="26">
        <f t="shared" si="0"/>
        <v>0</v>
      </c>
      <c r="D51" s="157"/>
      <c r="E51" s="158">
        <v>50000</v>
      </c>
      <c r="F51" s="159">
        <v>0.2</v>
      </c>
      <c r="G51" s="160">
        <v>46611</v>
      </c>
      <c r="I51" t="s">
        <v>1508</v>
      </c>
      <c r="J51" s="161" t="s">
        <v>19202</v>
      </c>
      <c r="K51" t="s">
        <v>19203</v>
      </c>
      <c r="L51" t="s">
        <v>632</v>
      </c>
      <c r="M51" s="161" t="s">
        <v>19202</v>
      </c>
    </row>
    <row r="52" spans="1:13" x14ac:dyDescent="0.25">
      <c r="A52" s="156" t="s">
        <v>1493</v>
      </c>
      <c r="B52" s="156" t="s">
        <v>19246</v>
      </c>
      <c r="C52" s="26">
        <f t="shared" si="0"/>
        <v>1</v>
      </c>
      <c r="D52" s="162"/>
      <c r="E52" s="26">
        <v>80000</v>
      </c>
      <c r="F52" s="159">
        <v>0.7</v>
      </c>
      <c r="G52" s="160">
        <v>46691</v>
      </c>
      <c r="I52" t="s">
        <v>17378</v>
      </c>
      <c r="J52" s="161" t="s">
        <v>19202</v>
      </c>
      <c r="K52" t="s">
        <v>19203</v>
      </c>
      <c r="L52" t="s">
        <v>3799</v>
      </c>
      <c r="M52" s="161" t="s">
        <v>19202</v>
      </c>
    </row>
    <row r="53" spans="1:13" x14ac:dyDescent="0.25">
      <c r="A53" s="156" t="s">
        <v>17721</v>
      </c>
      <c r="B53" s="156" t="s">
        <v>19247</v>
      </c>
      <c r="C53" s="26">
        <f t="shared" si="0"/>
        <v>1</v>
      </c>
      <c r="D53" s="157"/>
      <c r="E53" s="158">
        <v>144719</v>
      </c>
      <c r="F53" s="159">
        <v>0.7</v>
      </c>
      <c r="G53" s="160">
        <v>46691</v>
      </c>
      <c r="I53" t="s">
        <v>1890</v>
      </c>
      <c r="J53" s="161" t="s">
        <v>19202</v>
      </c>
      <c r="K53" t="s">
        <v>19203</v>
      </c>
      <c r="L53" t="s">
        <v>1889</v>
      </c>
      <c r="M53" s="161" t="s">
        <v>19202</v>
      </c>
    </row>
    <row r="54" spans="1:13" x14ac:dyDescent="0.25">
      <c r="A54" s="156" t="s">
        <v>1860</v>
      </c>
      <c r="B54" s="156" t="s">
        <v>19248</v>
      </c>
      <c r="C54" s="26">
        <f t="shared" si="0"/>
        <v>1</v>
      </c>
      <c r="D54" s="162"/>
      <c r="E54" s="26">
        <v>40000</v>
      </c>
      <c r="F54" s="159">
        <v>0.5</v>
      </c>
      <c r="G54" s="160">
        <v>46843</v>
      </c>
      <c r="I54" t="s">
        <v>1981</v>
      </c>
      <c r="J54" s="161" t="s">
        <v>19202</v>
      </c>
      <c r="K54" t="s">
        <v>19203</v>
      </c>
      <c r="L54" t="s">
        <v>1980</v>
      </c>
      <c r="M54" s="161" t="s">
        <v>19202</v>
      </c>
    </row>
    <row r="55" spans="1:13" x14ac:dyDescent="0.25">
      <c r="A55" s="156" t="s">
        <v>1860</v>
      </c>
      <c r="B55" s="156" t="s">
        <v>19248</v>
      </c>
      <c r="C55" s="26">
        <f t="shared" si="0"/>
        <v>0</v>
      </c>
      <c r="D55" s="162"/>
      <c r="E55" s="26">
        <v>29000</v>
      </c>
      <c r="F55" s="159">
        <v>0.2</v>
      </c>
      <c r="G55" s="160">
        <v>46611</v>
      </c>
      <c r="I55" t="s">
        <v>1799</v>
      </c>
      <c r="J55" s="161" t="s">
        <v>19202</v>
      </c>
      <c r="K55" t="s">
        <v>19203</v>
      </c>
      <c r="L55" t="s">
        <v>1798</v>
      </c>
      <c r="M55" s="161" t="s">
        <v>19202</v>
      </c>
    </row>
    <row r="56" spans="1:13" x14ac:dyDescent="0.25">
      <c r="A56" s="156" t="s">
        <v>1491</v>
      </c>
      <c r="B56" s="156" t="s">
        <v>19249</v>
      </c>
      <c r="C56" s="26">
        <f t="shared" si="0"/>
        <v>1</v>
      </c>
      <c r="D56" s="164"/>
      <c r="E56" s="165">
        <v>24588</v>
      </c>
      <c r="F56" s="159">
        <v>0.2</v>
      </c>
      <c r="G56" s="160">
        <v>46843</v>
      </c>
      <c r="I56" t="s">
        <v>17690</v>
      </c>
      <c r="J56" s="161" t="s">
        <v>19202</v>
      </c>
      <c r="K56" t="s">
        <v>19203</v>
      </c>
      <c r="L56" t="s">
        <v>4966</v>
      </c>
      <c r="M56" s="161" t="s">
        <v>19202</v>
      </c>
    </row>
    <row r="57" spans="1:13" x14ac:dyDescent="0.25">
      <c r="A57" s="156" t="s">
        <v>2102</v>
      </c>
      <c r="B57" s="156" t="s">
        <v>19250</v>
      </c>
      <c r="C57" s="26">
        <f t="shared" si="0"/>
        <v>1</v>
      </c>
      <c r="D57" s="157"/>
      <c r="E57" s="158">
        <v>33168</v>
      </c>
      <c r="F57" s="159">
        <v>0.2</v>
      </c>
      <c r="G57" s="160">
        <v>46843</v>
      </c>
      <c r="I57" t="s">
        <v>1636</v>
      </c>
      <c r="J57" s="161" t="s">
        <v>19202</v>
      </c>
      <c r="K57" t="s">
        <v>19203</v>
      </c>
      <c r="L57" t="s">
        <v>1635</v>
      </c>
      <c r="M57" s="161" t="s">
        <v>19202</v>
      </c>
    </row>
    <row r="58" spans="1:13" x14ac:dyDescent="0.25">
      <c r="A58" s="156" t="s">
        <v>2099</v>
      </c>
      <c r="B58" s="156" t="s">
        <v>19251</v>
      </c>
      <c r="C58" s="26">
        <f t="shared" si="0"/>
        <v>1</v>
      </c>
      <c r="D58" s="157"/>
      <c r="E58" s="158">
        <v>49994</v>
      </c>
      <c r="F58" s="159">
        <v>0.2</v>
      </c>
      <c r="G58" s="160">
        <v>46843</v>
      </c>
      <c r="I58" t="s">
        <v>17530</v>
      </c>
      <c r="J58" s="161" t="s">
        <v>19202</v>
      </c>
      <c r="K58" t="s">
        <v>19203</v>
      </c>
      <c r="L58" t="s">
        <v>17529</v>
      </c>
      <c r="M58" s="161" t="s">
        <v>19202</v>
      </c>
    </row>
    <row r="59" spans="1:13" x14ac:dyDescent="0.25">
      <c r="A59" s="156" t="s">
        <v>17690</v>
      </c>
      <c r="B59" s="156" t="s">
        <v>19252</v>
      </c>
      <c r="C59" s="26">
        <f t="shared" si="0"/>
        <v>1</v>
      </c>
      <c r="D59" s="162"/>
      <c r="E59" s="26">
        <v>91380</v>
      </c>
      <c r="F59" s="159">
        <v>0.5</v>
      </c>
      <c r="G59" s="160">
        <v>46843</v>
      </c>
      <c r="I59" t="s">
        <v>1804</v>
      </c>
      <c r="J59" s="161" t="s">
        <v>19202</v>
      </c>
      <c r="K59" t="s">
        <v>19203</v>
      </c>
      <c r="L59" t="s">
        <v>1803</v>
      </c>
      <c r="M59" s="161" t="s">
        <v>19202</v>
      </c>
    </row>
    <row r="60" spans="1:13" x14ac:dyDescent="0.25">
      <c r="A60" s="156" t="s">
        <v>17690</v>
      </c>
      <c r="B60" s="156" t="s">
        <v>19252</v>
      </c>
      <c r="C60" s="26">
        <f t="shared" si="0"/>
        <v>0</v>
      </c>
      <c r="D60" s="157"/>
      <c r="E60" s="158">
        <v>79460</v>
      </c>
      <c r="F60" s="159">
        <v>0.2</v>
      </c>
      <c r="G60" s="160">
        <v>46622</v>
      </c>
      <c r="I60" t="s">
        <v>2041</v>
      </c>
      <c r="J60" s="161" t="s">
        <v>19202</v>
      </c>
      <c r="K60" t="s">
        <v>19203</v>
      </c>
      <c r="L60" t="s">
        <v>2040</v>
      </c>
      <c r="M60" s="161" t="s">
        <v>19202</v>
      </c>
    </row>
    <row r="61" spans="1:13" x14ac:dyDescent="0.25">
      <c r="A61" s="156" t="s">
        <v>1488</v>
      </c>
      <c r="B61" s="156" t="s">
        <v>19253</v>
      </c>
      <c r="C61" s="26">
        <f t="shared" si="0"/>
        <v>1</v>
      </c>
      <c r="D61" s="157"/>
      <c r="E61" s="158">
        <v>215107</v>
      </c>
      <c r="F61" s="159">
        <v>0.7</v>
      </c>
      <c r="G61" s="160">
        <v>46843</v>
      </c>
      <c r="I61" t="s">
        <v>1976</v>
      </c>
      <c r="J61" s="161" t="s">
        <v>19202</v>
      </c>
      <c r="K61" t="s">
        <v>19203</v>
      </c>
      <c r="L61" t="s">
        <v>1975</v>
      </c>
      <c r="M61" s="161" t="s">
        <v>19202</v>
      </c>
    </row>
    <row r="62" spans="1:13" x14ac:dyDescent="0.25">
      <c r="A62" s="156" t="s">
        <v>2095</v>
      </c>
      <c r="B62" s="156" t="s">
        <v>19254</v>
      </c>
      <c r="C62" s="26">
        <f t="shared" si="0"/>
        <v>1</v>
      </c>
      <c r="D62" s="162"/>
      <c r="E62" s="26">
        <v>70000</v>
      </c>
      <c r="F62" s="159">
        <v>0.5</v>
      </c>
      <c r="G62" s="160">
        <v>46843</v>
      </c>
      <c r="I62" t="s">
        <v>1502</v>
      </c>
      <c r="J62" s="161" t="s">
        <v>19202</v>
      </c>
      <c r="K62" t="s">
        <v>19203</v>
      </c>
      <c r="L62" t="s">
        <v>1501</v>
      </c>
      <c r="M62" s="161" t="s">
        <v>19202</v>
      </c>
    </row>
    <row r="63" spans="1:13" x14ac:dyDescent="0.25">
      <c r="A63" s="156" t="s">
        <v>2095</v>
      </c>
      <c r="B63" s="156" t="s">
        <v>19254</v>
      </c>
      <c r="C63" s="26">
        <f t="shared" si="0"/>
        <v>0</v>
      </c>
      <c r="D63" s="162"/>
      <c r="E63" s="26">
        <v>50000</v>
      </c>
      <c r="F63" s="159">
        <v>0.2</v>
      </c>
      <c r="G63" s="160">
        <v>46611</v>
      </c>
      <c r="I63" t="s">
        <v>18938</v>
      </c>
      <c r="J63" s="161" t="s">
        <v>19202</v>
      </c>
      <c r="K63" t="s">
        <v>19203</v>
      </c>
      <c r="L63" t="s">
        <v>18940</v>
      </c>
      <c r="M63" s="161" t="s">
        <v>19202</v>
      </c>
    </row>
    <row r="64" spans="1:13" x14ac:dyDescent="0.25">
      <c r="A64" s="156" t="s">
        <v>17686</v>
      </c>
      <c r="B64" s="156" t="s">
        <v>19255</v>
      </c>
      <c r="C64" s="26">
        <f t="shared" si="0"/>
        <v>1</v>
      </c>
      <c r="D64" s="162"/>
      <c r="E64" s="26">
        <v>105235</v>
      </c>
      <c r="F64" s="159">
        <v>0.7</v>
      </c>
      <c r="G64" s="160">
        <v>46691</v>
      </c>
      <c r="I64" t="s">
        <v>17612</v>
      </c>
      <c r="J64" s="161" t="s">
        <v>19202</v>
      </c>
      <c r="K64" t="s">
        <v>19203</v>
      </c>
      <c r="L64" t="s">
        <v>14484</v>
      </c>
      <c r="M64" s="161" t="s">
        <v>19202</v>
      </c>
    </row>
    <row r="65" spans="1:13" x14ac:dyDescent="0.25">
      <c r="A65" s="156" t="s">
        <v>17680</v>
      </c>
      <c r="B65" s="156" t="s">
        <v>19256</v>
      </c>
      <c r="C65" s="26">
        <f t="shared" si="0"/>
        <v>1</v>
      </c>
      <c r="D65" s="157"/>
      <c r="E65" s="158">
        <v>175436</v>
      </c>
      <c r="F65" s="159">
        <v>0.7</v>
      </c>
      <c r="G65" s="160">
        <v>46843</v>
      </c>
      <c r="I65" t="s">
        <v>17289</v>
      </c>
      <c r="J65" s="161" t="s">
        <v>19202</v>
      </c>
      <c r="K65" t="s">
        <v>19203</v>
      </c>
      <c r="L65" t="s">
        <v>17288</v>
      </c>
      <c r="M65" s="161" t="s">
        <v>19202</v>
      </c>
    </row>
    <row r="66" spans="1:13" x14ac:dyDescent="0.25">
      <c r="A66" s="156" t="s">
        <v>17680</v>
      </c>
      <c r="B66" s="156" t="s">
        <v>19256</v>
      </c>
      <c r="C66" s="26">
        <f t="shared" si="0"/>
        <v>0</v>
      </c>
      <c r="D66" s="157"/>
      <c r="E66" s="158">
        <v>103500</v>
      </c>
      <c r="F66" s="159">
        <v>0.2</v>
      </c>
      <c r="G66" s="160">
        <v>46441</v>
      </c>
      <c r="I66" t="s">
        <v>17434</v>
      </c>
      <c r="J66" s="161" t="s">
        <v>19202</v>
      </c>
      <c r="K66" t="s">
        <v>19203</v>
      </c>
      <c r="L66" t="s">
        <v>17433</v>
      </c>
      <c r="M66" s="161" t="s">
        <v>19202</v>
      </c>
    </row>
    <row r="67" spans="1:13" x14ac:dyDescent="0.25">
      <c r="A67" s="156" t="s">
        <v>17369</v>
      </c>
      <c r="B67" s="156" t="s">
        <v>19257</v>
      </c>
      <c r="C67" s="26">
        <f t="shared" ref="C67:C130" si="1">IF(A67=A66,0,1)</f>
        <v>1</v>
      </c>
      <c r="D67" s="157"/>
      <c r="E67" s="158">
        <v>222923</v>
      </c>
      <c r="F67" s="159">
        <v>0.7</v>
      </c>
      <c r="G67" s="160">
        <v>46843</v>
      </c>
      <c r="I67" t="s">
        <v>2046</v>
      </c>
      <c r="J67" s="161" t="s">
        <v>19202</v>
      </c>
      <c r="K67" t="s">
        <v>19203</v>
      </c>
      <c r="L67" t="s">
        <v>2045</v>
      </c>
      <c r="M67" s="161" t="s">
        <v>19202</v>
      </c>
    </row>
    <row r="68" spans="1:13" x14ac:dyDescent="0.25">
      <c r="A68" s="156" t="s">
        <v>17369</v>
      </c>
      <c r="B68" s="156" t="s">
        <v>19257</v>
      </c>
      <c r="C68" s="26">
        <f t="shared" si="1"/>
        <v>0</v>
      </c>
      <c r="D68" s="157"/>
      <c r="E68" s="158">
        <v>136413</v>
      </c>
      <c r="F68" s="159">
        <v>0.2</v>
      </c>
      <c r="G68" s="160">
        <v>46441</v>
      </c>
      <c r="I68" t="s">
        <v>1750</v>
      </c>
      <c r="J68" s="161" t="s">
        <v>19202</v>
      </c>
      <c r="K68" t="s">
        <v>19203</v>
      </c>
      <c r="L68" t="s">
        <v>1749</v>
      </c>
      <c r="M68" s="161" t="s">
        <v>19202</v>
      </c>
    </row>
    <row r="69" spans="1:13" x14ac:dyDescent="0.25">
      <c r="A69" s="156" t="s">
        <v>17671</v>
      </c>
      <c r="B69" s="156" t="s">
        <v>19258</v>
      </c>
      <c r="C69" s="26">
        <f t="shared" si="1"/>
        <v>1</v>
      </c>
      <c r="D69" s="162"/>
      <c r="E69" s="26">
        <v>127140</v>
      </c>
      <c r="F69" s="159">
        <v>0.5</v>
      </c>
      <c r="G69" s="160">
        <v>46843</v>
      </c>
      <c r="I69" t="s">
        <v>1758</v>
      </c>
      <c r="J69" s="161" t="s">
        <v>19202</v>
      </c>
      <c r="K69" t="s">
        <v>19203</v>
      </c>
      <c r="L69" t="s">
        <v>1757</v>
      </c>
      <c r="M69" s="161" t="s">
        <v>19202</v>
      </c>
    </row>
    <row r="70" spans="1:13" x14ac:dyDescent="0.25">
      <c r="A70" s="156" t="s">
        <v>17671</v>
      </c>
      <c r="B70" s="156" t="s">
        <v>19258</v>
      </c>
      <c r="C70" s="26">
        <f t="shared" si="1"/>
        <v>0</v>
      </c>
      <c r="D70" s="162"/>
      <c r="E70" s="26">
        <v>105074</v>
      </c>
      <c r="F70" s="159">
        <v>0.2</v>
      </c>
      <c r="G70" s="160">
        <v>46441</v>
      </c>
      <c r="I70" t="s">
        <v>1493</v>
      </c>
      <c r="J70" s="161" t="s">
        <v>19202</v>
      </c>
      <c r="K70" t="s">
        <v>19203</v>
      </c>
      <c r="L70" t="s">
        <v>1492</v>
      </c>
      <c r="M70" s="161" t="s">
        <v>19202</v>
      </c>
    </row>
    <row r="71" spans="1:13" x14ac:dyDescent="0.25">
      <c r="A71" s="156" t="s">
        <v>17657</v>
      </c>
      <c r="B71" s="156" t="s">
        <v>19259</v>
      </c>
      <c r="C71" s="26">
        <f t="shared" si="1"/>
        <v>1</v>
      </c>
      <c r="D71" s="162"/>
      <c r="E71" s="26">
        <v>48000</v>
      </c>
      <c r="F71" s="159">
        <v>0.7</v>
      </c>
      <c r="G71" s="160">
        <v>46691</v>
      </c>
      <c r="I71" t="s">
        <v>17445</v>
      </c>
      <c r="J71" s="161" t="s">
        <v>19202</v>
      </c>
      <c r="K71" t="s">
        <v>19203</v>
      </c>
      <c r="L71" t="s">
        <v>17444</v>
      </c>
      <c r="M71" s="161" t="s">
        <v>19202</v>
      </c>
    </row>
    <row r="72" spans="1:13" x14ac:dyDescent="0.25">
      <c r="A72" s="156" t="s">
        <v>17655</v>
      </c>
      <c r="B72" s="156" t="s">
        <v>19260</v>
      </c>
      <c r="C72" s="26">
        <f t="shared" si="1"/>
        <v>1</v>
      </c>
      <c r="D72" s="164"/>
      <c r="E72" s="165">
        <v>22165</v>
      </c>
      <c r="F72" s="159">
        <v>0.2</v>
      </c>
      <c r="G72" s="160">
        <v>46626</v>
      </c>
      <c r="I72" t="s">
        <v>1743</v>
      </c>
      <c r="J72" s="161" t="s">
        <v>19202</v>
      </c>
      <c r="K72" t="s">
        <v>19203</v>
      </c>
      <c r="L72" t="s">
        <v>1742</v>
      </c>
      <c r="M72" s="161" t="s">
        <v>19202</v>
      </c>
    </row>
    <row r="73" spans="1:13" x14ac:dyDescent="0.25">
      <c r="A73" s="156" t="s">
        <v>1836</v>
      </c>
      <c r="B73" s="156" t="s">
        <v>19261</v>
      </c>
      <c r="C73" s="26">
        <f t="shared" si="1"/>
        <v>1</v>
      </c>
      <c r="D73" s="162"/>
      <c r="E73" s="26">
        <v>107713</v>
      </c>
      <c r="F73" s="159">
        <v>0.7</v>
      </c>
      <c r="G73" s="160">
        <v>46691</v>
      </c>
      <c r="I73" t="s">
        <v>2026</v>
      </c>
      <c r="J73" s="161" t="s">
        <v>19202</v>
      </c>
      <c r="K73" t="s">
        <v>19203</v>
      </c>
      <c r="L73" t="s">
        <v>2025</v>
      </c>
      <c r="M73" s="161" t="s">
        <v>19202</v>
      </c>
    </row>
    <row r="74" spans="1:13" x14ac:dyDescent="0.25">
      <c r="A74" s="156" t="s">
        <v>18093</v>
      </c>
      <c r="B74" s="156" t="s">
        <v>19262</v>
      </c>
      <c r="C74" s="26">
        <f t="shared" si="1"/>
        <v>1</v>
      </c>
      <c r="D74" s="164"/>
      <c r="E74" s="165">
        <v>25490</v>
      </c>
      <c r="F74" s="159">
        <v>0.5</v>
      </c>
      <c r="G74" s="160">
        <v>46843</v>
      </c>
      <c r="I74" t="s">
        <v>1830</v>
      </c>
      <c r="J74" s="161" t="s">
        <v>19202</v>
      </c>
      <c r="K74" t="s">
        <v>19203</v>
      </c>
      <c r="L74" t="s">
        <v>405</v>
      </c>
      <c r="M74" s="161" t="s">
        <v>19202</v>
      </c>
    </row>
    <row r="75" spans="1:13" x14ac:dyDescent="0.25">
      <c r="A75" s="156" t="s">
        <v>17652</v>
      </c>
      <c r="B75" s="156" t="s">
        <v>19263</v>
      </c>
      <c r="C75" s="26">
        <f t="shared" si="1"/>
        <v>1</v>
      </c>
      <c r="D75" s="162"/>
      <c r="E75" s="26">
        <v>645407</v>
      </c>
      <c r="F75" s="159">
        <v>0.7</v>
      </c>
      <c r="G75" s="160">
        <v>46691</v>
      </c>
      <c r="I75" t="s">
        <v>1505</v>
      </c>
      <c r="J75" s="161" t="s">
        <v>19202</v>
      </c>
      <c r="K75" t="s">
        <v>19203</v>
      </c>
      <c r="L75" t="s">
        <v>1504</v>
      </c>
      <c r="M75" s="161" t="s">
        <v>19202</v>
      </c>
    </row>
    <row r="76" spans="1:13" x14ac:dyDescent="0.25">
      <c r="A76" s="156" t="s">
        <v>1834</v>
      </c>
      <c r="B76" s="156" t="s">
        <v>19264</v>
      </c>
      <c r="C76" s="26">
        <f t="shared" si="1"/>
        <v>1</v>
      </c>
      <c r="D76" s="157"/>
      <c r="E76" s="158">
        <v>46368</v>
      </c>
      <c r="F76" s="159">
        <v>0.2</v>
      </c>
      <c r="G76" s="160">
        <v>46843</v>
      </c>
      <c r="I76" t="s">
        <v>17347</v>
      </c>
      <c r="J76" s="161" t="s">
        <v>19202</v>
      </c>
      <c r="K76" t="s">
        <v>19203</v>
      </c>
      <c r="L76" t="s">
        <v>17346</v>
      </c>
      <c r="M76" s="161" t="s">
        <v>19202</v>
      </c>
    </row>
    <row r="77" spans="1:13" x14ac:dyDescent="0.25">
      <c r="A77" s="156" t="s">
        <v>1830</v>
      </c>
      <c r="B77" s="156" t="s">
        <v>17463</v>
      </c>
      <c r="C77" s="26">
        <f t="shared" si="1"/>
        <v>1</v>
      </c>
      <c r="D77" s="157"/>
      <c r="E77" s="158">
        <v>79258</v>
      </c>
      <c r="F77" s="159">
        <v>0.2</v>
      </c>
      <c r="G77" s="160">
        <v>46843</v>
      </c>
      <c r="I77" t="s">
        <v>17392</v>
      </c>
      <c r="J77" s="161" t="s">
        <v>19202</v>
      </c>
      <c r="K77" t="s">
        <v>19203</v>
      </c>
      <c r="L77" t="s">
        <v>17391</v>
      </c>
      <c r="M77" s="161" t="s">
        <v>19202</v>
      </c>
    </row>
    <row r="78" spans="1:13" x14ac:dyDescent="0.25">
      <c r="A78" s="156" t="s">
        <v>17630</v>
      </c>
      <c r="B78" s="156" t="s">
        <v>19265</v>
      </c>
      <c r="C78" s="26">
        <f t="shared" si="1"/>
        <v>1</v>
      </c>
      <c r="D78" s="162"/>
      <c r="E78" s="26">
        <v>48530</v>
      </c>
      <c r="F78" s="159">
        <v>0.2</v>
      </c>
      <c r="G78" s="160">
        <v>46622</v>
      </c>
      <c r="I78" t="s">
        <v>18079</v>
      </c>
      <c r="J78" s="161" t="s">
        <v>19202</v>
      </c>
      <c r="K78" t="s">
        <v>19203</v>
      </c>
      <c r="L78" t="s">
        <v>18078</v>
      </c>
      <c r="M78" s="161" t="s">
        <v>19202</v>
      </c>
    </row>
    <row r="79" spans="1:13" x14ac:dyDescent="0.25">
      <c r="A79" s="156" t="s">
        <v>1485</v>
      </c>
      <c r="B79" s="156" t="s">
        <v>19266</v>
      </c>
      <c r="C79" s="26">
        <f t="shared" si="1"/>
        <v>1</v>
      </c>
      <c r="D79" s="162"/>
      <c r="E79" s="26">
        <v>38500</v>
      </c>
      <c r="F79" s="159">
        <v>0.5</v>
      </c>
      <c r="G79" s="160">
        <v>46843</v>
      </c>
      <c r="I79" t="s">
        <v>18077</v>
      </c>
      <c r="J79" s="161" t="s">
        <v>19202</v>
      </c>
      <c r="K79" t="s">
        <v>19203</v>
      </c>
      <c r="L79" t="s">
        <v>18076</v>
      </c>
      <c r="M79" s="161" t="s">
        <v>19202</v>
      </c>
    </row>
    <row r="80" spans="1:13" x14ac:dyDescent="0.25">
      <c r="A80" s="156" t="s">
        <v>2083</v>
      </c>
      <c r="B80" s="156" t="s">
        <v>19267</v>
      </c>
      <c r="C80" s="26">
        <f t="shared" si="1"/>
        <v>1</v>
      </c>
      <c r="D80" s="162"/>
      <c r="E80" s="26">
        <v>28050</v>
      </c>
      <c r="F80" s="159">
        <v>0.2</v>
      </c>
      <c r="G80" s="160">
        <v>46843</v>
      </c>
      <c r="I80" t="s">
        <v>1417</v>
      </c>
      <c r="J80" s="161" t="s">
        <v>19202</v>
      </c>
      <c r="K80" t="s">
        <v>19203</v>
      </c>
      <c r="L80" t="s">
        <v>758</v>
      </c>
      <c r="M80" s="161" t="s">
        <v>19202</v>
      </c>
    </row>
    <row r="81" spans="1:13" x14ac:dyDescent="0.25">
      <c r="A81" s="156" t="s">
        <v>2077</v>
      </c>
      <c r="B81" s="156" t="s">
        <v>19268</v>
      </c>
      <c r="C81" s="26">
        <f t="shared" si="1"/>
        <v>1</v>
      </c>
      <c r="D81" s="157"/>
      <c r="E81" s="158">
        <v>38962</v>
      </c>
      <c r="F81" s="159">
        <v>0.2</v>
      </c>
      <c r="G81" s="160">
        <v>46843</v>
      </c>
      <c r="I81" t="s">
        <v>18097</v>
      </c>
      <c r="J81" s="161" t="s">
        <v>19202</v>
      </c>
      <c r="K81" t="s">
        <v>19203</v>
      </c>
      <c r="L81" t="s">
        <v>18096</v>
      </c>
      <c r="M81" s="161" t="s">
        <v>19202</v>
      </c>
    </row>
    <row r="82" spans="1:13" x14ac:dyDescent="0.25">
      <c r="A82" s="156" t="s">
        <v>1816</v>
      </c>
      <c r="B82" s="156" t="s">
        <v>19269</v>
      </c>
      <c r="C82" s="26">
        <f t="shared" si="1"/>
        <v>1</v>
      </c>
      <c r="D82" s="157"/>
      <c r="E82" s="158">
        <v>108000</v>
      </c>
      <c r="F82" s="159">
        <v>0.7</v>
      </c>
      <c r="G82" s="160">
        <v>46691</v>
      </c>
      <c r="I82" t="s">
        <v>1844</v>
      </c>
      <c r="J82" s="161" t="s">
        <v>19202</v>
      </c>
      <c r="K82" t="s">
        <v>19203</v>
      </c>
      <c r="L82" t="s">
        <v>1843</v>
      </c>
      <c r="M82" s="161" t="s">
        <v>19202</v>
      </c>
    </row>
    <row r="83" spans="1:13" x14ac:dyDescent="0.25">
      <c r="A83" s="156" t="s">
        <v>1480</v>
      </c>
      <c r="B83" s="156" t="s">
        <v>19270</v>
      </c>
      <c r="C83" s="26">
        <f t="shared" si="1"/>
        <v>1</v>
      </c>
      <c r="D83" s="157"/>
      <c r="E83" s="158">
        <v>32200</v>
      </c>
      <c r="F83" s="159">
        <v>0.2</v>
      </c>
      <c r="G83" s="160">
        <v>46843</v>
      </c>
      <c r="I83" t="s">
        <v>17781</v>
      </c>
      <c r="J83" s="161" t="s">
        <v>19202</v>
      </c>
      <c r="K83" t="s">
        <v>19203</v>
      </c>
      <c r="L83" t="s">
        <v>15628</v>
      </c>
      <c r="M83" s="161" t="s">
        <v>19202</v>
      </c>
    </row>
    <row r="84" spans="1:13" x14ac:dyDescent="0.25">
      <c r="A84" s="156" t="s">
        <v>1804</v>
      </c>
      <c r="B84" s="156" t="s">
        <v>19271</v>
      </c>
      <c r="C84" s="26">
        <f t="shared" si="1"/>
        <v>1</v>
      </c>
      <c r="D84" s="157"/>
      <c r="E84" s="158">
        <v>88598</v>
      </c>
      <c r="F84" s="159">
        <v>0.7</v>
      </c>
      <c r="G84" s="160">
        <v>46843</v>
      </c>
      <c r="I84" t="s">
        <v>17447</v>
      </c>
      <c r="J84" s="161" t="s">
        <v>19202</v>
      </c>
      <c r="K84" t="s">
        <v>19203</v>
      </c>
      <c r="L84" t="s">
        <v>17446</v>
      </c>
      <c r="M84" s="161" t="s">
        <v>19202</v>
      </c>
    </row>
    <row r="85" spans="1:13" x14ac:dyDescent="0.25">
      <c r="A85" s="156" t="s">
        <v>2069</v>
      </c>
      <c r="B85" s="156" t="s">
        <v>19272</v>
      </c>
      <c r="C85" s="26">
        <f t="shared" si="1"/>
        <v>1</v>
      </c>
      <c r="D85" s="162"/>
      <c r="E85" s="26">
        <v>46200</v>
      </c>
      <c r="F85" s="159">
        <v>0.5</v>
      </c>
      <c r="G85" s="160">
        <v>46843</v>
      </c>
      <c r="I85" t="s">
        <v>19273</v>
      </c>
      <c r="J85" s="161" t="s">
        <v>19202</v>
      </c>
      <c r="K85" t="s">
        <v>19203</v>
      </c>
      <c r="L85" t="s">
        <v>19274</v>
      </c>
      <c r="M85" s="161" t="s">
        <v>19202</v>
      </c>
    </row>
    <row r="86" spans="1:13" x14ac:dyDescent="0.25">
      <c r="A86" s="156" t="s">
        <v>2069</v>
      </c>
      <c r="B86" s="156" t="s">
        <v>19272</v>
      </c>
      <c r="C86" s="26">
        <f t="shared" si="1"/>
        <v>0</v>
      </c>
      <c r="D86" s="157"/>
      <c r="E86" s="158">
        <v>38500</v>
      </c>
      <c r="F86" s="159">
        <v>0.2</v>
      </c>
      <c r="G86" s="160">
        <v>46611</v>
      </c>
      <c r="I86" t="s">
        <v>17657</v>
      </c>
      <c r="J86" s="161" t="s">
        <v>19202</v>
      </c>
      <c r="K86" t="s">
        <v>19203</v>
      </c>
      <c r="L86" t="s">
        <v>17656</v>
      </c>
      <c r="M86" s="161" t="s">
        <v>19202</v>
      </c>
    </row>
    <row r="87" spans="1:13" x14ac:dyDescent="0.25">
      <c r="A87" s="156" t="s">
        <v>2066</v>
      </c>
      <c r="B87" s="156" t="s">
        <v>19275</v>
      </c>
      <c r="C87" s="26">
        <f t="shared" si="1"/>
        <v>1</v>
      </c>
      <c r="D87" s="162"/>
      <c r="E87" s="26">
        <v>116402</v>
      </c>
      <c r="F87" s="159">
        <v>0.5</v>
      </c>
      <c r="G87" s="160">
        <v>46843</v>
      </c>
      <c r="I87" t="s">
        <v>1630</v>
      </c>
      <c r="J87" s="161" t="s">
        <v>19202</v>
      </c>
      <c r="K87" t="s">
        <v>19203</v>
      </c>
      <c r="L87" t="s">
        <v>1629</v>
      </c>
      <c r="M87" s="161" t="s">
        <v>19202</v>
      </c>
    </row>
    <row r="88" spans="1:13" x14ac:dyDescent="0.25">
      <c r="A88" s="156" t="s">
        <v>2066</v>
      </c>
      <c r="B88" s="156" t="s">
        <v>19275</v>
      </c>
      <c r="C88" s="26">
        <f t="shared" si="1"/>
        <v>0</v>
      </c>
      <c r="D88" s="162"/>
      <c r="E88" s="26">
        <v>105820</v>
      </c>
      <c r="F88" s="159">
        <v>0.2</v>
      </c>
      <c r="G88" s="160">
        <v>46611</v>
      </c>
      <c r="I88" t="s">
        <v>17357</v>
      </c>
      <c r="J88" s="161" t="s">
        <v>19202</v>
      </c>
      <c r="K88" t="s">
        <v>19203</v>
      </c>
      <c r="L88" t="s">
        <v>5382</v>
      </c>
      <c r="M88" s="161" t="s">
        <v>19202</v>
      </c>
    </row>
    <row r="89" spans="1:13" x14ac:dyDescent="0.25">
      <c r="A89" s="156" t="s">
        <v>1785</v>
      </c>
      <c r="B89" s="156" t="s">
        <v>19276</v>
      </c>
      <c r="C89" s="26">
        <f t="shared" si="1"/>
        <v>1</v>
      </c>
      <c r="D89" s="157"/>
      <c r="E89" s="158">
        <v>134242</v>
      </c>
      <c r="F89" s="159">
        <v>0.5</v>
      </c>
      <c r="G89" s="160">
        <v>46843</v>
      </c>
      <c r="I89" t="s">
        <v>19277</v>
      </c>
      <c r="J89" s="161" t="s">
        <v>19202</v>
      </c>
      <c r="K89" t="s">
        <v>19203</v>
      </c>
      <c r="L89" t="s">
        <v>19278</v>
      </c>
      <c r="M89" s="161" t="s">
        <v>19202</v>
      </c>
    </row>
    <row r="90" spans="1:13" x14ac:dyDescent="0.25">
      <c r="A90" s="156" t="s">
        <v>1476</v>
      </c>
      <c r="B90" s="156" t="s">
        <v>19279</v>
      </c>
      <c r="C90" s="26">
        <f t="shared" si="1"/>
        <v>1</v>
      </c>
      <c r="D90" s="157"/>
      <c r="E90" s="158">
        <v>248010</v>
      </c>
      <c r="F90" s="159">
        <v>0.2</v>
      </c>
      <c r="G90" s="160">
        <v>46611</v>
      </c>
      <c r="I90" t="s">
        <v>2095</v>
      </c>
      <c r="J90" s="161" t="s">
        <v>19202</v>
      </c>
      <c r="K90" t="s">
        <v>19203</v>
      </c>
      <c r="L90" t="s">
        <v>2094</v>
      </c>
      <c r="M90" s="161" t="s">
        <v>19202</v>
      </c>
    </row>
    <row r="91" spans="1:13" x14ac:dyDescent="0.25">
      <c r="A91" s="156" t="s">
        <v>2062</v>
      </c>
      <c r="B91" s="156" t="s">
        <v>19280</v>
      </c>
      <c r="C91" s="26">
        <f t="shared" si="1"/>
        <v>1</v>
      </c>
      <c r="D91" s="162"/>
      <c r="E91" s="26">
        <v>284846</v>
      </c>
      <c r="F91" s="159">
        <v>0.7</v>
      </c>
      <c r="G91" s="160">
        <v>46691</v>
      </c>
      <c r="I91" t="s">
        <v>1764</v>
      </c>
      <c r="J91" s="161" t="s">
        <v>19202</v>
      </c>
      <c r="K91" t="s">
        <v>19203</v>
      </c>
      <c r="L91" t="s">
        <v>1763</v>
      </c>
      <c r="M91" s="161" t="s">
        <v>19202</v>
      </c>
    </row>
    <row r="92" spans="1:13" x14ac:dyDescent="0.25">
      <c r="A92" s="156" t="s">
        <v>2062</v>
      </c>
      <c r="B92" s="156" t="s">
        <v>19280</v>
      </c>
      <c r="C92" s="26">
        <f t="shared" si="1"/>
        <v>0</v>
      </c>
      <c r="D92" s="157"/>
      <c r="E92" s="158">
        <v>243100</v>
      </c>
      <c r="F92" s="159">
        <v>0.2</v>
      </c>
      <c r="G92" s="160">
        <v>46611</v>
      </c>
      <c r="I92" t="s">
        <v>17712</v>
      </c>
      <c r="J92" s="161" t="s">
        <v>19202</v>
      </c>
      <c r="K92" t="s">
        <v>19203</v>
      </c>
      <c r="L92" t="s">
        <v>17711</v>
      </c>
      <c r="M92" s="161" t="s">
        <v>19202</v>
      </c>
    </row>
    <row r="93" spans="1:13" x14ac:dyDescent="0.25">
      <c r="A93" s="156" t="s">
        <v>1782</v>
      </c>
      <c r="B93" s="156" t="s">
        <v>19281</v>
      </c>
      <c r="C93" s="26">
        <f t="shared" si="1"/>
        <v>1</v>
      </c>
      <c r="D93" s="162"/>
      <c r="E93" s="26">
        <v>53900</v>
      </c>
      <c r="F93" s="159">
        <v>0.2</v>
      </c>
      <c r="G93" s="160">
        <v>46843</v>
      </c>
      <c r="I93" t="s">
        <v>1347</v>
      </c>
      <c r="J93" s="161" t="s">
        <v>19202</v>
      </c>
      <c r="K93" t="s">
        <v>19203</v>
      </c>
      <c r="L93" t="s">
        <v>1346</v>
      </c>
      <c r="M93" s="161" t="s">
        <v>19202</v>
      </c>
    </row>
    <row r="94" spans="1:13" x14ac:dyDescent="0.25">
      <c r="A94" s="156" t="s">
        <v>2060</v>
      </c>
      <c r="B94" s="156" t="s">
        <v>19282</v>
      </c>
      <c r="C94" s="26">
        <f t="shared" si="1"/>
        <v>1</v>
      </c>
      <c r="D94" s="157"/>
      <c r="E94" s="158">
        <v>60500</v>
      </c>
      <c r="F94" s="159">
        <v>0.2</v>
      </c>
      <c r="G94" s="160">
        <v>46843</v>
      </c>
      <c r="I94" t="s">
        <v>17515</v>
      </c>
      <c r="J94" s="161" t="s">
        <v>19202</v>
      </c>
      <c r="K94" t="s">
        <v>19203</v>
      </c>
      <c r="L94" t="s">
        <v>13125</v>
      </c>
      <c r="M94" s="161" t="s">
        <v>19202</v>
      </c>
    </row>
    <row r="95" spans="1:13" x14ac:dyDescent="0.25">
      <c r="A95" s="156" t="s">
        <v>1780</v>
      </c>
      <c r="B95" s="156" t="s">
        <v>19283</v>
      </c>
      <c r="C95" s="26">
        <f t="shared" si="1"/>
        <v>1</v>
      </c>
      <c r="D95" s="164"/>
      <c r="E95" s="165">
        <v>20776</v>
      </c>
      <c r="F95" s="159">
        <v>0.2</v>
      </c>
      <c r="G95" s="160">
        <v>46843</v>
      </c>
      <c r="I95" t="s">
        <v>2036</v>
      </c>
      <c r="J95" s="161" t="s">
        <v>19202</v>
      </c>
      <c r="K95" t="s">
        <v>19203</v>
      </c>
      <c r="L95" t="s">
        <v>632</v>
      </c>
      <c r="M95" s="161" t="s">
        <v>19202</v>
      </c>
    </row>
    <row r="96" spans="1:13" x14ac:dyDescent="0.25">
      <c r="A96" s="156" t="s">
        <v>1471</v>
      </c>
      <c r="B96" s="156" t="s">
        <v>19284</v>
      </c>
      <c r="C96" s="26">
        <f t="shared" si="1"/>
        <v>1</v>
      </c>
      <c r="D96" s="157"/>
      <c r="E96" s="158">
        <v>30000</v>
      </c>
      <c r="F96" s="159">
        <v>0.2</v>
      </c>
      <c r="G96" s="160">
        <v>46843</v>
      </c>
      <c r="I96" t="s">
        <v>19285</v>
      </c>
      <c r="J96" s="161" t="s">
        <v>19202</v>
      </c>
      <c r="K96" t="s">
        <v>19203</v>
      </c>
      <c r="L96" t="s">
        <v>928</v>
      </c>
      <c r="M96" s="161" t="s">
        <v>19202</v>
      </c>
    </row>
    <row r="97" spans="1:13" x14ac:dyDescent="0.25">
      <c r="A97" s="156" t="s">
        <v>2052</v>
      </c>
      <c r="B97" s="156" t="s">
        <v>19286</v>
      </c>
      <c r="C97" s="26">
        <f t="shared" si="1"/>
        <v>1</v>
      </c>
      <c r="D97" s="157"/>
      <c r="E97" s="158">
        <v>159231</v>
      </c>
      <c r="F97" s="159">
        <v>0.5</v>
      </c>
      <c r="G97" s="160">
        <v>46843</v>
      </c>
      <c r="I97" t="s">
        <v>2120</v>
      </c>
      <c r="J97" s="161" t="s">
        <v>19202</v>
      </c>
      <c r="K97" t="s">
        <v>19203</v>
      </c>
      <c r="L97" t="s">
        <v>2119</v>
      </c>
      <c r="M97" s="161" t="s">
        <v>19202</v>
      </c>
    </row>
    <row r="98" spans="1:13" x14ac:dyDescent="0.25">
      <c r="A98" s="156" t="s">
        <v>1764</v>
      </c>
      <c r="B98" s="156" t="s">
        <v>19287</v>
      </c>
      <c r="C98" s="26">
        <f t="shared" si="1"/>
        <v>1</v>
      </c>
      <c r="D98" s="162"/>
      <c r="E98" s="26">
        <v>65780</v>
      </c>
      <c r="F98" s="159">
        <v>0.5</v>
      </c>
      <c r="G98" s="160">
        <v>46843</v>
      </c>
      <c r="I98" t="s">
        <v>1277</v>
      </c>
      <c r="J98" s="161" t="s">
        <v>19202</v>
      </c>
      <c r="K98" t="s">
        <v>19203</v>
      </c>
      <c r="L98" t="s">
        <v>1276</v>
      </c>
      <c r="M98" s="161" t="s">
        <v>19202</v>
      </c>
    </row>
    <row r="99" spans="1:13" x14ac:dyDescent="0.25">
      <c r="A99" s="156" t="s">
        <v>1764</v>
      </c>
      <c r="B99" s="156" t="s">
        <v>19287</v>
      </c>
      <c r="C99" s="26">
        <f t="shared" si="1"/>
        <v>0</v>
      </c>
      <c r="D99" s="162"/>
      <c r="E99" s="26">
        <v>59800</v>
      </c>
      <c r="F99" s="159">
        <v>0.2</v>
      </c>
      <c r="G99" s="160">
        <v>46611</v>
      </c>
      <c r="I99" t="s">
        <v>19288</v>
      </c>
      <c r="J99" s="161" t="s">
        <v>19202</v>
      </c>
      <c r="K99" t="s">
        <v>19203</v>
      </c>
      <c r="L99" t="s">
        <v>19289</v>
      </c>
      <c r="M99" s="161" t="s">
        <v>19202</v>
      </c>
    </row>
    <row r="100" spans="1:13" x14ac:dyDescent="0.25">
      <c r="A100" s="156" t="s">
        <v>17556</v>
      </c>
      <c r="B100" s="156" t="s">
        <v>19290</v>
      </c>
      <c r="C100" s="26">
        <f t="shared" si="1"/>
        <v>1</v>
      </c>
      <c r="D100" s="157"/>
      <c r="E100" s="158">
        <v>35000</v>
      </c>
      <c r="F100" s="159">
        <v>0.2</v>
      </c>
      <c r="G100" s="160">
        <v>46843</v>
      </c>
      <c r="I100" t="s">
        <v>8616</v>
      </c>
      <c r="J100" s="161" t="s">
        <v>19202</v>
      </c>
      <c r="K100" t="s">
        <v>19203</v>
      </c>
      <c r="L100" t="s">
        <v>8615</v>
      </c>
      <c r="M100" s="161" t="s">
        <v>19202</v>
      </c>
    </row>
    <row r="101" spans="1:13" x14ac:dyDescent="0.25">
      <c r="A101" s="156" t="s">
        <v>17553</v>
      </c>
      <c r="B101" s="156" t="s">
        <v>19291</v>
      </c>
      <c r="C101" s="26">
        <f t="shared" si="1"/>
        <v>1</v>
      </c>
      <c r="D101" s="157"/>
      <c r="E101" s="158">
        <v>42000</v>
      </c>
      <c r="F101" s="159">
        <v>0.7</v>
      </c>
      <c r="G101" s="160">
        <v>46843</v>
      </c>
      <c r="I101" t="s">
        <v>1737</v>
      </c>
      <c r="J101" s="161" t="s">
        <v>19202</v>
      </c>
      <c r="K101" t="s">
        <v>19203</v>
      </c>
      <c r="L101" t="s">
        <v>1736</v>
      </c>
      <c r="M101" s="161" t="s">
        <v>19202</v>
      </c>
    </row>
    <row r="102" spans="1:13" x14ac:dyDescent="0.25">
      <c r="A102" s="156" t="s">
        <v>17553</v>
      </c>
      <c r="B102" s="156" t="s">
        <v>19291</v>
      </c>
      <c r="C102" s="26">
        <f t="shared" si="1"/>
        <v>0</v>
      </c>
      <c r="D102" s="164"/>
      <c r="E102" s="165">
        <v>25000</v>
      </c>
      <c r="F102" s="159">
        <v>0.2</v>
      </c>
      <c r="G102" s="160">
        <v>46611</v>
      </c>
      <c r="I102" t="s">
        <v>1602</v>
      </c>
      <c r="J102" s="161" t="s">
        <v>19202</v>
      </c>
      <c r="K102" t="s">
        <v>19203</v>
      </c>
      <c r="L102" t="s">
        <v>1601</v>
      </c>
      <c r="M102" s="161" t="s">
        <v>19202</v>
      </c>
    </row>
    <row r="103" spans="1:13" x14ac:dyDescent="0.25">
      <c r="A103" s="156" t="s">
        <v>17550</v>
      </c>
      <c r="B103" s="156" t="s">
        <v>19292</v>
      </c>
      <c r="C103" s="26">
        <f t="shared" si="1"/>
        <v>1</v>
      </c>
      <c r="D103" s="162"/>
      <c r="E103" s="26">
        <v>120999</v>
      </c>
      <c r="F103" s="159">
        <v>0.7</v>
      </c>
      <c r="G103" s="160">
        <v>46843</v>
      </c>
      <c r="I103" t="s">
        <v>17684</v>
      </c>
      <c r="J103" s="161" t="s">
        <v>19202</v>
      </c>
      <c r="K103" t="s">
        <v>19203</v>
      </c>
      <c r="L103" t="s">
        <v>17683</v>
      </c>
      <c r="M103" s="161" t="s">
        <v>19202</v>
      </c>
    </row>
    <row r="104" spans="1:13" x14ac:dyDescent="0.25">
      <c r="A104" s="156" t="s">
        <v>17550</v>
      </c>
      <c r="B104" s="156" t="s">
        <v>19292</v>
      </c>
      <c r="C104" s="26">
        <f t="shared" si="1"/>
        <v>0</v>
      </c>
      <c r="D104" s="157"/>
      <c r="E104" s="158">
        <v>110000</v>
      </c>
      <c r="F104" s="159">
        <v>0.2</v>
      </c>
      <c r="G104" s="160">
        <v>46611</v>
      </c>
      <c r="I104" t="s">
        <v>17430</v>
      </c>
      <c r="J104" s="161" t="s">
        <v>19202</v>
      </c>
      <c r="K104" t="s">
        <v>19203</v>
      </c>
      <c r="L104" t="s">
        <v>17429</v>
      </c>
      <c r="M104" s="161" t="s">
        <v>19202</v>
      </c>
    </row>
    <row r="105" spans="1:13" x14ac:dyDescent="0.25">
      <c r="A105" s="156" t="s">
        <v>1758</v>
      </c>
      <c r="B105" s="156" t="s">
        <v>19293</v>
      </c>
      <c r="C105" s="26">
        <f t="shared" si="1"/>
        <v>1</v>
      </c>
      <c r="D105" s="157"/>
      <c r="E105" s="158">
        <v>61800</v>
      </c>
      <c r="F105" s="159">
        <v>0.2</v>
      </c>
      <c r="G105" s="160">
        <v>46611</v>
      </c>
      <c r="I105" t="s">
        <v>17744</v>
      </c>
      <c r="J105" s="161" t="s">
        <v>19202</v>
      </c>
      <c r="K105" t="s">
        <v>19203</v>
      </c>
      <c r="L105" t="s">
        <v>17743</v>
      </c>
      <c r="M105" s="161" t="s">
        <v>19202</v>
      </c>
    </row>
    <row r="106" spans="1:13" x14ac:dyDescent="0.25">
      <c r="A106" s="156" t="s">
        <v>2034</v>
      </c>
      <c r="B106" s="156" t="s">
        <v>19294</v>
      </c>
      <c r="C106" s="26">
        <f t="shared" si="1"/>
        <v>1</v>
      </c>
      <c r="D106" s="162"/>
      <c r="E106" s="26">
        <v>111120</v>
      </c>
      <c r="F106" s="159">
        <v>0.5</v>
      </c>
      <c r="G106" s="160">
        <v>46843</v>
      </c>
      <c r="I106" t="s">
        <v>1353</v>
      </c>
      <c r="J106" s="161" t="s">
        <v>19202</v>
      </c>
      <c r="K106" t="s">
        <v>19203</v>
      </c>
      <c r="L106" t="s">
        <v>1352</v>
      </c>
      <c r="M106" s="161" t="s">
        <v>19202</v>
      </c>
    </row>
    <row r="107" spans="1:13" x14ac:dyDescent="0.25">
      <c r="A107" s="156" t="s">
        <v>2034</v>
      </c>
      <c r="B107" s="156" t="s">
        <v>19294</v>
      </c>
      <c r="C107" s="26">
        <f t="shared" si="1"/>
        <v>0</v>
      </c>
      <c r="D107" s="162"/>
      <c r="E107" s="26">
        <v>92600</v>
      </c>
      <c r="F107" s="159">
        <v>0.2</v>
      </c>
      <c r="G107" s="160">
        <v>46611</v>
      </c>
      <c r="I107" t="s">
        <v>17704</v>
      </c>
      <c r="J107" s="161" t="s">
        <v>19202</v>
      </c>
      <c r="K107" t="s">
        <v>19203</v>
      </c>
      <c r="L107" t="s">
        <v>17703</v>
      </c>
      <c r="M107" s="161" t="s">
        <v>19202</v>
      </c>
    </row>
    <row r="108" spans="1:13" x14ac:dyDescent="0.25">
      <c r="A108" s="156" t="s">
        <v>1741</v>
      </c>
      <c r="B108" s="156" t="s">
        <v>19295</v>
      </c>
      <c r="C108" s="26">
        <f t="shared" si="1"/>
        <v>1</v>
      </c>
      <c r="D108" s="162"/>
      <c r="E108" s="26">
        <v>46800</v>
      </c>
      <c r="F108" s="159">
        <v>0.2</v>
      </c>
      <c r="G108" s="160">
        <v>46611</v>
      </c>
      <c r="I108" t="s">
        <v>1714</v>
      </c>
      <c r="J108" s="161" t="s">
        <v>19202</v>
      </c>
      <c r="K108" t="s">
        <v>19203</v>
      </c>
      <c r="L108" t="s">
        <v>1713</v>
      </c>
      <c r="M108" s="161" t="s">
        <v>19202</v>
      </c>
    </row>
    <row r="109" spans="1:13" x14ac:dyDescent="0.25">
      <c r="A109" s="156" t="s">
        <v>17541</v>
      </c>
      <c r="B109" s="156" t="s">
        <v>19296</v>
      </c>
      <c r="C109" s="26">
        <f t="shared" si="1"/>
        <v>1</v>
      </c>
      <c r="D109" s="157"/>
      <c r="E109" s="158">
        <v>40000</v>
      </c>
      <c r="F109" s="159">
        <v>0.2</v>
      </c>
      <c r="G109" s="160">
        <v>46611</v>
      </c>
      <c r="I109" t="s">
        <v>17329</v>
      </c>
      <c r="J109" s="161" t="s">
        <v>19202</v>
      </c>
      <c r="K109" t="s">
        <v>19203</v>
      </c>
      <c r="L109" t="s">
        <v>17328</v>
      </c>
      <c r="M109" s="161" t="s">
        <v>19202</v>
      </c>
    </row>
    <row r="110" spans="1:13" x14ac:dyDescent="0.25">
      <c r="A110" s="156" t="s">
        <v>1739</v>
      </c>
      <c r="B110" s="156" t="s">
        <v>19297</v>
      </c>
      <c r="C110" s="26">
        <f t="shared" si="1"/>
        <v>1</v>
      </c>
      <c r="D110" s="157"/>
      <c r="E110" s="158">
        <v>36685</v>
      </c>
      <c r="F110" s="159">
        <v>0.2</v>
      </c>
      <c r="G110" s="160">
        <v>46843</v>
      </c>
      <c r="I110" t="s">
        <v>17842</v>
      </c>
      <c r="J110" s="161" t="s">
        <v>19202</v>
      </c>
      <c r="K110" t="s">
        <v>19203</v>
      </c>
      <c r="L110" t="s">
        <v>17841</v>
      </c>
      <c r="M110" s="161" t="s">
        <v>19202</v>
      </c>
    </row>
    <row r="111" spans="1:13" x14ac:dyDescent="0.25">
      <c r="A111" s="156" t="s">
        <v>1737</v>
      </c>
      <c r="B111" s="156" t="s">
        <v>19298</v>
      </c>
      <c r="C111" s="26">
        <f t="shared" si="1"/>
        <v>1</v>
      </c>
      <c r="D111" s="162"/>
      <c r="E111" s="26">
        <v>65320</v>
      </c>
      <c r="F111" s="159">
        <v>0.5</v>
      </c>
      <c r="G111" s="160">
        <v>46843</v>
      </c>
      <c r="I111" t="s">
        <v>17479</v>
      </c>
      <c r="J111" s="161" t="s">
        <v>19202</v>
      </c>
      <c r="K111" t="s">
        <v>19203</v>
      </c>
      <c r="L111" t="s">
        <v>17478</v>
      </c>
      <c r="M111" s="161" t="s">
        <v>19202</v>
      </c>
    </row>
    <row r="112" spans="1:13" x14ac:dyDescent="0.25">
      <c r="A112" s="156" t="s">
        <v>1737</v>
      </c>
      <c r="B112" s="156" t="s">
        <v>19298</v>
      </c>
      <c r="C112" s="26">
        <f t="shared" si="1"/>
        <v>0</v>
      </c>
      <c r="D112" s="157"/>
      <c r="E112" s="158">
        <v>56800</v>
      </c>
      <c r="F112" s="159">
        <v>0.2</v>
      </c>
      <c r="G112" s="160">
        <v>46611</v>
      </c>
      <c r="I112" t="s">
        <v>17749</v>
      </c>
      <c r="J112" s="161" t="s">
        <v>19202</v>
      </c>
      <c r="K112" t="s">
        <v>19203</v>
      </c>
      <c r="L112" t="s">
        <v>17748</v>
      </c>
      <c r="M112" s="161" t="s">
        <v>19202</v>
      </c>
    </row>
    <row r="113" spans="1:13" x14ac:dyDescent="0.25">
      <c r="A113" s="156" t="s">
        <v>1735</v>
      </c>
      <c r="B113" s="156" t="s">
        <v>19299</v>
      </c>
      <c r="C113" s="26">
        <f t="shared" si="1"/>
        <v>1</v>
      </c>
      <c r="D113" s="162"/>
      <c r="E113" s="26">
        <v>151000</v>
      </c>
      <c r="F113" s="159">
        <v>0.2</v>
      </c>
      <c r="G113" s="160">
        <v>46611</v>
      </c>
      <c r="I113" t="s">
        <v>17920</v>
      </c>
      <c r="J113" s="161" t="s">
        <v>19202</v>
      </c>
      <c r="K113" t="s">
        <v>19203</v>
      </c>
      <c r="L113" t="s">
        <v>934</v>
      </c>
      <c r="M113" s="161" t="s">
        <v>19202</v>
      </c>
    </row>
    <row r="114" spans="1:13" x14ac:dyDescent="0.25">
      <c r="A114" s="156" t="s">
        <v>17536</v>
      </c>
      <c r="B114" s="156" t="s">
        <v>19300</v>
      </c>
      <c r="C114" s="26">
        <f t="shared" si="1"/>
        <v>1</v>
      </c>
      <c r="D114" s="162"/>
      <c r="E114" s="26">
        <v>51600</v>
      </c>
      <c r="F114" s="159">
        <v>0.7</v>
      </c>
      <c r="G114" s="160">
        <v>46843</v>
      </c>
      <c r="I114" t="s">
        <v>1307</v>
      </c>
      <c r="J114" s="161" t="s">
        <v>19202</v>
      </c>
      <c r="K114" t="s">
        <v>19203</v>
      </c>
      <c r="L114" t="s">
        <v>1306</v>
      </c>
      <c r="M114" s="161" t="s">
        <v>19202</v>
      </c>
    </row>
    <row r="115" spans="1:13" x14ac:dyDescent="0.25">
      <c r="A115" s="156" t="s">
        <v>17536</v>
      </c>
      <c r="B115" s="156" t="s">
        <v>19300</v>
      </c>
      <c r="C115" s="26">
        <f t="shared" si="1"/>
        <v>0</v>
      </c>
      <c r="D115" s="162"/>
      <c r="E115" s="26">
        <v>43000</v>
      </c>
      <c r="F115" s="159">
        <v>0.2</v>
      </c>
      <c r="G115" s="160">
        <v>46611</v>
      </c>
      <c r="I115" t="s">
        <v>17670</v>
      </c>
      <c r="J115" s="161" t="s">
        <v>19202</v>
      </c>
      <c r="K115" t="s">
        <v>19203</v>
      </c>
      <c r="L115" t="s">
        <v>17669</v>
      </c>
      <c r="M115" s="161" t="s">
        <v>19202</v>
      </c>
    </row>
    <row r="116" spans="1:13" x14ac:dyDescent="0.25">
      <c r="A116" s="156" t="s">
        <v>17533</v>
      </c>
      <c r="B116" s="156" t="s">
        <v>19301</v>
      </c>
      <c r="C116" s="26">
        <f t="shared" si="1"/>
        <v>1</v>
      </c>
      <c r="D116" s="157"/>
      <c r="E116" s="158">
        <v>115000</v>
      </c>
      <c r="F116" s="159">
        <v>0.5</v>
      </c>
      <c r="G116" s="160">
        <v>46843</v>
      </c>
      <c r="I116" t="s">
        <v>1456</v>
      </c>
      <c r="J116" s="161" t="s">
        <v>19202</v>
      </c>
      <c r="K116" t="s">
        <v>19203</v>
      </c>
      <c r="L116" t="s">
        <v>1455</v>
      </c>
      <c r="M116" s="161" t="s">
        <v>19202</v>
      </c>
    </row>
    <row r="117" spans="1:13" x14ac:dyDescent="0.25">
      <c r="A117" s="156" t="s">
        <v>17533</v>
      </c>
      <c r="B117" s="156" t="s">
        <v>19301</v>
      </c>
      <c r="C117" s="26">
        <f t="shared" si="1"/>
        <v>0</v>
      </c>
      <c r="D117" s="162"/>
      <c r="E117" s="26">
        <v>100000</v>
      </c>
      <c r="F117" s="159">
        <v>0.2</v>
      </c>
      <c r="G117" s="160">
        <v>46611</v>
      </c>
      <c r="I117" t="s">
        <v>17957</v>
      </c>
      <c r="J117" s="161" t="s">
        <v>19202</v>
      </c>
      <c r="K117" t="s">
        <v>19203</v>
      </c>
      <c r="L117" t="s">
        <v>17956</v>
      </c>
      <c r="M117" s="161" t="s">
        <v>19202</v>
      </c>
    </row>
    <row r="118" spans="1:13" x14ac:dyDescent="0.25">
      <c r="A118" s="156" t="s">
        <v>1724</v>
      </c>
      <c r="B118" s="156" t="s">
        <v>19302</v>
      </c>
      <c r="C118" s="26">
        <f t="shared" si="1"/>
        <v>1</v>
      </c>
      <c r="D118" s="162"/>
      <c r="E118" s="26">
        <v>46800</v>
      </c>
      <c r="F118" s="159">
        <v>0.5</v>
      </c>
      <c r="G118" s="160">
        <v>46843</v>
      </c>
      <c r="I118" t="s">
        <v>18638</v>
      </c>
      <c r="J118" s="161" t="s">
        <v>19202</v>
      </c>
      <c r="K118" t="s">
        <v>19203</v>
      </c>
      <c r="L118" t="s">
        <v>18640</v>
      </c>
      <c r="M118" s="161" t="s">
        <v>19202</v>
      </c>
    </row>
    <row r="119" spans="1:13" x14ac:dyDescent="0.25">
      <c r="A119" s="156" t="s">
        <v>17385</v>
      </c>
      <c r="B119" s="156" t="s">
        <v>19303</v>
      </c>
      <c r="C119" s="26">
        <f t="shared" si="1"/>
        <v>1</v>
      </c>
      <c r="D119" s="162"/>
      <c r="E119" s="26">
        <v>53365</v>
      </c>
      <c r="F119" s="159">
        <v>0.5</v>
      </c>
      <c r="G119" s="160">
        <v>46843</v>
      </c>
      <c r="I119" t="s">
        <v>19304</v>
      </c>
      <c r="J119" s="161" t="s">
        <v>19202</v>
      </c>
      <c r="K119" t="s">
        <v>19203</v>
      </c>
      <c r="L119" t="s">
        <v>19305</v>
      </c>
      <c r="M119" s="161" t="s">
        <v>19202</v>
      </c>
    </row>
    <row r="120" spans="1:13" x14ac:dyDescent="0.25">
      <c r="A120" s="156" t="s">
        <v>1722</v>
      </c>
      <c r="B120" s="156" t="s">
        <v>1721</v>
      </c>
      <c r="C120" s="26">
        <f t="shared" si="1"/>
        <v>1</v>
      </c>
      <c r="D120" s="162"/>
      <c r="E120" s="26">
        <v>56292</v>
      </c>
      <c r="F120" s="159">
        <v>0.5</v>
      </c>
      <c r="G120" s="160">
        <v>46843</v>
      </c>
      <c r="I120" t="s">
        <v>18042</v>
      </c>
      <c r="J120" s="161" t="s">
        <v>19202</v>
      </c>
      <c r="K120" t="s">
        <v>19203</v>
      </c>
      <c r="L120" t="s">
        <v>3562</v>
      </c>
      <c r="M120" s="161" t="s">
        <v>19202</v>
      </c>
    </row>
    <row r="121" spans="1:13" x14ac:dyDescent="0.25">
      <c r="A121" s="156" t="s">
        <v>17347</v>
      </c>
      <c r="B121" s="156" t="s">
        <v>17346</v>
      </c>
      <c r="C121" s="26">
        <f t="shared" si="1"/>
        <v>1</v>
      </c>
      <c r="D121" s="157"/>
      <c r="E121" s="158">
        <v>76593</v>
      </c>
      <c r="F121" s="159">
        <v>0.7</v>
      </c>
      <c r="G121" s="160">
        <v>46843</v>
      </c>
      <c r="I121" t="s">
        <v>1840</v>
      </c>
      <c r="J121" s="161" t="s">
        <v>19202</v>
      </c>
      <c r="K121" t="s">
        <v>19203</v>
      </c>
      <c r="L121" t="s">
        <v>1839</v>
      </c>
      <c r="M121" s="161" t="s">
        <v>19202</v>
      </c>
    </row>
    <row r="122" spans="1:13" x14ac:dyDescent="0.25">
      <c r="A122" s="156" t="s">
        <v>17499</v>
      </c>
      <c r="B122" s="156" t="s">
        <v>17498</v>
      </c>
      <c r="C122" s="26">
        <f t="shared" si="1"/>
        <v>1</v>
      </c>
      <c r="D122" s="162"/>
      <c r="E122" s="26">
        <v>48181</v>
      </c>
      <c r="F122" s="159">
        <v>0.5</v>
      </c>
      <c r="G122" s="160">
        <v>46843</v>
      </c>
      <c r="I122" t="s">
        <v>1693</v>
      </c>
      <c r="J122" s="161" t="s">
        <v>19202</v>
      </c>
      <c r="K122" t="s">
        <v>19203</v>
      </c>
      <c r="L122" t="s">
        <v>1692</v>
      </c>
      <c r="M122" s="161" t="s">
        <v>19202</v>
      </c>
    </row>
    <row r="123" spans="1:13" x14ac:dyDescent="0.25">
      <c r="A123" s="156" t="s">
        <v>1990</v>
      </c>
      <c r="B123" s="156" t="s">
        <v>1989</v>
      </c>
      <c r="C123" s="26">
        <f t="shared" si="1"/>
        <v>1</v>
      </c>
      <c r="D123" s="162"/>
      <c r="E123" s="26">
        <v>54363</v>
      </c>
      <c r="F123" s="159">
        <v>0.5</v>
      </c>
      <c r="G123" s="160">
        <v>46843</v>
      </c>
      <c r="I123" t="s">
        <v>1983</v>
      </c>
      <c r="J123" s="161" t="s">
        <v>19202</v>
      </c>
      <c r="K123" t="s">
        <v>19203</v>
      </c>
      <c r="L123" t="s">
        <v>1982</v>
      </c>
      <c r="M123" s="161" t="s">
        <v>19202</v>
      </c>
    </row>
    <row r="124" spans="1:13" x14ac:dyDescent="0.25">
      <c r="A124" s="156" t="s">
        <v>1990</v>
      </c>
      <c r="B124" s="156" t="s">
        <v>1989</v>
      </c>
      <c r="C124" s="26">
        <f t="shared" si="1"/>
        <v>0</v>
      </c>
      <c r="D124" s="162"/>
      <c r="E124" s="26">
        <v>45302</v>
      </c>
      <c r="F124" s="159">
        <v>0.2</v>
      </c>
      <c r="G124" s="160">
        <v>46611</v>
      </c>
      <c r="I124" t="s">
        <v>1824</v>
      </c>
      <c r="J124" s="161" t="s">
        <v>19202</v>
      </c>
      <c r="K124" t="s">
        <v>19203</v>
      </c>
      <c r="L124" t="s">
        <v>1823</v>
      </c>
      <c r="M124" s="161" t="s">
        <v>19202</v>
      </c>
    </row>
    <row r="125" spans="1:13" x14ac:dyDescent="0.25">
      <c r="A125" s="156" t="s">
        <v>1445</v>
      </c>
      <c r="B125" s="156" t="s">
        <v>1444</v>
      </c>
      <c r="C125" s="26">
        <f t="shared" si="1"/>
        <v>1</v>
      </c>
      <c r="D125" s="157"/>
      <c r="E125" s="158">
        <v>179913</v>
      </c>
      <c r="F125" s="159">
        <v>0.5</v>
      </c>
      <c r="G125" s="160">
        <v>46843</v>
      </c>
      <c r="I125" t="s">
        <v>17809</v>
      </c>
      <c r="J125" s="161" t="s">
        <v>19202</v>
      </c>
      <c r="K125" t="s">
        <v>19203</v>
      </c>
      <c r="L125" t="s">
        <v>17808</v>
      </c>
      <c r="M125" s="161" t="s">
        <v>19202</v>
      </c>
    </row>
    <row r="126" spans="1:13" x14ac:dyDescent="0.25">
      <c r="A126" s="156" t="s">
        <v>17497</v>
      </c>
      <c r="B126" s="156" t="s">
        <v>17496</v>
      </c>
      <c r="C126" s="26">
        <f t="shared" si="1"/>
        <v>1</v>
      </c>
      <c r="D126" s="157"/>
      <c r="E126" s="158">
        <v>273243</v>
      </c>
      <c r="F126" s="159">
        <v>0.5</v>
      </c>
      <c r="G126" s="160">
        <v>46843</v>
      </c>
      <c r="I126" t="s">
        <v>17813</v>
      </c>
      <c r="J126" s="161" t="s">
        <v>19202</v>
      </c>
      <c r="K126" t="s">
        <v>19203</v>
      </c>
      <c r="L126" t="s">
        <v>17812</v>
      </c>
      <c r="M126" s="161" t="s">
        <v>19202</v>
      </c>
    </row>
    <row r="127" spans="1:13" x14ac:dyDescent="0.25">
      <c r="A127" s="156" t="s">
        <v>1976</v>
      </c>
      <c r="B127" s="156" t="s">
        <v>1975</v>
      </c>
      <c r="C127" s="26">
        <f t="shared" si="1"/>
        <v>1</v>
      </c>
      <c r="D127" s="162"/>
      <c r="E127" s="26">
        <v>90308</v>
      </c>
      <c r="F127" s="159">
        <v>0.5</v>
      </c>
      <c r="G127" s="160">
        <v>46843</v>
      </c>
      <c r="I127" t="s">
        <v>1261</v>
      </c>
      <c r="J127" s="161" t="s">
        <v>19202</v>
      </c>
      <c r="K127" t="s">
        <v>19203</v>
      </c>
      <c r="L127" t="s">
        <v>1260</v>
      </c>
      <c r="M127" s="161" t="s">
        <v>19202</v>
      </c>
    </row>
    <row r="128" spans="1:13" x14ac:dyDescent="0.25">
      <c r="A128" s="156" t="s">
        <v>17392</v>
      </c>
      <c r="B128" s="156" t="s">
        <v>17391</v>
      </c>
      <c r="C128" s="26">
        <f t="shared" si="1"/>
        <v>1</v>
      </c>
      <c r="D128" s="162"/>
      <c r="E128" s="26">
        <v>71414</v>
      </c>
      <c r="F128" s="159">
        <v>0.5</v>
      </c>
      <c r="G128" s="160">
        <v>46843</v>
      </c>
      <c r="I128" t="s">
        <v>18068</v>
      </c>
      <c r="J128" s="161" t="s">
        <v>19202</v>
      </c>
      <c r="K128" t="s">
        <v>19203</v>
      </c>
      <c r="L128" t="s">
        <v>758</v>
      </c>
      <c r="M128" s="161" t="s">
        <v>19202</v>
      </c>
    </row>
    <row r="129" spans="1:13" x14ac:dyDescent="0.25">
      <c r="A129" s="156" t="s">
        <v>1964</v>
      </c>
      <c r="B129" s="156" t="s">
        <v>19306</v>
      </c>
      <c r="C129" s="26">
        <f t="shared" si="1"/>
        <v>1</v>
      </c>
      <c r="D129" s="162"/>
      <c r="E129" s="26">
        <v>136874</v>
      </c>
      <c r="F129" s="159">
        <v>0.2</v>
      </c>
      <c r="G129" s="160">
        <v>46843</v>
      </c>
      <c r="I129" t="s">
        <v>1808</v>
      </c>
      <c r="J129" s="161" t="s">
        <v>19202</v>
      </c>
      <c r="K129" t="s">
        <v>19203</v>
      </c>
      <c r="L129" t="s">
        <v>1807</v>
      </c>
      <c r="M129" s="161" t="s">
        <v>19202</v>
      </c>
    </row>
    <row r="130" spans="1:13" x14ac:dyDescent="0.25">
      <c r="A130" s="156" t="s">
        <v>1714</v>
      </c>
      <c r="B130" s="156" t="s">
        <v>1713</v>
      </c>
      <c r="C130" s="26">
        <f t="shared" si="1"/>
        <v>1</v>
      </c>
      <c r="D130" s="162"/>
      <c r="E130" s="26">
        <v>65485</v>
      </c>
      <c r="F130" s="159">
        <v>0.2</v>
      </c>
      <c r="G130" s="160">
        <v>46843</v>
      </c>
      <c r="I130" t="s">
        <v>17548</v>
      </c>
      <c r="J130" s="161" t="s">
        <v>19202</v>
      </c>
      <c r="K130" t="s">
        <v>19203</v>
      </c>
      <c r="L130" t="s">
        <v>17547</v>
      </c>
      <c r="M130" s="161" t="s">
        <v>19202</v>
      </c>
    </row>
    <row r="131" spans="1:13" x14ac:dyDescent="0.25">
      <c r="A131" s="156" t="s">
        <v>1442</v>
      </c>
      <c r="B131" s="156" t="s">
        <v>1441</v>
      </c>
      <c r="C131" s="26">
        <f t="shared" ref="C131:C142" si="2">IF(A131=A130,0,1)</f>
        <v>1</v>
      </c>
      <c r="D131" s="162"/>
      <c r="E131" s="26">
        <v>0</v>
      </c>
      <c r="F131" s="159">
        <v>0</v>
      </c>
      <c r="G131" s="160">
        <v>46843</v>
      </c>
      <c r="I131" t="s">
        <v>1675</v>
      </c>
      <c r="J131" s="161" t="s">
        <v>19202</v>
      </c>
      <c r="K131" t="s">
        <v>19203</v>
      </c>
      <c r="L131" t="s">
        <v>1674</v>
      </c>
      <c r="M131" s="161" t="s">
        <v>19202</v>
      </c>
    </row>
    <row r="132" spans="1:13" x14ac:dyDescent="0.25">
      <c r="A132" s="156" t="s">
        <v>1442</v>
      </c>
      <c r="B132" s="156" t="s">
        <v>1441</v>
      </c>
      <c r="C132" s="26">
        <f t="shared" si="2"/>
        <v>0</v>
      </c>
      <c r="D132" s="157"/>
      <c r="E132" s="158">
        <v>0</v>
      </c>
      <c r="F132" s="159">
        <v>0</v>
      </c>
      <c r="G132" s="160">
        <v>46611</v>
      </c>
      <c r="I132" t="s">
        <v>1733</v>
      </c>
      <c r="J132" s="161" t="s">
        <v>19202</v>
      </c>
      <c r="K132" t="s">
        <v>19203</v>
      </c>
      <c r="L132" t="s">
        <v>1732</v>
      </c>
      <c r="M132" s="161" t="s">
        <v>19202</v>
      </c>
    </row>
    <row r="133" spans="1:13" x14ac:dyDescent="0.25">
      <c r="A133" s="156" t="s">
        <v>1440</v>
      </c>
      <c r="B133" s="156" t="s">
        <v>19307</v>
      </c>
      <c r="C133" s="26">
        <f t="shared" si="2"/>
        <v>1</v>
      </c>
      <c r="D133" s="157"/>
      <c r="E133" s="158">
        <v>51800</v>
      </c>
      <c r="F133" s="159">
        <v>0.2</v>
      </c>
      <c r="G133" s="160">
        <v>46843</v>
      </c>
      <c r="I133" t="s">
        <v>2091</v>
      </c>
      <c r="J133" s="161" t="s">
        <v>19202</v>
      </c>
      <c r="K133" t="s">
        <v>19203</v>
      </c>
      <c r="L133" t="s">
        <v>2090</v>
      </c>
      <c r="M133" s="161" t="s">
        <v>19202</v>
      </c>
    </row>
    <row r="134" spans="1:13" x14ac:dyDescent="0.25">
      <c r="A134" s="156" t="s">
        <v>1706</v>
      </c>
      <c r="B134" s="156" t="s">
        <v>19308</v>
      </c>
      <c r="C134" s="26">
        <f t="shared" si="2"/>
        <v>1</v>
      </c>
      <c r="D134" s="157"/>
      <c r="E134" s="158">
        <v>172500</v>
      </c>
      <c r="F134" s="159">
        <v>0.7</v>
      </c>
      <c r="G134" s="160">
        <v>46843</v>
      </c>
      <c r="I134" t="s">
        <v>1724</v>
      </c>
      <c r="J134" s="161" t="s">
        <v>19202</v>
      </c>
      <c r="K134" t="s">
        <v>19203</v>
      </c>
      <c r="L134" t="s">
        <v>1723</v>
      </c>
      <c r="M134" s="161" t="s">
        <v>19202</v>
      </c>
    </row>
    <row r="135" spans="1:13" x14ac:dyDescent="0.25">
      <c r="A135" s="156" t="s">
        <v>18007</v>
      </c>
      <c r="B135" s="156" t="s">
        <v>19309</v>
      </c>
      <c r="C135" s="26">
        <f t="shared" si="2"/>
        <v>1</v>
      </c>
      <c r="D135" s="157"/>
      <c r="E135" s="158">
        <v>44592</v>
      </c>
      <c r="F135" s="159">
        <v>0.2</v>
      </c>
      <c r="G135" s="160">
        <v>46843</v>
      </c>
      <c r="I135" t="s">
        <v>1722</v>
      </c>
      <c r="J135" s="161" t="s">
        <v>19202</v>
      </c>
      <c r="K135" t="s">
        <v>19203</v>
      </c>
      <c r="L135" t="s">
        <v>1721</v>
      </c>
      <c r="M135" s="161" t="s">
        <v>19202</v>
      </c>
    </row>
    <row r="136" spans="1:13" x14ac:dyDescent="0.25">
      <c r="A136" s="156" t="s">
        <v>17471</v>
      </c>
      <c r="B136" s="156" t="s">
        <v>19310</v>
      </c>
      <c r="C136" s="26">
        <f t="shared" si="2"/>
        <v>1</v>
      </c>
      <c r="D136" s="157"/>
      <c r="E136" s="158">
        <v>149200</v>
      </c>
      <c r="F136" s="159">
        <v>0.2</v>
      </c>
      <c r="G136" s="160">
        <v>46843</v>
      </c>
      <c r="I136" t="s">
        <v>14631</v>
      </c>
      <c r="J136" s="161" t="s">
        <v>19202</v>
      </c>
      <c r="K136" t="s">
        <v>19203</v>
      </c>
      <c r="L136" t="s">
        <v>14630</v>
      </c>
      <c r="M136" s="161" t="s">
        <v>19202</v>
      </c>
    </row>
    <row r="137" spans="1:13" x14ac:dyDescent="0.25">
      <c r="A137" s="156" t="s">
        <v>1684</v>
      </c>
      <c r="B137" s="156" t="s">
        <v>19311</v>
      </c>
      <c r="C137" s="26">
        <f t="shared" si="2"/>
        <v>1</v>
      </c>
      <c r="D137" s="166"/>
      <c r="E137" s="158">
        <v>34800</v>
      </c>
      <c r="F137" s="159">
        <v>0.2</v>
      </c>
      <c r="G137" s="160">
        <v>46843</v>
      </c>
      <c r="I137" t="s">
        <v>1937</v>
      </c>
      <c r="J137" s="161" t="s">
        <v>19202</v>
      </c>
      <c r="K137" t="s">
        <v>19203</v>
      </c>
      <c r="L137" t="s">
        <v>756</v>
      </c>
      <c r="M137" s="161" t="s">
        <v>19202</v>
      </c>
    </row>
    <row r="138" spans="1:13" x14ac:dyDescent="0.25">
      <c r="A138" s="156" t="s">
        <v>1432</v>
      </c>
      <c r="B138" s="156" t="s">
        <v>19312</v>
      </c>
      <c r="C138" s="26">
        <f t="shared" si="2"/>
        <v>1</v>
      </c>
      <c r="D138" s="166"/>
      <c r="E138" s="158">
        <v>38105</v>
      </c>
      <c r="F138" s="159">
        <v>0.2</v>
      </c>
      <c r="G138" s="160">
        <v>46843</v>
      </c>
      <c r="I138" t="s">
        <v>1842</v>
      </c>
      <c r="J138" s="161" t="s">
        <v>19202</v>
      </c>
      <c r="K138" t="s">
        <v>19203</v>
      </c>
      <c r="L138" t="s">
        <v>772</v>
      </c>
      <c r="M138" s="161" t="s">
        <v>19202</v>
      </c>
    </row>
    <row r="139" spans="1:13" x14ac:dyDescent="0.25">
      <c r="A139" s="156" t="s">
        <v>18117</v>
      </c>
      <c r="B139" s="156" t="s">
        <v>19313</v>
      </c>
      <c r="C139" s="26">
        <f t="shared" si="2"/>
        <v>1</v>
      </c>
      <c r="D139" s="1"/>
      <c r="E139" s="26">
        <v>28800</v>
      </c>
      <c r="F139" s="159">
        <v>0.5</v>
      </c>
      <c r="G139" s="160">
        <v>46843</v>
      </c>
      <c r="I139" t="s">
        <v>1499</v>
      </c>
      <c r="J139" s="161" t="s">
        <v>19202</v>
      </c>
      <c r="K139" t="s">
        <v>19203</v>
      </c>
      <c r="L139" t="s">
        <v>1498</v>
      </c>
      <c r="M139" s="161" t="s">
        <v>19202</v>
      </c>
    </row>
    <row r="140" spans="1:13" x14ac:dyDescent="0.25">
      <c r="A140" s="156" t="s">
        <v>17454</v>
      </c>
      <c r="B140" s="156" t="s">
        <v>19314</v>
      </c>
      <c r="C140" s="26">
        <f t="shared" si="2"/>
        <v>1</v>
      </c>
      <c r="D140" s="1"/>
      <c r="E140" s="26">
        <v>88541</v>
      </c>
      <c r="F140" s="159">
        <v>0.7</v>
      </c>
      <c r="G140" s="160">
        <v>46843</v>
      </c>
      <c r="I140" t="s">
        <v>2125</v>
      </c>
      <c r="J140" s="161" t="s">
        <v>19202</v>
      </c>
      <c r="K140" t="s">
        <v>19203</v>
      </c>
      <c r="L140" t="s">
        <v>632</v>
      </c>
      <c r="M140" s="161" t="s">
        <v>19202</v>
      </c>
    </row>
    <row r="141" spans="1:13" x14ac:dyDescent="0.25">
      <c r="A141" s="156" t="s">
        <v>1743</v>
      </c>
      <c r="B141" s="156" t="s">
        <v>19315</v>
      </c>
      <c r="C141" s="26">
        <f t="shared" si="2"/>
        <v>1</v>
      </c>
      <c r="D141" s="1"/>
      <c r="E141" s="26">
        <v>91000</v>
      </c>
      <c r="F141" s="159">
        <v>0.2</v>
      </c>
      <c r="G141" s="160">
        <v>46843</v>
      </c>
      <c r="I141" t="s">
        <v>17969</v>
      </c>
      <c r="J141" s="161" t="s">
        <v>19202</v>
      </c>
      <c r="K141" t="s">
        <v>19203</v>
      </c>
      <c r="L141" t="s">
        <v>17968</v>
      </c>
      <c r="M141" s="161" t="s">
        <v>19202</v>
      </c>
    </row>
    <row r="142" spans="1:13" x14ac:dyDescent="0.25">
      <c r="A142" s="163" t="s">
        <v>1733</v>
      </c>
      <c r="B142" s="163" t="s">
        <v>19316</v>
      </c>
      <c r="C142" s="26">
        <f t="shared" si="2"/>
        <v>1</v>
      </c>
      <c r="D142" s="1"/>
      <c r="E142" s="26">
        <v>58800</v>
      </c>
      <c r="F142" s="159">
        <v>0.5</v>
      </c>
      <c r="G142" s="160">
        <v>46873</v>
      </c>
      <c r="I142" t="s">
        <v>1882</v>
      </c>
      <c r="J142" s="161" t="s">
        <v>19202</v>
      </c>
      <c r="K142" t="s">
        <v>19203</v>
      </c>
      <c r="L142" t="s">
        <v>1881</v>
      </c>
      <c r="M142" s="161" t="s">
        <v>19202</v>
      </c>
    </row>
    <row r="143" spans="1:13" x14ac:dyDescent="0.25">
      <c r="I143" t="s">
        <v>1990</v>
      </c>
      <c r="J143" s="161" t="s">
        <v>19202</v>
      </c>
      <c r="K143" t="s">
        <v>19203</v>
      </c>
      <c r="L143" t="s">
        <v>1989</v>
      </c>
      <c r="M143" s="161" t="s">
        <v>19202</v>
      </c>
    </row>
    <row r="144" spans="1:13" x14ac:dyDescent="0.25">
      <c r="I144" t="s">
        <v>18026</v>
      </c>
      <c r="J144" s="161" t="s">
        <v>19202</v>
      </c>
      <c r="K144" t="s">
        <v>19203</v>
      </c>
      <c r="L144" t="s">
        <v>18025</v>
      </c>
      <c r="M144" s="161" t="s">
        <v>19202</v>
      </c>
    </row>
    <row r="145" spans="9:13" x14ac:dyDescent="0.25">
      <c r="I145" t="s">
        <v>1671</v>
      </c>
      <c r="J145" s="161" t="s">
        <v>19202</v>
      </c>
      <c r="K145" t="s">
        <v>19203</v>
      </c>
      <c r="L145" t="s">
        <v>1670</v>
      </c>
      <c r="M145" s="161" t="s">
        <v>19202</v>
      </c>
    </row>
    <row r="146" spans="9:13" x14ac:dyDescent="0.25">
      <c r="I146" t="s">
        <v>17385</v>
      </c>
      <c r="J146" s="161" t="s">
        <v>19202</v>
      </c>
      <c r="K146" t="s">
        <v>19203</v>
      </c>
      <c r="L146" t="s">
        <v>17384</v>
      </c>
      <c r="M146" s="161" t="s">
        <v>19202</v>
      </c>
    </row>
    <row r="147" spans="9:13" x14ac:dyDescent="0.25">
      <c r="I147" t="s">
        <v>2017</v>
      </c>
      <c r="J147" s="161" t="s">
        <v>19202</v>
      </c>
      <c r="K147" t="s">
        <v>19203</v>
      </c>
      <c r="L147" t="s">
        <v>2016</v>
      </c>
      <c r="M147" s="161" t="s">
        <v>19202</v>
      </c>
    </row>
    <row r="148" spans="9:13" x14ac:dyDescent="0.25">
      <c r="I148" t="s">
        <v>1718</v>
      </c>
      <c r="J148" s="161" t="s">
        <v>19202</v>
      </c>
      <c r="K148" t="s">
        <v>19203</v>
      </c>
      <c r="L148" t="s">
        <v>1717</v>
      </c>
      <c r="M148" s="161" t="s">
        <v>19202</v>
      </c>
    </row>
    <row r="149" spans="9:13" x14ac:dyDescent="0.25">
      <c r="I149" t="s">
        <v>1741</v>
      </c>
      <c r="J149" s="161" t="s">
        <v>19202</v>
      </c>
      <c r="K149" t="s">
        <v>19203</v>
      </c>
      <c r="L149" t="s">
        <v>1740</v>
      </c>
      <c r="M149" s="161" t="s">
        <v>19202</v>
      </c>
    </row>
    <row r="150" spans="9:13" x14ac:dyDescent="0.25">
      <c r="I150" t="s">
        <v>17614</v>
      </c>
      <c r="J150" s="161" t="s">
        <v>19202</v>
      </c>
      <c r="K150" t="s">
        <v>19203</v>
      </c>
      <c r="L150" t="s">
        <v>17613</v>
      </c>
      <c r="M150" s="161" t="s">
        <v>19202</v>
      </c>
    </row>
    <row r="151" spans="9:13" x14ac:dyDescent="0.25">
      <c r="I151" t="s">
        <v>1826</v>
      </c>
      <c r="J151" s="161" t="s">
        <v>19202</v>
      </c>
      <c r="K151" t="s">
        <v>19203</v>
      </c>
      <c r="L151" t="s">
        <v>1825</v>
      </c>
      <c r="M151" s="161" t="s">
        <v>19202</v>
      </c>
    </row>
    <row r="152" spans="9:13" x14ac:dyDescent="0.25">
      <c r="I152" t="s">
        <v>18054</v>
      </c>
      <c r="J152" s="161" t="s">
        <v>19202</v>
      </c>
      <c r="K152" t="s">
        <v>19203</v>
      </c>
      <c r="L152" t="s">
        <v>18053</v>
      </c>
      <c r="M152" s="161" t="s">
        <v>19202</v>
      </c>
    </row>
    <row r="153" spans="9:13" x14ac:dyDescent="0.25">
      <c r="I153" t="s">
        <v>17700</v>
      </c>
      <c r="J153" s="161" t="s">
        <v>19202</v>
      </c>
      <c r="K153" t="s">
        <v>19203</v>
      </c>
      <c r="L153" t="s">
        <v>17699</v>
      </c>
      <c r="M153" s="161" t="s">
        <v>19202</v>
      </c>
    </row>
    <row r="154" spans="9:13" x14ac:dyDescent="0.25">
      <c r="I154" t="s">
        <v>2049</v>
      </c>
      <c r="J154" s="161" t="s">
        <v>19202</v>
      </c>
      <c r="K154" t="s">
        <v>19203</v>
      </c>
      <c r="L154" t="s">
        <v>2048</v>
      </c>
      <c r="M154" s="161" t="s">
        <v>19202</v>
      </c>
    </row>
    <row r="155" spans="9:13" x14ac:dyDescent="0.25">
      <c r="I155" t="s">
        <v>1886</v>
      </c>
      <c r="J155" s="161" t="s">
        <v>19202</v>
      </c>
      <c r="K155" t="s">
        <v>19203</v>
      </c>
      <c r="L155" t="s">
        <v>1885</v>
      </c>
      <c r="M155" s="161" t="s">
        <v>19202</v>
      </c>
    </row>
    <row r="156" spans="9:13" x14ac:dyDescent="0.25">
      <c r="I156" t="s">
        <v>1386</v>
      </c>
      <c r="J156" s="161" t="s">
        <v>19202</v>
      </c>
      <c r="K156" t="s">
        <v>19203</v>
      </c>
      <c r="L156" t="s">
        <v>1385</v>
      </c>
      <c r="M156" s="161" t="s">
        <v>19202</v>
      </c>
    </row>
    <row r="157" spans="9:13" x14ac:dyDescent="0.25">
      <c r="I157" t="s">
        <v>1782</v>
      </c>
      <c r="J157" s="161" t="s">
        <v>19202</v>
      </c>
      <c r="K157" t="s">
        <v>19203</v>
      </c>
      <c r="L157" t="s">
        <v>1781</v>
      </c>
      <c r="M157" s="161" t="s">
        <v>19202</v>
      </c>
    </row>
    <row r="158" spans="9:13" x14ac:dyDescent="0.25">
      <c r="I158" t="s">
        <v>17536</v>
      </c>
      <c r="J158" s="161" t="s">
        <v>19202</v>
      </c>
      <c r="K158" t="s">
        <v>19203</v>
      </c>
      <c r="L158" t="s">
        <v>17535</v>
      </c>
      <c r="M158" s="161" t="s">
        <v>19202</v>
      </c>
    </row>
    <row r="159" spans="9:13" x14ac:dyDescent="0.25">
      <c r="I159" t="s">
        <v>17275</v>
      </c>
      <c r="J159" s="161" t="s">
        <v>19202</v>
      </c>
      <c r="K159" t="s">
        <v>19203</v>
      </c>
      <c r="L159" t="s">
        <v>17274</v>
      </c>
      <c r="M159" s="161" t="s">
        <v>19202</v>
      </c>
    </row>
    <row r="160" spans="9:13" x14ac:dyDescent="0.25">
      <c r="I160" t="s">
        <v>1903</v>
      </c>
      <c r="J160" s="161" t="s">
        <v>19202</v>
      </c>
      <c r="K160" t="s">
        <v>19203</v>
      </c>
      <c r="L160" t="s">
        <v>1902</v>
      </c>
      <c r="M160" s="161" t="s">
        <v>19202</v>
      </c>
    </row>
    <row r="161" spans="9:13" x14ac:dyDescent="0.25">
      <c r="I161" t="s">
        <v>17513</v>
      </c>
      <c r="J161" s="161" t="s">
        <v>19202</v>
      </c>
      <c r="K161" t="s">
        <v>19203</v>
      </c>
      <c r="L161" t="s">
        <v>17512</v>
      </c>
      <c r="M161" s="161" t="s">
        <v>19202</v>
      </c>
    </row>
    <row r="162" spans="9:13" x14ac:dyDescent="0.25">
      <c r="I162" t="s">
        <v>1540</v>
      </c>
      <c r="J162" s="161" t="s">
        <v>19202</v>
      </c>
      <c r="K162" t="s">
        <v>19203</v>
      </c>
      <c r="L162" t="s">
        <v>1539</v>
      </c>
      <c r="M162" s="161" t="s">
        <v>19202</v>
      </c>
    </row>
    <row r="163" spans="9:13" x14ac:dyDescent="0.25">
      <c r="I163" t="s">
        <v>1813</v>
      </c>
      <c r="J163" s="161" t="s">
        <v>19202</v>
      </c>
      <c r="K163" t="s">
        <v>19203</v>
      </c>
      <c r="L163" t="s">
        <v>1812</v>
      </c>
      <c r="M163" s="161" t="s">
        <v>19202</v>
      </c>
    </row>
    <row r="164" spans="9:13" x14ac:dyDescent="0.25">
      <c r="I164" t="s">
        <v>8380</v>
      </c>
      <c r="J164" s="161" t="s">
        <v>19202</v>
      </c>
      <c r="K164" t="s">
        <v>19203</v>
      </c>
      <c r="L164" t="s">
        <v>8379</v>
      </c>
      <c r="M164" s="161" t="s">
        <v>19202</v>
      </c>
    </row>
    <row r="165" spans="9:13" x14ac:dyDescent="0.25">
      <c r="I165" t="s">
        <v>8223</v>
      </c>
      <c r="J165" s="161" t="s">
        <v>19202</v>
      </c>
      <c r="K165" t="s">
        <v>19203</v>
      </c>
      <c r="L165" t="s">
        <v>8222</v>
      </c>
      <c r="M165" s="161" t="s">
        <v>19202</v>
      </c>
    </row>
    <row r="166" spans="9:13" x14ac:dyDescent="0.25">
      <c r="I166" t="s">
        <v>17473</v>
      </c>
      <c r="J166" s="161" t="s">
        <v>19202</v>
      </c>
      <c r="K166" t="s">
        <v>19203</v>
      </c>
      <c r="L166" t="s">
        <v>17472</v>
      </c>
      <c r="M166" s="161" t="s">
        <v>19202</v>
      </c>
    </row>
    <row r="167" spans="9:13" x14ac:dyDescent="0.25">
      <c r="I167" t="s">
        <v>2099</v>
      </c>
      <c r="J167" s="161" t="s">
        <v>19202</v>
      </c>
      <c r="K167" t="s">
        <v>19203</v>
      </c>
      <c r="L167" t="s">
        <v>2098</v>
      </c>
      <c r="M167" s="161" t="s">
        <v>19202</v>
      </c>
    </row>
    <row r="168" spans="9:13" x14ac:dyDescent="0.25">
      <c r="I168" t="s">
        <v>1811</v>
      </c>
      <c r="J168" s="161" t="s">
        <v>19202</v>
      </c>
      <c r="K168" t="s">
        <v>19203</v>
      </c>
      <c r="L168" t="s">
        <v>1810</v>
      </c>
      <c r="M168" s="161" t="s">
        <v>19202</v>
      </c>
    </row>
    <row r="169" spans="9:13" x14ac:dyDescent="0.25">
      <c r="I169" t="s">
        <v>16462</v>
      </c>
      <c r="J169" s="161" t="s">
        <v>19202</v>
      </c>
      <c r="K169" t="s">
        <v>19203</v>
      </c>
      <c r="L169" t="s">
        <v>16461</v>
      </c>
      <c r="M169" s="161" t="s">
        <v>19202</v>
      </c>
    </row>
    <row r="170" spans="9:13" x14ac:dyDescent="0.25">
      <c r="I170" t="s">
        <v>7366</v>
      </c>
      <c r="J170" s="161" t="s">
        <v>19202</v>
      </c>
      <c r="K170" t="s">
        <v>19203</v>
      </c>
      <c r="L170" t="s">
        <v>7365</v>
      </c>
      <c r="M170" s="161" t="s">
        <v>19202</v>
      </c>
    </row>
    <row r="171" spans="9:13" x14ac:dyDescent="0.25">
      <c r="I171" t="s">
        <v>17935</v>
      </c>
      <c r="J171" s="161" t="s">
        <v>19202</v>
      </c>
      <c r="K171" t="s">
        <v>19203</v>
      </c>
      <c r="L171" t="s">
        <v>17934</v>
      </c>
      <c r="M171" s="161" t="s">
        <v>19202</v>
      </c>
    </row>
    <row r="172" spans="9:13" x14ac:dyDescent="0.25">
      <c r="I172" t="s">
        <v>1643</v>
      </c>
      <c r="J172" s="161" t="s">
        <v>19202</v>
      </c>
      <c r="K172" t="s">
        <v>19203</v>
      </c>
      <c r="L172" t="s">
        <v>1642</v>
      </c>
      <c r="M172" s="161" t="s">
        <v>19202</v>
      </c>
    </row>
    <row r="173" spans="9:13" x14ac:dyDescent="0.25">
      <c r="I173" t="s">
        <v>17632</v>
      </c>
      <c r="J173" s="161" t="s">
        <v>19202</v>
      </c>
      <c r="K173" t="s">
        <v>19203</v>
      </c>
      <c r="L173" t="s">
        <v>17631</v>
      </c>
      <c r="M173" s="161" t="s">
        <v>19202</v>
      </c>
    </row>
    <row r="174" spans="9:13" x14ac:dyDescent="0.25">
      <c r="I174" t="s">
        <v>6769</v>
      </c>
      <c r="J174" s="161" t="s">
        <v>19202</v>
      </c>
      <c r="K174" t="s">
        <v>19203</v>
      </c>
      <c r="L174" t="s">
        <v>6768</v>
      </c>
      <c r="M174" s="161" t="s">
        <v>19202</v>
      </c>
    </row>
    <row r="175" spans="9:13" x14ac:dyDescent="0.25">
      <c r="I175" t="s">
        <v>17376</v>
      </c>
      <c r="J175" s="161" t="s">
        <v>19202</v>
      </c>
      <c r="K175" t="s">
        <v>19203</v>
      </c>
      <c r="L175" t="s">
        <v>17375</v>
      </c>
      <c r="M175" s="161" t="s">
        <v>19202</v>
      </c>
    </row>
    <row r="176" spans="9:13" x14ac:dyDescent="0.25">
      <c r="I176" t="s">
        <v>17976</v>
      </c>
      <c r="J176" s="161" t="s">
        <v>19202</v>
      </c>
      <c r="K176" t="s">
        <v>19203</v>
      </c>
      <c r="L176" t="s">
        <v>17975</v>
      </c>
      <c r="M176" s="161" t="s">
        <v>19202</v>
      </c>
    </row>
    <row r="177" spans="9:13" x14ac:dyDescent="0.25">
      <c r="I177" t="s">
        <v>1339</v>
      </c>
      <c r="J177" s="161" t="s">
        <v>19202</v>
      </c>
      <c r="K177" t="s">
        <v>19203</v>
      </c>
      <c r="L177" t="s">
        <v>1338</v>
      </c>
      <c r="M177" s="161" t="s">
        <v>19202</v>
      </c>
    </row>
    <row r="178" spans="9:13" x14ac:dyDescent="0.25">
      <c r="I178" t="s">
        <v>17892</v>
      </c>
      <c r="J178" s="161" t="s">
        <v>19202</v>
      </c>
      <c r="K178" t="s">
        <v>19203</v>
      </c>
      <c r="L178" t="s">
        <v>17891</v>
      </c>
      <c r="M178" s="161" t="s">
        <v>19202</v>
      </c>
    </row>
    <row r="179" spans="9:13" x14ac:dyDescent="0.25">
      <c r="I179" t="s">
        <v>5518</v>
      </c>
      <c r="J179" s="161" t="s">
        <v>19202</v>
      </c>
      <c r="K179" t="s">
        <v>19203</v>
      </c>
      <c r="L179" t="s">
        <v>5517</v>
      </c>
      <c r="M179" s="161" t="s">
        <v>19202</v>
      </c>
    </row>
    <row r="180" spans="9:13" x14ac:dyDescent="0.25">
      <c r="I180" t="s">
        <v>1459</v>
      </c>
      <c r="J180" s="161" t="s">
        <v>19202</v>
      </c>
      <c r="K180" t="s">
        <v>19203</v>
      </c>
      <c r="L180" t="s">
        <v>1458</v>
      </c>
      <c r="M180" s="161" t="s">
        <v>19202</v>
      </c>
    </row>
    <row r="181" spans="9:13" x14ac:dyDescent="0.25">
      <c r="I181" t="s">
        <v>17594</v>
      </c>
      <c r="J181" s="161" t="s">
        <v>19202</v>
      </c>
      <c r="K181" t="s">
        <v>19203</v>
      </c>
      <c r="L181" t="s">
        <v>17593</v>
      </c>
      <c r="M181" s="161" t="s">
        <v>19202</v>
      </c>
    </row>
    <row r="182" spans="9:13" x14ac:dyDescent="0.25">
      <c r="I182" t="s">
        <v>17944</v>
      </c>
      <c r="J182" s="161" t="s">
        <v>19202</v>
      </c>
      <c r="K182" t="s">
        <v>19203</v>
      </c>
      <c r="L182" t="s">
        <v>17943</v>
      </c>
      <c r="M182" s="161" t="s">
        <v>19202</v>
      </c>
    </row>
    <row r="183" spans="9:13" x14ac:dyDescent="0.25">
      <c r="I183" t="s">
        <v>1884</v>
      </c>
      <c r="J183" s="161" t="s">
        <v>19202</v>
      </c>
      <c r="K183" t="s">
        <v>19203</v>
      </c>
      <c r="L183" t="s">
        <v>1883</v>
      </c>
      <c r="M183" s="161" t="s">
        <v>19202</v>
      </c>
    </row>
    <row r="184" spans="9:13" x14ac:dyDescent="0.25">
      <c r="I184" t="s">
        <v>7059</v>
      </c>
      <c r="J184" s="161" t="s">
        <v>19202</v>
      </c>
      <c r="K184" t="s">
        <v>19203</v>
      </c>
      <c r="L184" t="s">
        <v>7058</v>
      </c>
      <c r="M184" s="161" t="s">
        <v>19202</v>
      </c>
    </row>
    <row r="185" spans="9:13" x14ac:dyDescent="0.25">
      <c r="I185" t="s">
        <v>12504</v>
      </c>
      <c r="J185" s="161" t="s">
        <v>19202</v>
      </c>
      <c r="K185" t="s">
        <v>19203</v>
      </c>
      <c r="L185" t="s">
        <v>12503</v>
      </c>
      <c r="M185" s="161" t="s">
        <v>19202</v>
      </c>
    </row>
    <row r="186" spans="9:13" x14ac:dyDescent="0.25">
      <c r="I186" t="s">
        <v>1373</v>
      </c>
      <c r="J186" s="161" t="s">
        <v>19202</v>
      </c>
      <c r="K186" t="s">
        <v>19203</v>
      </c>
      <c r="L186" t="s">
        <v>1372</v>
      </c>
      <c r="M186" s="161" t="s">
        <v>19202</v>
      </c>
    </row>
    <row r="187" spans="9:13" x14ac:dyDescent="0.25">
      <c r="I187" t="s">
        <v>18067</v>
      </c>
      <c r="J187" s="161" t="s">
        <v>19202</v>
      </c>
      <c r="K187" t="s">
        <v>19203</v>
      </c>
      <c r="L187" t="s">
        <v>18066</v>
      </c>
      <c r="M187" s="161" t="s">
        <v>19202</v>
      </c>
    </row>
    <row r="188" spans="9:13" x14ac:dyDescent="0.25">
      <c r="I188" t="s">
        <v>1874</v>
      </c>
      <c r="J188" s="161" t="s">
        <v>19202</v>
      </c>
      <c r="K188" t="s">
        <v>19203</v>
      </c>
      <c r="L188" t="s">
        <v>1873</v>
      </c>
      <c r="M188" s="161" t="s">
        <v>19202</v>
      </c>
    </row>
    <row r="189" spans="9:13" x14ac:dyDescent="0.25">
      <c r="I189" t="s">
        <v>1753</v>
      </c>
      <c r="J189" s="161" t="s">
        <v>19202</v>
      </c>
      <c r="K189" t="s">
        <v>19203</v>
      </c>
      <c r="L189" t="s">
        <v>1752</v>
      </c>
      <c r="M189" s="161" t="s">
        <v>19202</v>
      </c>
    </row>
    <row r="190" spans="9:13" x14ac:dyDescent="0.25">
      <c r="I190" t="s">
        <v>13385</v>
      </c>
      <c r="J190" s="161" t="s">
        <v>19202</v>
      </c>
      <c r="K190" t="s">
        <v>19203</v>
      </c>
      <c r="L190" t="s">
        <v>13384</v>
      </c>
      <c r="M190" s="161" t="s">
        <v>19202</v>
      </c>
    </row>
    <row r="191" spans="9:13" x14ac:dyDescent="0.25">
      <c r="I191" t="s">
        <v>17753</v>
      </c>
      <c r="J191" s="161" t="s">
        <v>19202</v>
      </c>
      <c r="K191" t="s">
        <v>19203</v>
      </c>
      <c r="L191" t="s">
        <v>17752</v>
      </c>
      <c r="M191" s="161" t="s">
        <v>19202</v>
      </c>
    </row>
    <row r="192" spans="9:13" x14ac:dyDescent="0.25">
      <c r="I192" t="s">
        <v>2060</v>
      </c>
      <c r="J192" s="161" t="s">
        <v>19202</v>
      </c>
      <c r="K192" t="s">
        <v>19203</v>
      </c>
      <c r="L192" t="s">
        <v>592</v>
      </c>
      <c r="M192" s="161" t="s">
        <v>19202</v>
      </c>
    </row>
    <row r="193" spans="9:13" x14ac:dyDescent="0.25">
      <c r="I193" t="s">
        <v>17541</v>
      </c>
      <c r="J193" s="161" t="s">
        <v>19202</v>
      </c>
      <c r="K193" t="s">
        <v>19203</v>
      </c>
      <c r="L193" t="s">
        <v>17540</v>
      </c>
      <c r="M193" s="161" t="s">
        <v>19202</v>
      </c>
    </row>
    <row r="194" spans="9:13" x14ac:dyDescent="0.25">
      <c r="I194" t="s">
        <v>1638</v>
      </c>
      <c r="J194" s="161" t="s">
        <v>19202</v>
      </c>
      <c r="K194" t="s">
        <v>19203</v>
      </c>
      <c r="L194" t="s">
        <v>1637</v>
      </c>
      <c r="M194" s="161" t="s">
        <v>19202</v>
      </c>
    </row>
    <row r="195" spans="9:13" x14ac:dyDescent="0.25">
      <c r="I195" t="s">
        <v>17292</v>
      </c>
      <c r="J195" s="161" t="s">
        <v>19202</v>
      </c>
      <c r="K195" t="s">
        <v>19203</v>
      </c>
      <c r="L195" t="s">
        <v>17291</v>
      </c>
      <c r="M195" s="161" t="s">
        <v>19202</v>
      </c>
    </row>
    <row r="196" spans="9:13" x14ac:dyDescent="0.25">
      <c r="I196" t="s">
        <v>1516</v>
      </c>
      <c r="J196" s="161" t="s">
        <v>19202</v>
      </c>
      <c r="K196" t="s">
        <v>19203</v>
      </c>
      <c r="L196" t="s">
        <v>970</v>
      </c>
      <c r="M196" s="161" t="s">
        <v>19202</v>
      </c>
    </row>
    <row r="197" spans="9:13" x14ac:dyDescent="0.25">
      <c r="I197" t="s">
        <v>1774</v>
      </c>
      <c r="J197" s="161" t="s">
        <v>19202</v>
      </c>
      <c r="K197" t="s">
        <v>19203</v>
      </c>
      <c r="L197" t="s">
        <v>1773</v>
      </c>
      <c r="M197" s="161" t="s">
        <v>19202</v>
      </c>
    </row>
    <row r="198" spans="9:13" x14ac:dyDescent="0.25">
      <c r="I198" t="s">
        <v>17499</v>
      </c>
      <c r="J198" s="161" t="s">
        <v>19202</v>
      </c>
      <c r="K198" t="s">
        <v>19203</v>
      </c>
      <c r="L198" t="s">
        <v>17498</v>
      </c>
      <c r="M198" s="161" t="s">
        <v>19202</v>
      </c>
    </row>
    <row r="199" spans="9:13" x14ac:dyDescent="0.25">
      <c r="I199" t="s">
        <v>12467</v>
      </c>
      <c r="J199" s="161" t="s">
        <v>19202</v>
      </c>
      <c r="K199" t="s">
        <v>19203</v>
      </c>
      <c r="L199" t="s">
        <v>12466</v>
      </c>
      <c r="M199" s="161" t="s">
        <v>19202</v>
      </c>
    </row>
    <row r="200" spans="9:13" x14ac:dyDescent="0.25">
      <c r="I200" t="s">
        <v>1968</v>
      </c>
      <c r="J200" s="161" t="s">
        <v>19202</v>
      </c>
      <c r="K200" t="s">
        <v>19203</v>
      </c>
      <c r="L200" t="s">
        <v>1967</v>
      </c>
      <c r="M200" s="161" t="s">
        <v>19202</v>
      </c>
    </row>
    <row r="201" spans="9:13" x14ac:dyDescent="0.25">
      <c r="I201" t="s">
        <v>18565</v>
      </c>
      <c r="J201" s="161" t="s">
        <v>19202</v>
      </c>
      <c r="K201" t="s">
        <v>19203</v>
      </c>
      <c r="L201" t="s">
        <v>18567</v>
      </c>
      <c r="M201" s="161" t="s">
        <v>19202</v>
      </c>
    </row>
    <row r="202" spans="9:13" x14ac:dyDescent="0.25">
      <c r="I202" t="s">
        <v>2073</v>
      </c>
      <c r="J202" s="161" t="s">
        <v>19202</v>
      </c>
      <c r="K202" t="s">
        <v>19203</v>
      </c>
      <c r="L202" t="s">
        <v>2072</v>
      </c>
      <c r="M202" s="161" t="s">
        <v>19202</v>
      </c>
    </row>
    <row r="203" spans="9:13" x14ac:dyDescent="0.25">
      <c r="I203" t="s">
        <v>1175</v>
      </c>
      <c r="J203" s="161" t="s">
        <v>19202</v>
      </c>
      <c r="K203" t="s">
        <v>19203</v>
      </c>
      <c r="L203" t="s">
        <v>1174</v>
      </c>
      <c r="M203" s="161" t="s">
        <v>19202</v>
      </c>
    </row>
    <row r="204" spans="9:13" x14ac:dyDescent="0.25">
      <c r="I204" t="s">
        <v>17079</v>
      </c>
      <c r="J204" s="161" t="s">
        <v>19202</v>
      </c>
      <c r="K204" t="s">
        <v>19203</v>
      </c>
      <c r="L204" t="s">
        <v>17078</v>
      </c>
      <c r="M204" s="161" t="s">
        <v>19202</v>
      </c>
    </row>
    <row r="205" spans="9:13" x14ac:dyDescent="0.25">
      <c r="I205" t="s">
        <v>17356</v>
      </c>
      <c r="J205" s="161" t="s">
        <v>19202</v>
      </c>
      <c r="K205" t="s">
        <v>19203</v>
      </c>
      <c r="L205" t="s">
        <v>17355</v>
      </c>
      <c r="M205" s="161" t="s">
        <v>19202</v>
      </c>
    </row>
    <row r="206" spans="9:13" x14ac:dyDescent="0.25">
      <c r="I206" t="s">
        <v>19317</v>
      </c>
      <c r="J206" s="161" t="s">
        <v>19202</v>
      </c>
      <c r="K206" t="s">
        <v>19203</v>
      </c>
      <c r="L206" t="s">
        <v>19318</v>
      </c>
      <c r="M206" s="161" t="s">
        <v>19202</v>
      </c>
    </row>
    <row r="207" spans="9:13" x14ac:dyDescent="0.25">
      <c r="I207" t="s">
        <v>7635</v>
      </c>
      <c r="J207" s="161" t="s">
        <v>19202</v>
      </c>
      <c r="K207" t="s">
        <v>19203</v>
      </c>
      <c r="L207" t="s">
        <v>7634</v>
      </c>
      <c r="M207" s="161" t="s">
        <v>19202</v>
      </c>
    </row>
    <row r="208" spans="9:13" x14ac:dyDescent="0.25">
      <c r="I208" t="s">
        <v>5874</v>
      </c>
      <c r="J208" s="161" t="s">
        <v>19202</v>
      </c>
      <c r="K208" t="s">
        <v>19203</v>
      </c>
      <c r="L208" t="s">
        <v>5873</v>
      </c>
      <c r="M208" s="161" t="s">
        <v>19202</v>
      </c>
    </row>
    <row r="209" spans="9:13" x14ac:dyDescent="0.25">
      <c r="I209" t="s">
        <v>7583</v>
      </c>
      <c r="J209" s="161" t="s">
        <v>19202</v>
      </c>
      <c r="K209" t="s">
        <v>19203</v>
      </c>
      <c r="L209" t="s">
        <v>7582</v>
      </c>
      <c r="M209" s="161" t="s">
        <v>19202</v>
      </c>
    </row>
    <row r="210" spans="9:13" x14ac:dyDescent="0.25">
      <c r="I210" t="s">
        <v>1366</v>
      </c>
      <c r="J210" s="161" t="s">
        <v>19202</v>
      </c>
      <c r="K210" t="s">
        <v>19203</v>
      </c>
      <c r="L210" t="s">
        <v>1365</v>
      </c>
      <c r="M210" s="161" t="s">
        <v>19202</v>
      </c>
    </row>
    <row r="211" spans="9:13" x14ac:dyDescent="0.25">
      <c r="I211" t="s">
        <v>5071</v>
      </c>
      <c r="J211" s="161" t="s">
        <v>19202</v>
      </c>
      <c r="K211" t="s">
        <v>19203</v>
      </c>
      <c r="L211" t="s">
        <v>5070</v>
      </c>
      <c r="M211" s="161" t="s">
        <v>19202</v>
      </c>
    </row>
    <row r="212" spans="9:13" x14ac:dyDescent="0.25">
      <c r="I212" t="s">
        <v>1173</v>
      </c>
      <c r="J212" s="161" t="s">
        <v>19202</v>
      </c>
      <c r="K212" t="s">
        <v>19203</v>
      </c>
      <c r="L212" t="s">
        <v>1172</v>
      </c>
      <c r="M212" s="161" t="s">
        <v>19202</v>
      </c>
    </row>
    <row r="213" spans="9:13" x14ac:dyDescent="0.25">
      <c r="I213" t="s">
        <v>17277</v>
      </c>
      <c r="J213" s="161" t="s">
        <v>19202</v>
      </c>
      <c r="K213" t="s">
        <v>19203</v>
      </c>
      <c r="L213" t="s">
        <v>17276</v>
      </c>
      <c r="M213" s="161" t="s">
        <v>19202</v>
      </c>
    </row>
    <row r="214" spans="9:13" x14ac:dyDescent="0.25">
      <c r="I214" t="s">
        <v>2069</v>
      </c>
      <c r="J214" s="161" t="s">
        <v>19202</v>
      </c>
      <c r="K214" t="s">
        <v>19203</v>
      </c>
      <c r="L214" t="s">
        <v>2068</v>
      </c>
      <c r="M214" s="161" t="s">
        <v>19202</v>
      </c>
    </row>
    <row r="215" spans="9:13" x14ac:dyDescent="0.25">
      <c r="I215" t="s">
        <v>16189</v>
      </c>
      <c r="J215" s="161" t="s">
        <v>19202</v>
      </c>
      <c r="K215" t="s">
        <v>19203</v>
      </c>
      <c r="L215" t="s">
        <v>15450</v>
      </c>
      <c r="M215" s="161" t="s">
        <v>19202</v>
      </c>
    </row>
    <row r="216" spans="9:13" x14ac:dyDescent="0.25">
      <c r="I216" t="s">
        <v>7268</v>
      </c>
      <c r="J216" s="161" t="s">
        <v>19202</v>
      </c>
      <c r="K216" t="s">
        <v>19203</v>
      </c>
      <c r="L216" t="s">
        <v>7267</v>
      </c>
      <c r="M216" s="161" t="s">
        <v>19202</v>
      </c>
    </row>
    <row r="217" spans="9:13" x14ac:dyDescent="0.25">
      <c r="I217" t="s">
        <v>1834</v>
      </c>
      <c r="J217" s="161" t="s">
        <v>19202</v>
      </c>
      <c r="K217" t="s">
        <v>19203</v>
      </c>
      <c r="L217" t="s">
        <v>1833</v>
      </c>
      <c r="M217" s="161" t="s">
        <v>19202</v>
      </c>
    </row>
    <row r="218" spans="9:13" x14ac:dyDescent="0.25">
      <c r="I218" t="s">
        <v>2104</v>
      </c>
      <c r="J218" s="161" t="s">
        <v>19202</v>
      </c>
      <c r="K218" t="s">
        <v>19203</v>
      </c>
      <c r="L218" t="s">
        <v>2103</v>
      </c>
      <c r="M218" s="161" t="s">
        <v>19202</v>
      </c>
    </row>
    <row r="219" spans="9:13" x14ac:dyDescent="0.25">
      <c r="I219" t="s">
        <v>17831</v>
      </c>
      <c r="J219" s="161" t="s">
        <v>19202</v>
      </c>
      <c r="K219" t="s">
        <v>19203</v>
      </c>
      <c r="L219" t="s">
        <v>17830</v>
      </c>
      <c r="M219" s="161" t="s">
        <v>19202</v>
      </c>
    </row>
    <row r="220" spans="9:13" x14ac:dyDescent="0.25">
      <c r="I220" t="s">
        <v>17455</v>
      </c>
      <c r="J220" s="161" t="s">
        <v>19202</v>
      </c>
      <c r="K220" t="s">
        <v>19203</v>
      </c>
      <c r="L220" t="s">
        <v>4511</v>
      </c>
      <c r="M220" s="161" t="s">
        <v>19202</v>
      </c>
    </row>
    <row r="221" spans="9:13" x14ac:dyDescent="0.25">
      <c r="I221" t="s">
        <v>17588</v>
      </c>
      <c r="J221" s="161" t="s">
        <v>19202</v>
      </c>
      <c r="K221" t="s">
        <v>19203</v>
      </c>
      <c r="L221" t="s">
        <v>5403</v>
      </c>
      <c r="M221" s="161" t="s">
        <v>19202</v>
      </c>
    </row>
    <row r="222" spans="9:13" x14ac:dyDescent="0.25">
      <c r="I222" t="s">
        <v>13126</v>
      </c>
      <c r="J222" s="161" t="s">
        <v>19202</v>
      </c>
      <c r="K222" t="s">
        <v>19203</v>
      </c>
      <c r="L222" t="s">
        <v>13125</v>
      </c>
      <c r="M222" s="161" t="s">
        <v>19202</v>
      </c>
    </row>
    <row r="223" spans="9:13" x14ac:dyDescent="0.25">
      <c r="I223" t="s">
        <v>8475</v>
      </c>
      <c r="J223" s="161" t="s">
        <v>19202</v>
      </c>
      <c r="K223" t="s">
        <v>19203</v>
      </c>
      <c r="L223" t="s">
        <v>8474</v>
      </c>
      <c r="M223" s="161" t="s">
        <v>19202</v>
      </c>
    </row>
    <row r="224" spans="9:13" x14ac:dyDescent="0.25">
      <c r="I224" t="s">
        <v>7996</v>
      </c>
      <c r="J224" s="161" t="s">
        <v>19202</v>
      </c>
      <c r="K224" t="s">
        <v>19203</v>
      </c>
      <c r="L224" t="s">
        <v>7995</v>
      </c>
      <c r="M224" s="161" t="s">
        <v>19202</v>
      </c>
    </row>
    <row r="225" spans="9:13" x14ac:dyDescent="0.25">
      <c r="I225" t="s">
        <v>17761</v>
      </c>
      <c r="J225" s="161" t="s">
        <v>19202</v>
      </c>
      <c r="K225" t="s">
        <v>19203</v>
      </c>
      <c r="L225" t="s">
        <v>17760</v>
      </c>
      <c r="M225" s="161" t="s">
        <v>19202</v>
      </c>
    </row>
    <row r="226" spans="9:13" x14ac:dyDescent="0.25">
      <c r="I226" t="s">
        <v>17651</v>
      </c>
      <c r="J226" s="161" t="s">
        <v>19202</v>
      </c>
      <c r="K226" t="s">
        <v>19203</v>
      </c>
      <c r="L226" t="s">
        <v>823</v>
      </c>
      <c r="M226" s="161" t="s">
        <v>19202</v>
      </c>
    </row>
    <row r="227" spans="9:13" x14ac:dyDescent="0.25">
      <c r="I227" t="s">
        <v>17763</v>
      </c>
      <c r="J227" s="161" t="s">
        <v>19202</v>
      </c>
      <c r="K227" t="s">
        <v>19203</v>
      </c>
      <c r="L227" t="s">
        <v>17762</v>
      </c>
      <c r="M227" s="161" t="s">
        <v>19202</v>
      </c>
    </row>
    <row r="228" spans="9:13" x14ac:dyDescent="0.25">
      <c r="I228" t="s">
        <v>3008</v>
      </c>
      <c r="J228" s="161" t="s">
        <v>19202</v>
      </c>
      <c r="K228" t="s">
        <v>19203</v>
      </c>
      <c r="L228" t="s">
        <v>3007</v>
      </c>
      <c r="M228" s="161" t="s">
        <v>19202</v>
      </c>
    </row>
    <row r="229" spans="9:13" x14ac:dyDescent="0.25">
      <c r="I229" t="s">
        <v>16973</v>
      </c>
      <c r="J229" s="161" t="s">
        <v>19202</v>
      </c>
      <c r="K229" t="s">
        <v>19203</v>
      </c>
      <c r="L229" t="s">
        <v>16972</v>
      </c>
      <c r="M229" s="161" t="s">
        <v>19202</v>
      </c>
    </row>
    <row r="230" spans="9:13" x14ac:dyDescent="0.25">
      <c r="I230" t="s">
        <v>16778</v>
      </c>
      <c r="J230" s="161" t="s">
        <v>19202</v>
      </c>
      <c r="K230" t="s">
        <v>19203</v>
      </c>
      <c r="L230" t="s">
        <v>526</v>
      </c>
      <c r="M230" s="161" t="s">
        <v>19202</v>
      </c>
    </row>
    <row r="231" spans="9:13" x14ac:dyDescent="0.25">
      <c r="I231" t="s">
        <v>19319</v>
      </c>
      <c r="J231" s="161" t="s">
        <v>19202</v>
      </c>
      <c r="K231" t="s">
        <v>19203</v>
      </c>
      <c r="L231" t="s">
        <v>19320</v>
      </c>
      <c r="M231" s="161" t="s">
        <v>19202</v>
      </c>
    </row>
    <row r="232" spans="9:13" x14ac:dyDescent="0.25">
      <c r="I232" t="s">
        <v>12812</v>
      </c>
      <c r="J232" s="161" t="s">
        <v>19202</v>
      </c>
      <c r="K232" t="s">
        <v>19203</v>
      </c>
      <c r="L232" t="s">
        <v>12811</v>
      </c>
      <c r="M232" s="161" t="s">
        <v>19202</v>
      </c>
    </row>
    <row r="233" spans="9:13" x14ac:dyDescent="0.25">
      <c r="I233" t="s">
        <v>18099</v>
      </c>
      <c r="J233" s="161" t="s">
        <v>19202</v>
      </c>
      <c r="K233" t="s">
        <v>19203</v>
      </c>
      <c r="L233" t="s">
        <v>18098</v>
      </c>
      <c r="M233" s="161" t="s">
        <v>19202</v>
      </c>
    </row>
    <row r="234" spans="9:13" x14ac:dyDescent="0.25">
      <c r="I234" t="s">
        <v>18085</v>
      </c>
      <c r="J234" s="161" t="s">
        <v>19202</v>
      </c>
      <c r="K234" t="s">
        <v>19203</v>
      </c>
      <c r="L234" t="s">
        <v>18084</v>
      </c>
      <c r="M234" s="161" t="s">
        <v>19202</v>
      </c>
    </row>
    <row r="235" spans="9:13" x14ac:dyDescent="0.25">
      <c r="I235" t="s">
        <v>1716</v>
      </c>
      <c r="J235" s="161" t="s">
        <v>19202</v>
      </c>
      <c r="K235" t="s">
        <v>19203</v>
      </c>
      <c r="L235" t="s">
        <v>1715</v>
      </c>
      <c r="M235" s="161" t="s">
        <v>19202</v>
      </c>
    </row>
    <row r="236" spans="9:13" x14ac:dyDescent="0.25">
      <c r="I236" t="s">
        <v>9985</v>
      </c>
      <c r="J236" s="161" t="s">
        <v>19202</v>
      </c>
      <c r="K236" t="s">
        <v>19203</v>
      </c>
      <c r="L236" t="s">
        <v>9984</v>
      </c>
      <c r="M236" s="161" t="s">
        <v>19202</v>
      </c>
    </row>
    <row r="237" spans="9:13" x14ac:dyDescent="0.25">
      <c r="I237" t="s">
        <v>1846</v>
      </c>
      <c r="J237" s="161" t="s">
        <v>19202</v>
      </c>
      <c r="K237" t="s">
        <v>19203</v>
      </c>
      <c r="L237" t="s">
        <v>1845</v>
      </c>
      <c r="M237" s="161" t="s">
        <v>19202</v>
      </c>
    </row>
    <row r="238" spans="9:13" x14ac:dyDescent="0.25">
      <c r="I238" t="s">
        <v>1848</v>
      </c>
      <c r="J238" s="161" t="s">
        <v>19202</v>
      </c>
      <c r="K238" t="s">
        <v>19203</v>
      </c>
      <c r="L238" t="s">
        <v>1847</v>
      </c>
      <c r="M238" s="161" t="s">
        <v>19202</v>
      </c>
    </row>
    <row r="239" spans="9:13" x14ac:dyDescent="0.25">
      <c r="I239" t="s">
        <v>2757</v>
      </c>
      <c r="J239" s="161" t="s">
        <v>19202</v>
      </c>
      <c r="K239" t="s">
        <v>19203</v>
      </c>
      <c r="L239" t="s">
        <v>2756</v>
      </c>
      <c r="M239" s="161" t="s">
        <v>19202</v>
      </c>
    </row>
    <row r="240" spans="9:13" x14ac:dyDescent="0.25">
      <c r="I240" t="s">
        <v>17820</v>
      </c>
      <c r="J240" s="161" t="s">
        <v>19202</v>
      </c>
      <c r="K240" t="s">
        <v>19203</v>
      </c>
      <c r="L240" t="s">
        <v>1108</v>
      </c>
      <c r="M240" s="161" t="s">
        <v>19202</v>
      </c>
    </row>
    <row r="241" spans="9:13" x14ac:dyDescent="0.25">
      <c r="I241" t="s">
        <v>4226</v>
      </c>
      <c r="J241" s="161" t="s">
        <v>19202</v>
      </c>
      <c r="K241" t="s">
        <v>19203</v>
      </c>
      <c r="L241" t="s">
        <v>4225</v>
      </c>
      <c r="M241" s="161" t="s">
        <v>19202</v>
      </c>
    </row>
    <row r="242" spans="9:13" x14ac:dyDescent="0.25">
      <c r="I242" t="s">
        <v>13285</v>
      </c>
      <c r="J242" s="161" t="s">
        <v>19202</v>
      </c>
      <c r="K242" t="s">
        <v>19203</v>
      </c>
      <c r="L242" t="s">
        <v>970</v>
      </c>
      <c r="M242" s="161" t="s">
        <v>19202</v>
      </c>
    </row>
    <row r="243" spans="9:13" x14ac:dyDescent="0.25">
      <c r="I243" t="s">
        <v>15068</v>
      </c>
      <c r="J243" s="161" t="s">
        <v>19202</v>
      </c>
      <c r="K243" t="s">
        <v>19203</v>
      </c>
      <c r="L243" t="s">
        <v>1350</v>
      </c>
      <c r="M243" s="161" t="s">
        <v>19202</v>
      </c>
    </row>
    <row r="244" spans="9:13" x14ac:dyDescent="0.25">
      <c r="I244" t="s">
        <v>12264</v>
      </c>
      <c r="J244" s="161" t="s">
        <v>19202</v>
      </c>
      <c r="K244" t="s">
        <v>19203</v>
      </c>
      <c r="L244" t="s">
        <v>12263</v>
      </c>
      <c r="M244" s="161" t="s">
        <v>19202</v>
      </c>
    </row>
    <row r="245" spans="9:13" x14ac:dyDescent="0.25">
      <c r="I245" t="s">
        <v>17570</v>
      </c>
      <c r="J245" s="161" t="s">
        <v>19202</v>
      </c>
      <c r="K245" t="s">
        <v>19203</v>
      </c>
      <c r="L245" t="s">
        <v>17569</v>
      </c>
      <c r="M245" s="161" t="s">
        <v>19202</v>
      </c>
    </row>
    <row r="246" spans="9:13" x14ac:dyDescent="0.25">
      <c r="I246" t="s">
        <v>17953</v>
      </c>
      <c r="J246" s="161" t="s">
        <v>19202</v>
      </c>
      <c r="K246" t="s">
        <v>19203</v>
      </c>
      <c r="L246" t="s">
        <v>17952</v>
      </c>
      <c r="M246" s="161" t="s">
        <v>19202</v>
      </c>
    </row>
    <row r="247" spans="9:13" x14ac:dyDescent="0.25">
      <c r="I247" t="s">
        <v>17546</v>
      </c>
      <c r="J247" s="161" t="s">
        <v>19202</v>
      </c>
      <c r="K247" t="s">
        <v>19203</v>
      </c>
      <c r="L247" t="s">
        <v>17545</v>
      </c>
      <c r="M247" s="161" t="s">
        <v>19202</v>
      </c>
    </row>
    <row r="248" spans="9:13" x14ac:dyDescent="0.25">
      <c r="I248" t="s">
        <v>1171</v>
      </c>
      <c r="J248" s="161" t="s">
        <v>19202</v>
      </c>
      <c r="K248" t="s">
        <v>19203</v>
      </c>
      <c r="L248" t="s">
        <v>1170</v>
      </c>
      <c r="M248" s="161" t="s">
        <v>19202</v>
      </c>
    </row>
    <row r="249" spans="9:13" x14ac:dyDescent="0.25">
      <c r="I249" t="s">
        <v>2089</v>
      </c>
      <c r="J249" s="161" t="s">
        <v>19202</v>
      </c>
      <c r="K249" t="s">
        <v>19203</v>
      </c>
      <c r="L249" t="s">
        <v>2088</v>
      </c>
      <c r="M249" s="161" t="s">
        <v>19202</v>
      </c>
    </row>
    <row r="250" spans="9:13" x14ac:dyDescent="0.25">
      <c r="I250" t="s">
        <v>14980</v>
      </c>
      <c r="J250" s="161" t="s">
        <v>19202</v>
      </c>
      <c r="K250" t="s">
        <v>19203</v>
      </c>
      <c r="L250" t="s">
        <v>14979</v>
      </c>
      <c r="M250" s="161" t="s">
        <v>19202</v>
      </c>
    </row>
    <row r="251" spans="9:13" x14ac:dyDescent="0.25">
      <c r="I251" t="s">
        <v>3344</v>
      </c>
      <c r="J251" s="161" t="s">
        <v>19202</v>
      </c>
      <c r="K251" t="s">
        <v>19203</v>
      </c>
      <c r="L251" t="s">
        <v>3343</v>
      </c>
      <c r="M251" s="161" t="s">
        <v>19202</v>
      </c>
    </row>
    <row r="252" spans="9:13" x14ac:dyDescent="0.25">
      <c r="I252" t="s">
        <v>18037</v>
      </c>
      <c r="J252" s="161" t="s">
        <v>19202</v>
      </c>
      <c r="K252" t="s">
        <v>19203</v>
      </c>
      <c r="L252" t="s">
        <v>18036</v>
      </c>
      <c r="M252" s="161" t="s">
        <v>19202</v>
      </c>
    </row>
    <row r="253" spans="9:13" x14ac:dyDescent="0.25">
      <c r="I253" t="s">
        <v>15113</v>
      </c>
      <c r="J253" s="161" t="s">
        <v>19202</v>
      </c>
      <c r="K253" t="s">
        <v>19203</v>
      </c>
      <c r="L253" t="s">
        <v>1690</v>
      </c>
      <c r="M253" s="161" t="s">
        <v>19202</v>
      </c>
    </row>
    <row r="254" spans="9:13" x14ac:dyDescent="0.25">
      <c r="I254" t="s">
        <v>17927</v>
      </c>
      <c r="J254" s="161" t="s">
        <v>19202</v>
      </c>
      <c r="K254" t="s">
        <v>19203</v>
      </c>
      <c r="L254" t="s">
        <v>17926</v>
      </c>
      <c r="M254" s="161" t="s">
        <v>19202</v>
      </c>
    </row>
    <row r="255" spans="9:13" x14ac:dyDescent="0.25">
      <c r="I255" t="s">
        <v>1647</v>
      </c>
      <c r="J255" s="161" t="s">
        <v>19202</v>
      </c>
      <c r="K255" t="s">
        <v>19203</v>
      </c>
      <c r="L255" t="s">
        <v>1646</v>
      </c>
      <c r="M255" s="161" t="s">
        <v>19202</v>
      </c>
    </row>
    <row r="256" spans="9:13" x14ac:dyDescent="0.25">
      <c r="I256" t="s">
        <v>3195</v>
      </c>
      <c r="J256" s="161" t="s">
        <v>19202</v>
      </c>
      <c r="K256" t="s">
        <v>19203</v>
      </c>
      <c r="L256" t="s">
        <v>3194</v>
      </c>
      <c r="M256" s="161" t="s">
        <v>19202</v>
      </c>
    </row>
    <row r="257" spans="9:13" x14ac:dyDescent="0.25">
      <c r="I257" t="s">
        <v>17963</v>
      </c>
      <c r="J257" s="161" t="s">
        <v>19202</v>
      </c>
      <c r="K257" t="s">
        <v>19203</v>
      </c>
      <c r="L257" t="s">
        <v>17962</v>
      </c>
      <c r="M257" s="161" t="s">
        <v>19202</v>
      </c>
    </row>
    <row r="258" spans="9:13" x14ac:dyDescent="0.25">
      <c r="I258" t="s">
        <v>17522</v>
      </c>
      <c r="J258" s="161" t="s">
        <v>19202</v>
      </c>
      <c r="K258" t="s">
        <v>19203</v>
      </c>
      <c r="L258" t="s">
        <v>17521</v>
      </c>
      <c r="M258" s="161" t="s">
        <v>19202</v>
      </c>
    </row>
    <row r="259" spans="9:13" x14ac:dyDescent="0.25">
      <c r="I259" t="s">
        <v>1359</v>
      </c>
      <c r="J259" s="161" t="s">
        <v>19202</v>
      </c>
      <c r="K259" t="s">
        <v>19203</v>
      </c>
      <c r="L259" t="s">
        <v>1358</v>
      </c>
      <c r="M259" s="161" t="s">
        <v>19202</v>
      </c>
    </row>
    <row r="260" spans="9:13" x14ac:dyDescent="0.25">
      <c r="I260" t="s">
        <v>17562</v>
      </c>
      <c r="J260" s="161" t="s">
        <v>19202</v>
      </c>
      <c r="K260" t="s">
        <v>19203</v>
      </c>
      <c r="L260" t="s">
        <v>17561</v>
      </c>
      <c r="M260" s="161" t="s">
        <v>19202</v>
      </c>
    </row>
    <row r="261" spans="9:13" x14ac:dyDescent="0.25">
      <c r="I261" t="s">
        <v>15679</v>
      </c>
      <c r="J261" s="161" t="s">
        <v>19202</v>
      </c>
      <c r="K261" t="s">
        <v>19203</v>
      </c>
      <c r="L261" t="s">
        <v>1709</v>
      </c>
      <c r="M261" s="161" t="s">
        <v>19202</v>
      </c>
    </row>
    <row r="262" spans="9:13" x14ac:dyDescent="0.25">
      <c r="I262" t="s">
        <v>6215</v>
      </c>
      <c r="J262" s="161" t="s">
        <v>19202</v>
      </c>
      <c r="K262" t="s">
        <v>19203</v>
      </c>
      <c r="L262" t="s">
        <v>6214</v>
      </c>
      <c r="M262" s="161" t="s">
        <v>19202</v>
      </c>
    </row>
    <row r="263" spans="9:13" x14ac:dyDescent="0.25">
      <c r="I263" t="s">
        <v>10925</v>
      </c>
      <c r="J263" s="161" t="s">
        <v>19202</v>
      </c>
      <c r="K263" t="s">
        <v>19203</v>
      </c>
      <c r="L263" t="s">
        <v>10924</v>
      </c>
      <c r="M263" s="161" t="s">
        <v>19202</v>
      </c>
    </row>
    <row r="264" spans="9:13" x14ac:dyDescent="0.25">
      <c r="I264" t="s">
        <v>17630</v>
      </c>
      <c r="J264" s="161" t="s">
        <v>19202</v>
      </c>
      <c r="K264" t="s">
        <v>19203</v>
      </c>
      <c r="L264" t="s">
        <v>17629</v>
      </c>
      <c r="M264" s="161" t="s">
        <v>19202</v>
      </c>
    </row>
    <row r="265" spans="9:13" x14ac:dyDescent="0.25">
      <c r="I265" t="s">
        <v>17628</v>
      </c>
      <c r="J265" s="161" t="s">
        <v>19202</v>
      </c>
      <c r="K265" t="s">
        <v>19203</v>
      </c>
      <c r="L265" t="s">
        <v>17627</v>
      </c>
      <c r="M265" s="161" t="s">
        <v>19202</v>
      </c>
    </row>
    <row r="266" spans="9:13" x14ac:dyDescent="0.25">
      <c r="I266" t="s">
        <v>16244</v>
      </c>
      <c r="J266" s="161" t="s">
        <v>19202</v>
      </c>
      <c r="K266" t="s">
        <v>19203</v>
      </c>
      <c r="L266" t="s">
        <v>15254</v>
      </c>
      <c r="M266" s="161" t="s">
        <v>19202</v>
      </c>
    </row>
    <row r="267" spans="9:13" x14ac:dyDescent="0.25">
      <c r="I267" t="s">
        <v>17784</v>
      </c>
      <c r="J267" s="161" t="s">
        <v>19202</v>
      </c>
      <c r="K267" t="s">
        <v>19203</v>
      </c>
      <c r="L267" t="s">
        <v>17783</v>
      </c>
      <c r="M267" s="161" t="s">
        <v>19202</v>
      </c>
    </row>
    <row r="268" spans="9:13" x14ac:dyDescent="0.25">
      <c r="I268" t="s">
        <v>13943</v>
      </c>
      <c r="J268" s="161" t="s">
        <v>19202</v>
      </c>
      <c r="K268" t="s">
        <v>19203</v>
      </c>
      <c r="L268" t="s">
        <v>13942</v>
      </c>
      <c r="M268" s="161" t="s">
        <v>19202</v>
      </c>
    </row>
    <row r="269" spans="9:13" x14ac:dyDescent="0.25">
      <c r="I269" t="s">
        <v>11927</v>
      </c>
      <c r="J269" s="161" t="s">
        <v>19202</v>
      </c>
      <c r="K269" t="s">
        <v>19203</v>
      </c>
      <c r="L269" t="s">
        <v>11926</v>
      </c>
      <c r="M269" s="161" t="s">
        <v>19202</v>
      </c>
    </row>
    <row r="270" spans="9:13" x14ac:dyDescent="0.25">
      <c r="I270" t="s">
        <v>17553</v>
      </c>
      <c r="J270" s="161" t="s">
        <v>19202</v>
      </c>
      <c r="K270" t="s">
        <v>19203</v>
      </c>
      <c r="L270" t="s">
        <v>17552</v>
      </c>
      <c r="M270" s="161" t="s">
        <v>19202</v>
      </c>
    </row>
    <row r="271" spans="9:13" x14ac:dyDescent="0.25">
      <c r="I271" t="s">
        <v>1877</v>
      </c>
      <c r="J271" s="161" t="s">
        <v>19202</v>
      </c>
      <c r="K271" t="s">
        <v>19203</v>
      </c>
      <c r="L271" t="s">
        <v>1876</v>
      </c>
      <c r="M271" s="161" t="s">
        <v>19202</v>
      </c>
    </row>
    <row r="272" spans="9:13" x14ac:dyDescent="0.25">
      <c r="I272" t="s">
        <v>3827</v>
      </c>
      <c r="J272" s="161" t="s">
        <v>19202</v>
      </c>
      <c r="K272" t="s">
        <v>19203</v>
      </c>
      <c r="L272" t="s">
        <v>3826</v>
      </c>
      <c r="M272" s="161" t="s">
        <v>19202</v>
      </c>
    </row>
    <row r="273" spans="9:13" x14ac:dyDescent="0.25">
      <c r="I273" t="s">
        <v>12889</v>
      </c>
      <c r="J273" s="161" t="s">
        <v>19202</v>
      </c>
      <c r="K273" t="s">
        <v>19203</v>
      </c>
      <c r="L273" t="s">
        <v>12888</v>
      </c>
      <c r="M273" s="161" t="s">
        <v>19202</v>
      </c>
    </row>
    <row r="274" spans="9:13" x14ac:dyDescent="0.25">
      <c r="I274" t="s">
        <v>15973</v>
      </c>
      <c r="J274" s="161" t="s">
        <v>19202</v>
      </c>
      <c r="K274" t="s">
        <v>19203</v>
      </c>
      <c r="L274" t="s">
        <v>4060</v>
      </c>
      <c r="M274" s="161" t="s">
        <v>19202</v>
      </c>
    </row>
    <row r="275" spans="9:13" x14ac:dyDescent="0.25">
      <c r="I275" t="s">
        <v>1818</v>
      </c>
      <c r="J275" s="161" t="s">
        <v>19202</v>
      </c>
      <c r="K275" t="s">
        <v>19203</v>
      </c>
      <c r="L275" t="s">
        <v>1817</v>
      </c>
      <c r="M275" s="161" t="s">
        <v>19202</v>
      </c>
    </row>
    <row r="276" spans="9:13" x14ac:dyDescent="0.25">
      <c r="I276" t="s">
        <v>1832</v>
      </c>
      <c r="J276" s="161" t="s">
        <v>19202</v>
      </c>
      <c r="K276" t="s">
        <v>19203</v>
      </c>
      <c r="L276" t="s">
        <v>1831</v>
      </c>
      <c r="M276" s="161" t="s">
        <v>19202</v>
      </c>
    </row>
    <row r="277" spans="9:13" x14ac:dyDescent="0.25">
      <c r="I277" t="s">
        <v>1669</v>
      </c>
      <c r="J277" s="161" t="s">
        <v>19202</v>
      </c>
      <c r="K277" t="s">
        <v>19203</v>
      </c>
      <c r="L277" t="s">
        <v>1668</v>
      </c>
      <c r="M277" s="161" t="s">
        <v>19202</v>
      </c>
    </row>
    <row r="278" spans="9:13" x14ac:dyDescent="0.25">
      <c r="I278" t="s">
        <v>3543</v>
      </c>
      <c r="J278" s="161" t="s">
        <v>19202</v>
      </c>
      <c r="K278" t="s">
        <v>19203</v>
      </c>
      <c r="L278" t="s">
        <v>3542</v>
      </c>
      <c r="M278" s="161" t="s">
        <v>19202</v>
      </c>
    </row>
    <row r="279" spans="9:13" x14ac:dyDescent="0.25">
      <c r="I279" t="s">
        <v>19321</v>
      </c>
      <c r="J279" s="161" t="s">
        <v>19202</v>
      </c>
      <c r="K279" t="s">
        <v>19203</v>
      </c>
      <c r="L279" t="s">
        <v>19322</v>
      </c>
      <c r="M279" s="161" t="s">
        <v>19202</v>
      </c>
    </row>
    <row r="280" spans="9:13" x14ac:dyDescent="0.25">
      <c r="I280" t="s">
        <v>1795</v>
      </c>
      <c r="J280" s="161" t="s">
        <v>19202</v>
      </c>
      <c r="K280" t="s">
        <v>19203</v>
      </c>
      <c r="L280" t="s">
        <v>1709</v>
      </c>
      <c r="M280" s="161" t="s">
        <v>19202</v>
      </c>
    </row>
    <row r="281" spans="9:13" x14ac:dyDescent="0.25">
      <c r="I281" t="s">
        <v>18102</v>
      </c>
      <c r="J281" s="161" t="s">
        <v>19202</v>
      </c>
      <c r="K281" t="s">
        <v>19203</v>
      </c>
      <c r="L281" t="s">
        <v>18101</v>
      </c>
      <c r="M281" s="161" t="s">
        <v>19202</v>
      </c>
    </row>
    <row r="282" spans="9:13" x14ac:dyDescent="0.25">
      <c r="I282" t="s">
        <v>3354</v>
      </c>
      <c r="J282" s="161" t="s">
        <v>19202</v>
      </c>
      <c r="K282" t="s">
        <v>19203</v>
      </c>
      <c r="L282" t="s">
        <v>3353</v>
      </c>
      <c r="M282" s="161" t="s">
        <v>19202</v>
      </c>
    </row>
    <row r="283" spans="9:13" x14ac:dyDescent="0.25">
      <c r="I283" t="s">
        <v>12981</v>
      </c>
      <c r="J283" s="161" t="s">
        <v>19202</v>
      </c>
      <c r="K283" t="s">
        <v>19203</v>
      </c>
      <c r="L283" t="s">
        <v>12980</v>
      </c>
      <c r="M283" s="161" t="s">
        <v>19202</v>
      </c>
    </row>
    <row r="284" spans="9:13" x14ac:dyDescent="0.25">
      <c r="I284" t="s">
        <v>16400</v>
      </c>
      <c r="J284" s="161" t="s">
        <v>19202</v>
      </c>
      <c r="K284" t="s">
        <v>19203</v>
      </c>
      <c r="L284" t="s">
        <v>16399</v>
      </c>
      <c r="M284" s="161" t="s">
        <v>19202</v>
      </c>
    </row>
    <row r="285" spans="9:13" x14ac:dyDescent="0.25">
      <c r="I285" t="s">
        <v>18050</v>
      </c>
      <c r="J285" s="161" t="s">
        <v>19202</v>
      </c>
      <c r="K285" t="s">
        <v>19203</v>
      </c>
      <c r="L285" t="s">
        <v>18049</v>
      </c>
      <c r="M285" s="161" t="s">
        <v>19202</v>
      </c>
    </row>
    <row r="286" spans="9:13" x14ac:dyDescent="0.25">
      <c r="I286" t="s">
        <v>18009</v>
      </c>
      <c r="J286" s="161" t="s">
        <v>19202</v>
      </c>
      <c r="K286" t="s">
        <v>19203</v>
      </c>
      <c r="L286" t="s">
        <v>18008</v>
      </c>
      <c r="M286" s="161" t="s">
        <v>19202</v>
      </c>
    </row>
    <row r="287" spans="9:13" x14ac:dyDescent="0.25">
      <c r="I287" t="s">
        <v>18158</v>
      </c>
      <c r="J287" s="161" t="s">
        <v>19202</v>
      </c>
      <c r="K287" t="s">
        <v>19203</v>
      </c>
      <c r="L287" t="s">
        <v>18157</v>
      </c>
      <c r="M287" s="161" t="s">
        <v>19202</v>
      </c>
    </row>
    <row r="288" spans="9:13" x14ac:dyDescent="0.25">
      <c r="I288" t="s">
        <v>4538</v>
      </c>
      <c r="J288" s="161" t="s">
        <v>19202</v>
      </c>
      <c r="K288" t="s">
        <v>19203</v>
      </c>
      <c r="L288" t="s">
        <v>3896</v>
      </c>
      <c r="M288" s="161" t="s">
        <v>19202</v>
      </c>
    </row>
    <row r="289" spans="9:13" x14ac:dyDescent="0.25">
      <c r="I289" t="s">
        <v>17771</v>
      </c>
      <c r="J289" s="161" t="s">
        <v>19202</v>
      </c>
      <c r="K289" t="s">
        <v>19203</v>
      </c>
      <c r="L289" t="s">
        <v>18427</v>
      </c>
      <c r="M289" s="161" t="s">
        <v>19202</v>
      </c>
    </row>
    <row r="290" spans="9:13" x14ac:dyDescent="0.25">
      <c r="I290" t="s">
        <v>17487</v>
      </c>
      <c r="J290" s="161" t="s">
        <v>19202</v>
      </c>
      <c r="K290" t="s">
        <v>19203</v>
      </c>
      <c r="L290" t="s">
        <v>16739</v>
      </c>
      <c r="M290" s="161" t="s">
        <v>19202</v>
      </c>
    </row>
    <row r="291" spans="9:13" x14ac:dyDescent="0.25">
      <c r="I291" t="s">
        <v>12054</v>
      </c>
      <c r="J291" s="161" t="s">
        <v>19202</v>
      </c>
      <c r="K291" t="s">
        <v>19203</v>
      </c>
      <c r="L291" t="s">
        <v>12053</v>
      </c>
      <c r="M291" s="161" t="s">
        <v>19202</v>
      </c>
    </row>
    <row r="292" spans="9:13" x14ac:dyDescent="0.25">
      <c r="I292" t="s">
        <v>18953</v>
      </c>
      <c r="J292" s="161" t="s">
        <v>19202</v>
      </c>
      <c r="K292" t="s">
        <v>19203</v>
      </c>
      <c r="L292" t="s">
        <v>18955</v>
      </c>
      <c r="M292" s="161" t="s">
        <v>19202</v>
      </c>
    </row>
    <row r="293" spans="9:13" x14ac:dyDescent="0.25">
      <c r="I293" t="s">
        <v>1681</v>
      </c>
      <c r="J293" s="161" t="s">
        <v>19202</v>
      </c>
      <c r="K293" t="s">
        <v>19203</v>
      </c>
      <c r="L293" t="s">
        <v>1680</v>
      </c>
      <c r="M293" s="161" t="s">
        <v>19202</v>
      </c>
    </row>
    <row r="294" spans="9:13" x14ac:dyDescent="0.25">
      <c r="I294" t="s">
        <v>13067</v>
      </c>
      <c r="J294" s="161" t="s">
        <v>19202</v>
      </c>
      <c r="K294" t="s">
        <v>19203</v>
      </c>
      <c r="L294" t="s">
        <v>13066</v>
      </c>
      <c r="M294" s="161" t="s">
        <v>19202</v>
      </c>
    </row>
    <row r="295" spans="9:13" x14ac:dyDescent="0.25">
      <c r="I295" t="s">
        <v>18065</v>
      </c>
      <c r="J295" s="161" t="s">
        <v>19202</v>
      </c>
      <c r="K295" t="s">
        <v>19203</v>
      </c>
      <c r="L295" t="s">
        <v>18064</v>
      </c>
      <c r="M295" s="161" t="s">
        <v>19202</v>
      </c>
    </row>
    <row r="296" spans="9:13" x14ac:dyDescent="0.25">
      <c r="I296" t="s">
        <v>17673</v>
      </c>
      <c r="J296" s="161" t="s">
        <v>19202</v>
      </c>
      <c r="K296" t="s">
        <v>19203</v>
      </c>
      <c r="L296" t="s">
        <v>17672</v>
      </c>
      <c r="M296" s="161" t="s">
        <v>19202</v>
      </c>
    </row>
    <row r="297" spans="9:13" x14ac:dyDescent="0.25">
      <c r="I297" t="s">
        <v>2071</v>
      </c>
      <c r="J297" s="161" t="s">
        <v>19202</v>
      </c>
      <c r="K297" t="s">
        <v>19203</v>
      </c>
      <c r="L297" t="s">
        <v>2070</v>
      </c>
      <c r="M297" s="161" t="s">
        <v>19202</v>
      </c>
    </row>
    <row r="298" spans="9:13" x14ac:dyDescent="0.25">
      <c r="I298" t="s">
        <v>7477</v>
      </c>
      <c r="J298" s="161" t="s">
        <v>19202</v>
      </c>
      <c r="K298" t="s">
        <v>19203</v>
      </c>
      <c r="L298" t="s">
        <v>7476</v>
      </c>
      <c r="M298" s="161" t="s">
        <v>19202</v>
      </c>
    </row>
    <row r="299" spans="9:13" x14ac:dyDescent="0.25">
      <c r="I299" t="s">
        <v>935</v>
      </c>
      <c r="J299" s="161" t="s">
        <v>19202</v>
      </c>
      <c r="K299" t="s">
        <v>19203</v>
      </c>
      <c r="L299" t="s">
        <v>934</v>
      </c>
      <c r="M299" s="161" t="s">
        <v>19202</v>
      </c>
    </row>
    <row r="300" spans="9:13" x14ac:dyDescent="0.25">
      <c r="I300" t="s">
        <v>17308</v>
      </c>
      <c r="J300" s="161" t="s">
        <v>19202</v>
      </c>
      <c r="K300" t="s">
        <v>19203</v>
      </c>
      <c r="L300" t="s">
        <v>17307</v>
      </c>
      <c r="M300" s="161" t="s">
        <v>19202</v>
      </c>
    </row>
    <row r="301" spans="9:13" x14ac:dyDescent="0.25">
      <c r="I301" t="s">
        <v>3273</v>
      </c>
      <c r="J301" s="161" t="s">
        <v>19202</v>
      </c>
      <c r="K301" t="s">
        <v>19203</v>
      </c>
      <c r="L301" t="s">
        <v>3272</v>
      </c>
      <c r="M301" s="161" t="s">
        <v>19202</v>
      </c>
    </row>
    <row r="302" spans="9:13" x14ac:dyDescent="0.25">
      <c r="I302" t="s">
        <v>18128</v>
      </c>
      <c r="J302" s="161" t="s">
        <v>19202</v>
      </c>
      <c r="K302" t="s">
        <v>19203</v>
      </c>
      <c r="L302" t="s">
        <v>18127</v>
      </c>
      <c r="M302" s="161" t="s">
        <v>19202</v>
      </c>
    </row>
    <row r="303" spans="9:13" x14ac:dyDescent="0.25">
      <c r="I303" t="s">
        <v>1225</v>
      </c>
      <c r="J303" s="161" t="s">
        <v>19202</v>
      </c>
      <c r="K303" t="s">
        <v>19203</v>
      </c>
      <c r="L303" t="s">
        <v>1224</v>
      </c>
      <c r="M303" s="161" t="s">
        <v>19202</v>
      </c>
    </row>
    <row r="304" spans="9:13" x14ac:dyDescent="0.25">
      <c r="I304" t="s">
        <v>1850</v>
      </c>
      <c r="J304" s="161" t="s">
        <v>19202</v>
      </c>
      <c r="K304" t="s">
        <v>19203</v>
      </c>
      <c r="L304" t="s">
        <v>1849</v>
      </c>
      <c r="M304" s="161" t="s">
        <v>19202</v>
      </c>
    </row>
    <row r="305" spans="9:13" x14ac:dyDescent="0.25">
      <c r="I305" t="s">
        <v>10124</v>
      </c>
      <c r="J305" s="161" t="s">
        <v>19202</v>
      </c>
      <c r="K305" t="s">
        <v>19203</v>
      </c>
      <c r="L305" t="s">
        <v>10123</v>
      </c>
      <c r="M305" s="161" t="s">
        <v>19202</v>
      </c>
    </row>
    <row r="306" spans="9:13" x14ac:dyDescent="0.25">
      <c r="I306" t="s">
        <v>17730</v>
      </c>
      <c r="J306" s="161" t="s">
        <v>19202</v>
      </c>
      <c r="K306" t="s">
        <v>19203</v>
      </c>
      <c r="L306" t="s">
        <v>3738</v>
      </c>
      <c r="M306" s="161" t="s">
        <v>19202</v>
      </c>
    </row>
    <row r="307" spans="9:13" x14ac:dyDescent="0.25">
      <c r="I307" t="s">
        <v>17589</v>
      </c>
      <c r="J307" s="161" t="s">
        <v>19202</v>
      </c>
      <c r="K307" t="s">
        <v>19203</v>
      </c>
      <c r="L307" t="s">
        <v>17309</v>
      </c>
      <c r="M307" s="161" t="s">
        <v>19202</v>
      </c>
    </row>
    <row r="308" spans="9:13" x14ac:dyDescent="0.25">
      <c r="I308" t="s">
        <v>5291</v>
      </c>
      <c r="J308" s="161" t="s">
        <v>19202</v>
      </c>
      <c r="K308" t="s">
        <v>19203</v>
      </c>
      <c r="L308" t="s">
        <v>5290</v>
      </c>
      <c r="M308" s="161" t="s">
        <v>19202</v>
      </c>
    </row>
    <row r="309" spans="9:13" x14ac:dyDescent="0.25">
      <c r="I309" t="s">
        <v>11235</v>
      </c>
      <c r="J309" s="161" t="s">
        <v>19202</v>
      </c>
      <c r="K309" t="s">
        <v>19203</v>
      </c>
      <c r="L309" t="s">
        <v>11234</v>
      </c>
      <c r="M309" s="161" t="s">
        <v>19202</v>
      </c>
    </row>
    <row r="310" spans="9:13" x14ac:dyDescent="0.25">
      <c r="I310" t="s">
        <v>17688</v>
      </c>
      <c r="J310" s="161" t="s">
        <v>19202</v>
      </c>
      <c r="K310" t="s">
        <v>19203</v>
      </c>
      <c r="L310" t="s">
        <v>17687</v>
      </c>
      <c r="M310" s="161" t="s">
        <v>19202</v>
      </c>
    </row>
    <row r="311" spans="9:13" x14ac:dyDescent="0.25">
      <c r="I311" t="s">
        <v>11291</v>
      </c>
      <c r="J311" s="161" t="s">
        <v>19202</v>
      </c>
      <c r="K311" t="s">
        <v>19203</v>
      </c>
      <c r="L311" t="s">
        <v>11290</v>
      </c>
      <c r="M311" s="161" t="s">
        <v>19202</v>
      </c>
    </row>
    <row r="312" spans="9:13" x14ac:dyDescent="0.25">
      <c r="I312" t="s">
        <v>7879</v>
      </c>
      <c r="J312" s="161" t="s">
        <v>19202</v>
      </c>
      <c r="K312" t="s">
        <v>19203</v>
      </c>
      <c r="L312" t="s">
        <v>7878</v>
      </c>
      <c r="M312" s="161" t="s">
        <v>19202</v>
      </c>
    </row>
    <row r="313" spans="9:13" x14ac:dyDescent="0.25">
      <c r="I313" t="s">
        <v>16543</v>
      </c>
      <c r="J313" s="161" t="s">
        <v>19202</v>
      </c>
      <c r="K313" t="s">
        <v>19203</v>
      </c>
      <c r="L313" t="s">
        <v>1387</v>
      </c>
      <c r="M313" s="161" t="s">
        <v>19202</v>
      </c>
    </row>
    <row r="314" spans="9:13" x14ac:dyDescent="0.25">
      <c r="I314" t="s">
        <v>9206</v>
      </c>
      <c r="J314" s="161" t="s">
        <v>19202</v>
      </c>
      <c r="K314" t="s">
        <v>19203</v>
      </c>
      <c r="L314" t="s">
        <v>9205</v>
      </c>
      <c r="M314" s="161" t="s">
        <v>19202</v>
      </c>
    </row>
    <row r="315" spans="9:13" x14ac:dyDescent="0.25">
      <c r="I315" t="s">
        <v>1475</v>
      </c>
      <c r="J315" s="161" t="s">
        <v>19202</v>
      </c>
      <c r="K315" t="s">
        <v>19203</v>
      </c>
      <c r="L315" t="s">
        <v>1474</v>
      </c>
      <c r="M315" s="161" t="s">
        <v>19202</v>
      </c>
    </row>
    <row r="316" spans="9:13" x14ac:dyDescent="0.25">
      <c r="I316" t="s">
        <v>2115</v>
      </c>
      <c r="J316" s="161" t="s">
        <v>19202</v>
      </c>
      <c r="K316" t="s">
        <v>19203</v>
      </c>
      <c r="L316" t="s">
        <v>2114</v>
      </c>
      <c r="M316" s="161" t="s">
        <v>19202</v>
      </c>
    </row>
    <row r="317" spans="9:13" x14ac:dyDescent="0.25">
      <c r="I317" t="s">
        <v>17528</v>
      </c>
      <c r="J317" s="161" t="s">
        <v>19202</v>
      </c>
      <c r="K317" t="s">
        <v>19203</v>
      </c>
      <c r="L317" t="s">
        <v>17527</v>
      </c>
      <c r="M317" s="161" t="s">
        <v>19202</v>
      </c>
    </row>
    <row r="318" spans="9:13" x14ac:dyDescent="0.25">
      <c r="I318" t="s">
        <v>13830</v>
      </c>
      <c r="J318" s="161" t="s">
        <v>19202</v>
      </c>
      <c r="K318" t="s">
        <v>19203</v>
      </c>
      <c r="L318" t="s">
        <v>903</v>
      </c>
      <c r="M318" s="161" t="s">
        <v>19202</v>
      </c>
    </row>
    <row r="319" spans="9:13" x14ac:dyDescent="0.25">
      <c r="I319" t="s">
        <v>2124</v>
      </c>
      <c r="J319" s="161" t="s">
        <v>19202</v>
      </c>
      <c r="K319" t="s">
        <v>19203</v>
      </c>
      <c r="L319" t="s">
        <v>2123</v>
      </c>
      <c r="M319" s="161" t="s">
        <v>19202</v>
      </c>
    </row>
    <row r="320" spans="9:13" x14ac:dyDescent="0.25">
      <c r="I320" t="s">
        <v>18024</v>
      </c>
      <c r="J320" s="161" t="s">
        <v>19202</v>
      </c>
      <c r="K320" t="s">
        <v>19203</v>
      </c>
      <c r="L320" t="s">
        <v>18023</v>
      </c>
      <c r="M320" s="161" t="s">
        <v>19202</v>
      </c>
    </row>
    <row r="321" spans="9:13" x14ac:dyDescent="0.25">
      <c r="I321" t="s">
        <v>1379</v>
      </c>
      <c r="J321" s="161" t="s">
        <v>19202</v>
      </c>
      <c r="K321" t="s">
        <v>19203</v>
      </c>
      <c r="L321" t="s">
        <v>1378</v>
      </c>
      <c r="M321" s="161" t="s">
        <v>19202</v>
      </c>
    </row>
    <row r="322" spans="9:13" x14ac:dyDescent="0.25">
      <c r="I322" t="s">
        <v>17786</v>
      </c>
      <c r="J322" s="161" t="s">
        <v>19202</v>
      </c>
      <c r="K322" t="s">
        <v>19203</v>
      </c>
      <c r="L322" t="s">
        <v>17785</v>
      </c>
      <c r="M322" s="161" t="s">
        <v>19202</v>
      </c>
    </row>
    <row r="323" spans="9:13" x14ac:dyDescent="0.25">
      <c r="I323" t="s">
        <v>13553</v>
      </c>
      <c r="J323" s="161" t="s">
        <v>19202</v>
      </c>
      <c r="K323" t="s">
        <v>19203</v>
      </c>
      <c r="L323" t="s">
        <v>13552</v>
      </c>
      <c r="M323" s="161" t="s">
        <v>19202</v>
      </c>
    </row>
    <row r="324" spans="9:13" x14ac:dyDescent="0.25">
      <c r="I324" t="s">
        <v>1213</v>
      </c>
      <c r="J324" s="161" t="s">
        <v>19202</v>
      </c>
      <c r="K324" t="s">
        <v>19203</v>
      </c>
      <c r="L324" t="s">
        <v>1212</v>
      </c>
      <c r="M324" s="161" t="s">
        <v>19202</v>
      </c>
    </row>
    <row r="325" spans="9:13" x14ac:dyDescent="0.25">
      <c r="I325" t="s">
        <v>1364</v>
      </c>
      <c r="J325" s="161" t="s">
        <v>19202</v>
      </c>
      <c r="K325" t="s">
        <v>19203</v>
      </c>
      <c r="L325" t="s">
        <v>1363</v>
      </c>
      <c r="M325" s="161" t="s">
        <v>19202</v>
      </c>
    </row>
    <row r="326" spans="9:13" x14ac:dyDescent="0.25">
      <c r="I326" t="s">
        <v>1957</v>
      </c>
      <c r="J326" s="161" t="s">
        <v>19202</v>
      </c>
      <c r="K326" t="s">
        <v>19203</v>
      </c>
      <c r="L326" t="s">
        <v>1956</v>
      </c>
      <c r="M326" s="161" t="s">
        <v>19202</v>
      </c>
    </row>
    <row r="327" spans="9:13" x14ac:dyDescent="0.25">
      <c r="I327" t="s">
        <v>19323</v>
      </c>
      <c r="J327" s="161" t="s">
        <v>19202</v>
      </c>
      <c r="K327" t="s">
        <v>19203</v>
      </c>
      <c r="L327" t="s">
        <v>19324</v>
      </c>
      <c r="M327" s="161" t="s">
        <v>19202</v>
      </c>
    </row>
    <row r="328" spans="9:13" x14ac:dyDescent="0.25">
      <c r="I328" t="s">
        <v>2959</v>
      </c>
      <c r="J328" s="161" t="s">
        <v>19202</v>
      </c>
      <c r="K328" t="s">
        <v>19203</v>
      </c>
      <c r="L328" t="s">
        <v>2958</v>
      </c>
      <c r="M328" s="161" t="s">
        <v>19202</v>
      </c>
    </row>
    <row r="329" spans="9:13" x14ac:dyDescent="0.25">
      <c r="I329" t="s">
        <v>17351</v>
      </c>
      <c r="J329" s="161" t="s">
        <v>19202</v>
      </c>
      <c r="K329" t="s">
        <v>19203</v>
      </c>
      <c r="L329" t="s">
        <v>17350</v>
      </c>
      <c r="M329" s="161" t="s">
        <v>19202</v>
      </c>
    </row>
    <row r="330" spans="9:13" x14ac:dyDescent="0.25">
      <c r="I330" t="s">
        <v>4202</v>
      </c>
      <c r="J330" s="161" t="s">
        <v>19202</v>
      </c>
      <c r="K330" t="s">
        <v>19203</v>
      </c>
      <c r="L330" t="s">
        <v>4201</v>
      </c>
      <c r="M330" s="161" t="s">
        <v>19202</v>
      </c>
    </row>
    <row r="331" spans="9:13" x14ac:dyDescent="0.25">
      <c r="I331" t="s">
        <v>17972</v>
      </c>
      <c r="J331" s="161" t="s">
        <v>19202</v>
      </c>
      <c r="K331" t="s">
        <v>19203</v>
      </c>
      <c r="L331" t="s">
        <v>16040</v>
      </c>
      <c r="M331" s="161" t="s">
        <v>19202</v>
      </c>
    </row>
    <row r="332" spans="9:13" x14ac:dyDescent="0.25">
      <c r="I332" t="s">
        <v>19325</v>
      </c>
      <c r="J332" s="161" t="s">
        <v>19202</v>
      </c>
      <c r="K332" t="s">
        <v>19203</v>
      </c>
      <c r="L332" t="s">
        <v>19326</v>
      </c>
      <c r="M332" s="161" t="s">
        <v>19202</v>
      </c>
    </row>
    <row r="333" spans="9:13" x14ac:dyDescent="0.25">
      <c r="I333" t="s">
        <v>1355</v>
      </c>
      <c r="J333" s="161" t="s">
        <v>19202</v>
      </c>
      <c r="K333" t="s">
        <v>19203</v>
      </c>
      <c r="L333" t="s">
        <v>1354</v>
      </c>
      <c r="M333" s="161" t="s">
        <v>19202</v>
      </c>
    </row>
    <row r="334" spans="9:13" x14ac:dyDescent="0.25">
      <c r="I334" t="s">
        <v>12108</v>
      </c>
      <c r="J334" s="161" t="s">
        <v>19202</v>
      </c>
      <c r="K334" t="s">
        <v>19203</v>
      </c>
      <c r="L334" t="s">
        <v>12107</v>
      </c>
      <c r="M334" s="161" t="s">
        <v>19202</v>
      </c>
    </row>
    <row r="335" spans="9:13" x14ac:dyDescent="0.25">
      <c r="I335" t="s">
        <v>3099</v>
      </c>
      <c r="J335" s="161" t="s">
        <v>19202</v>
      </c>
      <c r="K335" t="s">
        <v>19203</v>
      </c>
      <c r="L335" t="s">
        <v>3098</v>
      </c>
      <c r="M335" s="161" t="s">
        <v>19202</v>
      </c>
    </row>
    <row r="336" spans="9:13" x14ac:dyDescent="0.25">
      <c r="I336" t="s">
        <v>2077</v>
      </c>
      <c r="J336" s="161" t="s">
        <v>19202</v>
      </c>
      <c r="K336" t="s">
        <v>19203</v>
      </c>
      <c r="L336" t="s">
        <v>2076</v>
      </c>
      <c r="M336" s="161" t="s">
        <v>19202</v>
      </c>
    </row>
    <row r="337" spans="9:13" x14ac:dyDescent="0.25">
      <c r="I337" t="s">
        <v>3775</v>
      </c>
      <c r="J337" s="161" t="s">
        <v>19202</v>
      </c>
      <c r="K337" t="s">
        <v>19203</v>
      </c>
      <c r="L337" t="s">
        <v>3774</v>
      </c>
      <c r="M337" s="161" t="s">
        <v>19202</v>
      </c>
    </row>
    <row r="338" spans="9:13" x14ac:dyDescent="0.25">
      <c r="I338" t="s">
        <v>1292</v>
      </c>
      <c r="J338" s="161" t="s">
        <v>19202</v>
      </c>
      <c r="K338" t="s">
        <v>19203</v>
      </c>
      <c r="L338" t="s">
        <v>1291</v>
      </c>
      <c r="M338" s="161" t="s">
        <v>19202</v>
      </c>
    </row>
    <row r="339" spans="9:13" x14ac:dyDescent="0.25">
      <c r="I339" t="s">
        <v>18048</v>
      </c>
      <c r="J339" s="161" t="s">
        <v>19202</v>
      </c>
      <c r="K339" t="s">
        <v>19203</v>
      </c>
      <c r="L339" t="s">
        <v>3704</v>
      </c>
      <c r="M339" s="161" t="s">
        <v>19202</v>
      </c>
    </row>
    <row r="340" spans="9:13" x14ac:dyDescent="0.25">
      <c r="I340" t="s">
        <v>7113</v>
      </c>
      <c r="J340" s="161" t="s">
        <v>19202</v>
      </c>
      <c r="K340" t="s">
        <v>19203</v>
      </c>
      <c r="L340" t="s">
        <v>7112</v>
      </c>
      <c r="M340" s="161" t="s">
        <v>19202</v>
      </c>
    </row>
    <row r="341" spans="9:13" x14ac:dyDescent="0.25">
      <c r="I341" t="s">
        <v>6732</v>
      </c>
      <c r="J341" s="161" t="s">
        <v>19202</v>
      </c>
      <c r="K341" t="s">
        <v>19203</v>
      </c>
      <c r="L341" t="s">
        <v>6731</v>
      </c>
      <c r="M341" s="161" t="s">
        <v>19202</v>
      </c>
    </row>
    <row r="342" spans="9:13" x14ac:dyDescent="0.25">
      <c r="I342" t="s">
        <v>17850</v>
      </c>
      <c r="J342" s="161" t="s">
        <v>19202</v>
      </c>
      <c r="K342" t="s">
        <v>19203</v>
      </c>
      <c r="L342" t="s">
        <v>17849</v>
      </c>
      <c r="M342" s="161" t="s">
        <v>19202</v>
      </c>
    </row>
    <row r="343" spans="9:13" x14ac:dyDescent="0.25">
      <c r="I343" t="s">
        <v>1223</v>
      </c>
      <c r="J343" s="161" t="s">
        <v>19202</v>
      </c>
      <c r="K343" t="s">
        <v>19203</v>
      </c>
      <c r="L343" t="s">
        <v>1222</v>
      </c>
      <c r="M343" s="161" t="s">
        <v>19202</v>
      </c>
    </row>
    <row r="344" spans="9:13" x14ac:dyDescent="0.25">
      <c r="I344" t="s">
        <v>7680</v>
      </c>
      <c r="J344" s="161" t="s">
        <v>19202</v>
      </c>
      <c r="K344" t="s">
        <v>19203</v>
      </c>
      <c r="L344" t="s">
        <v>7679</v>
      </c>
      <c r="M344" s="161" t="s">
        <v>19202</v>
      </c>
    </row>
    <row r="345" spans="9:13" x14ac:dyDescent="0.25">
      <c r="I345" t="s">
        <v>17466</v>
      </c>
      <c r="J345" s="161" t="s">
        <v>19202</v>
      </c>
      <c r="K345" t="s">
        <v>19203</v>
      </c>
      <c r="L345" t="s">
        <v>17465</v>
      </c>
      <c r="M345" s="161" t="s">
        <v>19202</v>
      </c>
    </row>
    <row r="346" spans="9:13" x14ac:dyDescent="0.25">
      <c r="I346" t="s">
        <v>3678</v>
      </c>
      <c r="J346" s="161" t="s">
        <v>19202</v>
      </c>
      <c r="K346" t="s">
        <v>19203</v>
      </c>
      <c r="L346" t="s">
        <v>3677</v>
      </c>
      <c r="M346" s="161" t="s">
        <v>19202</v>
      </c>
    </row>
    <row r="347" spans="9:13" x14ac:dyDescent="0.25">
      <c r="I347" t="s">
        <v>17359</v>
      </c>
      <c r="J347" s="161" t="s">
        <v>19202</v>
      </c>
      <c r="K347" t="s">
        <v>19203</v>
      </c>
      <c r="L347" t="s">
        <v>17358</v>
      </c>
      <c r="M347" s="161" t="s">
        <v>19202</v>
      </c>
    </row>
    <row r="348" spans="9:13" x14ac:dyDescent="0.25">
      <c r="I348" t="s">
        <v>1199</v>
      </c>
      <c r="J348" s="161" t="s">
        <v>19202</v>
      </c>
      <c r="K348" t="s">
        <v>19203</v>
      </c>
      <c r="L348" t="s">
        <v>1198</v>
      </c>
      <c r="M348" s="161" t="s">
        <v>19202</v>
      </c>
    </row>
    <row r="349" spans="9:13" x14ac:dyDescent="0.25">
      <c r="I349" t="s">
        <v>12247</v>
      </c>
      <c r="J349" s="161" t="s">
        <v>19202</v>
      </c>
      <c r="K349" t="s">
        <v>19203</v>
      </c>
      <c r="L349" t="s">
        <v>12246</v>
      </c>
      <c r="M349" s="161" t="s">
        <v>19202</v>
      </c>
    </row>
    <row r="350" spans="9:13" x14ac:dyDescent="0.25">
      <c r="I350" t="s">
        <v>19327</v>
      </c>
      <c r="J350" s="161" t="s">
        <v>19202</v>
      </c>
      <c r="K350" t="s">
        <v>19203</v>
      </c>
      <c r="L350" t="s">
        <v>3544</v>
      </c>
      <c r="M350" s="161" t="s">
        <v>19202</v>
      </c>
    </row>
    <row r="351" spans="9:13" x14ac:dyDescent="0.25">
      <c r="I351" t="s">
        <v>1489</v>
      </c>
      <c r="J351" s="161" t="s">
        <v>19202</v>
      </c>
      <c r="K351" t="s">
        <v>19203</v>
      </c>
      <c r="L351" t="s">
        <v>941</v>
      </c>
      <c r="M351" s="161" t="s">
        <v>19202</v>
      </c>
    </row>
    <row r="352" spans="9:13" x14ac:dyDescent="0.25">
      <c r="I352" t="s">
        <v>1864</v>
      </c>
      <c r="J352" s="161" t="s">
        <v>19202</v>
      </c>
      <c r="K352" t="s">
        <v>19203</v>
      </c>
      <c r="L352" t="s">
        <v>1863</v>
      </c>
      <c r="M352" s="161" t="s">
        <v>19202</v>
      </c>
    </row>
    <row r="353" spans="9:13" x14ac:dyDescent="0.25">
      <c r="I353" t="s">
        <v>5322</v>
      </c>
      <c r="J353" s="161" t="s">
        <v>19202</v>
      </c>
      <c r="K353" t="s">
        <v>19203</v>
      </c>
      <c r="L353" t="s">
        <v>5321</v>
      </c>
      <c r="M353" s="161" t="s">
        <v>19202</v>
      </c>
    </row>
    <row r="354" spans="9:13" x14ac:dyDescent="0.25">
      <c r="I354" t="s">
        <v>17731</v>
      </c>
      <c r="J354" s="161" t="s">
        <v>19202</v>
      </c>
      <c r="K354" t="s">
        <v>19203</v>
      </c>
      <c r="L354" t="s">
        <v>6819</v>
      </c>
      <c r="M354" s="161" t="s">
        <v>19202</v>
      </c>
    </row>
    <row r="355" spans="9:13" x14ac:dyDescent="0.25">
      <c r="I355" t="s">
        <v>1892</v>
      </c>
      <c r="J355" s="161" t="s">
        <v>19202</v>
      </c>
      <c r="K355" t="s">
        <v>19203</v>
      </c>
      <c r="L355" t="s">
        <v>1891</v>
      </c>
      <c r="M355" s="161" t="s">
        <v>19202</v>
      </c>
    </row>
    <row r="356" spans="9:13" x14ac:dyDescent="0.25">
      <c r="I356" t="s">
        <v>17599</v>
      </c>
      <c r="J356" s="161" t="s">
        <v>19202</v>
      </c>
      <c r="K356" t="s">
        <v>19203</v>
      </c>
      <c r="L356" t="s">
        <v>17598</v>
      </c>
      <c r="M356" s="161" t="s">
        <v>19202</v>
      </c>
    </row>
    <row r="357" spans="9:13" x14ac:dyDescent="0.25">
      <c r="I357" t="s">
        <v>1985</v>
      </c>
      <c r="J357" s="161" t="s">
        <v>19202</v>
      </c>
      <c r="K357" t="s">
        <v>19203</v>
      </c>
      <c r="L357" t="s">
        <v>1984</v>
      </c>
      <c r="M357" s="161" t="s">
        <v>19202</v>
      </c>
    </row>
    <row r="358" spans="9:13" x14ac:dyDescent="0.25">
      <c r="I358" t="s">
        <v>13173</v>
      </c>
      <c r="J358" s="161" t="s">
        <v>19202</v>
      </c>
      <c r="K358" t="s">
        <v>19203</v>
      </c>
      <c r="L358" t="s">
        <v>13172</v>
      </c>
      <c r="M358" s="161" t="s">
        <v>19202</v>
      </c>
    </row>
    <row r="359" spans="9:13" x14ac:dyDescent="0.25">
      <c r="I359" t="s">
        <v>11307</v>
      </c>
      <c r="J359" s="161" t="s">
        <v>19202</v>
      </c>
      <c r="K359" t="s">
        <v>19203</v>
      </c>
      <c r="L359" t="s">
        <v>11306</v>
      </c>
      <c r="M359" s="161" t="s">
        <v>19202</v>
      </c>
    </row>
    <row r="360" spans="9:13" x14ac:dyDescent="0.25">
      <c r="I360" t="s">
        <v>1126</v>
      </c>
      <c r="J360" s="161" t="s">
        <v>19202</v>
      </c>
      <c r="K360" t="s">
        <v>19203</v>
      </c>
      <c r="L360" t="s">
        <v>1125</v>
      </c>
      <c r="M360" s="161" t="s">
        <v>19202</v>
      </c>
    </row>
    <row r="361" spans="9:13" x14ac:dyDescent="0.25">
      <c r="I361" t="s">
        <v>17374</v>
      </c>
      <c r="J361" s="161" t="s">
        <v>19202</v>
      </c>
      <c r="K361" t="s">
        <v>19203</v>
      </c>
      <c r="L361" t="s">
        <v>17373</v>
      </c>
      <c r="M361" s="161" t="s">
        <v>19202</v>
      </c>
    </row>
    <row r="362" spans="9:13" x14ac:dyDescent="0.25">
      <c r="I362" t="s">
        <v>15377</v>
      </c>
      <c r="J362" s="161" t="s">
        <v>19202</v>
      </c>
      <c r="K362" t="s">
        <v>19203</v>
      </c>
      <c r="L362" t="s">
        <v>15376</v>
      </c>
      <c r="M362" s="161" t="s">
        <v>19202</v>
      </c>
    </row>
    <row r="363" spans="9:13" x14ac:dyDescent="0.25">
      <c r="I363" t="s">
        <v>17967</v>
      </c>
      <c r="J363" s="161" t="s">
        <v>19202</v>
      </c>
      <c r="K363" t="s">
        <v>19203</v>
      </c>
      <c r="L363" t="s">
        <v>17966</v>
      </c>
      <c r="M363" s="161" t="s">
        <v>19202</v>
      </c>
    </row>
    <row r="364" spans="9:13" x14ac:dyDescent="0.25">
      <c r="I364" t="s">
        <v>2039</v>
      </c>
      <c r="J364" s="161" t="s">
        <v>19202</v>
      </c>
      <c r="K364" t="s">
        <v>19203</v>
      </c>
      <c r="L364" t="s">
        <v>228</v>
      </c>
      <c r="M364" s="161" t="s">
        <v>19202</v>
      </c>
    </row>
    <row r="365" spans="9:13" x14ac:dyDescent="0.25">
      <c r="I365" t="s">
        <v>9006</v>
      </c>
      <c r="J365" s="161" t="s">
        <v>19202</v>
      </c>
      <c r="K365" t="s">
        <v>19203</v>
      </c>
      <c r="L365" t="s">
        <v>9005</v>
      </c>
      <c r="M365" s="161" t="s">
        <v>19202</v>
      </c>
    </row>
    <row r="366" spans="9:13" x14ac:dyDescent="0.25">
      <c r="I366" t="s">
        <v>6907</v>
      </c>
      <c r="J366" s="161" t="s">
        <v>19202</v>
      </c>
      <c r="K366" t="s">
        <v>19203</v>
      </c>
      <c r="L366" t="s">
        <v>6906</v>
      </c>
      <c r="M366" s="161" t="s">
        <v>19202</v>
      </c>
    </row>
    <row r="367" spans="9:13" x14ac:dyDescent="0.25">
      <c r="I367" t="s">
        <v>775</v>
      </c>
      <c r="J367" s="161" t="s">
        <v>19202</v>
      </c>
      <c r="K367" t="s">
        <v>19203</v>
      </c>
      <c r="L367" t="s">
        <v>774</v>
      </c>
      <c r="M367" s="161" t="s">
        <v>19202</v>
      </c>
    </row>
    <row r="368" spans="9:13" x14ac:dyDescent="0.25">
      <c r="I368" t="s">
        <v>1166</v>
      </c>
      <c r="J368" s="161" t="s">
        <v>19202</v>
      </c>
      <c r="K368" t="s">
        <v>19203</v>
      </c>
      <c r="L368" t="s">
        <v>1165</v>
      </c>
      <c r="M368" s="161" t="s">
        <v>19202</v>
      </c>
    </row>
    <row r="369" spans="9:13" x14ac:dyDescent="0.25">
      <c r="I369" t="s">
        <v>1860</v>
      </c>
      <c r="J369" s="161" t="s">
        <v>19202</v>
      </c>
      <c r="K369" t="s">
        <v>19203</v>
      </c>
      <c r="L369" t="s">
        <v>1859</v>
      </c>
      <c r="M369" s="161" t="s">
        <v>19202</v>
      </c>
    </row>
    <row r="370" spans="9:13" x14ac:dyDescent="0.25">
      <c r="I370" t="s">
        <v>8259</v>
      </c>
      <c r="J370" s="161" t="s">
        <v>19202</v>
      </c>
      <c r="K370" t="s">
        <v>19203</v>
      </c>
      <c r="L370" t="s">
        <v>8258</v>
      </c>
      <c r="M370" s="161" t="s">
        <v>19202</v>
      </c>
    </row>
    <row r="371" spans="9:13" x14ac:dyDescent="0.25">
      <c r="I371" t="s">
        <v>17452</v>
      </c>
      <c r="J371" s="161" t="s">
        <v>19202</v>
      </c>
      <c r="K371" t="s">
        <v>19203</v>
      </c>
      <c r="L371" t="s">
        <v>405</v>
      </c>
      <c r="M371" s="161" t="s">
        <v>19202</v>
      </c>
    </row>
    <row r="372" spans="9:13" x14ac:dyDescent="0.25">
      <c r="I372" t="s">
        <v>1649</v>
      </c>
      <c r="J372" s="161" t="s">
        <v>19202</v>
      </c>
      <c r="K372" t="s">
        <v>19203</v>
      </c>
      <c r="L372" t="s">
        <v>1648</v>
      </c>
      <c r="M372" s="161" t="s">
        <v>19202</v>
      </c>
    </row>
    <row r="373" spans="9:13" x14ac:dyDescent="0.25">
      <c r="I373" t="s">
        <v>17583</v>
      </c>
      <c r="J373" s="161" t="s">
        <v>19202</v>
      </c>
      <c r="K373" t="s">
        <v>19203</v>
      </c>
      <c r="L373" t="s">
        <v>17582</v>
      </c>
      <c r="M373" s="161" t="s">
        <v>19202</v>
      </c>
    </row>
    <row r="374" spans="9:13" x14ac:dyDescent="0.25">
      <c r="I374" t="s">
        <v>1159</v>
      </c>
      <c r="J374" s="161" t="s">
        <v>19202</v>
      </c>
      <c r="K374" t="s">
        <v>19203</v>
      </c>
      <c r="L374" t="s">
        <v>1158</v>
      </c>
      <c r="M374" s="161" t="s">
        <v>19202</v>
      </c>
    </row>
    <row r="375" spans="9:13" x14ac:dyDescent="0.25">
      <c r="I375" t="s">
        <v>2681</v>
      </c>
      <c r="J375" s="161" t="s">
        <v>19202</v>
      </c>
      <c r="K375" t="s">
        <v>19203</v>
      </c>
      <c r="L375" t="s">
        <v>824</v>
      </c>
      <c r="M375" s="161" t="s">
        <v>19202</v>
      </c>
    </row>
    <row r="376" spans="9:13" x14ac:dyDescent="0.25">
      <c r="I376" t="s">
        <v>16150</v>
      </c>
      <c r="J376" s="161" t="s">
        <v>19202</v>
      </c>
      <c r="K376" t="s">
        <v>19203</v>
      </c>
      <c r="L376" t="s">
        <v>14945</v>
      </c>
      <c r="M376" s="161" t="s">
        <v>19202</v>
      </c>
    </row>
    <row r="377" spans="9:13" x14ac:dyDescent="0.25">
      <c r="I377" t="s">
        <v>17958</v>
      </c>
      <c r="J377" s="161" t="s">
        <v>19202</v>
      </c>
      <c r="K377" t="s">
        <v>19203</v>
      </c>
      <c r="L377" t="s">
        <v>590</v>
      </c>
      <c r="M377" s="161" t="s">
        <v>19202</v>
      </c>
    </row>
    <row r="378" spans="9:13" x14ac:dyDescent="0.25">
      <c r="I378" t="s">
        <v>16111</v>
      </c>
      <c r="J378" s="161" t="s">
        <v>19202</v>
      </c>
      <c r="K378" t="s">
        <v>19203</v>
      </c>
      <c r="L378" t="s">
        <v>16110</v>
      </c>
      <c r="M378" s="161" t="s">
        <v>19202</v>
      </c>
    </row>
    <row r="379" spans="9:13" x14ac:dyDescent="0.25">
      <c r="I379" t="s">
        <v>17678</v>
      </c>
      <c r="J379" s="161" t="s">
        <v>19202</v>
      </c>
      <c r="K379" t="s">
        <v>19203</v>
      </c>
      <c r="L379" t="s">
        <v>17677</v>
      </c>
      <c r="M379" s="161" t="s">
        <v>19202</v>
      </c>
    </row>
    <row r="380" spans="9:13" x14ac:dyDescent="0.25">
      <c r="I380" t="s">
        <v>14317</v>
      </c>
      <c r="J380" s="161" t="s">
        <v>19202</v>
      </c>
      <c r="K380" t="s">
        <v>19203</v>
      </c>
      <c r="L380" t="s">
        <v>14316</v>
      </c>
      <c r="M380" s="161" t="s">
        <v>19202</v>
      </c>
    </row>
    <row r="381" spans="9:13" x14ac:dyDescent="0.25">
      <c r="I381" t="s">
        <v>14487</v>
      </c>
      <c r="J381" s="161" t="s">
        <v>19202</v>
      </c>
      <c r="K381" t="s">
        <v>19203</v>
      </c>
      <c r="L381" t="s">
        <v>14486</v>
      </c>
      <c r="M381" s="161" t="s">
        <v>19202</v>
      </c>
    </row>
    <row r="382" spans="9:13" x14ac:dyDescent="0.25">
      <c r="I382" t="s">
        <v>1720</v>
      </c>
      <c r="J382" s="161" t="s">
        <v>19202</v>
      </c>
      <c r="K382" t="s">
        <v>19203</v>
      </c>
      <c r="L382" t="s">
        <v>1719</v>
      </c>
      <c r="M382" s="161" t="s">
        <v>19202</v>
      </c>
    </row>
    <row r="383" spans="9:13" x14ac:dyDescent="0.25">
      <c r="I383" t="s">
        <v>1437</v>
      </c>
      <c r="J383" s="161" t="s">
        <v>19202</v>
      </c>
      <c r="K383" t="s">
        <v>19203</v>
      </c>
      <c r="L383" t="s">
        <v>1436</v>
      </c>
      <c r="M383" s="161" t="s">
        <v>19202</v>
      </c>
    </row>
    <row r="384" spans="9:13" x14ac:dyDescent="0.25">
      <c r="I384" t="s">
        <v>15269</v>
      </c>
      <c r="J384" s="161" t="s">
        <v>19202</v>
      </c>
      <c r="K384" t="s">
        <v>19203</v>
      </c>
      <c r="L384" t="s">
        <v>15268</v>
      </c>
      <c r="M384" s="161" t="s">
        <v>19202</v>
      </c>
    </row>
    <row r="385" spans="9:13" x14ac:dyDescent="0.25">
      <c r="I385" t="s">
        <v>7938</v>
      </c>
      <c r="J385" s="161" t="s">
        <v>19202</v>
      </c>
      <c r="K385" t="s">
        <v>19203</v>
      </c>
      <c r="L385" t="s">
        <v>7937</v>
      </c>
      <c r="M385" s="161" t="s">
        <v>19202</v>
      </c>
    </row>
    <row r="386" spans="9:13" x14ac:dyDescent="0.25">
      <c r="I386" t="s">
        <v>9953</v>
      </c>
      <c r="J386" s="161" t="s">
        <v>19202</v>
      </c>
      <c r="K386" t="s">
        <v>19203</v>
      </c>
      <c r="L386" t="s">
        <v>9952</v>
      </c>
      <c r="M386" s="161" t="s">
        <v>19202</v>
      </c>
    </row>
    <row r="387" spans="9:13" x14ac:dyDescent="0.25">
      <c r="I387" t="s">
        <v>2122</v>
      </c>
      <c r="J387" s="161" t="s">
        <v>19202</v>
      </c>
      <c r="K387" t="s">
        <v>19203</v>
      </c>
      <c r="L387" t="s">
        <v>2121</v>
      </c>
      <c r="M387" s="161" t="s">
        <v>19202</v>
      </c>
    </row>
    <row r="388" spans="9:13" x14ac:dyDescent="0.25">
      <c r="I388" t="s">
        <v>17951</v>
      </c>
      <c r="J388" s="161" t="s">
        <v>19202</v>
      </c>
      <c r="K388" t="s">
        <v>19203</v>
      </c>
      <c r="L388" t="s">
        <v>17950</v>
      </c>
      <c r="M388" s="161" t="s">
        <v>19202</v>
      </c>
    </row>
    <row r="389" spans="9:13" x14ac:dyDescent="0.25">
      <c r="I389" t="s">
        <v>15222</v>
      </c>
      <c r="J389" s="161" t="s">
        <v>19202</v>
      </c>
      <c r="K389" t="s">
        <v>19203</v>
      </c>
      <c r="L389" t="s">
        <v>1123</v>
      </c>
      <c r="M389" s="161" t="s">
        <v>19202</v>
      </c>
    </row>
    <row r="390" spans="9:13" x14ac:dyDescent="0.25">
      <c r="I390" t="s">
        <v>1485</v>
      </c>
      <c r="J390" s="161" t="s">
        <v>19202</v>
      </c>
      <c r="K390" t="s">
        <v>19203</v>
      </c>
      <c r="L390" t="s">
        <v>1484</v>
      </c>
      <c r="M390" s="161" t="s">
        <v>19202</v>
      </c>
    </row>
    <row r="391" spans="9:13" x14ac:dyDescent="0.25">
      <c r="I391" t="s">
        <v>4484</v>
      </c>
      <c r="J391" s="161" t="s">
        <v>19202</v>
      </c>
      <c r="K391" t="s">
        <v>19203</v>
      </c>
      <c r="L391" t="s">
        <v>4483</v>
      </c>
      <c r="M391" s="161" t="s">
        <v>19202</v>
      </c>
    </row>
    <row r="392" spans="9:13" x14ac:dyDescent="0.25">
      <c r="I392" t="s">
        <v>13276</v>
      </c>
      <c r="J392" s="161" t="s">
        <v>19202</v>
      </c>
      <c r="K392" t="s">
        <v>19203</v>
      </c>
      <c r="L392" t="s">
        <v>13275</v>
      </c>
      <c r="M392" s="161" t="s">
        <v>19202</v>
      </c>
    </row>
    <row r="393" spans="9:13" x14ac:dyDescent="0.25">
      <c r="I393" t="s">
        <v>1739</v>
      </c>
      <c r="J393" s="161" t="s">
        <v>19202</v>
      </c>
      <c r="K393" t="s">
        <v>19203</v>
      </c>
      <c r="L393" t="s">
        <v>1738</v>
      </c>
      <c r="M393" s="161" t="s">
        <v>19202</v>
      </c>
    </row>
    <row r="394" spans="9:13" x14ac:dyDescent="0.25">
      <c r="I394" t="s">
        <v>4458</v>
      </c>
      <c r="J394" s="161" t="s">
        <v>19202</v>
      </c>
      <c r="K394" t="s">
        <v>19203</v>
      </c>
      <c r="L394" t="s">
        <v>4457</v>
      </c>
      <c r="M394" s="161" t="s">
        <v>19202</v>
      </c>
    </row>
    <row r="395" spans="9:13" x14ac:dyDescent="0.25">
      <c r="I395" t="s">
        <v>16285</v>
      </c>
      <c r="J395" s="161" t="s">
        <v>19202</v>
      </c>
      <c r="K395" t="s">
        <v>19203</v>
      </c>
      <c r="L395" t="s">
        <v>550</v>
      </c>
      <c r="M395" s="161" t="s">
        <v>19202</v>
      </c>
    </row>
    <row r="396" spans="9:13" x14ac:dyDescent="0.25">
      <c r="I396" t="s">
        <v>14826</v>
      </c>
      <c r="J396" s="161" t="s">
        <v>19202</v>
      </c>
      <c r="K396" t="s">
        <v>19203</v>
      </c>
      <c r="L396" t="s">
        <v>14825</v>
      </c>
      <c r="M396" s="161" t="s">
        <v>19202</v>
      </c>
    </row>
    <row r="397" spans="9:13" x14ac:dyDescent="0.25">
      <c r="I397" t="s">
        <v>1383</v>
      </c>
      <c r="J397" s="161" t="s">
        <v>19202</v>
      </c>
      <c r="K397" t="s">
        <v>19203</v>
      </c>
      <c r="L397" t="s">
        <v>1382</v>
      </c>
      <c r="M397" s="161" t="s">
        <v>19202</v>
      </c>
    </row>
    <row r="398" spans="9:13" x14ac:dyDescent="0.25">
      <c r="I398" t="s">
        <v>1109</v>
      </c>
      <c r="J398" s="161" t="s">
        <v>19202</v>
      </c>
      <c r="K398" t="s">
        <v>19203</v>
      </c>
      <c r="L398" t="s">
        <v>1108</v>
      </c>
      <c r="M398" s="161" t="s">
        <v>19202</v>
      </c>
    </row>
    <row r="399" spans="9:13" x14ac:dyDescent="0.25">
      <c r="I399" t="s">
        <v>17470</v>
      </c>
      <c r="J399" s="161" t="s">
        <v>19202</v>
      </c>
      <c r="K399" t="s">
        <v>19203</v>
      </c>
      <c r="L399" t="s">
        <v>17469</v>
      </c>
      <c r="M399" s="161" t="s">
        <v>19202</v>
      </c>
    </row>
    <row r="400" spans="9:13" x14ac:dyDescent="0.25">
      <c r="I400" t="s">
        <v>8674</v>
      </c>
      <c r="J400" s="161" t="s">
        <v>19202</v>
      </c>
      <c r="K400" t="s">
        <v>19203</v>
      </c>
      <c r="L400" t="s">
        <v>8673</v>
      </c>
      <c r="M400" s="161" t="s">
        <v>19202</v>
      </c>
    </row>
    <row r="401" spans="9:13" x14ac:dyDescent="0.25">
      <c r="I401" t="s">
        <v>12792</v>
      </c>
      <c r="J401" s="161" t="s">
        <v>19202</v>
      </c>
      <c r="K401" t="s">
        <v>19203</v>
      </c>
      <c r="L401" t="s">
        <v>12791</v>
      </c>
      <c r="M401" s="161" t="s">
        <v>19202</v>
      </c>
    </row>
    <row r="402" spans="9:13" x14ac:dyDescent="0.25">
      <c r="I402" t="s">
        <v>8138</v>
      </c>
      <c r="J402" s="161" t="s">
        <v>19202</v>
      </c>
      <c r="K402" t="s">
        <v>19203</v>
      </c>
      <c r="L402" t="s">
        <v>8137</v>
      </c>
      <c r="M402" s="161" t="s">
        <v>19202</v>
      </c>
    </row>
    <row r="403" spans="9:13" x14ac:dyDescent="0.25">
      <c r="I403" t="s">
        <v>15640</v>
      </c>
      <c r="J403" s="161" t="s">
        <v>19202</v>
      </c>
      <c r="K403" t="s">
        <v>19203</v>
      </c>
      <c r="L403" t="s">
        <v>15639</v>
      </c>
      <c r="M403" s="161" t="s">
        <v>19202</v>
      </c>
    </row>
    <row r="404" spans="9:13" x14ac:dyDescent="0.25">
      <c r="I404" t="s">
        <v>4950</v>
      </c>
      <c r="J404" s="161" t="s">
        <v>19202</v>
      </c>
      <c r="K404" t="s">
        <v>19203</v>
      </c>
      <c r="L404" t="s">
        <v>4949</v>
      </c>
      <c r="M404" s="161" t="s">
        <v>19202</v>
      </c>
    </row>
    <row r="405" spans="9:13" x14ac:dyDescent="0.25">
      <c r="I405" t="s">
        <v>1553</v>
      </c>
      <c r="J405" s="161" t="s">
        <v>19202</v>
      </c>
      <c r="K405" t="s">
        <v>19203</v>
      </c>
      <c r="L405" t="s">
        <v>1552</v>
      </c>
      <c r="M405" s="161" t="s">
        <v>19202</v>
      </c>
    </row>
    <row r="406" spans="9:13" x14ac:dyDescent="0.25">
      <c r="I406" t="s">
        <v>14144</v>
      </c>
      <c r="J406" s="161" t="s">
        <v>19202</v>
      </c>
      <c r="K406" t="s">
        <v>19203</v>
      </c>
      <c r="L406" t="s">
        <v>14143</v>
      </c>
      <c r="M406" s="161" t="s">
        <v>19202</v>
      </c>
    </row>
    <row r="407" spans="9:13" x14ac:dyDescent="0.25">
      <c r="I407" t="s">
        <v>4087</v>
      </c>
      <c r="J407" s="161" t="s">
        <v>19202</v>
      </c>
      <c r="K407" t="s">
        <v>19203</v>
      </c>
      <c r="L407" t="s">
        <v>4086</v>
      </c>
      <c r="M407" s="161" t="s">
        <v>19202</v>
      </c>
    </row>
    <row r="408" spans="9:13" x14ac:dyDescent="0.25">
      <c r="I408" t="s">
        <v>17835</v>
      </c>
      <c r="J408" s="161" t="s">
        <v>19202</v>
      </c>
      <c r="K408" t="s">
        <v>19203</v>
      </c>
      <c r="L408" t="s">
        <v>17834</v>
      </c>
      <c r="M408" s="161" t="s">
        <v>19202</v>
      </c>
    </row>
    <row r="409" spans="9:13" x14ac:dyDescent="0.25">
      <c r="I409" t="s">
        <v>1311</v>
      </c>
      <c r="J409" s="161" t="s">
        <v>19202</v>
      </c>
      <c r="K409" t="s">
        <v>19203</v>
      </c>
      <c r="L409" t="s">
        <v>1310</v>
      </c>
      <c r="M409" s="161" t="s">
        <v>19202</v>
      </c>
    </row>
    <row r="410" spans="9:13" x14ac:dyDescent="0.25">
      <c r="I410" t="s">
        <v>15948</v>
      </c>
      <c r="J410" s="161" t="s">
        <v>19202</v>
      </c>
      <c r="K410" t="s">
        <v>19203</v>
      </c>
      <c r="L410" t="s">
        <v>1409</v>
      </c>
      <c r="M410" s="161" t="s">
        <v>19202</v>
      </c>
    </row>
    <row r="411" spans="9:13" x14ac:dyDescent="0.25">
      <c r="I411" t="s">
        <v>1471</v>
      </c>
      <c r="J411" s="161" t="s">
        <v>19202</v>
      </c>
      <c r="K411" t="s">
        <v>19203</v>
      </c>
      <c r="L411" t="s">
        <v>1470</v>
      </c>
      <c r="M411" s="161" t="s">
        <v>19202</v>
      </c>
    </row>
    <row r="412" spans="9:13" x14ac:dyDescent="0.25">
      <c r="I412" t="s">
        <v>9815</v>
      </c>
      <c r="J412" s="161" t="s">
        <v>19202</v>
      </c>
      <c r="K412" t="s">
        <v>19203</v>
      </c>
      <c r="L412" t="s">
        <v>9814</v>
      </c>
      <c r="M412" s="161" t="s">
        <v>19202</v>
      </c>
    </row>
    <row r="413" spans="9:13" x14ac:dyDescent="0.25">
      <c r="I413" t="s">
        <v>12929</v>
      </c>
      <c r="J413" s="161" t="s">
        <v>19202</v>
      </c>
      <c r="K413" t="s">
        <v>19203</v>
      </c>
      <c r="L413" t="s">
        <v>12928</v>
      </c>
      <c r="M413" s="161" t="s">
        <v>19202</v>
      </c>
    </row>
    <row r="414" spans="9:13" x14ac:dyDescent="0.25">
      <c r="I414" t="s">
        <v>15485</v>
      </c>
      <c r="J414" s="161" t="s">
        <v>19202</v>
      </c>
      <c r="K414" t="s">
        <v>19203</v>
      </c>
      <c r="L414" t="s">
        <v>15484</v>
      </c>
      <c r="M414" s="161" t="s">
        <v>19202</v>
      </c>
    </row>
    <row r="415" spans="9:13" x14ac:dyDescent="0.25">
      <c r="I415" t="s">
        <v>1511</v>
      </c>
      <c r="J415" s="161" t="s">
        <v>19202</v>
      </c>
      <c r="K415" t="s">
        <v>19203</v>
      </c>
      <c r="L415" t="s">
        <v>1510</v>
      </c>
      <c r="M415" s="161" t="s">
        <v>19202</v>
      </c>
    </row>
    <row r="416" spans="9:13" x14ac:dyDescent="0.25">
      <c r="I416" t="s">
        <v>6774</v>
      </c>
      <c r="J416" s="161" t="s">
        <v>19202</v>
      </c>
      <c r="K416" t="s">
        <v>19203</v>
      </c>
      <c r="L416" t="s">
        <v>6773</v>
      </c>
      <c r="M416" s="161" t="s">
        <v>19202</v>
      </c>
    </row>
    <row r="417" spans="9:13" x14ac:dyDescent="0.25">
      <c r="I417" t="s">
        <v>4896</v>
      </c>
      <c r="J417" s="161" t="s">
        <v>19202</v>
      </c>
      <c r="K417" t="s">
        <v>19203</v>
      </c>
      <c r="L417" t="s">
        <v>4895</v>
      </c>
      <c r="M417" s="161" t="s">
        <v>19202</v>
      </c>
    </row>
    <row r="418" spans="9:13" x14ac:dyDescent="0.25">
      <c r="I418" t="s">
        <v>14414</v>
      </c>
      <c r="J418" s="161" t="s">
        <v>19202</v>
      </c>
      <c r="K418" t="s">
        <v>19203</v>
      </c>
      <c r="L418" t="s">
        <v>14413</v>
      </c>
      <c r="M418" s="161" t="s">
        <v>19202</v>
      </c>
    </row>
    <row r="419" spans="9:13" x14ac:dyDescent="0.25">
      <c r="I419" t="s">
        <v>7722</v>
      </c>
      <c r="J419" s="161" t="s">
        <v>19202</v>
      </c>
      <c r="K419" t="s">
        <v>19203</v>
      </c>
      <c r="L419" t="s">
        <v>7721</v>
      </c>
      <c r="M419" s="161" t="s">
        <v>19202</v>
      </c>
    </row>
    <row r="420" spans="9:13" x14ac:dyDescent="0.25">
      <c r="I420" t="s">
        <v>1748</v>
      </c>
      <c r="J420" s="161" t="s">
        <v>19202</v>
      </c>
      <c r="K420" t="s">
        <v>19203</v>
      </c>
      <c r="L420" t="s">
        <v>1747</v>
      </c>
      <c r="M420" s="161" t="s">
        <v>19202</v>
      </c>
    </row>
    <row r="421" spans="9:13" x14ac:dyDescent="0.25">
      <c r="I421" t="s">
        <v>8742</v>
      </c>
      <c r="J421" s="161" t="s">
        <v>19202</v>
      </c>
      <c r="K421" t="s">
        <v>19203</v>
      </c>
      <c r="L421" t="s">
        <v>8741</v>
      </c>
      <c r="M421" s="161" t="s">
        <v>19202</v>
      </c>
    </row>
    <row r="422" spans="9:13" x14ac:dyDescent="0.25">
      <c r="I422" t="s">
        <v>17556</v>
      </c>
      <c r="J422" s="161" t="s">
        <v>19202</v>
      </c>
      <c r="K422" t="s">
        <v>19203</v>
      </c>
      <c r="L422" t="s">
        <v>17555</v>
      </c>
      <c r="M422" s="161" t="s">
        <v>19202</v>
      </c>
    </row>
    <row r="423" spans="9:13" x14ac:dyDescent="0.25">
      <c r="I423" t="s">
        <v>1452</v>
      </c>
      <c r="J423" s="161" t="s">
        <v>19202</v>
      </c>
      <c r="K423" t="s">
        <v>19203</v>
      </c>
      <c r="L423" t="s">
        <v>1451</v>
      </c>
      <c r="M423" s="161" t="s">
        <v>19202</v>
      </c>
    </row>
    <row r="424" spans="9:13" x14ac:dyDescent="0.25">
      <c r="I424" t="s">
        <v>15181</v>
      </c>
      <c r="J424" s="161" t="s">
        <v>19202</v>
      </c>
      <c r="K424" t="s">
        <v>19203</v>
      </c>
      <c r="L424" t="s">
        <v>15180</v>
      </c>
      <c r="M424" s="161" t="s">
        <v>19202</v>
      </c>
    </row>
    <row r="425" spans="9:13" x14ac:dyDescent="0.25">
      <c r="I425" t="s">
        <v>1854</v>
      </c>
      <c r="J425" s="161" t="s">
        <v>19202</v>
      </c>
      <c r="K425" t="s">
        <v>19203</v>
      </c>
      <c r="L425" t="s">
        <v>1853</v>
      </c>
      <c r="M425" s="161" t="s">
        <v>19202</v>
      </c>
    </row>
    <row r="426" spans="9:13" x14ac:dyDescent="0.25">
      <c r="I426" t="s">
        <v>17477</v>
      </c>
      <c r="J426" s="161" t="s">
        <v>19202</v>
      </c>
      <c r="K426" t="s">
        <v>19203</v>
      </c>
      <c r="L426" t="s">
        <v>17476</v>
      </c>
      <c r="M426" s="161" t="s">
        <v>19202</v>
      </c>
    </row>
    <row r="427" spans="9:13" x14ac:dyDescent="0.25">
      <c r="I427" t="s">
        <v>17415</v>
      </c>
      <c r="J427" s="161" t="s">
        <v>19202</v>
      </c>
      <c r="K427" t="s">
        <v>19203</v>
      </c>
      <c r="L427" t="s">
        <v>17414</v>
      </c>
      <c r="M427" s="161" t="s">
        <v>19202</v>
      </c>
    </row>
    <row r="428" spans="9:13" x14ac:dyDescent="0.25">
      <c r="I428" t="s">
        <v>15017</v>
      </c>
      <c r="J428" s="161" t="s">
        <v>19202</v>
      </c>
      <c r="K428" t="s">
        <v>19203</v>
      </c>
      <c r="L428" t="s">
        <v>15016</v>
      </c>
      <c r="M428" s="161" t="s">
        <v>19202</v>
      </c>
    </row>
    <row r="429" spans="9:13" x14ac:dyDescent="0.25">
      <c r="I429" t="s">
        <v>15741</v>
      </c>
      <c r="J429" s="161" t="s">
        <v>19202</v>
      </c>
      <c r="K429" t="s">
        <v>19203</v>
      </c>
      <c r="L429" t="s">
        <v>15740</v>
      </c>
      <c r="M429" s="161" t="s">
        <v>19202</v>
      </c>
    </row>
    <row r="430" spans="9:13" x14ac:dyDescent="0.25">
      <c r="I430" t="s">
        <v>4706</v>
      </c>
      <c r="J430" s="161" t="s">
        <v>19202</v>
      </c>
      <c r="K430" t="s">
        <v>19203</v>
      </c>
      <c r="L430" t="s">
        <v>4705</v>
      </c>
      <c r="M430" s="161" t="s">
        <v>19202</v>
      </c>
    </row>
    <row r="431" spans="9:13" x14ac:dyDescent="0.25">
      <c r="I431" t="s">
        <v>15104</v>
      </c>
      <c r="J431" s="161" t="s">
        <v>19202</v>
      </c>
      <c r="K431" t="s">
        <v>19203</v>
      </c>
      <c r="L431" t="s">
        <v>15103</v>
      </c>
      <c r="M431" s="161" t="s">
        <v>19202</v>
      </c>
    </row>
    <row r="432" spans="9:13" x14ac:dyDescent="0.25">
      <c r="I432" t="s">
        <v>2044</v>
      </c>
      <c r="J432" s="161" t="s">
        <v>19202</v>
      </c>
      <c r="K432" t="s">
        <v>19203</v>
      </c>
      <c r="L432" t="s">
        <v>2043</v>
      </c>
      <c r="M432" s="161" t="s">
        <v>19202</v>
      </c>
    </row>
    <row r="433" spans="9:13" x14ac:dyDescent="0.25">
      <c r="I433" t="s">
        <v>12745</v>
      </c>
      <c r="J433" s="161" t="s">
        <v>19202</v>
      </c>
      <c r="K433" t="s">
        <v>19203</v>
      </c>
      <c r="L433" t="s">
        <v>12744</v>
      </c>
      <c r="M433" s="161" t="s">
        <v>19202</v>
      </c>
    </row>
    <row r="434" spans="9:13" x14ac:dyDescent="0.25">
      <c r="I434" t="s">
        <v>19328</v>
      </c>
      <c r="J434" s="161" t="s">
        <v>19202</v>
      </c>
      <c r="K434" t="s">
        <v>19203</v>
      </c>
      <c r="L434" t="s">
        <v>13681</v>
      </c>
      <c r="M434" s="161" t="s">
        <v>19202</v>
      </c>
    </row>
    <row r="435" spans="9:13" x14ac:dyDescent="0.25">
      <c r="I435" t="s">
        <v>1822</v>
      </c>
      <c r="J435" s="161" t="s">
        <v>19202</v>
      </c>
      <c r="K435" t="s">
        <v>19203</v>
      </c>
      <c r="L435" t="s">
        <v>1821</v>
      </c>
      <c r="M435" s="161" t="s">
        <v>19202</v>
      </c>
    </row>
    <row r="436" spans="9:13" x14ac:dyDescent="0.25">
      <c r="I436" t="s">
        <v>6847</v>
      </c>
      <c r="J436" s="161" t="s">
        <v>19202</v>
      </c>
      <c r="K436" t="s">
        <v>19203</v>
      </c>
      <c r="L436" t="s">
        <v>6846</v>
      </c>
      <c r="M436" s="161" t="s">
        <v>19202</v>
      </c>
    </row>
    <row r="437" spans="9:13" x14ac:dyDescent="0.25">
      <c r="I437" t="s">
        <v>5923</v>
      </c>
      <c r="J437" s="161" t="s">
        <v>19202</v>
      </c>
      <c r="K437" t="s">
        <v>19203</v>
      </c>
      <c r="L437" t="s">
        <v>5922</v>
      </c>
      <c r="M437" s="161" t="s">
        <v>19202</v>
      </c>
    </row>
    <row r="438" spans="9:13" x14ac:dyDescent="0.25">
      <c r="I438" t="s">
        <v>7427</v>
      </c>
      <c r="J438" s="161" t="s">
        <v>19202</v>
      </c>
      <c r="K438" t="s">
        <v>19203</v>
      </c>
      <c r="L438" t="s">
        <v>7426</v>
      </c>
      <c r="M438" s="161" t="s">
        <v>19202</v>
      </c>
    </row>
    <row r="439" spans="9:13" x14ac:dyDescent="0.25">
      <c r="I439" t="s">
        <v>1480</v>
      </c>
      <c r="J439" s="161" t="s">
        <v>19202</v>
      </c>
      <c r="K439" t="s">
        <v>19203</v>
      </c>
      <c r="L439" t="s">
        <v>1479</v>
      </c>
      <c r="M439" s="161" t="s">
        <v>19202</v>
      </c>
    </row>
    <row r="440" spans="9:13" x14ac:dyDescent="0.25">
      <c r="I440" t="s">
        <v>16896</v>
      </c>
      <c r="J440" s="161" t="s">
        <v>19202</v>
      </c>
      <c r="K440" t="s">
        <v>19203</v>
      </c>
      <c r="L440" t="s">
        <v>16895</v>
      </c>
      <c r="M440" s="161" t="s">
        <v>19202</v>
      </c>
    </row>
    <row r="441" spans="9:13" x14ac:dyDescent="0.25">
      <c r="I441" t="s">
        <v>4453</v>
      </c>
      <c r="J441" s="161" t="s">
        <v>19202</v>
      </c>
      <c r="K441" t="s">
        <v>19203</v>
      </c>
      <c r="L441" t="s">
        <v>4452</v>
      </c>
      <c r="M441" s="161" t="s">
        <v>19202</v>
      </c>
    </row>
    <row r="442" spans="9:13" x14ac:dyDescent="0.25">
      <c r="I442" t="s">
        <v>17363</v>
      </c>
      <c r="J442" s="161" t="s">
        <v>19202</v>
      </c>
      <c r="K442" t="s">
        <v>19203</v>
      </c>
      <c r="L442" t="s">
        <v>17362</v>
      </c>
      <c r="M442" s="161" t="s">
        <v>19202</v>
      </c>
    </row>
    <row r="443" spans="9:13" x14ac:dyDescent="0.25">
      <c r="I443" t="s">
        <v>7786</v>
      </c>
      <c r="J443" s="161" t="s">
        <v>19202</v>
      </c>
      <c r="K443" t="s">
        <v>19203</v>
      </c>
      <c r="L443" t="s">
        <v>7785</v>
      </c>
      <c r="M443" s="161" t="s">
        <v>19202</v>
      </c>
    </row>
    <row r="444" spans="9:13" x14ac:dyDescent="0.25">
      <c r="I444" t="s">
        <v>17723</v>
      </c>
      <c r="J444" s="161" t="s">
        <v>19202</v>
      </c>
      <c r="K444" t="s">
        <v>19203</v>
      </c>
      <c r="L444" t="s">
        <v>17722</v>
      </c>
      <c r="M444" s="161" t="s">
        <v>19202</v>
      </c>
    </row>
    <row r="445" spans="9:13" x14ac:dyDescent="0.25">
      <c r="I445" t="s">
        <v>17971</v>
      </c>
      <c r="J445" s="161" t="s">
        <v>19202</v>
      </c>
      <c r="K445" t="s">
        <v>19203</v>
      </c>
      <c r="L445" t="s">
        <v>17970</v>
      </c>
      <c r="M445" s="161" t="s">
        <v>19202</v>
      </c>
    </row>
    <row r="446" spans="9:13" x14ac:dyDescent="0.25">
      <c r="I446" t="s">
        <v>17591</v>
      </c>
      <c r="J446" s="161" t="s">
        <v>19202</v>
      </c>
      <c r="K446" t="s">
        <v>19203</v>
      </c>
      <c r="L446" t="s">
        <v>17590</v>
      </c>
      <c r="M446" s="161" t="s">
        <v>19202</v>
      </c>
    </row>
    <row r="447" spans="9:13" x14ac:dyDescent="0.25">
      <c r="I447" t="s">
        <v>4409</v>
      </c>
      <c r="J447" s="161" t="s">
        <v>19202</v>
      </c>
      <c r="K447" t="s">
        <v>19203</v>
      </c>
      <c r="L447" t="s">
        <v>4408</v>
      </c>
      <c r="M447" s="161" t="s">
        <v>19202</v>
      </c>
    </row>
    <row r="448" spans="9:13" x14ac:dyDescent="0.25">
      <c r="I448" t="s">
        <v>4856</v>
      </c>
      <c r="J448" s="161" t="s">
        <v>19202</v>
      </c>
      <c r="K448" t="s">
        <v>19203</v>
      </c>
      <c r="L448" t="s">
        <v>4855</v>
      </c>
      <c r="M448" s="161" t="s">
        <v>19202</v>
      </c>
    </row>
    <row r="449" spans="9:13" x14ac:dyDescent="0.25">
      <c r="I449" t="s">
        <v>6674</v>
      </c>
      <c r="J449" s="161" t="s">
        <v>19202</v>
      </c>
      <c r="K449" t="s">
        <v>19203</v>
      </c>
      <c r="L449" t="s">
        <v>6673</v>
      </c>
      <c r="M449" s="161" t="s">
        <v>19202</v>
      </c>
    </row>
    <row r="450" spans="9:13" x14ac:dyDescent="0.25">
      <c r="I450" t="s">
        <v>13221</v>
      </c>
      <c r="J450" s="161" t="s">
        <v>19202</v>
      </c>
      <c r="K450" t="s">
        <v>19203</v>
      </c>
      <c r="L450" t="s">
        <v>13220</v>
      </c>
      <c r="M450" s="161" t="s">
        <v>19202</v>
      </c>
    </row>
    <row r="451" spans="9:13" x14ac:dyDescent="0.25">
      <c r="I451" t="s">
        <v>7525</v>
      </c>
      <c r="J451" s="161" t="s">
        <v>19202</v>
      </c>
      <c r="K451" t="s">
        <v>19203</v>
      </c>
      <c r="L451" t="s">
        <v>7524</v>
      </c>
      <c r="M451" s="161" t="s">
        <v>19202</v>
      </c>
    </row>
    <row r="452" spans="9:13" x14ac:dyDescent="0.25">
      <c r="I452" t="s">
        <v>11569</v>
      </c>
      <c r="J452" s="161" t="s">
        <v>19202</v>
      </c>
      <c r="K452" t="s">
        <v>19203</v>
      </c>
      <c r="L452" t="s">
        <v>11568</v>
      </c>
      <c r="M452" s="161" t="s">
        <v>19202</v>
      </c>
    </row>
    <row r="453" spans="9:13" x14ac:dyDescent="0.25">
      <c r="I453" t="s">
        <v>17928</v>
      </c>
      <c r="J453" s="161" t="s">
        <v>19202</v>
      </c>
      <c r="K453" t="s">
        <v>19203</v>
      </c>
      <c r="L453" t="s">
        <v>4255</v>
      </c>
      <c r="M453" s="161" t="s">
        <v>19202</v>
      </c>
    </row>
    <row r="454" spans="9:13" x14ac:dyDescent="0.25">
      <c r="I454" t="s">
        <v>16889</v>
      </c>
      <c r="J454" s="161" t="s">
        <v>19202</v>
      </c>
      <c r="K454" t="s">
        <v>19203</v>
      </c>
      <c r="L454" t="s">
        <v>16888</v>
      </c>
      <c r="M454" s="161" t="s">
        <v>19202</v>
      </c>
    </row>
    <row r="455" spans="9:13" x14ac:dyDescent="0.25">
      <c r="I455" t="s">
        <v>2352</v>
      </c>
      <c r="J455" s="161" t="s">
        <v>19202</v>
      </c>
      <c r="K455" t="s">
        <v>19203</v>
      </c>
      <c r="L455" t="s">
        <v>2351</v>
      </c>
      <c r="M455" s="161" t="s">
        <v>19202</v>
      </c>
    </row>
    <row r="456" spans="9:13" x14ac:dyDescent="0.25">
      <c r="I456" t="s">
        <v>1215</v>
      </c>
      <c r="J456" s="161" t="s">
        <v>19202</v>
      </c>
      <c r="K456" t="s">
        <v>19203</v>
      </c>
      <c r="L456" t="s">
        <v>1214</v>
      </c>
      <c r="M456" s="161" t="s">
        <v>19202</v>
      </c>
    </row>
    <row r="457" spans="9:13" x14ac:dyDescent="0.25">
      <c r="I457" t="s">
        <v>14731</v>
      </c>
      <c r="J457" s="161" t="s">
        <v>19202</v>
      </c>
      <c r="K457" t="s">
        <v>19203</v>
      </c>
      <c r="L457" t="s">
        <v>14730</v>
      </c>
      <c r="M457" s="161" t="s">
        <v>19202</v>
      </c>
    </row>
    <row r="458" spans="9:13" x14ac:dyDescent="0.25">
      <c r="I458" t="s">
        <v>17579</v>
      </c>
      <c r="J458" s="161" t="s">
        <v>19202</v>
      </c>
      <c r="K458" t="s">
        <v>19203</v>
      </c>
      <c r="L458" t="s">
        <v>17578</v>
      </c>
      <c r="M458" s="161" t="s">
        <v>19202</v>
      </c>
    </row>
    <row r="459" spans="9:13" x14ac:dyDescent="0.25">
      <c r="I459" t="s">
        <v>15519</v>
      </c>
      <c r="J459" s="161" t="s">
        <v>19202</v>
      </c>
      <c r="K459" t="s">
        <v>19203</v>
      </c>
      <c r="L459" t="s">
        <v>15518</v>
      </c>
      <c r="M459" s="161" t="s">
        <v>19202</v>
      </c>
    </row>
    <row r="460" spans="9:13" x14ac:dyDescent="0.25">
      <c r="I460" t="s">
        <v>17622</v>
      </c>
      <c r="J460" s="161" t="s">
        <v>19202</v>
      </c>
      <c r="K460" t="s">
        <v>19203</v>
      </c>
      <c r="L460" t="s">
        <v>588</v>
      </c>
      <c r="M460" s="161" t="s">
        <v>19202</v>
      </c>
    </row>
    <row r="461" spans="9:13" x14ac:dyDescent="0.25">
      <c r="I461" t="s">
        <v>17405</v>
      </c>
      <c r="J461" s="161" t="s">
        <v>19202</v>
      </c>
      <c r="K461" t="s">
        <v>19203</v>
      </c>
      <c r="L461" t="s">
        <v>17404</v>
      </c>
      <c r="M461" s="161" t="s">
        <v>19202</v>
      </c>
    </row>
    <row r="462" spans="9:13" x14ac:dyDescent="0.25">
      <c r="I462" t="s">
        <v>12660</v>
      </c>
      <c r="J462" s="161" t="s">
        <v>19202</v>
      </c>
      <c r="K462" t="s">
        <v>19203</v>
      </c>
      <c r="L462" t="s">
        <v>12659</v>
      </c>
      <c r="M462" s="161" t="s">
        <v>19202</v>
      </c>
    </row>
    <row r="463" spans="9:13" x14ac:dyDescent="0.25">
      <c r="I463" t="s">
        <v>250</v>
      </c>
      <c r="J463" s="161" t="s">
        <v>19202</v>
      </c>
      <c r="K463" t="s">
        <v>19203</v>
      </c>
      <c r="L463" t="s">
        <v>249</v>
      </c>
      <c r="M463" s="161" t="s">
        <v>19202</v>
      </c>
    </row>
    <row r="464" spans="9:13" x14ac:dyDescent="0.25">
      <c r="I464" t="s">
        <v>16159</v>
      </c>
      <c r="J464" s="161" t="s">
        <v>19202</v>
      </c>
      <c r="K464" t="s">
        <v>19203</v>
      </c>
      <c r="L464" t="s">
        <v>16158</v>
      </c>
      <c r="M464" s="161" t="s">
        <v>19202</v>
      </c>
    </row>
    <row r="465" spans="9:13" x14ac:dyDescent="0.25">
      <c r="I465" t="s">
        <v>8416</v>
      </c>
      <c r="J465" s="161" t="s">
        <v>19202</v>
      </c>
      <c r="K465" t="s">
        <v>19203</v>
      </c>
      <c r="L465" t="s">
        <v>8415</v>
      </c>
      <c r="M465" s="161" t="s">
        <v>19202</v>
      </c>
    </row>
    <row r="466" spans="9:13" x14ac:dyDescent="0.25">
      <c r="I466" t="s">
        <v>1940</v>
      </c>
      <c r="J466" s="161" t="s">
        <v>19202</v>
      </c>
      <c r="K466" t="s">
        <v>19203</v>
      </c>
      <c r="L466" t="s">
        <v>1939</v>
      </c>
      <c r="M466" s="161" t="s">
        <v>19202</v>
      </c>
    </row>
    <row r="467" spans="9:13" x14ac:dyDescent="0.25">
      <c r="I467" t="s">
        <v>15580</v>
      </c>
      <c r="J467" s="161" t="s">
        <v>19202</v>
      </c>
      <c r="K467" t="s">
        <v>19203</v>
      </c>
      <c r="L467" t="s">
        <v>12697</v>
      </c>
      <c r="M467" s="161" t="s">
        <v>19202</v>
      </c>
    </row>
    <row r="468" spans="9:13" x14ac:dyDescent="0.25">
      <c r="I468" t="s">
        <v>1728</v>
      </c>
      <c r="J468" s="161" t="s">
        <v>19202</v>
      </c>
      <c r="K468" t="s">
        <v>19203</v>
      </c>
      <c r="L468" t="s">
        <v>1727</v>
      </c>
      <c r="M468" s="161" t="s">
        <v>19202</v>
      </c>
    </row>
    <row r="469" spans="9:13" x14ac:dyDescent="0.25">
      <c r="I469" t="s">
        <v>1933</v>
      </c>
      <c r="J469" s="161" t="s">
        <v>19202</v>
      </c>
      <c r="K469" t="s">
        <v>19203</v>
      </c>
      <c r="L469" t="s">
        <v>1932</v>
      </c>
      <c r="M469" s="161" t="s">
        <v>19202</v>
      </c>
    </row>
    <row r="470" spans="9:13" x14ac:dyDescent="0.25">
      <c r="I470" t="s">
        <v>16080</v>
      </c>
      <c r="J470" s="161" t="s">
        <v>19202</v>
      </c>
      <c r="K470" t="s">
        <v>19203</v>
      </c>
      <c r="L470" t="s">
        <v>444</v>
      </c>
      <c r="M470" s="161" t="s">
        <v>19202</v>
      </c>
    </row>
    <row r="471" spans="9:13" x14ac:dyDescent="0.25">
      <c r="I471" t="s">
        <v>589</v>
      </c>
      <c r="J471" s="161" t="s">
        <v>19202</v>
      </c>
      <c r="K471" t="s">
        <v>19203</v>
      </c>
      <c r="L471" t="s">
        <v>588</v>
      </c>
      <c r="M471" s="161" t="s">
        <v>19202</v>
      </c>
    </row>
    <row r="472" spans="9:13" x14ac:dyDescent="0.25">
      <c r="I472" t="s">
        <v>1532</v>
      </c>
      <c r="J472" s="161" t="s">
        <v>19202</v>
      </c>
      <c r="K472" t="s">
        <v>19203</v>
      </c>
      <c r="L472" t="s">
        <v>1531</v>
      </c>
      <c r="M472" s="161" t="s">
        <v>19202</v>
      </c>
    </row>
    <row r="473" spans="9:13" x14ac:dyDescent="0.25">
      <c r="I473" t="s">
        <v>17344</v>
      </c>
      <c r="J473" s="161" t="s">
        <v>19202</v>
      </c>
      <c r="K473" t="s">
        <v>19203</v>
      </c>
      <c r="L473" t="s">
        <v>17343</v>
      </c>
      <c r="M473" s="161" t="s">
        <v>19202</v>
      </c>
    </row>
    <row r="474" spans="9:13" x14ac:dyDescent="0.25">
      <c r="I474" t="s">
        <v>1931</v>
      </c>
      <c r="J474" s="161" t="s">
        <v>19202</v>
      </c>
      <c r="K474" t="s">
        <v>19203</v>
      </c>
      <c r="L474" t="s">
        <v>1930</v>
      </c>
      <c r="M474" s="161" t="s">
        <v>19202</v>
      </c>
    </row>
    <row r="475" spans="9:13" x14ac:dyDescent="0.25">
      <c r="I475" t="s">
        <v>13895</v>
      </c>
      <c r="J475" s="161" t="s">
        <v>19202</v>
      </c>
      <c r="K475" t="s">
        <v>19203</v>
      </c>
      <c r="L475" t="s">
        <v>13894</v>
      </c>
      <c r="M475" s="161" t="s">
        <v>19202</v>
      </c>
    </row>
    <row r="476" spans="9:13" x14ac:dyDescent="0.25">
      <c r="I476" t="s">
        <v>18013</v>
      </c>
      <c r="J476" s="161" t="s">
        <v>19202</v>
      </c>
      <c r="K476" t="s">
        <v>19203</v>
      </c>
      <c r="L476" t="s">
        <v>18012</v>
      </c>
      <c r="M476" s="161" t="s">
        <v>19202</v>
      </c>
    </row>
    <row r="477" spans="9:13" x14ac:dyDescent="0.25">
      <c r="I477" t="s">
        <v>7831</v>
      </c>
      <c r="J477" s="161" t="s">
        <v>19202</v>
      </c>
      <c r="K477" t="s">
        <v>19203</v>
      </c>
      <c r="L477" t="s">
        <v>7830</v>
      </c>
      <c r="M477" s="161" t="s">
        <v>19202</v>
      </c>
    </row>
    <row r="478" spans="9:13" x14ac:dyDescent="0.25">
      <c r="I478" t="s">
        <v>15967</v>
      </c>
      <c r="J478" s="161" t="s">
        <v>19202</v>
      </c>
      <c r="K478" t="s">
        <v>19203</v>
      </c>
      <c r="L478" t="s">
        <v>15966</v>
      </c>
      <c r="M478" s="161" t="s">
        <v>19202</v>
      </c>
    </row>
    <row r="479" spans="9:13" x14ac:dyDescent="0.25">
      <c r="I479" t="s">
        <v>1258</v>
      </c>
      <c r="J479" s="161" t="s">
        <v>19202</v>
      </c>
      <c r="K479" t="s">
        <v>19203</v>
      </c>
      <c r="L479" t="s">
        <v>1257</v>
      </c>
      <c r="M479" s="161" t="s">
        <v>19202</v>
      </c>
    </row>
    <row r="480" spans="9:13" x14ac:dyDescent="0.25">
      <c r="I480" t="s">
        <v>3382</v>
      </c>
      <c r="J480" s="161" t="s">
        <v>19202</v>
      </c>
      <c r="K480" t="s">
        <v>19203</v>
      </c>
      <c r="L480" t="s">
        <v>3381</v>
      </c>
      <c r="M480" s="161" t="s">
        <v>19202</v>
      </c>
    </row>
    <row r="481" spans="9:13" x14ac:dyDescent="0.25">
      <c r="I481" t="s">
        <v>1777</v>
      </c>
      <c r="J481" s="161" t="s">
        <v>19202</v>
      </c>
      <c r="K481" t="s">
        <v>19203</v>
      </c>
      <c r="L481" t="s">
        <v>1776</v>
      </c>
      <c r="M481" s="161" t="s">
        <v>19202</v>
      </c>
    </row>
    <row r="482" spans="9:13" x14ac:dyDescent="0.25">
      <c r="I482" t="s">
        <v>4901</v>
      </c>
      <c r="J482" s="161" t="s">
        <v>19202</v>
      </c>
      <c r="K482" t="s">
        <v>19203</v>
      </c>
      <c r="L482" t="s">
        <v>1479</v>
      </c>
      <c r="M482" s="161" t="s">
        <v>19202</v>
      </c>
    </row>
    <row r="483" spans="9:13" x14ac:dyDescent="0.25">
      <c r="I483" t="s">
        <v>4579</v>
      </c>
      <c r="J483" s="161" t="s">
        <v>19202</v>
      </c>
      <c r="K483" t="s">
        <v>19203</v>
      </c>
      <c r="L483" t="s">
        <v>4578</v>
      </c>
      <c r="M483" s="161" t="s">
        <v>19202</v>
      </c>
    </row>
    <row r="484" spans="9:13" x14ac:dyDescent="0.25">
      <c r="I484" t="s">
        <v>16196</v>
      </c>
      <c r="J484" s="161" t="s">
        <v>19202</v>
      </c>
      <c r="K484" t="s">
        <v>19203</v>
      </c>
      <c r="L484" t="s">
        <v>16195</v>
      </c>
      <c r="M484" s="161" t="s">
        <v>19202</v>
      </c>
    </row>
    <row r="485" spans="9:13" x14ac:dyDescent="0.25">
      <c r="I485" t="s">
        <v>16013</v>
      </c>
      <c r="J485" s="161" t="s">
        <v>19202</v>
      </c>
      <c r="K485" t="s">
        <v>19203</v>
      </c>
      <c r="L485" t="s">
        <v>16012</v>
      </c>
      <c r="M485" s="161" t="s">
        <v>19202</v>
      </c>
    </row>
    <row r="486" spans="9:13" x14ac:dyDescent="0.25">
      <c r="I486" t="s">
        <v>16678</v>
      </c>
      <c r="J486" s="161" t="s">
        <v>19202</v>
      </c>
      <c r="K486" t="s">
        <v>19203</v>
      </c>
      <c r="L486" t="s">
        <v>13156</v>
      </c>
      <c r="M486" s="161" t="s">
        <v>19202</v>
      </c>
    </row>
    <row r="487" spans="9:13" x14ac:dyDescent="0.25">
      <c r="I487" t="s">
        <v>17682</v>
      </c>
      <c r="J487" s="161" t="s">
        <v>19202</v>
      </c>
      <c r="K487" t="s">
        <v>19203</v>
      </c>
      <c r="L487" t="s">
        <v>17681</v>
      </c>
      <c r="M487" s="161" t="s">
        <v>19202</v>
      </c>
    </row>
    <row r="488" spans="9:13" x14ac:dyDescent="0.25">
      <c r="I488" t="s">
        <v>17460</v>
      </c>
      <c r="J488" s="161" t="s">
        <v>19202</v>
      </c>
      <c r="K488" t="s">
        <v>19203</v>
      </c>
      <c r="L488" t="s">
        <v>776</v>
      </c>
      <c r="M488" s="161" t="s">
        <v>19202</v>
      </c>
    </row>
    <row r="489" spans="9:13" x14ac:dyDescent="0.25">
      <c r="I489" t="s">
        <v>15907</v>
      </c>
      <c r="J489" s="161" t="s">
        <v>19202</v>
      </c>
      <c r="K489" t="s">
        <v>19203</v>
      </c>
      <c r="L489" t="s">
        <v>15906</v>
      </c>
      <c r="M489" s="161" t="s">
        <v>19202</v>
      </c>
    </row>
    <row r="490" spans="9:13" x14ac:dyDescent="0.25">
      <c r="I490" t="s">
        <v>17411</v>
      </c>
      <c r="J490" s="161" t="s">
        <v>19202</v>
      </c>
      <c r="K490" t="s">
        <v>19203</v>
      </c>
      <c r="L490" t="s">
        <v>17410</v>
      </c>
      <c r="M490" s="161" t="s">
        <v>19202</v>
      </c>
    </row>
    <row r="491" spans="9:13" x14ac:dyDescent="0.25">
      <c r="I491" t="s">
        <v>12405</v>
      </c>
      <c r="J491" s="161" t="s">
        <v>19202</v>
      </c>
      <c r="K491" t="s">
        <v>19203</v>
      </c>
      <c r="L491" t="s">
        <v>12404</v>
      </c>
      <c r="M491" s="161" t="s">
        <v>19202</v>
      </c>
    </row>
    <row r="492" spans="9:13" x14ac:dyDescent="0.25">
      <c r="I492" t="s">
        <v>14368</v>
      </c>
      <c r="J492" s="161" t="s">
        <v>19202</v>
      </c>
      <c r="K492" t="s">
        <v>19203</v>
      </c>
      <c r="L492" t="s">
        <v>4969</v>
      </c>
      <c r="M492" s="161" t="s">
        <v>19202</v>
      </c>
    </row>
    <row r="493" spans="9:13" x14ac:dyDescent="0.25">
      <c r="I493" t="s">
        <v>9520</v>
      </c>
      <c r="J493" s="161" t="s">
        <v>19202</v>
      </c>
      <c r="K493" t="s">
        <v>19203</v>
      </c>
      <c r="L493" t="s">
        <v>9519</v>
      </c>
      <c r="M493" s="161" t="s">
        <v>19202</v>
      </c>
    </row>
    <row r="494" spans="9:13" x14ac:dyDescent="0.25">
      <c r="I494" t="s">
        <v>1928</v>
      </c>
      <c r="J494" s="161" t="s">
        <v>19202</v>
      </c>
      <c r="K494" t="s">
        <v>19203</v>
      </c>
      <c r="L494" t="s">
        <v>1927</v>
      </c>
      <c r="M494" s="161" t="s">
        <v>19202</v>
      </c>
    </row>
    <row r="495" spans="9:13" x14ac:dyDescent="0.25">
      <c r="I495" t="s">
        <v>10669</v>
      </c>
      <c r="J495" s="161" t="s">
        <v>19202</v>
      </c>
      <c r="K495" t="s">
        <v>19203</v>
      </c>
      <c r="L495" t="s">
        <v>10668</v>
      </c>
      <c r="M495" s="161" t="s">
        <v>19202</v>
      </c>
    </row>
    <row r="496" spans="9:13" x14ac:dyDescent="0.25">
      <c r="I496" t="s">
        <v>2086</v>
      </c>
      <c r="J496" s="161" t="s">
        <v>19202</v>
      </c>
      <c r="K496" t="s">
        <v>19203</v>
      </c>
      <c r="L496" t="s">
        <v>2085</v>
      </c>
      <c r="M496" s="161" t="s">
        <v>19202</v>
      </c>
    </row>
    <row r="497" spans="9:13" x14ac:dyDescent="0.25">
      <c r="I497" t="s">
        <v>3910</v>
      </c>
      <c r="J497" s="161" t="s">
        <v>19202</v>
      </c>
      <c r="K497" t="s">
        <v>19203</v>
      </c>
      <c r="L497" t="s">
        <v>3909</v>
      </c>
      <c r="M497" s="161" t="s">
        <v>19202</v>
      </c>
    </row>
    <row r="498" spans="9:13" x14ac:dyDescent="0.25">
      <c r="I498" t="s">
        <v>11783</v>
      </c>
      <c r="J498" s="161" t="s">
        <v>19202</v>
      </c>
      <c r="K498" t="s">
        <v>19203</v>
      </c>
      <c r="L498" t="s">
        <v>11782</v>
      </c>
      <c r="M498" s="161" t="s">
        <v>19202</v>
      </c>
    </row>
    <row r="499" spans="9:13" x14ac:dyDescent="0.25">
      <c r="I499" t="s">
        <v>14743</v>
      </c>
      <c r="J499" s="161" t="s">
        <v>19202</v>
      </c>
      <c r="K499" t="s">
        <v>19203</v>
      </c>
      <c r="L499" t="s">
        <v>14742</v>
      </c>
      <c r="M499" s="161" t="s">
        <v>19202</v>
      </c>
    </row>
    <row r="500" spans="9:13" x14ac:dyDescent="0.25">
      <c r="I500" t="s">
        <v>17122</v>
      </c>
      <c r="J500" s="161" t="s">
        <v>19202</v>
      </c>
      <c r="K500" t="s">
        <v>19203</v>
      </c>
      <c r="L500" t="s">
        <v>17121</v>
      </c>
      <c r="M500" s="161" t="s">
        <v>19202</v>
      </c>
    </row>
    <row r="501" spans="9:13" x14ac:dyDescent="0.25">
      <c r="I501" t="s">
        <v>4661</v>
      </c>
      <c r="J501" s="161" t="s">
        <v>19202</v>
      </c>
      <c r="K501" t="s">
        <v>19203</v>
      </c>
      <c r="L501" t="s">
        <v>4660</v>
      </c>
      <c r="M501" s="161" t="s">
        <v>19202</v>
      </c>
    </row>
    <row r="502" spans="9:13" x14ac:dyDescent="0.25">
      <c r="I502" t="s">
        <v>8382</v>
      </c>
      <c r="J502" s="161" t="s">
        <v>19202</v>
      </c>
      <c r="K502" t="s">
        <v>19203</v>
      </c>
      <c r="L502" t="s">
        <v>8381</v>
      </c>
      <c r="M502" s="161" t="s">
        <v>19202</v>
      </c>
    </row>
    <row r="503" spans="9:13" x14ac:dyDescent="0.25">
      <c r="I503" t="s">
        <v>14761</v>
      </c>
      <c r="J503" s="161" t="s">
        <v>19202</v>
      </c>
      <c r="K503" t="s">
        <v>19203</v>
      </c>
      <c r="L503" t="s">
        <v>14760</v>
      </c>
      <c r="M503" s="161" t="s">
        <v>19202</v>
      </c>
    </row>
    <row r="504" spans="9:13" x14ac:dyDescent="0.25">
      <c r="I504" t="s">
        <v>2102</v>
      </c>
      <c r="J504" s="161" t="s">
        <v>19202</v>
      </c>
      <c r="K504" t="s">
        <v>19203</v>
      </c>
      <c r="L504" t="s">
        <v>2101</v>
      </c>
      <c r="M504" s="161" t="s">
        <v>19202</v>
      </c>
    </row>
    <row r="505" spans="9:13" x14ac:dyDescent="0.25">
      <c r="I505" t="s">
        <v>11023</v>
      </c>
      <c r="J505" s="161" t="s">
        <v>19202</v>
      </c>
      <c r="K505" t="s">
        <v>19203</v>
      </c>
      <c r="L505" t="s">
        <v>11022</v>
      </c>
      <c r="M505" s="161" t="s">
        <v>19202</v>
      </c>
    </row>
    <row r="506" spans="9:13" x14ac:dyDescent="0.25">
      <c r="I506" t="s">
        <v>17989</v>
      </c>
      <c r="J506" s="161" t="s">
        <v>19202</v>
      </c>
      <c r="K506" t="s">
        <v>19203</v>
      </c>
      <c r="L506" t="s">
        <v>17988</v>
      </c>
      <c r="M506" s="161" t="s">
        <v>19202</v>
      </c>
    </row>
    <row r="507" spans="9:13" x14ac:dyDescent="0.25">
      <c r="I507" t="s">
        <v>2032</v>
      </c>
      <c r="J507" s="161" t="s">
        <v>19202</v>
      </c>
      <c r="K507" t="s">
        <v>19203</v>
      </c>
      <c r="L507" t="s">
        <v>2031</v>
      </c>
      <c r="M507" s="161" t="s">
        <v>19202</v>
      </c>
    </row>
    <row r="508" spans="9:13" x14ac:dyDescent="0.25">
      <c r="I508" t="s">
        <v>16802</v>
      </c>
      <c r="J508" s="161" t="s">
        <v>19202</v>
      </c>
      <c r="K508" t="s">
        <v>19203</v>
      </c>
      <c r="L508" t="s">
        <v>16801</v>
      </c>
      <c r="M508" s="161" t="s">
        <v>19202</v>
      </c>
    </row>
    <row r="509" spans="9:13" x14ac:dyDescent="0.25">
      <c r="I509" t="s">
        <v>15334</v>
      </c>
      <c r="J509" s="161" t="s">
        <v>19202</v>
      </c>
      <c r="K509" t="s">
        <v>19203</v>
      </c>
      <c r="L509" t="s">
        <v>15333</v>
      </c>
      <c r="M509" s="161" t="s">
        <v>19202</v>
      </c>
    </row>
    <row r="510" spans="9:13" x14ac:dyDescent="0.25">
      <c r="I510" t="s">
        <v>593</v>
      </c>
      <c r="J510" s="161" t="s">
        <v>19202</v>
      </c>
      <c r="K510" t="s">
        <v>19203</v>
      </c>
      <c r="L510" t="s">
        <v>592</v>
      </c>
      <c r="M510" s="161" t="s">
        <v>19202</v>
      </c>
    </row>
    <row r="511" spans="9:13" x14ac:dyDescent="0.25">
      <c r="I511" t="s">
        <v>3143</v>
      </c>
      <c r="J511" s="161" t="s">
        <v>19202</v>
      </c>
      <c r="K511" t="s">
        <v>19203</v>
      </c>
      <c r="L511" t="s">
        <v>3142</v>
      </c>
      <c r="M511" s="161" t="s">
        <v>19202</v>
      </c>
    </row>
    <row r="512" spans="9:13" x14ac:dyDescent="0.25">
      <c r="I512" t="s">
        <v>17848</v>
      </c>
      <c r="J512" s="161" t="s">
        <v>19202</v>
      </c>
      <c r="K512" t="s">
        <v>19203</v>
      </c>
      <c r="L512" t="s">
        <v>17847</v>
      </c>
      <c r="M512" s="161" t="s">
        <v>19202</v>
      </c>
    </row>
    <row r="513" spans="9:13" x14ac:dyDescent="0.25">
      <c r="I513" t="s">
        <v>1756</v>
      </c>
      <c r="J513" s="161" t="s">
        <v>19202</v>
      </c>
      <c r="K513" t="s">
        <v>19203</v>
      </c>
      <c r="L513" t="s">
        <v>1755</v>
      </c>
      <c r="M513" s="161" t="s">
        <v>19202</v>
      </c>
    </row>
    <row r="514" spans="9:13" x14ac:dyDescent="0.25">
      <c r="I514" t="s">
        <v>1684</v>
      </c>
      <c r="J514" s="161" t="s">
        <v>19202</v>
      </c>
      <c r="K514" t="s">
        <v>19203</v>
      </c>
      <c r="L514" t="s">
        <v>1683</v>
      </c>
      <c r="M514" s="161" t="s">
        <v>19202</v>
      </c>
    </row>
    <row r="515" spans="9:13" x14ac:dyDescent="0.25">
      <c r="I515" t="s">
        <v>17441</v>
      </c>
      <c r="J515" s="161" t="s">
        <v>19202</v>
      </c>
      <c r="K515" t="s">
        <v>19203</v>
      </c>
      <c r="L515" t="s">
        <v>17440</v>
      </c>
      <c r="M515" s="161" t="s">
        <v>19202</v>
      </c>
    </row>
    <row r="516" spans="9:13" x14ac:dyDescent="0.25">
      <c r="I516" t="s">
        <v>3523</v>
      </c>
      <c r="J516" s="161" t="s">
        <v>19202</v>
      </c>
      <c r="K516" t="s">
        <v>19203</v>
      </c>
      <c r="L516" t="s">
        <v>3522</v>
      </c>
      <c r="M516" s="161" t="s">
        <v>19202</v>
      </c>
    </row>
    <row r="517" spans="9:13" x14ac:dyDescent="0.25">
      <c r="I517" t="s">
        <v>3004</v>
      </c>
      <c r="J517" s="161" t="s">
        <v>19202</v>
      </c>
      <c r="K517" t="s">
        <v>19203</v>
      </c>
      <c r="L517" t="s">
        <v>3003</v>
      </c>
      <c r="M517" s="161" t="s">
        <v>19202</v>
      </c>
    </row>
    <row r="518" spans="9:13" x14ac:dyDescent="0.25">
      <c r="I518" t="s">
        <v>12192</v>
      </c>
      <c r="J518" s="161" t="s">
        <v>19202</v>
      </c>
      <c r="K518" t="s">
        <v>19203</v>
      </c>
      <c r="L518" t="s">
        <v>12191</v>
      </c>
      <c r="M518" s="161" t="s">
        <v>19202</v>
      </c>
    </row>
    <row r="519" spans="9:13" x14ac:dyDescent="0.25">
      <c r="I519" t="s">
        <v>12431</v>
      </c>
      <c r="J519" s="161" t="s">
        <v>19202</v>
      </c>
      <c r="K519" t="s">
        <v>19203</v>
      </c>
      <c r="L519" t="s">
        <v>12430</v>
      </c>
      <c r="M519" s="161" t="s">
        <v>19202</v>
      </c>
    </row>
    <row r="520" spans="9:13" x14ac:dyDescent="0.25">
      <c r="I520" t="s">
        <v>17353</v>
      </c>
      <c r="J520" s="161" t="s">
        <v>19202</v>
      </c>
      <c r="K520" t="s">
        <v>19203</v>
      </c>
      <c r="L520" t="s">
        <v>17352</v>
      </c>
      <c r="M520" s="161" t="s">
        <v>19202</v>
      </c>
    </row>
    <row r="521" spans="9:13" x14ac:dyDescent="0.25">
      <c r="I521" t="s">
        <v>426</v>
      </c>
      <c r="J521" s="161" t="s">
        <v>19202</v>
      </c>
      <c r="K521" t="s">
        <v>19203</v>
      </c>
      <c r="L521" t="s">
        <v>425</v>
      </c>
      <c r="M521" s="161" t="s">
        <v>19202</v>
      </c>
    </row>
    <row r="522" spans="9:13" x14ac:dyDescent="0.25">
      <c r="I522" t="s">
        <v>1745</v>
      </c>
      <c r="J522" s="161" t="s">
        <v>19202</v>
      </c>
      <c r="K522" t="s">
        <v>19203</v>
      </c>
      <c r="L522" t="s">
        <v>1744</v>
      </c>
      <c r="M522" s="161" t="s">
        <v>19202</v>
      </c>
    </row>
    <row r="523" spans="9:13" x14ac:dyDescent="0.25">
      <c r="I523" t="s">
        <v>1141</v>
      </c>
      <c r="J523" s="161" t="s">
        <v>19202</v>
      </c>
      <c r="K523" t="s">
        <v>19203</v>
      </c>
      <c r="L523" t="s">
        <v>1140</v>
      </c>
      <c r="M523" s="161" t="s">
        <v>19202</v>
      </c>
    </row>
    <row r="524" spans="9:13" x14ac:dyDescent="0.25">
      <c r="I524" t="s">
        <v>5286</v>
      </c>
      <c r="J524" s="161" t="s">
        <v>19202</v>
      </c>
      <c r="K524" t="s">
        <v>19203</v>
      </c>
      <c r="L524" t="s">
        <v>5285</v>
      </c>
      <c r="M524" s="161" t="s">
        <v>19202</v>
      </c>
    </row>
    <row r="525" spans="9:13" x14ac:dyDescent="0.25">
      <c r="I525" t="s">
        <v>17805</v>
      </c>
      <c r="J525" s="161" t="s">
        <v>19202</v>
      </c>
      <c r="K525" t="s">
        <v>19203</v>
      </c>
      <c r="L525" t="s">
        <v>17804</v>
      </c>
      <c r="M525" s="161" t="s">
        <v>19202</v>
      </c>
    </row>
    <row r="526" spans="9:13" x14ac:dyDescent="0.25">
      <c r="I526" t="s">
        <v>3179</v>
      </c>
      <c r="J526" s="161" t="s">
        <v>19202</v>
      </c>
      <c r="K526" t="s">
        <v>19203</v>
      </c>
      <c r="L526" t="s">
        <v>3178</v>
      </c>
      <c r="M526" s="161" t="s">
        <v>19202</v>
      </c>
    </row>
    <row r="527" spans="9:13" x14ac:dyDescent="0.25">
      <c r="I527" t="s">
        <v>5832</v>
      </c>
      <c r="J527" s="161" t="s">
        <v>19202</v>
      </c>
      <c r="K527" t="s">
        <v>19203</v>
      </c>
      <c r="L527" t="s">
        <v>5831</v>
      </c>
      <c r="M527" s="161" t="s">
        <v>19202</v>
      </c>
    </row>
    <row r="528" spans="9:13" x14ac:dyDescent="0.25">
      <c r="I528" t="s">
        <v>7187</v>
      </c>
      <c r="J528" s="161" t="s">
        <v>19202</v>
      </c>
      <c r="K528" t="s">
        <v>19203</v>
      </c>
      <c r="L528" t="s">
        <v>7186</v>
      </c>
      <c r="M528" s="161" t="s">
        <v>19202</v>
      </c>
    </row>
    <row r="529" spans="9:13" x14ac:dyDescent="0.25">
      <c r="I529" t="s">
        <v>15142</v>
      </c>
      <c r="J529" s="161" t="s">
        <v>19202</v>
      </c>
      <c r="K529" t="s">
        <v>19203</v>
      </c>
      <c r="L529" t="s">
        <v>15141</v>
      </c>
      <c r="M529" s="161" t="s">
        <v>19202</v>
      </c>
    </row>
    <row r="530" spans="9:13" x14ac:dyDescent="0.25">
      <c r="I530" t="s">
        <v>694</v>
      </c>
      <c r="J530" s="161" t="s">
        <v>19202</v>
      </c>
      <c r="K530" t="s">
        <v>19203</v>
      </c>
      <c r="L530" t="s">
        <v>693</v>
      </c>
      <c r="M530" s="161" t="s">
        <v>19202</v>
      </c>
    </row>
    <row r="531" spans="9:13" x14ac:dyDescent="0.25">
      <c r="I531" t="s">
        <v>16149</v>
      </c>
      <c r="J531" s="161" t="s">
        <v>19202</v>
      </c>
      <c r="K531" t="s">
        <v>19203</v>
      </c>
      <c r="L531" t="s">
        <v>16148</v>
      </c>
      <c r="M531" s="161" t="s">
        <v>19202</v>
      </c>
    </row>
    <row r="532" spans="9:13" x14ac:dyDescent="0.25">
      <c r="I532" t="s">
        <v>14624</v>
      </c>
      <c r="J532" s="161" t="s">
        <v>19202</v>
      </c>
      <c r="K532" t="s">
        <v>19203</v>
      </c>
      <c r="L532" t="s">
        <v>3681</v>
      </c>
      <c r="M532" s="161" t="s">
        <v>19202</v>
      </c>
    </row>
    <row r="533" spans="9:13" x14ac:dyDescent="0.25">
      <c r="I533" t="s">
        <v>14188</v>
      </c>
      <c r="J533" s="161" t="s">
        <v>19202</v>
      </c>
      <c r="K533" t="s">
        <v>19203</v>
      </c>
      <c r="L533" t="s">
        <v>14187</v>
      </c>
      <c r="M533" s="161" t="s">
        <v>19202</v>
      </c>
    </row>
    <row r="534" spans="9:13" x14ac:dyDescent="0.25">
      <c r="I534" t="s">
        <v>3700</v>
      </c>
      <c r="J534" s="161" t="s">
        <v>19202</v>
      </c>
      <c r="K534" t="s">
        <v>19203</v>
      </c>
      <c r="L534" t="s">
        <v>2652</v>
      </c>
      <c r="M534" s="161" t="s">
        <v>19202</v>
      </c>
    </row>
    <row r="535" spans="9:13" x14ac:dyDescent="0.25">
      <c r="I535" t="s">
        <v>17667</v>
      </c>
      <c r="J535" s="161" t="s">
        <v>19202</v>
      </c>
      <c r="K535" t="s">
        <v>19203</v>
      </c>
      <c r="L535" t="s">
        <v>17666</v>
      </c>
      <c r="M535" s="161" t="s">
        <v>19202</v>
      </c>
    </row>
    <row r="536" spans="9:13" x14ac:dyDescent="0.25">
      <c r="I536" t="s">
        <v>13917</v>
      </c>
      <c r="J536" s="161" t="s">
        <v>19202</v>
      </c>
      <c r="K536" t="s">
        <v>19203</v>
      </c>
      <c r="L536" t="s">
        <v>19329</v>
      </c>
      <c r="M536" s="161" t="s">
        <v>19202</v>
      </c>
    </row>
    <row r="537" spans="9:13" x14ac:dyDescent="0.25">
      <c r="I537" t="s">
        <v>2921</v>
      </c>
      <c r="J537" s="161" t="s">
        <v>19202</v>
      </c>
      <c r="K537" t="s">
        <v>19203</v>
      </c>
      <c r="L537" t="s">
        <v>2920</v>
      </c>
      <c r="M537" s="161" t="s">
        <v>19202</v>
      </c>
    </row>
    <row r="538" spans="9:13" x14ac:dyDescent="0.25">
      <c r="I538" t="s">
        <v>17538</v>
      </c>
      <c r="J538" s="161" t="s">
        <v>19202</v>
      </c>
      <c r="K538" t="s">
        <v>19203</v>
      </c>
      <c r="L538" t="s">
        <v>17537</v>
      </c>
      <c r="M538" s="161" t="s">
        <v>19202</v>
      </c>
    </row>
    <row r="539" spans="9:13" x14ac:dyDescent="0.25">
      <c r="I539" t="s">
        <v>17387</v>
      </c>
      <c r="J539" s="161" t="s">
        <v>19202</v>
      </c>
      <c r="K539" t="s">
        <v>19203</v>
      </c>
      <c r="L539" t="s">
        <v>17386</v>
      </c>
      <c r="M539" s="161" t="s">
        <v>19202</v>
      </c>
    </row>
    <row r="540" spans="9:13" x14ac:dyDescent="0.25">
      <c r="I540" t="s">
        <v>9914</v>
      </c>
      <c r="J540" s="161" t="s">
        <v>19202</v>
      </c>
      <c r="K540" t="s">
        <v>19203</v>
      </c>
      <c r="L540" t="s">
        <v>9913</v>
      </c>
      <c r="M540" s="161" t="s">
        <v>19202</v>
      </c>
    </row>
    <row r="541" spans="9:13" x14ac:dyDescent="0.25">
      <c r="I541" t="s">
        <v>17501</v>
      </c>
      <c r="J541" s="161" t="s">
        <v>19202</v>
      </c>
      <c r="K541" t="s">
        <v>19203</v>
      </c>
      <c r="L541" t="s">
        <v>17500</v>
      </c>
      <c r="M541" s="161" t="s">
        <v>19202</v>
      </c>
    </row>
    <row r="542" spans="9:13" x14ac:dyDescent="0.25">
      <c r="I542" t="s">
        <v>16719</v>
      </c>
      <c r="J542" s="161" t="s">
        <v>19202</v>
      </c>
      <c r="K542" t="s">
        <v>19203</v>
      </c>
      <c r="L542" t="s">
        <v>16718</v>
      </c>
      <c r="M542" s="161" t="s">
        <v>19202</v>
      </c>
    </row>
    <row r="543" spans="9:13" x14ac:dyDescent="0.25">
      <c r="I543" t="s">
        <v>1852</v>
      </c>
      <c r="J543" s="161" t="s">
        <v>19202</v>
      </c>
      <c r="K543" t="s">
        <v>19203</v>
      </c>
      <c r="L543" t="s">
        <v>1851</v>
      </c>
      <c r="M543" s="161" t="s">
        <v>19202</v>
      </c>
    </row>
    <row r="544" spans="9:13" x14ac:dyDescent="0.25">
      <c r="I544" t="s">
        <v>11086</v>
      </c>
      <c r="J544" s="161" t="s">
        <v>19202</v>
      </c>
      <c r="K544" t="s">
        <v>19203</v>
      </c>
      <c r="L544" t="s">
        <v>11085</v>
      </c>
      <c r="M544" s="161" t="s">
        <v>19202</v>
      </c>
    </row>
    <row r="545" spans="9:13" x14ac:dyDescent="0.25">
      <c r="I545" t="s">
        <v>1768</v>
      </c>
      <c r="J545" s="161" t="s">
        <v>19202</v>
      </c>
      <c r="K545" t="s">
        <v>19203</v>
      </c>
      <c r="L545" t="s">
        <v>1767</v>
      </c>
      <c r="M545" s="161" t="s">
        <v>19202</v>
      </c>
    </row>
    <row r="546" spans="9:13" x14ac:dyDescent="0.25">
      <c r="I546" t="s">
        <v>1099</v>
      </c>
      <c r="J546" s="161" t="s">
        <v>19202</v>
      </c>
      <c r="K546" t="s">
        <v>19203</v>
      </c>
      <c r="L546" t="s">
        <v>1098</v>
      </c>
      <c r="M546" s="161" t="s">
        <v>19202</v>
      </c>
    </row>
    <row r="547" spans="9:13" x14ac:dyDescent="0.25">
      <c r="I547" t="s">
        <v>1432</v>
      </c>
      <c r="J547" s="161" t="s">
        <v>19202</v>
      </c>
      <c r="K547" t="s">
        <v>19203</v>
      </c>
      <c r="L547" t="s">
        <v>1431</v>
      </c>
      <c r="M547" s="161" t="s">
        <v>19202</v>
      </c>
    </row>
    <row r="548" spans="9:13" x14ac:dyDescent="0.25">
      <c r="I548" t="s">
        <v>16402</v>
      </c>
      <c r="J548" s="161" t="s">
        <v>19202</v>
      </c>
      <c r="K548" t="s">
        <v>19203</v>
      </c>
      <c r="L548" t="s">
        <v>12600</v>
      </c>
      <c r="M548" s="161" t="s">
        <v>19202</v>
      </c>
    </row>
    <row r="549" spans="9:13" x14ac:dyDescent="0.25">
      <c r="I549" t="s">
        <v>1857</v>
      </c>
      <c r="J549" s="161" t="s">
        <v>19202</v>
      </c>
      <c r="K549" t="s">
        <v>19203</v>
      </c>
      <c r="L549" t="s">
        <v>1856</v>
      </c>
      <c r="M549" s="161" t="s">
        <v>19202</v>
      </c>
    </row>
    <row r="550" spans="9:13" x14ac:dyDescent="0.25">
      <c r="I550" t="s">
        <v>6065</v>
      </c>
      <c r="J550" s="161" t="s">
        <v>19202</v>
      </c>
      <c r="K550" t="s">
        <v>19203</v>
      </c>
      <c r="L550" t="s">
        <v>120</v>
      </c>
      <c r="M550" s="161" t="s">
        <v>19202</v>
      </c>
    </row>
    <row r="551" spans="9:13" x14ac:dyDescent="0.25">
      <c r="I551" t="s">
        <v>1820</v>
      </c>
      <c r="J551" s="161" t="s">
        <v>19202</v>
      </c>
      <c r="K551" t="s">
        <v>19203</v>
      </c>
      <c r="L551" t="s">
        <v>1819</v>
      </c>
      <c r="M551" s="161" t="s">
        <v>19202</v>
      </c>
    </row>
    <row r="552" spans="9:13" x14ac:dyDescent="0.25">
      <c r="I552" t="s">
        <v>5248</v>
      </c>
      <c r="J552" s="161" t="s">
        <v>19202</v>
      </c>
      <c r="K552" t="s">
        <v>19203</v>
      </c>
      <c r="L552" t="s">
        <v>3544</v>
      </c>
      <c r="M552" s="161" t="s">
        <v>19202</v>
      </c>
    </row>
    <row r="553" spans="9:13" x14ac:dyDescent="0.25">
      <c r="I553" t="s">
        <v>4620</v>
      </c>
      <c r="J553" s="161" t="s">
        <v>19202</v>
      </c>
      <c r="K553" t="s">
        <v>19203</v>
      </c>
      <c r="L553" t="s">
        <v>4619</v>
      </c>
      <c r="M553" s="161" t="s">
        <v>19202</v>
      </c>
    </row>
    <row r="554" spans="9:13" x14ac:dyDescent="0.25">
      <c r="I554" t="s">
        <v>16811</v>
      </c>
      <c r="J554" s="161" t="s">
        <v>19202</v>
      </c>
      <c r="K554" t="s">
        <v>19203</v>
      </c>
      <c r="L554" t="s">
        <v>970</v>
      </c>
      <c r="M554" s="161" t="s">
        <v>19202</v>
      </c>
    </row>
    <row r="555" spans="9:13" x14ac:dyDescent="0.25">
      <c r="I555" t="s">
        <v>2064</v>
      </c>
      <c r="J555" s="161" t="s">
        <v>19202</v>
      </c>
      <c r="K555" t="s">
        <v>19203</v>
      </c>
      <c r="L555" t="s">
        <v>2063</v>
      </c>
      <c r="M555" s="161" t="s">
        <v>19202</v>
      </c>
    </row>
    <row r="556" spans="9:13" x14ac:dyDescent="0.25">
      <c r="I556" t="s">
        <v>10673</v>
      </c>
      <c r="J556" s="161" t="s">
        <v>19202</v>
      </c>
      <c r="K556" t="s">
        <v>19203</v>
      </c>
      <c r="L556" t="s">
        <v>10672</v>
      </c>
      <c r="M556" s="161" t="s">
        <v>19202</v>
      </c>
    </row>
    <row r="557" spans="9:13" x14ac:dyDescent="0.25">
      <c r="I557" t="s">
        <v>1726</v>
      </c>
      <c r="J557" s="161" t="s">
        <v>19202</v>
      </c>
      <c r="K557" t="s">
        <v>19203</v>
      </c>
      <c r="L557" t="s">
        <v>1725</v>
      </c>
      <c r="M557" s="161" t="s">
        <v>19202</v>
      </c>
    </row>
    <row r="558" spans="9:13" x14ac:dyDescent="0.25">
      <c r="I558" t="s">
        <v>17283</v>
      </c>
      <c r="J558" s="161" t="s">
        <v>19202</v>
      </c>
      <c r="K558" t="s">
        <v>19203</v>
      </c>
      <c r="L558" t="s">
        <v>1676</v>
      </c>
      <c r="M558" s="161" t="s">
        <v>19202</v>
      </c>
    </row>
    <row r="559" spans="9:13" x14ac:dyDescent="0.25">
      <c r="I559" t="s">
        <v>3059</v>
      </c>
      <c r="J559" s="161" t="s">
        <v>19202</v>
      </c>
      <c r="K559" t="s">
        <v>19203</v>
      </c>
      <c r="L559" t="s">
        <v>3058</v>
      </c>
      <c r="M559" s="161" t="s">
        <v>19202</v>
      </c>
    </row>
    <row r="560" spans="9:13" x14ac:dyDescent="0.25">
      <c r="I560" t="s">
        <v>1697</v>
      </c>
      <c r="J560" s="161" t="s">
        <v>19202</v>
      </c>
      <c r="K560" t="s">
        <v>19203</v>
      </c>
      <c r="L560" t="s">
        <v>1696</v>
      </c>
      <c r="M560" s="161" t="s">
        <v>19202</v>
      </c>
    </row>
    <row r="561" spans="9:13" x14ac:dyDescent="0.25">
      <c r="I561" t="s">
        <v>17492</v>
      </c>
      <c r="J561" s="161" t="s">
        <v>19202</v>
      </c>
      <c r="K561" t="s">
        <v>19203</v>
      </c>
      <c r="L561" t="s">
        <v>17491</v>
      </c>
      <c r="M561" s="161" t="s">
        <v>19202</v>
      </c>
    </row>
    <row r="562" spans="9:13" x14ac:dyDescent="0.25">
      <c r="I562" t="s">
        <v>16654</v>
      </c>
      <c r="J562" s="161" t="s">
        <v>19202</v>
      </c>
      <c r="K562" t="s">
        <v>19203</v>
      </c>
      <c r="L562" t="s">
        <v>16653</v>
      </c>
      <c r="M562" s="161" t="s">
        <v>19202</v>
      </c>
    </row>
    <row r="563" spans="9:13" x14ac:dyDescent="0.25">
      <c r="I563" t="s">
        <v>1317</v>
      </c>
      <c r="J563" s="161" t="s">
        <v>19202</v>
      </c>
      <c r="K563" t="s">
        <v>19203</v>
      </c>
      <c r="L563" t="s">
        <v>1316</v>
      </c>
      <c r="M563" s="161" t="s">
        <v>19202</v>
      </c>
    </row>
    <row r="564" spans="9:13" x14ac:dyDescent="0.25">
      <c r="I564" t="s">
        <v>19330</v>
      </c>
      <c r="J564" s="161" t="s">
        <v>19202</v>
      </c>
      <c r="K564" t="s">
        <v>19203</v>
      </c>
      <c r="L564" t="s">
        <v>19331</v>
      </c>
      <c r="M564" s="161" t="s">
        <v>19202</v>
      </c>
    </row>
    <row r="565" spans="9:13" x14ac:dyDescent="0.25">
      <c r="I565" t="s">
        <v>539</v>
      </c>
      <c r="J565" s="161" t="s">
        <v>19202</v>
      </c>
      <c r="K565" t="s">
        <v>19203</v>
      </c>
      <c r="L565" t="s">
        <v>538</v>
      </c>
      <c r="M565" s="161" t="s">
        <v>19202</v>
      </c>
    </row>
    <row r="566" spans="9:13" x14ac:dyDescent="0.25">
      <c r="I566" t="s">
        <v>17551</v>
      </c>
      <c r="J566" s="161" t="s">
        <v>19202</v>
      </c>
      <c r="K566" t="s">
        <v>19203</v>
      </c>
      <c r="L566" t="s">
        <v>1084</v>
      </c>
      <c r="M566" s="161" t="s">
        <v>19202</v>
      </c>
    </row>
    <row r="567" spans="9:13" x14ac:dyDescent="0.25">
      <c r="I567" t="s">
        <v>10322</v>
      </c>
      <c r="J567" s="161" t="s">
        <v>19202</v>
      </c>
      <c r="K567" t="s">
        <v>19203</v>
      </c>
      <c r="L567" t="s">
        <v>1664</v>
      </c>
      <c r="M567" s="161" t="s">
        <v>19202</v>
      </c>
    </row>
    <row r="568" spans="9:13" x14ac:dyDescent="0.25">
      <c r="I568" t="s">
        <v>1496</v>
      </c>
      <c r="J568" s="161" t="s">
        <v>19202</v>
      </c>
      <c r="K568" t="s">
        <v>19203</v>
      </c>
      <c r="L568" t="s">
        <v>1495</v>
      </c>
      <c r="M568" s="161" t="s">
        <v>19202</v>
      </c>
    </row>
    <row r="569" spans="9:13" x14ac:dyDescent="0.25">
      <c r="I569" t="s">
        <v>17609</v>
      </c>
      <c r="J569" s="161" t="s">
        <v>19202</v>
      </c>
      <c r="K569" t="s">
        <v>19203</v>
      </c>
      <c r="L569" t="s">
        <v>15722</v>
      </c>
      <c r="M569" s="161" t="s">
        <v>19202</v>
      </c>
    </row>
    <row r="570" spans="9:13" x14ac:dyDescent="0.25">
      <c r="I570" t="s">
        <v>12875</v>
      </c>
      <c r="J570" s="161" t="s">
        <v>19202</v>
      </c>
      <c r="K570" t="s">
        <v>19203</v>
      </c>
      <c r="L570" t="s">
        <v>12874</v>
      </c>
      <c r="M570" s="161" t="s">
        <v>19202</v>
      </c>
    </row>
    <row r="571" spans="9:13" x14ac:dyDescent="0.25">
      <c r="I571" t="s">
        <v>10500</v>
      </c>
      <c r="J571" s="161" t="s">
        <v>19202</v>
      </c>
      <c r="K571" t="s">
        <v>19203</v>
      </c>
      <c r="L571" t="s">
        <v>10499</v>
      </c>
      <c r="M571" s="161" t="s">
        <v>19202</v>
      </c>
    </row>
    <row r="572" spans="9:13" x14ac:dyDescent="0.25">
      <c r="I572" t="s">
        <v>13753</v>
      </c>
      <c r="J572" s="161" t="s">
        <v>19202</v>
      </c>
      <c r="K572" t="s">
        <v>19203</v>
      </c>
      <c r="L572" t="s">
        <v>13752</v>
      </c>
      <c r="M572" s="161" t="s">
        <v>19202</v>
      </c>
    </row>
    <row r="573" spans="9:13" x14ac:dyDescent="0.25">
      <c r="I573" t="s">
        <v>3279</v>
      </c>
      <c r="J573" s="161" t="s">
        <v>19202</v>
      </c>
      <c r="K573" t="s">
        <v>19203</v>
      </c>
      <c r="L573" t="s">
        <v>3278</v>
      </c>
      <c r="M573" s="161" t="s">
        <v>19202</v>
      </c>
    </row>
    <row r="574" spans="9:13" x14ac:dyDescent="0.25">
      <c r="I574" t="s">
        <v>17365</v>
      </c>
      <c r="J574" s="161" t="s">
        <v>19202</v>
      </c>
      <c r="K574" t="s">
        <v>19203</v>
      </c>
      <c r="L574" t="s">
        <v>17364</v>
      </c>
      <c r="M574" s="161" t="s">
        <v>19202</v>
      </c>
    </row>
    <row r="575" spans="9:13" x14ac:dyDescent="0.25">
      <c r="I575" t="s">
        <v>11801</v>
      </c>
      <c r="J575" s="161" t="s">
        <v>19202</v>
      </c>
      <c r="K575" t="s">
        <v>19203</v>
      </c>
      <c r="L575" t="s">
        <v>11800</v>
      </c>
      <c r="M575" s="161" t="s">
        <v>19202</v>
      </c>
    </row>
    <row r="576" spans="9:13" x14ac:dyDescent="0.25">
      <c r="I576" t="s">
        <v>10551</v>
      </c>
      <c r="J576" s="161" t="s">
        <v>19202</v>
      </c>
      <c r="K576" t="s">
        <v>19203</v>
      </c>
      <c r="L576" t="s">
        <v>10550</v>
      </c>
      <c r="M576" s="161" t="s">
        <v>19202</v>
      </c>
    </row>
    <row r="577" spans="9:13" x14ac:dyDescent="0.25">
      <c r="I577" t="s">
        <v>15459</v>
      </c>
      <c r="J577" s="161" t="s">
        <v>19202</v>
      </c>
      <c r="K577" t="s">
        <v>19203</v>
      </c>
      <c r="L577" t="s">
        <v>183</v>
      </c>
      <c r="M577" s="161" t="s">
        <v>19202</v>
      </c>
    </row>
    <row r="578" spans="9:13" x14ac:dyDescent="0.25">
      <c r="I578" t="s">
        <v>4138</v>
      </c>
      <c r="J578" s="161" t="s">
        <v>19202</v>
      </c>
      <c r="K578" t="s">
        <v>19203</v>
      </c>
      <c r="L578" t="s">
        <v>4137</v>
      </c>
      <c r="M578" s="161" t="s">
        <v>19202</v>
      </c>
    </row>
    <row r="579" spans="9:13" x14ac:dyDescent="0.25">
      <c r="I579" t="s">
        <v>15416</v>
      </c>
      <c r="J579" s="161" t="s">
        <v>19202</v>
      </c>
      <c r="K579" t="s">
        <v>19203</v>
      </c>
      <c r="L579" t="s">
        <v>15415</v>
      </c>
      <c r="M579" s="161" t="s">
        <v>19202</v>
      </c>
    </row>
    <row r="580" spans="9:13" x14ac:dyDescent="0.25">
      <c r="I580" t="s">
        <v>17917</v>
      </c>
      <c r="J580" s="161" t="s">
        <v>19202</v>
      </c>
      <c r="K580" t="s">
        <v>19203</v>
      </c>
      <c r="L580" t="s">
        <v>17916</v>
      </c>
      <c r="M580" s="161" t="s">
        <v>19202</v>
      </c>
    </row>
    <row r="581" spans="9:13" x14ac:dyDescent="0.25">
      <c r="I581" t="s">
        <v>1392</v>
      </c>
      <c r="J581" s="161" t="s">
        <v>19202</v>
      </c>
      <c r="K581" t="s">
        <v>19203</v>
      </c>
      <c r="L581" t="s">
        <v>1391</v>
      </c>
      <c r="M581" s="161" t="s">
        <v>19202</v>
      </c>
    </row>
    <row r="582" spans="9:13" x14ac:dyDescent="0.25">
      <c r="I582" t="s">
        <v>248</v>
      </c>
      <c r="J582" s="161" t="s">
        <v>19202</v>
      </c>
      <c r="K582" t="s">
        <v>19203</v>
      </c>
      <c r="L582" t="s">
        <v>247</v>
      </c>
      <c r="M582" s="161" t="s">
        <v>19202</v>
      </c>
    </row>
    <row r="583" spans="9:13" x14ac:dyDescent="0.25">
      <c r="I583" t="s">
        <v>9324</v>
      </c>
      <c r="J583" s="161" t="s">
        <v>19202</v>
      </c>
      <c r="K583" t="s">
        <v>19203</v>
      </c>
      <c r="L583" t="s">
        <v>9323</v>
      </c>
      <c r="M583" s="161" t="s">
        <v>19202</v>
      </c>
    </row>
    <row r="584" spans="9:13" x14ac:dyDescent="0.25">
      <c r="I584" t="s">
        <v>10373</v>
      </c>
      <c r="J584" s="161" t="s">
        <v>19202</v>
      </c>
      <c r="K584" t="s">
        <v>19203</v>
      </c>
      <c r="L584" t="s">
        <v>10372</v>
      </c>
      <c r="M584" s="161" t="s">
        <v>19202</v>
      </c>
    </row>
    <row r="585" spans="9:13" x14ac:dyDescent="0.25">
      <c r="I585" t="s">
        <v>16320</v>
      </c>
      <c r="J585" s="161" t="s">
        <v>19202</v>
      </c>
      <c r="K585" t="s">
        <v>19203</v>
      </c>
      <c r="L585" t="s">
        <v>16319</v>
      </c>
      <c r="M585" s="161" t="s">
        <v>19202</v>
      </c>
    </row>
    <row r="586" spans="9:13" x14ac:dyDescent="0.25">
      <c r="I586" t="s">
        <v>10743</v>
      </c>
      <c r="J586" s="161" t="s">
        <v>19202</v>
      </c>
      <c r="K586" t="s">
        <v>19203</v>
      </c>
      <c r="L586" t="s">
        <v>10742</v>
      </c>
      <c r="M586" s="161" t="s">
        <v>19202</v>
      </c>
    </row>
    <row r="587" spans="9:13" x14ac:dyDescent="0.25">
      <c r="I587" t="s">
        <v>1526</v>
      </c>
      <c r="J587" s="161" t="s">
        <v>19202</v>
      </c>
      <c r="K587" t="s">
        <v>19203</v>
      </c>
      <c r="L587" t="s">
        <v>1525</v>
      </c>
      <c r="M587" s="161" t="s">
        <v>19202</v>
      </c>
    </row>
    <row r="588" spans="9:13" x14ac:dyDescent="0.25">
      <c r="I588" t="s">
        <v>8842</v>
      </c>
      <c r="J588" s="161" t="s">
        <v>19202</v>
      </c>
      <c r="K588" t="s">
        <v>19203</v>
      </c>
      <c r="L588" t="s">
        <v>8841</v>
      </c>
      <c r="M588" s="161" t="s">
        <v>19202</v>
      </c>
    </row>
    <row r="589" spans="9:13" x14ac:dyDescent="0.25">
      <c r="I589" t="s">
        <v>8406</v>
      </c>
      <c r="J589" s="161" t="s">
        <v>19202</v>
      </c>
      <c r="K589" t="s">
        <v>19203</v>
      </c>
      <c r="L589" t="s">
        <v>8405</v>
      </c>
      <c r="M589" s="161" t="s">
        <v>19202</v>
      </c>
    </row>
    <row r="590" spans="9:13" x14ac:dyDescent="0.25">
      <c r="I590" t="s">
        <v>16297</v>
      </c>
      <c r="J590" s="161" t="s">
        <v>19202</v>
      </c>
      <c r="K590" t="s">
        <v>19203</v>
      </c>
      <c r="L590" t="s">
        <v>16296</v>
      </c>
      <c r="M590" s="161" t="s">
        <v>19202</v>
      </c>
    </row>
    <row r="591" spans="9:13" x14ac:dyDescent="0.25">
      <c r="I591" t="s">
        <v>17014</v>
      </c>
      <c r="J591" s="161" t="s">
        <v>19202</v>
      </c>
      <c r="K591" t="s">
        <v>19203</v>
      </c>
      <c r="L591" t="s">
        <v>15719</v>
      </c>
      <c r="M591" s="161" t="s">
        <v>19202</v>
      </c>
    </row>
    <row r="592" spans="9:13" x14ac:dyDescent="0.25">
      <c r="I592" t="s">
        <v>17449</v>
      </c>
      <c r="J592" s="161" t="s">
        <v>19202</v>
      </c>
      <c r="K592" t="s">
        <v>19203</v>
      </c>
      <c r="L592" t="s">
        <v>17448</v>
      </c>
      <c r="M592" s="161" t="s">
        <v>19202</v>
      </c>
    </row>
    <row r="593" spans="9:13" x14ac:dyDescent="0.25">
      <c r="I593" t="s">
        <v>7668</v>
      </c>
      <c r="J593" s="161" t="s">
        <v>19202</v>
      </c>
      <c r="K593" t="s">
        <v>19203</v>
      </c>
      <c r="L593" t="s">
        <v>7667</v>
      </c>
      <c r="M593" s="161" t="s">
        <v>19202</v>
      </c>
    </row>
    <row r="594" spans="9:13" x14ac:dyDescent="0.25">
      <c r="I594" t="s">
        <v>14473</v>
      </c>
      <c r="J594" s="161" t="s">
        <v>19202</v>
      </c>
      <c r="K594" t="s">
        <v>19203</v>
      </c>
      <c r="L594" t="s">
        <v>14472</v>
      </c>
      <c r="M594" s="161" t="s">
        <v>19202</v>
      </c>
    </row>
    <row r="595" spans="9:13" x14ac:dyDescent="0.25">
      <c r="I595" t="s">
        <v>9386</v>
      </c>
      <c r="J595" s="161" t="s">
        <v>19202</v>
      </c>
      <c r="K595" t="s">
        <v>19203</v>
      </c>
      <c r="L595" t="s">
        <v>9385</v>
      </c>
      <c r="M595" s="161" t="s">
        <v>19202</v>
      </c>
    </row>
    <row r="596" spans="9:13" x14ac:dyDescent="0.25">
      <c r="I596" t="s">
        <v>8802</v>
      </c>
      <c r="J596" s="161" t="s">
        <v>19202</v>
      </c>
      <c r="K596" t="s">
        <v>19203</v>
      </c>
      <c r="L596" t="s">
        <v>8801</v>
      </c>
      <c r="M596" s="161" t="s">
        <v>19202</v>
      </c>
    </row>
    <row r="597" spans="9:13" x14ac:dyDescent="0.25">
      <c r="I597" t="s">
        <v>1838</v>
      </c>
      <c r="J597" s="161" t="s">
        <v>19202</v>
      </c>
      <c r="K597" t="s">
        <v>19203</v>
      </c>
      <c r="L597" t="s">
        <v>1837</v>
      </c>
      <c r="M597" s="161" t="s">
        <v>19202</v>
      </c>
    </row>
    <row r="598" spans="9:13" x14ac:dyDescent="0.25">
      <c r="I598" t="s">
        <v>1145</v>
      </c>
      <c r="J598" s="161" t="s">
        <v>19202</v>
      </c>
      <c r="K598" t="s">
        <v>19203</v>
      </c>
      <c r="L598" t="s">
        <v>1144</v>
      </c>
      <c r="M598" s="161" t="s">
        <v>19202</v>
      </c>
    </row>
    <row r="599" spans="9:13" x14ac:dyDescent="0.25">
      <c r="I599" t="s">
        <v>16420</v>
      </c>
      <c r="J599" s="161" t="s">
        <v>19202</v>
      </c>
      <c r="K599" t="s">
        <v>19203</v>
      </c>
      <c r="L599" t="s">
        <v>16419</v>
      </c>
      <c r="M599" s="161" t="s">
        <v>19202</v>
      </c>
    </row>
    <row r="600" spans="9:13" x14ac:dyDescent="0.25">
      <c r="I600" t="s">
        <v>645</v>
      </c>
      <c r="J600" s="161" t="s">
        <v>19202</v>
      </c>
      <c r="K600" t="s">
        <v>19203</v>
      </c>
      <c r="L600" t="s">
        <v>644</v>
      </c>
      <c r="M600" s="161" t="s">
        <v>19202</v>
      </c>
    </row>
    <row r="601" spans="9:13" x14ac:dyDescent="0.25">
      <c r="I601" t="s">
        <v>3257</v>
      </c>
      <c r="J601" s="161" t="s">
        <v>19202</v>
      </c>
      <c r="K601" t="s">
        <v>19203</v>
      </c>
      <c r="L601" t="s">
        <v>3256</v>
      </c>
      <c r="M601" s="161" t="s">
        <v>19202</v>
      </c>
    </row>
    <row r="602" spans="9:13" x14ac:dyDescent="0.25">
      <c r="I602" t="s">
        <v>16740</v>
      </c>
      <c r="J602" s="161" t="s">
        <v>19202</v>
      </c>
      <c r="K602" t="s">
        <v>19203</v>
      </c>
      <c r="L602" t="s">
        <v>16739</v>
      </c>
      <c r="M602" s="161" t="s">
        <v>19202</v>
      </c>
    </row>
    <row r="603" spans="9:13" x14ac:dyDescent="0.25">
      <c r="I603" t="s">
        <v>15296</v>
      </c>
      <c r="J603" s="161" t="s">
        <v>19202</v>
      </c>
      <c r="K603" t="s">
        <v>19203</v>
      </c>
      <c r="L603" t="s">
        <v>15295</v>
      </c>
      <c r="M603" s="161" t="s">
        <v>19202</v>
      </c>
    </row>
    <row r="604" spans="9:13" x14ac:dyDescent="0.25">
      <c r="I604" t="s">
        <v>8068</v>
      </c>
      <c r="J604" s="161" t="s">
        <v>19202</v>
      </c>
      <c r="K604" t="s">
        <v>19203</v>
      </c>
      <c r="L604" t="s">
        <v>8067</v>
      </c>
      <c r="M604" s="161" t="s">
        <v>19202</v>
      </c>
    </row>
    <row r="605" spans="9:13" x14ac:dyDescent="0.25">
      <c r="I605" t="s">
        <v>1245</v>
      </c>
      <c r="J605" s="161" t="s">
        <v>19202</v>
      </c>
      <c r="K605" t="s">
        <v>19203</v>
      </c>
      <c r="L605" t="s">
        <v>1244</v>
      </c>
      <c r="M605" s="161" t="s">
        <v>19202</v>
      </c>
    </row>
    <row r="606" spans="9:13" x14ac:dyDescent="0.25">
      <c r="I606" t="s">
        <v>747</v>
      </c>
      <c r="J606" s="161" t="s">
        <v>19202</v>
      </c>
      <c r="K606" t="s">
        <v>19203</v>
      </c>
      <c r="L606" t="s">
        <v>746</v>
      </c>
      <c r="M606" s="161" t="s">
        <v>19202</v>
      </c>
    </row>
    <row r="607" spans="9:13" x14ac:dyDescent="0.25">
      <c r="I607" t="s">
        <v>9758</v>
      </c>
      <c r="J607" s="161" t="s">
        <v>19202</v>
      </c>
      <c r="K607" t="s">
        <v>19203</v>
      </c>
      <c r="L607" t="s">
        <v>9757</v>
      </c>
      <c r="M607" s="161" t="s">
        <v>19202</v>
      </c>
    </row>
    <row r="608" spans="9:13" x14ac:dyDescent="0.25">
      <c r="I608" t="s">
        <v>14305</v>
      </c>
      <c r="J608" s="161" t="s">
        <v>19202</v>
      </c>
      <c r="K608" t="s">
        <v>19203</v>
      </c>
      <c r="L608" t="s">
        <v>13864</v>
      </c>
      <c r="M608" s="161" t="s">
        <v>19202</v>
      </c>
    </row>
    <row r="609" spans="9:13" x14ac:dyDescent="0.25">
      <c r="I609" t="s">
        <v>15096</v>
      </c>
      <c r="J609" s="161" t="s">
        <v>19202</v>
      </c>
      <c r="K609" t="s">
        <v>19203</v>
      </c>
      <c r="L609" t="s">
        <v>1108</v>
      </c>
      <c r="M609" s="161" t="s">
        <v>19202</v>
      </c>
    </row>
    <row r="610" spans="9:13" x14ac:dyDescent="0.25">
      <c r="I610" t="s">
        <v>1419</v>
      </c>
      <c r="J610" s="161" t="s">
        <v>19202</v>
      </c>
      <c r="K610" t="s">
        <v>19203</v>
      </c>
      <c r="L610" t="s">
        <v>1418</v>
      </c>
      <c r="M610" s="161" t="s">
        <v>19202</v>
      </c>
    </row>
    <row r="611" spans="9:13" x14ac:dyDescent="0.25">
      <c r="I611" t="s">
        <v>16962</v>
      </c>
      <c r="J611" s="161" t="s">
        <v>19202</v>
      </c>
      <c r="K611" t="s">
        <v>19203</v>
      </c>
      <c r="L611" t="s">
        <v>16961</v>
      </c>
      <c r="M611" s="161" t="s">
        <v>19202</v>
      </c>
    </row>
    <row r="612" spans="9:13" x14ac:dyDescent="0.25">
      <c r="I612" t="s">
        <v>17592</v>
      </c>
      <c r="J612" s="161" t="s">
        <v>19202</v>
      </c>
      <c r="K612" t="s">
        <v>19203</v>
      </c>
      <c r="L612" t="s">
        <v>15495</v>
      </c>
      <c r="M612" s="161" t="s">
        <v>19202</v>
      </c>
    </row>
    <row r="613" spans="9:13" x14ac:dyDescent="0.25">
      <c r="I613" t="s">
        <v>1622</v>
      </c>
      <c r="J613" s="161" t="s">
        <v>19202</v>
      </c>
      <c r="K613" t="s">
        <v>19203</v>
      </c>
      <c r="L613" t="s">
        <v>1621</v>
      </c>
      <c r="M613" s="161" t="s">
        <v>19202</v>
      </c>
    </row>
    <row r="614" spans="9:13" x14ac:dyDescent="0.25">
      <c r="I614" t="s">
        <v>14516</v>
      </c>
      <c r="J614" s="161" t="s">
        <v>19202</v>
      </c>
      <c r="K614" t="s">
        <v>19203</v>
      </c>
      <c r="L614" t="s">
        <v>1084</v>
      </c>
      <c r="M614" s="161" t="s">
        <v>19202</v>
      </c>
    </row>
    <row r="615" spans="9:13" x14ac:dyDescent="0.25">
      <c r="I615" t="s">
        <v>1093</v>
      </c>
      <c r="J615" s="161" t="s">
        <v>19202</v>
      </c>
      <c r="K615" t="s">
        <v>19203</v>
      </c>
      <c r="L615" t="s">
        <v>1092</v>
      </c>
      <c r="M615" s="161" t="s">
        <v>19202</v>
      </c>
    </row>
    <row r="616" spans="9:13" x14ac:dyDescent="0.25">
      <c r="I616" t="s">
        <v>17734</v>
      </c>
      <c r="J616" s="161" t="s">
        <v>19202</v>
      </c>
      <c r="K616" t="s">
        <v>19203</v>
      </c>
      <c r="L616" t="s">
        <v>17733</v>
      </c>
      <c r="M616" s="161" t="s">
        <v>19202</v>
      </c>
    </row>
    <row r="617" spans="9:13" x14ac:dyDescent="0.25">
      <c r="I617" t="s">
        <v>5356</v>
      </c>
      <c r="J617" s="161" t="s">
        <v>19202</v>
      </c>
      <c r="K617" t="s">
        <v>19203</v>
      </c>
      <c r="L617" t="s">
        <v>5355</v>
      </c>
      <c r="M617" s="161" t="s">
        <v>19202</v>
      </c>
    </row>
    <row r="618" spans="9:13" x14ac:dyDescent="0.25">
      <c r="I618" t="s">
        <v>13354</v>
      </c>
      <c r="J618" s="161" t="s">
        <v>19202</v>
      </c>
      <c r="K618" t="s">
        <v>19203</v>
      </c>
      <c r="L618" t="s">
        <v>13353</v>
      </c>
      <c r="M618" s="161" t="s">
        <v>19202</v>
      </c>
    </row>
    <row r="619" spans="9:13" x14ac:dyDescent="0.25">
      <c r="I619" t="s">
        <v>1450</v>
      </c>
      <c r="J619" s="161" t="s">
        <v>19202</v>
      </c>
      <c r="K619" t="s">
        <v>19203</v>
      </c>
      <c r="L619" t="s">
        <v>1449</v>
      </c>
      <c r="M619" s="161" t="s">
        <v>19202</v>
      </c>
    </row>
    <row r="620" spans="9:13" x14ac:dyDescent="0.25">
      <c r="I620" t="s">
        <v>1699</v>
      </c>
      <c r="J620" s="161" t="s">
        <v>19202</v>
      </c>
      <c r="K620" t="s">
        <v>19203</v>
      </c>
      <c r="L620" t="s">
        <v>1698</v>
      </c>
      <c r="M620" s="161" t="s">
        <v>19202</v>
      </c>
    </row>
    <row r="621" spans="9:13" x14ac:dyDescent="0.25">
      <c r="I621" t="s">
        <v>11885</v>
      </c>
      <c r="J621" s="161" t="s">
        <v>19202</v>
      </c>
      <c r="K621" t="s">
        <v>19203</v>
      </c>
      <c r="L621" t="s">
        <v>11884</v>
      </c>
      <c r="M621" s="161" t="s">
        <v>19202</v>
      </c>
    </row>
    <row r="622" spans="9:13" x14ac:dyDescent="0.25">
      <c r="I622" t="s">
        <v>3171</v>
      </c>
      <c r="J622" s="161" t="s">
        <v>19202</v>
      </c>
      <c r="K622" t="s">
        <v>19203</v>
      </c>
      <c r="L622" t="s">
        <v>3170</v>
      </c>
      <c r="M622" s="161" t="s">
        <v>19202</v>
      </c>
    </row>
    <row r="623" spans="9:13" x14ac:dyDescent="0.25">
      <c r="I623" t="s">
        <v>11474</v>
      </c>
      <c r="J623" s="161" t="s">
        <v>19202</v>
      </c>
      <c r="K623" t="s">
        <v>19203</v>
      </c>
      <c r="L623" t="s">
        <v>11473</v>
      </c>
      <c r="M623" s="161" t="s">
        <v>19202</v>
      </c>
    </row>
    <row r="624" spans="9:13" x14ac:dyDescent="0.25">
      <c r="I624" t="s">
        <v>17965</v>
      </c>
      <c r="J624" s="161" t="s">
        <v>19202</v>
      </c>
      <c r="K624" t="s">
        <v>19203</v>
      </c>
      <c r="L624" t="s">
        <v>17964</v>
      </c>
      <c r="M624" s="161" t="s">
        <v>19202</v>
      </c>
    </row>
    <row r="625" spans="9:13" x14ac:dyDescent="0.25">
      <c r="I625" t="s">
        <v>11026</v>
      </c>
      <c r="J625" s="161" t="s">
        <v>19202</v>
      </c>
      <c r="K625" t="s">
        <v>19203</v>
      </c>
      <c r="L625" t="s">
        <v>386</v>
      </c>
      <c r="M625" s="161" t="s">
        <v>19202</v>
      </c>
    </row>
    <row r="626" spans="9:13" x14ac:dyDescent="0.25">
      <c r="I626" t="s">
        <v>13006</v>
      </c>
      <c r="J626" s="161" t="s">
        <v>19202</v>
      </c>
      <c r="K626" t="s">
        <v>19203</v>
      </c>
      <c r="L626" t="s">
        <v>13005</v>
      </c>
      <c r="M626" s="161" t="s">
        <v>19202</v>
      </c>
    </row>
    <row r="627" spans="9:13" x14ac:dyDescent="0.25">
      <c r="I627" t="s">
        <v>4331</v>
      </c>
      <c r="J627" s="161" t="s">
        <v>19202</v>
      </c>
      <c r="K627" t="s">
        <v>19203</v>
      </c>
      <c r="L627" t="s">
        <v>3949</v>
      </c>
      <c r="M627" s="161" t="s">
        <v>19202</v>
      </c>
    </row>
    <row r="628" spans="9:13" x14ac:dyDescent="0.25">
      <c r="I628" t="s">
        <v>13207</v>
      </c>
      <c r="J628" s="161" t="s">
        <v>19202</v>
      </c>
      <c r="K628" t="s">
        <v>19203</v>
      </c>
      <c r="L628" t="s">
        <v>13206</v>
      </c>
      <c r="M628" s="161" t="s">
        <v>19202</v>
      </c>
    </row>
    <row r="629" spans="9:13" x14ac:dyDescent="0.25">
      <c r="I629" t="s">
        <v>15680</v>
      </c>
      <c r="J629" s="161" t="s">
        <v>19202</v>
      </c>
      <c r="K629" t="s">
        <v>19203</v>
      </c>
      <c r="L629" t="s">
        <v>13156</v>
      </c>
      <c r="M629" s="161" t="s">
        <v>19202</v>
      </c>
    </row>
    <row r="630" spans="9:13" x14ac:dyDescent="0.25">
      <c r="I630" t="s">
        <v>9679</v>
      </c>
      <c r="J630" s="161" t="s">
        <v>19202</v>
      </c>
      <c r="K630" t="s">
        <v>19203</v>
      </c>
      <c r="L630" t="s">
        <v>9678</v>
      </c>
      <c r="M630" s="161" t="s">
        <v>19202</v>
      </c>
    </row>
    <row r="631" spans="9:13" x14ac:dyDescent="0.25">
      <c r="I631" t="s">
        <v>1333</v>
      </c>
      <c r="J631" s="161" t="s">
        <v>19202</v>
      </c>
      <c r="K631" t="s">
        <v>19203</v>
      </c>
      <c r="L631" t="s">
        <v>1332</v>
      </c>
      <c r="M631" s="161" t="s">
        <v>19202</v>
      </c>
    </row>
    <row r="632" spans="9:13" x14ac:dyDescent="0.25">
      <c r="I632" t="s">
        <v>3877</v>
      </c>
      <c r="J632" s="161" t="s">
        <v>19202</v>
      </c>
      <c r="K632" t="s">
        <v>19203</v>
      </c>
      <c r="L632" t="s">
        <v>3876</v>
      </c>
      <c r="M632" s="161" t="s">
        <v>19202</v>
      </c>
    </row>
    <row r="633" spans="9:13" x14ac:dyDescent="0.25">
      <c r="I633" t="s">
        <v>1686</v>
      </c>
      <c r="J633" s="161" t="s">
        <v>19202</v>
      </c>
      <c r="K633" t="s">
        <v>19203</v>
      </c>
      <c r="L633" t="s">
        <v>1685</v>
      </c>
      <c r="M633" s="161" t="s">
        <v>19202</v>
      </c>
    </row>
    <row r="634" spans="9:13" x14ac:dyDescent="0.25">
      <c r="I634" t="s">
        <v>13446</v>
      </c>
      <c r="J634" s="161" t="s">
        <v>19202</v>
      </c>
      <c r="K634" t="s">
        <v>19203</v>
      </c>
      <c r="L634" t="s">
        <v>13445</v>
      </c>
      <c r="M634" s="161" t="s">
        <v>19202</v>
      </c>
    </row>
    <row r="635" spans="9:13" x14ac:dyDescent="0.25">
      <c r="I635" t="s">
        <v>1862</v>
      </c>
      <c r="J635" s="161" t="s">
        <v>19202</v>
      </c>
      <c r="K635" t="s">
        <v>19203</v>
      </c>
      <c r="L635" t="s">
        <v>1861</v>
      </c>
      <c r="M635" s="161" t="s">
        <v>19202</v>
      </c>
    </row>
    <row r="636" spans="9:13" x14ac:dyDescent="0.25">
      <c r="I636" t="s">
        <v>1906</v>
      </c>
      <c r="J636" s="161" t="s">
        <v>19202</v>
      </c>
      <c r="K636" t="s">
        <v>19203</v>
      </c>
      <c r="L636" t="s">
        <v>832</v>
      </c>
      <c r="M636" s="161" t="s">
        <v>19202</v>
      </c>
    </row>
    <row r="637" spans="9:13" x14ac:dyDescent="0.25">
      <c r="I637" t="s">
        <v>1959</v>
      </c>
      <c r="J637" s="161" t="s">
        <v>19202</v>
      </c>
      <c r="K637" t="s">
        <v>19203</v>
      </c>
      <c r="L637" t="s">
        <v>1958</v>
      </c>
      <c r="M637" s="161" t="s">
        <v>19202</v>
      </c>
    </row>
    <row r="638" spans="9:13" x14ac:dyDescent="0.25">
      <c r="I638" t="s">
        <v>4459</v>
      </c>
      <c r="J638" s="161" t="s">
        <v>19202</v>
      </c>
      <c r="K638" t="s">
        <v>19203</v>
      </c>
      <c r="L638" t="s">
        <v>857</v>
      </c>
      <c r="M638" s="161" t="s">
        <v>19202</v>
      </c>
    </row>
    <row r="639" spans="9:13" x14ac:dyDescent="0.25">
      <c r="I639" t="s">
        <v>7288</v>
      </c>
      <c r="J639" s="161" t="s">
        <v>19202</v>
      </c>
      <c r="K639" t="s">
        <v>19203</v>
      </c>
      <c r="L639" t="s">
        <v>7287</v>
      </c>
      <c r="M639" s="161" t="s">
        <v>19202</v>
      </c>
    </row>
    <row r="640" spans="9:13" x14ac:dyDescent="0.25">
      <c r="I640" t="s">
        <v>1434</v>
      </c>
      <c r="J640" s="161" t="s">
        <v>19202</v>
      </c>
      <c r="K640" t="s">
        <v>19203</v>
      </c>
      <c r="L640" t="s">
        <v>1415</v>
      </c>
      <c r="M640" s="161" t="s">
        <v>19202</v>
      </c>
    </row>
    <row r="641" spans="9:13" x14ac:dyDescent="0.25">
      <c r="I641" t="s">
        <v>16515</v>
      </c>
      <c r="J641" s="161" t="s">
        <v>19202</v>
      </c>
      <c r="K641" t="s">
        <v>19203</v>
      </c>
      <c r="L641" t="s">
        <v>16514</v>
      </c>
      <c r="M641" s="161" t="s">
        <v>19202</v>
      </c>
    </row>
    <row r="642" spans="9:13" x14ac:dyDescent="0.25">
      <c r="I642" t="s">
        <v>16414</v>
      </c>
      <c r="J642" s="161" t="s">
        <v>19202</v>
      </c>
      <c r="K642" t="s">
        <v>19203</v>
      </c>
      <c r="L642" t="s">
        <v>16413</v>
      </c>
      <c r="M642" s="161" t="s">
        <v>19202</v>
      </c>
    </row>
    <row r="643" spans="9:13" x14ac:dyDescent="0.25">
      <c r="I643" t="s">
        <v>17510</v>
      </c>
      <c r="J643" s="161" t="s">
        <v>19202</v>
      </c>
      <c r="K643" t="s">
        <v>19203</v>
      </c>
      <c r="L643" t="s">
        <v>17509</v>
      </c>
      <c r="M643" s="161" t="s">
        <v>19202</v>
      </c>
    </row>
    <row r="644" spans="9:13" x14ac:dyDescent="0.25">
      <c r="I644" t="s">
        <v>19332</v>
      </c>
      <c r="J644" s="161" t="s">
        <v>19202</v>
      </c>
      <c r="K644" t="s">
        <v>19203</v>
      </c>
      <c r="L644" t="s">
        <v>1495</v>
      </c>
      <c r="M644" s="161" t="s">
        <v>19202</v>
      </c>
    </row>
    <row r="645" spans="9:13" x14ac:dyDescent="0.25">
      <c r="I645" t="s">
        <v>715</v>
      </c>
      <c r="J645" s="161" t="s">
        <v>19202</v>
      </c>
      <c r="K645" t="s">
        <v>19203</v>
      </c>
      <c r="L645" t="s">
        <v>183</v>
      </c>
      <c r="M645" s="161" t="s">
        <v>19202</v>
      </c>
    </row>
    <row r="646" spans="9:13" x14ac:dyDescent="0.25">
      <c r="I646" t="s">
        <v>16680</v>
      </c>
      <c r="J646" s="161" t="s">
        <v>19202</v>
      </c>
      <c r="K646" t="s">
        <v>19203</v>
      </c>
      <c r="L646" t="s">
        <v>16679</v>
      </c>
      <c r="M646" s="161" t="s">
        <v>19202</v>
      </c>
    </row>
    <row r="647" spans="9:13" x14ac:dyDescent="0.25">
      <c r="I647" t="s">
        <v>17285</v>
      </c>
      <c r="J647" s="161" t="s">
        <v>19202</v>
      </c>
      <c r="K647" t="s">
        <v>19203</v>
      </c>
      <c r="L647" t="s">
        <v>17284</v>
      </c>
      <c r="M647" s="161" t="s">
        <v>19202</v>
      </c>
    </row>
    <row r="648" spans="9:13" x14ac:dyDescent="0.25">
      <c r="I648" t="s">
        <v>9458</v>
      </c>
      <c r="J648" s="161" t="s">
        <v>19202</v>
      </c>
      <c r="K648" t="s">
        <v>19203</v>
      </c>
      <c r="L648" t="s">
        <v>9457</v>
      </c>
      <c r="M648" s="161" t="s">
        <v>19202</v>
      </c>
    </row>
    <row r="649" spans="9:13" x14ac:dyDescent="0.25">
      <c r="I649" t="s">
        <v>15372</v>
      </c>
      <c r="J649" s="161" t="s">
        <v>19202</v>
      </c>
      <c r="K649" t="s">
        <v>19203</v>
      </c>
      <c r="L649" t="s">
        <v>14620</v>
      </c>
      <c r="M649" s="161" t="s">
        <v>19202</v>
      </c>
    </row>
    <row r="650" spans="9:13" x14ac:dyDescent="0.25">
      <c r="I650" t="s">
        <v>14073</v>
      </c>
      <c r="J650" s="161" t="s">
        <v>19202</v>
      </c>
      <c r="K650" t="s">
        <v>19203</v>
      </c>
      <c r="L650" t="s">
        <v>14072</v>
      </c>
      <c r="M650" s="161" t="s">
        <v>19202</v>
      </c>
    </row>
    <row r="651" spans="9:13" x14ac:dyDescent="0.25">
      <c r="I651" t="s">
        <v>4046</v>
      </c>
      <c r="J651" s="161" t="s">
        <v>19202</v>
      </c>
      <c r="K651" t="s">
        <v>19203</v>
      </c>
      <c r="L651" t="s">
        <v>8</v>
      </c>
      <c r="M651" s="161" t="s">
        <v>19202</v>
      </c>
    </row>
    <row r="652" spans="9:13" x14ac:dyDescent="0.25">
      <c r="I652" t="s">
        <v>1153</v>
      </c>
      <c r="J652" s="161" t="s">
        <v>19202</v>
      </c>
      <c r="K652" t="s">
        <v>19203</v>
      </c>
      <c r="L652" t="s">
        <v>1152</v>
      </c>
      <c r="M652" s="161" t="s">
        <v>19202</v>
      </c>
    </row>
    <row r="653" spans="9:13" x14ac:dyDescent="0.25">
      <c r="I653" t="s">
        <v>16015</v>
      </c>
      <c r="J653" s="161" t="s">
        <v>19202</v>
      </c>
      <c r="K653" t="s">
        <v>19203</v>
      </c>
      <c r="L653" t="s">
        <v>16014</v>
      </c>
      <c r="M653" s="161" t="s">
        <v>19202</v>
      </c>
    </row>
    <row r="654" spans="9:13" x14ac:dyDescent="0.25">
      <c r="I654" t="s">
        <v>16269</v>
      </c>
      <c r="J654" s="161" t="s">
        <v>19202</v>
      </c>
      <c r="K654" t="s">
        <v>19203</v>
      </c>
      <c r="L654" t="s">
        <v>1344</v>
      </c>
      <c r="M654" s="161" t="s">
        <v>19202</v>
      </c>
    </row>
    <row r="655" spans="9:13" x14ac:dyDescent="0.25">
      <c r="I655" t="s">
        <v>19333</v>
      </c>
      <c r="J655" s="161" t="s">
        <v>19202</v>
      </c>
      <c r="K655" t="s">
        <v>19203</v>
      </c>
      <c r="L655" t="s">
        <v>19334</v>
      </c>
      <c r="M655" s="161" t="s">
        <v>19202</v>
      </c>
    </row>
    <row r="656" spans="9:13" x14ac:dyDescent="0.25">
      <c r="I656" t="s">
        <v>14828</v>
      </c>
      <c r="J656" s="161" t="s">
        <v>19202</v>
      </c>
      <c r="K656" t="s">
        <v>19203</v>
      </c>
      <c r="L656" t="s">
        <v>14827</v>
      </c>
      <c r="M656" s="161" t="s">
        <v>19202</v>
      </c>
    </row>
    <row r="657" spans="9:13" x14ac:dyDescent="0.25">
      <c r="I657" t="s">
        <v>17319</v>
      </c>
      <c r="J657" s="161" t="s">
        <v>19202</v>
      </c>
      <c r="K657" t="s">
        <v>19203</v>
      </c>
      <c r="L657" t="s">
        <v>11310</v>
      </c>
      <c r="M657" s="161" t="s">
        <v>19202</v>
      </c>
    </row>
    <row r="658" spans="9:13" x14ac:dyDescent="0.25">
      <c r="I658" t="s">
        <v>19335</v>
      </c>
      <c r="J658" s="161" t="s">
        <v>19202</v>
      </c>
      <c r="K658" t="s">
        <v>19203</v>
      </c>
      <c r="L658" t="s">
        <v>19336</v>
      </c>
      <c r="M658" s="161" t="s">
        <v>19202</v>
      </c>
    </row>
    <row r="659" spans="9:13" x14ac:dyDescent="0.25">
      <c r="I659" t="s">
        <v>6103</v>
      </c>
      <c r="J659" s="161" t="s">
        <v>19202</v>
      </c>
      <c r="K659" t="s">
        <v>19203</v>
      </c>
      <c r="L659" t="s">
        <v>4597</v>
      </c>
      <c r="M659" s="161" t="s">
        <v>19202</v>
      </c>
    </row>
    <row r="660" spans="9:13" x14ac:dyDescent="0.25">
      <c r="I660" t="s">
        <v>2024</v>
      </c>
      <c r="J660" s="161" t="s">
        <v>19202</v>
      </c>
      <c r="K660" t="s">
        <v>19203</v>
      </c>
      <c r="L660" t="s">
        <v>2023</v>
      </c>
      <c r="M660" s="161" t="s">
        <v>19202</v>
      </c>
    </row>
    <row r="661" spans="9:13" x14ac:dyDescent="0.25">
      <c r="I661" t="s">
        <v>3721</v>
      </c>
      <c r="J661" s="161" t="s">
        <v>19202</v>
      </c>
      <c r="K661" t="s">
        <v>19203</v>
      </c>
      <c r="L661" t="s">
        <v>3720</v>
      </c>
      <c r="M661" s="161" t="s">
        <v>19202</v>
      </c>
    </row>
    <row r="662" spans="9:13" x14ac:dyDescent="0.25">
      <c r="I662" t="s">
        <v>13760</v>
      </c>
      <c r="J662" s="161" t="s">
        <v>19202</v>
      </c>
      <c r="K662" t="s">
        <v>19203</v>
      </c>
      <c r="L662" t="s">
        <v>588</v>
      </c>
      <c r="M662" s="161" t="s">
        <v>19202</v>
      </c>
    </row>
    <row r="663" spans="9:13" x14ac:dyDescent="0.25">
      <c r="I663" t="s">
        <v>1794</v>
      </c>
      <c r="J663" s="161" t="s">
        <v>19202</v>
      </c>
      <c r="K663" t="s">
        <v>19203</v>
      </c>
      <c r="L663" t="s">
        <v>1793</v>
      </c>
      <c r="M663" s="161" t="s">
        <v>19202</v>
      </c>
    </row>
    <row r="664" spans="9:13" x14ac:dyDescent="0.25">
      <c r="I664" t="s">
        <v>13305</v>
      </c>
      <c r="J664" s="161" t="s">
        <v>19202</v>
      </c>
      <c r="K664" t="s">
        <v>19203</v>
      </c>
      <c r="L664" t="s">
        <v>13304</v>
      </c>
      <c r="M664" s="161" t="s">
        <v>19202</v>
      </c>
    </row>
    <row r="665" spans="9:13" x14ac:dyDescent="0.25">
      <c r="I665" t="s">
        <v>1095</v>
      </c>
      <c r="J665" s="161" t="s">
        <v>19202</v>
      </c>
      <c r="K665" t="s">
        <v>19203</v>
      </c>
      <c r="L665" t="s">
        <v>1094</v>
      </c>
      <c r="M665" s="161" t="s">
        <v>19202</v>
      </c>
    </row>
    <row r="666" spans="9:13" x14ac:dyDescent="0.25">
      <c r="I666" t="s">
        <v>5334</v>
      </c>
      <c r="J666" s="161" t="s">
        <v>19202</v>
      </c>
      <c r="K666" t="s">
        <v>19203</v>
      </c>
      <c r="L666" t="s">
        <v>5333</v>
      </c>
      <c r="M666" s="161" t="s">
        <v>19202</v>
      </c>
    </row>
    <row r="667" spans="9:13" x14ac:dyDescent="0.25">
      <c r="I667" t="s">
        <v>17520</v>
      </c>
      <c r="J667" s="161" t="s">
        <v>19202</v>
      </c>
      <c r="K667" t="s">
        <v>19203</v>
      </c>
      <c r="L667" t="s">
        <v>2652</v>
      </c>
      <c r="M667" s="161" t="s">
        <v>19202</v>
      </c>
    </row>
    <row r="668" spans="9:13" x14ac:dyDescent="0.25">
      <c r="I668" t="s">
        <v>2083</v>
      </c>
      <c r="J668" s="161" t="s">
        <v>19202</v>
      </c>
      <c r="K668" t="s">
        <v>19203</v>
      </c>
      <c r="L668" t="s">
        <v>2082</v>
      </c>
      <c r="M668" s="161" t="s">
        <v>19202</v>
      </c>
    </row>
    <row r="669" spans="9:13" x14ac:dyDescent="0.25">
      <c r="I669" t="s">
        <v>12790</v>
      </c>
      <c r="J669" s="161" t="s">
        <v>19202</v>
      </c>
      <c r="K669" t="s">
        <v>19203</v>
      </c>
      <c r="L669" t="s">
        <v>12789</v>
      </c>
      <c r="M669" s="161" t="s">
        <v>19202</v>
      </c>
    </row>
    <row r="670" spans="9:13" x14ac:dyDescent="0.25">
      <c r="I670" t="s">
        <v>8479</v>
      </c>
      <c r="J670" s="161" t="s">
        <v>19202</v>
      </c>
      <c r="K670" t="s">
        <v>19203</v>
      </c>
      <c r="L670" t="s">
        <v>8478</v>
      </c>
      <c r="M670" s="161" t="s">
        <v>19202</v>
      </c>
    </row>
    <row r="671" spans="9:13" x14ac:dyDescent="0.25">
      <c r="I671" t="s">
        <v>5743</v>
      </c>
      <c r="J671" s="161" t="s">
        <v>19202</v>
      </c>
      <c r="K671" t="s">
        <v>19203</v>
      </c>
      <c r="L671" t="s">
        <v>5742</v>
      </c>
      <c r="M671" s="161" t="s">
        <v>19202</v>
      </c>
    </row>
    <row r="672" spans="9:13" x14ac:dyDescent="0.25">
      <c r="I672" t="s">
        <v>14749</v>
      </c>
      <c r="J672" s="161" t="s">
        <v>19202</v>
      </c>
      <c r="K672" t="s">
        <v>19203</v>
      </c>
      <c r="L672" t="s">
        <v>14748</v>
      </c>
      <c r="M672" s="161" t="s">
        <v>19202</v>
      </c>
    </row>
    <row r="673" spans="9:13" x14ac:dyDescent="0.25">
      <c r="I673" t="s">
        <v>5405</v>
      </c>
      <c r="J673" s="161" t="s">
        <v>19202</v>
      </c>
      <c r="K673" t="s">
        <v>19203</v>
      </c>
      <c r="L673" t="s">
        <v>3896</v>
      </c>
      <c r="M673" s="161" t="s">
        <v>19202</v>
      </c>
    </row>
    <row r="674" spans="9:13" x14ac:dyDescent="0.25">
      <c r="I674" t="s">
        <v>17296</v>
      </c>
      <c r="J674" s="161" t="s">
        <v>19202</v>
      </c>
      <c r="K674" t="s">
        <v>19203</v>
      </c>
      <c r="L674" t="s">
        <v>13578</v>
      </c>
      <c r="M674" s="161" t="s">
        <v>19202</v>
      </c>
    </row>
    <row r="675" spans="9:13" x14ac:dyDescent="0.25">
      <c r="I675" t="s">
        <v>1667</v>
      </c>
      <c r="J675" s="161" t="s">
        <v>19202</v>
      </c>
      <c r="K675" t="s">
        <v>19203</v>
      </c>
      <c r="L675" t="s">
        <v>1666</v>
      </c>
      <c r="M675" s="161" t="s">
        <v>19202</v>
      </c>
    </row>
    <row r="676" spans="9:13" x14ac:dyDescent="0.25">
      <c r="I676" t="s">
        <v>979</v>
      </c>
      <c r="J676" s="161" t="s">
        <v>19202</v>
      </c>
      <c r="K676" t="s">
        <v>19203</v>
      </c>
      <c r="L676" t="s">
        <v>978</v>
      </c>
      <c r="M676" s="161" t="s">
        <v>19202</v>
      </c>
    </row>
    <row r="677" spans="9:13" x14ac:dyDescent="0.25">
      <c r="I677" t="s">
        <v>5961</v>
      </c>
      <c r="J677" s="161" t="s">
        <v>19202</v>
      </c>
      <c r="K677" t="s">
        <v>19203</v>
      </c>
      <c r="L677" t="s">
        <v>5960</v>
      </c>
      <c r="M677" s="161" t="s">
        <v>19202</v>
      </c>
    </row>
    <row r="678" spans="9:13" x14ac:dyDescent="0.25">
      <c r="I678" t="s">
        <v>13540</v>
      </c>
      <c r="J678" s="161" t="s">
        <v>19202</v>
      </c>
      <c r="K678" t="s">
        <v>19203</v>
      </c>
      <c r="L678" t="s">
        <v>4139</v>
      </c>
      <c r="M678" s="161" t="s">
        <v>19202</v>
      </c>
    </row>
    <row r="679" spans="9:13" x14ac:dyDescent="0.25">
      <c r="I679" t="s">
        <v>7125</v>
      </c>
      <c r="J679" s="161" t="s">
        <v>19202</v>
      </c>
      <c r="K679" t="s">
        <v>19203</v>
      </c>
      <c r="L679" t="s">
        <v>7124</v>
      </c>
      <c r="M679" s="161" t="s">
        <v>19202</v>
      </c>
    </row>
    <row r="680" spans="9:13" x14ac:dyDescent="0.25">
      <c r="I680" t="s">
        <v>2310</v>
      </c>
      <c r="J680" s="161" t="s">
        <v>19202</v>
      </c>
      <c r="K680" t="s">
        <v>19203</v>
      </c>
      <c r="L680" t="s">
        <v>2309</v>
      </c>
      <c r="M680" s="161" t="s">
        <v>19202</v>
      </c>
    </row>
    <row r="681" spans="9:13" x14ac:dyDescent="0.25">
      <c r="I681" t="s">
        <v>1632</v>
      </c>
      <c r="J681" s="161" t="s">
        <v>19202</v>
      </c>
      <c r="K681" t="s">
        <v>19203</v>
      </c>
      <c r="L681" t="s">
        <v>1631</v>
      </c>
      <c r="M681" s="161" t="s">
        <v>19202</v>
      </c>
    </row>
    <row r="682" spans="9:13" x14ac:dyDescent="0.25">
      <c r="I682" t="s">
        <v>1663</v>
      </c>
      <c r="J682" s="161" t="s">
        <v>19202</v>
      </c>
      <c r="K682" t="s">
        <v>19203</v>
      </c>
      <c r="L682" t="s">
        <v>1662</v>
      </c>
      <c r="M682" s="161" t="s">
        <v>19202</v>
      </c>
    </row>
    <row r="683" spans="9:13" x14ac:dyDescent="0.25">
      <c r="I683" t="s">
        <v>2038</v>
      </c>
      <c r="J683" s="161" t="s">
        <v>19202</v>
      </c>
      <c r="K683" t="s">
        <v>19203</v>
      </c>
      <c r="L683" t="s">
        <v>545</v>
      </c>
      <c r="M683" s="161" t="s">
        <v>19202</v>
      </c>
    </row>
    <row r="684" spans="9:13" x14ac:dyDescent="0.25">
      <c r="I684" t="s">
        <v>4204</v>
      </c>
      <c r="J684" s="161" t="s">
        <v>19202</v>
      </c>
      <c r="K684" t="s">
        <v>19203</v>
      </c>
      <c r="L684" t="s">
        <v>4203</v>
      </c>
      <c r="M684" s="161" t="s">
        <v>19202</v>
      </c>
    </row>
    <row r="685" spans="9:13" x14ac:dyDescent="0.25">
      <c r="I685" t="s">
        <v>17755</v>
      </c>
      <c r="J685" s="161" t="s">
        <v>19202</v>
      </c>
      <c r="K685" t="s">
        <v>19203</v>
      </c>
      <c r="L685" t="s">
        <v>17754</v>
      </c>
      <c r="M685" s="161" t="s">
        <v>19202</v>
      </c>
    </row>
    <row r="686" spans="9:13" x14ac:dyDescent="0.25">
      <c r="I686" t="s">
        <v>19337</v>
      </c>
      <c r="J686" s="161" t="s">
        <v>19202</v>
      </c>
      <c r="K686" t="s">
        <v>19203</v>
      </c>
      <c r="L686" t="s">
        <v>19338</v>
      </c>
      <c r="M686" s="161" t="s">
        <v>19202</v>
      </c>
    </row>
    <row r="687" spans="9:13" x14ac:dyDescent="0.25">
      <c r="I687" t="s">
        <v>17250</v>
      </c>
      <c r="J687" s="161" t="s">
        <v>19202</v>
      </c>
      <c r="K687" t="s">
        <v>19203</v>
      </c>
      <c r="L687" t="s">
        <v>17249</v>
      </c>
      <c r="M687" s="161" t="s">
        <v>19202</v>
      </c>
    </row>
    <row r="688" spans="9:13" x14ac:dyDescent="0.25">
      <c r="I688" t="s">
        <v>7728</v>
      </c>
      <c r="J688" s="161" t="s">
        <v>19202</v>
      </c>
      <c r="K688" t="s">
        <v>19203</v>
      </c>
      <c r="L688" t="s">
        <v>7727</v>
      </c>
      <c r="M688" s="161" t="s">
        <v>19202</v>
      </c>
    </row>
    <row r="689" spans="9:13" x14ac:dyDescent="0.25">
      <c r="I689" t="s">
        <v>8287</v>
      </c>
      <c r="J689" s="161" t="s">
        <v>19202</v>
      </c>
      <c r="K689" t="s">
        <v>19203</v>
      </c>
      <c r="L689" t="s">
        <v>8286</v>
      </c>
      <c r="M689" s="161" t="s">
        <v>19202</v>
      </c>
    </row>
    <row r="690" spans="9:13" x14ac:dyDescent="0.25">
      <c r="I690" t="s">
        <v>1761</v>
      </c>
      <c r="J690" s="161" t="s">
        <v>19202</v>
      </c>
      <c r="K690" t="s">
        <v>19203</v>
      </c>
      <c r="L690" t="s">
        <v>1760</v>
      </c>
      <c r="M690" s="161" t="s">
        <v>19202</v>
      </c>
    </row>
    <row r="691" spans="9:13" x14ac:dyDescent="0.25">
      <c r="I691" t="s">
        <v>10983</v>
      </c>
      <c r="J691" s="161" t="s">
        <v>19202</v>
      </c>
      <c r="K691" t="s">
        <v>19203</v>
      </c>
      <c r="L691" t="s">
        <v>10982</v>
      </c>
      <c r="M691" s="161" t="s">
        <v>19202</v>
      </c>
    </row>
    <row r="692" spans="9:13" x14ac:dyDescent="0.25">
      <c r="I692" t="s">
        <v>17932</v>
      </c>
      <c r="J692" s="161" t="s">
        <v>19202</v>
      </c>
      <c r="K692" t="s">
        <v>19203</v>
      </c>
      <c r="L692" t="s">
        <v>14171</v>
      </c>
      <c r="M692" s="161" t="s">
        <v>19202</v>
      </c>
    </row>
    <row r="693" spans="9:13" x14ac:dyDescent="0.25">
      <c r="I693" t="s">
        <v>1324</v>
      </c>
      <c r="J693" s="161" t="s">
        <v>19202</v>
      </c>
      <c r="K693" t="s">
        <v>19203</v>
      </c>
      <c r="L693" t="s">
        <v>1323</v>
      </c>
      <c r="M693" s="161" t="s">
        <v>19202</v>
      </c>
    </row>
    <row r="694" spans="9:13" x14ac:dyDescent="0.25">
      <c r="I694" t="s">
        <v>8952</v>
      </c>
      <c r="J694" s="161" t="s">
        <v>19202</v>
      </c>
      <c r="K694" t="s">
        <v>19203</v>
      </c>
      <c r="L694" t="s">
        <v>8951</v>
      </c>
      <c r="M694" s="161" t="s">
        <v>19202</v>
      </c>
    </row>
    <row r="695" spans="9:13" x14ac:dyDescent="0.25">
      <c r="I695" t="s">
        <v>11945</v>
      </c>
      <c r="J695" s="161" t="s">
        <v>19202</v>
      </c>
      <c r="K695" t="s">
        <v>19203</v>
      </c>
      <c r="L695" t="s">
        <v>11944</v>
      </c>
      <c r="M695" s="161" t="s">
        <v>19202</v>
      </c>
    </row>
    <row r="696" spans="9:13" x14ac:dyDescent="0.25">
      <c r="I696" t="s">
        <v>2112</v>
      </c>
      <c r="J696" s="161" t="s">
        <v>19202</v>
      </c>
      <c r="K696" t="s">
        <v>19203</v>
      </c>
      <c r="L696" t="s">
        <v>2111</v>
      </c>
      <c r="M696" s="161" t="s">
        <v>19202</v>
      </c>
    </row>
    <row r="697" spans="9:13" x14ac:dyDescent="0.25">
      <c r="I697" t="s">
        <v>13852</v>
      </c>
      <c r="J697" s="161" t="s">
        <v>19202</v>
      </c>
      <c r="K697" t="s">
        <v>19203</v>
      </c>
      <c r="L697" t="s">
        <v>13851</v>
      </c>
      <c r="M697" s="161" t="s">
        <v>19202</v>
      </c>
    </row>
    <row r="698" spans="9:13" x14ac:dyDescent="0.25">
      <c r="I698" t="s">
        <v>17931</v>
      </c>
      <c r="J698" s="161" t="s">
        <v>19202</v>
      </c>
      <c r="K698" t="s">
        <v>19203</v>
      </c>
      <c r="L698" t="s">
        <v>17930</v>
      </c>
      <c r="M698" s="161" t="s">
        <v>19202</v>
      </c>
    </row>
    <row r="699" spans="9:13" x14ac:dyDescent="0.25">
      <c r="I699" t="s">
        <v>1634</v>
      </c>
      <c r="J699" s="161" t="s">
        <v>19202</v>
      </c>
      <c r="K699" t="s">
        <v>19203</v>
      </c>
      <c r="L699" t="s">
        <v>1633</v>
      </c>
      <c r="M699" s="161" t="s">
        <v>19202</v>
      </c>
    </row>
    <row r="700" spans="9:13" x14ac:dyDescent="0.25">
      <c r="I700" t="s">
        <v>383</v>
      </c>
      <c r="J700" s="161" t="s">
        <v>19202</v>
      </c>
      <c r="K700" t="s">
        <v>19203</v>
      </c>
      <c r="L700" t="s">
        <v>382</v>
      </c>
      <c r="M700" s="161" t="s">
        <v>19202</v>
      </c>
    </row>
    <row r="701" spans="9:13" x14ac:dyDescent="0.25">
      <c r="I701" t="s">
        <v>17584</v>
      </c>
      <c r="J701" s="161" t="s">
        <v>19202</v>
      </c>
      <c r="K701" t="s">
        <v>19203</v>
      </c>
      <c r="L701" t="s">
        <v>16612</v>
      </c>
      <c r="M701" s="161" t="s">
        <v>19202</v>
      </c>
    </row>
    <row r="702" spans="9:13" x14ac:dyDescent="0.25">
      <c r="I702" t="s">
        <v>4367</v>
      </c>
      <c r="J702" s="161" t="s">
        <v>19202</v>
      </c>
      <c r="K702" t="s">
        <v>19203</v>
      </c>
      <c r="L702" t="s">
        <v>3738</v>
      </c>
      <c r="M702" s="161" t="s">
        <v>19202</v>
      </c>
    </row>
    <row r="703" spans="9:13" x14ac:dyDescent="0.25">
      <c r="I703" t="s">
        <v>15391</v>
      </c>
      <c r="J703" s="161" t="s">
        <v>19202</v>
      </c>
      <c r="K703" t="s">
        <v>19203</v>
      </c>
      <c r="L703" t="s">
        <v>15390</v>
      </c>
      <c r="M703" s="161" t="s">
        <v>19202</v>
      </c>
    </row>
    <row r="704" spans="9:13" x14ac:dyDescent="0.25">
      <c r="I704" t="s">
        <v>15320</v>
      </c>
      <c r="J704" s="161" t="s">
        <v>19202</v>
      </c>
      <c r="K704" t="s">
        <v>19203</v>
      </c>
      <c r="L704" t="s">
        <v>15319</v>
      </c>
      <c r="M704" s="161" t="s">
        <v>19202</v>
      </c>
    </row>
    <row r="705" spans="9:13" x14ac:dyDescent="0.25">
      <c r="I705" t="s">
        <v>1651</v>
      </c>
      <c r="J705" s="161" t="s">
        <v>19202</v>
      </c>
      <c r="K705" t="s">
        <v>19203</v>
      </c>
      <c r="L705" t="s">
        <v>1650</v>
      </c>
      <c r="M705" s="161" t="s">
        <v>19202</v>
      </c>
    </row>
    <row r="706" spans="9:13" x14ac:dyDescent="0.25">
      <c r="I706" t="s">
        <v>1157</v>
      </c>
      <c r="J706" s="161" t="s">
        <v>19202</v>
      </c>
      <c r="K706" t="s">
        <v>19203</v>
      </c>
      <c r="L706" t="s">
        <v>1156</v>
      </c>
      <c r="M706" s="161" t="s">
        <v>19202</v>
      </c>
    </row>
    <row r="707" spans="9:13" x14ac:dyDescent="0.25">
      <c r="I707" t="s">
        <v>1375</v>
      </c>
      <c r="J707" s="161" t="s">
        <v>19202</v>
      </c>
      <c r="K707" t="s">
        <v>19203</v>
      </c>
      <c r="L707" t="s">
        <v>1374</v>
      </c>
      <c r="M707" s="161" t="s">
        <v>19202</v>
      </c>
    </row>
    <row r="708" spans="9:13" x14ac:dyDescent="0.25">
      <c r="I708" t="s">
        <v>1205</v>
      </c>
      <c r="J708" s="161" t="s">
        <v>19202</v>
      </c>
      <c r="K708" t="s">
        <v>19203</v>
      </c>
      <c r="L708" t="s">
        <v>1204</v>
      </c>
      <c r="M708" s="161" t="s">
        <v>19202</v>
      </c>
    </row>
    <row r="709" spans="9:13" x14ac:dyDescent="0.25">
      <c r="I709" t="s">
        <v>10410</v>
      </c>
      <c r="J709" s="161" t="s">
        <v>19202</v>
      </c>
      <c r="K709" t="s">
        <v>19203</v>
      </c>
      <c r="L709" t="s">
        <v>3524</v>
      </c>
      <c r="M709" s="161" t="s">
        <v>19202</v>
      </c>
    </row>
    <row r="710" spans="9:13" x14ac:dyDescent="0.25">
      <c r="I710" t="s">
        <v>17324</v>
      </c>
      <c r="J710" s="161" t="s">
        <v>19202</v>
      </c>
      <c r="K710" t="s">
        <v>19203</v>
      </c>
      <c r="L710" t="s">
        <v>4126</v>
      </c>
      <c r="M710" s="161" t="s">
        <v>19202</v>
      </c>
    </row>
    <row r="711" spans="9:13" x14ac:dyDescent="0.25">
      <c r="I711" t="s">
        <v>17909</v>
      </c>
      <c r="J711" s="161" t="s">
        <v>19202</v>
      </c>
      <c r="K711" t="s">
        <v>19203</v>
      </c>
      <c r="L711" t="s">
        <v>17908</v>
      </c>
      <c r="M711" s="161" t="s">
        <v>19202</v>
      </c>
    </row>
    <row r="712" spans="9:13" x14ac:dyDescent="0.25">
      <c r="I712" t="s">
        <v>1188</v>
      </c>
      <c r="J712" s="161" t="s">
        <v>19202</v>
      </c>
      <c r="K712" t="s">
        <v>19203</v>
      </c>
      <c r="L712" t="s">
        <v>1187</v>
      </c>
      <c r="M712" s="161" t="s">
        <v>19202</v>
      </c>
    </row>
    <row r="713" spans="9:13" x14ac:dyDescent="0.25">
      <c r="I713" t="s">
        <v>4789</v>
      </c>
      <c r="J713" s="161" t="s">
        <v>19202</v>
      </c>
      <c r="K713" t="s">
        <v>19203</v>
      </c>
      <c r="L713" t="s">
        <v>4788</v>
      </c>
      <c r="M713" s="161" t="s">
        <v>19202</v>
      </c>
    </row>
    <row r="714" spans="9:13" x14ac:dyDescent="0.25">
      <c r="I714" t="s">
        <v>1361</v>
      </c>
      <c r="J714" s="161" t="s">
        <v>19202</v>
      </c>
      <c r="K714" t="s">
        <v>19203</v>
      </c>
      <c r="L714" t="s">
        <v>1360</v>
      </c>
      <c r="M714" s="161" t="s">
        <v>19202</v>
      </c>
    </row>
    <row r="715" spans="9:13" x14ac:dyDescent="0.25">
      <c r="I715" t="s">
        <v>7952</v>
      </c>
      <c r="J715" s="161" t="s">
        <v>19202</v>
      </c>
      <c r="K715" t="s">
        <v>19203</v>
      </c>
      <c r="L715" t="s">
        <v>7951</v>
      </c>
      <c r="M715" s="161" t="s">
        <v>19202</v>
      </c>
    </row>
    <row r="716" spans="9:13" x14ac:dyDescent="0.25">
      <c r="I716" t="s">
        <v>9118</v>
      </c>
      <c r="J716" s="161" t="s">
        <v>19202</v>
      </c>
      <c r="K716" t="s">
        <v>19203</v>
      </c>
      <c r="L716" t="s">
        <v>9117</v>
      </c>
      <c r="M716" s="161" t="s">
        <v>19202</v>
      </c>
    </row>
    <row r="717" spans="9:13" x14ac:dyDescent="0.25">
      <c r="I717" t="s">
        <v>10909</v>
      </c>
      <c r="J717" s="161" t="s">
        <v>19202</v>
      </c>
      <c r="K717" t="s">
        <v>19203</v>
      </c>
      <c r="L717" t="s">
        <v>10908</v>
      </c>
      <c r="M717" s="161" t="s">
        <v>19202</v>
      </c>
    </row>
    <row r="718" spans="9:13" x14ac:dyDescent="0.25">
      <c r="I718" t="s">
        <v>4337</v>
      </c>
      <c r="J718" s="161" t="s">
        <v>19202</v>
      </c>
      <c r="K718" t="s">
        <v>19203</v>
      </c>
      <c r="L718" t="s">
        <v>4336</v>
      </c>
      <c r="M718" s="161" t="s">
        <v>19202</v>
      </c>
    </row>
    <row r="719" spans="9:13" x14ac:dyDescent="0.25">
      <c r="I719" t="s">
        <v>1181</v>
      </c>
      <c r="J719" s="161" t="s">
        <v>19202</v>
      </c>
      <c r="K719" t="s">
        <v>19203</v>
      </c>
      <c r="L719" t="s">
        <v>1180</v>
      </c>
      <c r="M719" s="161" t="s">
        <v>19202</v>
      </c>
    </row>
    <row r="720" spans="9:13" x14ac:dyDescent="0.25">
      <c r="I720" t="s">
        <v>1465</v>
      </c>
      <c r="J720" s="161" t="s">
        <v>19202</v>
      </c>
      <c r="K720" t="s">
        <v>19203</v>
      </c>
      <c r="L720" t="s">
        <v>1464</v>
      </c>
      <c r="M720" s="161" t="s">
        <v>19202</v>
      </c>
    </row>
    <row r="721" spans="9:13" x14ac:dyDescent="0.25">
      <c r="I721" t="s">
        <v>12502</v>
      </c>
      <c r="J721" s="161" t="s">
        <v>19202</v>
      </c>
      <c r="K721" t="s">
        <v>19203</v>
      </c>
      <c r="L721" t="s">
        <v>12501</v>
      </c>
      <c r="M721" s="161" t="s">
        <v>19202</v>
      </c>
    </row>
    <row r="722" spans="9:13" x14ac:dyDescent="0.25">
      <c r="I722" t="s">
        <v>6386</v>
      </c>
      <c r="J722" s="161" t="s">
        <v>19202</v>
      </c>
      <c r="K722" t="s">
        <v>19203</v>
      </c>
      <c r="L722" t="s">
        <v>6385</v>
      </c>
      <c r="M722" s="161" t="s">
        <v>19202</v>
      </c>
    </row>
    <row r="723" spans="9:13" x14ac:dyDescent="0.25">
      <c r="I723" t="s">
        <v>17494</v>
      </c>
      <c r="J723" s="161" t="s">
        <v>19202</v>
      </c>
      <c r="K723" t="s">
        <v>19203</v>
      </c>
      <c r="L723" t="s">
        <v>17493</v>
      </c>
      <c r="M723" s="161" t="s">
        <v>19202</v>
      </c>
    </row>
    <row r="724" spans="9:13" x14ac:dyDescent="0.25">
      <c r="I724" t="s">
        <v>10838</v>
      </c>
      <c r="J724" s="161" t="s">
        <v>19202</v>
      </c>
      <c r="K724" t="s">
        <v>19203</v>
      </c>
      <c r="L724" t="s">
        <v>10837</v>
      </c>
      <c r="M724" s="161" t="s">
        <v>19202</v>
      </c>
    </row>
    <row r="725" spans="9:13" x14ac:dyDescent="0.25">
      <c r="I725" t="s">
        <v>14628</v>
      </c>
      <c r="J725" s="161" t="s">
        <v>19202</v>
      </c>
      <c r="K725" t="s">
        <v>19203</v>
      </c>
      <c r="L725" t="s">
        <v>14627</v>
      </c>
      <c r="M725" s="161" t="s">
        <v>19202</v>
      </c>
    </row>
    <row r="726" spans="9:13" x14ac:dyDescent="0.25">
      <c r="I726" t="s">
        <v>17325</v>
      </c>
      <c r="J726" s="161" t="s">
        <v>19202</v>
      </c>
      <c r="K726" t="s">
        <v>19203</v>
      </c>
      <c r="L726" t="s">
        <v>3862</v>
      </c>
      <c r="M726" s="161" t="s">
        <v>19202</v>
      </c>
    </row>
    <row r="727" spans="9:13" x14ac:dyDescent="0.25">
      <c r="I727" t="s">
        <v>5416</v>
      </c>
      <c r="J727" s="161" t="s">
        <v>19202</v>
      </c>
      <c r="K727" t="s">
        <v>19203</v>
      </c>
      <c r="L727" t="s">
        <v>5415</v>
      </c>
      <c r="M727" s="161" t="s">
        <v>19202</v>
      </c>
    </row>
    <row r="728" spans="9:13" x14ac:dyDescent="0.25">
      <c r="I728" t="s">
        <v>19339</v>
      </c>
      <c r="J728" s="161" t="s">
        <v>19202</v>
      </c>
      <c r="K728" t="s">
        <v>19203</v>
      </c>
      <c r="L728" t="s">
        <v>183</v>
      </c>
      <c r="M728" s="161" t="s">
        <v>19202</v>
      </c>
    </row>
    <row r="729" spans="9:13" x14ac:dyDescent="0.25">
      <c r="I729" t="s">
        <v>1101</v>
      </c>
      <c r="J729" s="161" t="s">
        <v>19202</v>
      </c>
      <c r="K729" t="s">
        <v>19203</v>
      </c>
      <c r="L729" t="s">
        <v>1100</v>
      </c>
      <c r="M729" s="161" t="s">
        <v>19202</v>
      </c>
    </row>
    <row r="730" spans="9:13" x14ac:dyDescent="0.25">
      <c r="I730" t="s">
        <v>8626</v>
      </c>
      <c r="J730" s="161" t="s">
        <v>19202</v>
      </c>
      <c r="K730" t="s">
        <v>19203</v>
      </c>
      <c r="L730" t="s">
        <v>8625</v>
      </c>
      <c r="M730" s="161" t="s">
        <v>19202</v>
      </c>
    </row>
    <row r="731" spans="9:13" x14ac:dyDescent="0.25">
      <c r="I731" t="s">
        <v>17995</v>
      </c>
      <c r="J731" s="161" t="s">
        <v>19202</v>
      </c>
      <c r="K731" t="s">
        <v>19203</v>
      </c>
      <c r="L731" t="s">
        <v>17994</v>
      </c>
      <c r="M731" s="161" t="s">
        <v>19202</v>
      </c>
    </row>
    <row r="732" spans="9:13" x14ac:dyDescent="0.25">
      <c r="I732" t="s">
        <v>11961</v>
      </c>
      <c r="J732" s="161" t="s">
        <v>19202</v>
      </c>
      <c r="K732" t="s">
        <v>19203</v>
      </c>
      <c r="L732" t="s">
        <v>11960</v>
      </c>
      <c r="M732" s="161" t="s">
        <v>19202</v>
      </c>
    </row>
    <row r="733" spans="9:13" x14ac:dyDescent="0.25">
      <c r="I733" t="s">
        <v>1478</v>
      </c>
      <c r="J733" s="161" t="s">
        <v>19202</v>
      </c>
      <c r="K733" t="s">
        <v>19203</v>
      </c>
      <c r="L733" t="s">
        <v>1278</v>
      </c>
      <c r="M733" s="161" t="s">
        <v>19202</v>
      </c>
    </row>
    <row r="734" spans="9:13" x14ac:dyDescent="0.25">
      <c r="I734" t="s">
        <v>1113</v>
      </c>
      <c r="J734" s="161" t="s">
        <v>19202</v>
      </c>
      <c r="K734" t="s">
        <v>19203</v>
      </c>
      <c r="L734" t="s">
        <v>1112</v>
      </c>
      <c r="M734" s="161" t="s">
        <v>19202</v>
      </c>
    </row>
    <row r="735" spans="9:13" x14ac:dyDescent="0.25">
      <c r="I735" t="s">
        <v>13572</v>
      </c>
      <c r="J735" s="161" t="s">
        <v>19202</v>
      </c>
      <c r="K735" t="s">
        <v>19203</v>
      </c>
      <c r="L735" t="s">
        <v>13571</v>
      </c>
      <c r="M735" s="161" t="s">
        <v>19202</v>
      </c>
    </row>
    <row r="736" spans="9:13" x14ac:dyDescent="0.25">
      <c r="I736" t="s">
        <v>17482</v>
      </c>
      <c r="J736" s="161" t="s">
        <v>19202</v>
      </c>
      <c r="K736" t="s">
        <v>19203</v>
      </c>
      <c r="L736" t="s">
        <v>17481</v>
      </c>
      <c r="M736" s="161" t="s">
        <v>19202</v>
      </c>
    </row>
    <row r="737" spans="9:13" x14ac:dyDescent="0.25">
      <c r="I737" t="s">
        <v>17899</v>
      </c>
      <c r="J737" s="161" t="s">
        <v>19202</v>
      </c>
      <c r="K737" t="s">
        <v>19203</v>
      </c>
      <c r="L737" t="s">
        <v>17898</v>
      </c>
      <c r="M737" s="161" t="s">
        <v>19202</v>
      </c>
    </row>
    <row r="738" spans="9:13" x14ac:dyDescent="0.25">
      <c r="I738" t="s">
        <v>1097</v>
      </c>
      <c r="J738" s="161" t="s">
        <v>19202</v>
      </c>
      <c r="K738" t="s">
        <v>19203</v>
      </c>
      <c r="L738" t="s">
        <v>1096</v>
      </c>
      <c r="M738" s="161" t="s">
        <v>19202</v>
      </c>
    </row>
    <row r="739" spans="9:13" x14ac:dyDescent="0.25">
      <c r="I739" t="s">
        <v>16119</v>
      </c>
      <c r="J739" s="161" t="s">
        <v>19202</v>
      </c>
      <c r="K739" t="s">
        <v>19203</v>
      </c>
      <c r="L739" t="s">
        <v>16118</v>
      </c>
      <c r="M739" s="161" t="s">
        <v>19202</v>
      </c>
    </row>
    <row r="740" spans="9:13" x14ac:dyDescent="0.25">
      <c r="I740" t="s">
        <v>15861</v>
      </c>
      <c r="J740" s="161" t="s">
        <v>19202</v>
      </c>
      <c r="K740" t="s">
        <v>19203</v>
      </c>
      <c r="L740" t="s">
        <v>879</v>
      </c>
      <c r="M740" s="161" t="s">
        <v>19202</v>
      </c>
    </row>
    <row r="741" spans="9:13" x14ac:dyDescent="0.25">
      <c r="I741" t="s">
        <v>17395</v>
      </c>
      <c r="J741" s="161" t="s">
        <v>19202</v>
      </c>
      <c r="K741" t="s">
        <v>19203</v>
      </c>
      <c r="L741" t="s">
        <v>17394</v>
      </c>
      <c r="M741" s="161" t="s">
        <v>19202</v>
      </c>
    </row>
    <row r="742" spans="9:13" x14ac:dyDescent="0.25">
      <c r="I742" t="s">
        <v>18093</v>
      </c>
      <c r="J742" s="161" t="s">
        <v>19202</v>
      </c>
      <c r="K742" t="s">
        <v>19203</v>
      </c>
      <c r="L742" t="s">
        <v>18092</v>
      </c>
      <c r="M742" s="161" t="s">
        <v>19202</v>
      </c>
    </row>
    <row r="743" spans="9:13" x14ac:dyDescent="0.25">
      <c r="I743" t="s">
        <v>1919</v>
      </c>
      <c r="J743" s="161" t="s">
        <v>19202</v>
      </c>
      <c r="K743" t="s">
        <v>19203</v>
      </c>
      <c r="L743" t="s">
        <v>1918</v>
      </c>
      <c r="M743" s="161" t="s">
        <v>19202</v>
      </c>
    </row>
    <row r="744" spans="9:13" x14ac:dyDescent="0.25">
      <c r="I744" t="s">
        <v>4591</v>
      </c>
      <c r="J744" s="161" t="s">
        <v>19202</v>
      </c>
      <c r="K744" t="s">
        <v>19203</v>
      </c>
      <c r="L744" t="s">
        <v>4590</v>
      </c>
      <c r="M744" s="161" t="s">
        <v>19202</v>
      </c>
    </row>
    <row r="745" spans="9:13" x14ac:dyDescent="0.25">
      <c r="I745" t="s">
        <v>6536</v>
      </c>
      <c r="J745" s="161" t="s">
        <v>19202</v>
      </c>
      <c r="K745" t="s">
        <v>19203</v>
      </c>
      <c r="L745" t="s">
        <v>3686</v>
      </c>
      <c r="M745" s="161" t="s">
        <v>19202</v>
      </c>
    </row>
    <row r="746" spans="9:13" x14ac:dyDescent="0.25">
      <c r="I746" t="s">
        <v>15479</v>
      </c>
      <c r="J746" s="161" t="s">
        <v>19202</v>
      </c>
      <c r="K746" t="s">
        <v>19203</v>
      </c>
      <c r="L746" t="s">
        <v>15478</v>
      </c>
      <c r="M746" s="161" t="s">
        <v>19202</v>
      </c>
    </row>
    <row r="747" spans="9:13" x14ac:dyDescent="0.25">
      <c r="I747" t="s">
        <v>1900</v>
      </c>
      <c r="J747" s="161" t="s">
        <v>19202</v>
      </c>
      <c r="K747" t="s">
        <v>19203</v>
      </c>
      <c r="L747" t="s">
        <v>1899</v>
      </c>
      <c r="M747" s="161" t="s">
        <v>19202</v>
      </c>
    </row>
    <row r="748" spans="9:13" x14ac:dyDescent="0.25">
      <c r="I748" t="s">
        <v>7212</v>
      </c>
      <c r="J748" s="161" t="s">
        <v>19202</v>
      </c>
      <c r="K748" t="s">
        <v>19203</v>
      </c>
      <c r="L748" t="s">
        <v>7211</v>
      </c>
      <c r="M748" s="161" t="s">
        <v>19202</v>
      </c>
    </row>
    <row r="749" spans="9:13" x14ac:dyDescent="0.25">
      <c r="I749" t="s">
        <v>7493</v>
      </c>
      <c r="J749" s="161" t="s">
        <v>19202</v>
      </c>
      <c r="K749" t="s">
        <v>19203</v>
      </c>
      <c r="L749" t="s">
        <v>7492</v>
      </c>
      <c r="M749" s="161" t="s">
        <v>19202</v>
      </c>
    </row>
    <row r="750" spans="9:13" x14ac:dyDescent="0.25">
      <c r="I750" t="s">
        <v>15632</v>
      </c>
      <c r="J750" s="161" t="s">
        <v>19202</v>
      </c>
      <c r="K750" t="s">
        <v>19203</v>
      </c>
      <c r="L750" t="s">
        <v>15631</v>
      </c>
      <c r="M750" s="161" t="s">
        <v>19202</v>
      </c>
    </row>
    <row r="751" spans="9:13" x14ac:dyDescent="0.25">
      <c r="I751" t="s">
        <v>15290</v>
      </c>
      <c r="J751" s="161" t="s">
        <v>19202</v>
      </c>
      <c r="K751" t="s">
        <v>19203</v>
      </c>
      <c r="L751" t="s">
        <v>15289</v>
      </c>
      <c r="M751" s="161" t="s">
        <v>19202</v>
      </c>
    </row>
    <row r="752" spans="9:13" x14ac:dyDescent="0.25">
      <c r="I752" t="s">
        <v>14349</v>
      </c>
      <c r="J752" s="161" t="s">
        <v>19202</v>
      </c>
      <c r="K752" t="s">
        <v>19203</v>
      </c>
      <c r="L752" t="s">
        <v>14348</v>
      </c>
      <c r="M752" s="161" t="s">
        <v>19202</v>
      </c>
    </row>
    <row r="753" spans="9:13" x14ac:dyDescent="0.25">
      <c r="I753" t="s">
        <v>14461</v>
      </c>
      <c r="J753" s="161" t="s">
        <v>19202</v>
      </c>
      <c r="K753" t="s">
        <v>19203</v>
      </c>
      <c r="L753" t="s">
        <v>14460</v>
      </c>
      <c r="M753" s="161" t="s">
        <v>19202</v>
      </c>
    </row>
    <row r="754" spans="9:13" x14ac:dyDescent="0.25">
      <c r="I754" t="s">
        <v>14626</v>
      </c>
      <c r="J754" s="161" t="s">
        <v>19202</v>
      </c>
      <c r="K754" t="s">
        <v>19203</v>
      </c>
      <c r="L754" t="s">
        <v>14625</v>
      </c>
      <c r="M754" s="161" t="s">
        <v>19202</v>
      </c>
    </row>
    <row r="755" spans="9:13" x14ac:dyDescent="0.25">
      <c r="I755" t="s">
        <v>15799</v>
      </c>
      <c r="J755" s="161" t="s">
        <v>19202</v>
      </c>
      <c r="K755" t="s">
        <v>19203</v>
      </c>
      <c r="L755" t="s">
        <v>15798</v>
      </c>
      <c r="M755" s="161" t="s">
        <v>19202</v>
      </c>
    </row>
    <row r="756" spans="9:13" x14ac:dyDescent="0.25">
      <c r="I756" t="s">
        <v>16748</v>
      </c>
      <c r="J756" s="161" t="s">
        <v>19202</v>
      </c>
      <c r="K756" t="s">
        <v>19203</v>
      </c>
      <c r="L756" t="s">
        <v>16747</v>
      </c>
      <c r="M756" s="161" t="s">
        <v>19202</v>
      </c>
    </row>
    <row r="757" spans="9:13" x14ac:dyDescent="0.25">
      <c r="I757" t="s">
        <v>3852</v>
      </c>
      <c r="J757" s="161" t="s">
        <v>19202</v>
      </c>
      <c r="K757" t="s">
        <v>19203</v>
      </c>
      <c r="L757" t="s">
        <v>3851</v>
      </c>
      <c r="M757" s="161" t="s">
        <v>19202</v>
      </c>
    </row>
    <row r="758" spans="9:13" x14ac:dyDescent="0.25">
      <c r="I758" t="s">
        <v>10747</v>
      </c>
      <c r="J758" s="161" t="s">
        <v>19202</v>
      </c>
      <c r="K758" t="s">
        <v>19203</v>
      </c>
      <c r="L758" t="s">
        <v>3862</v>
      </c>
      <c r="M758" s="161" t="s">
        <v>19202</v>
      </c>
    </row>
    <row r="759" spans="9:13" x14ac:dyDescent="0.25">
      <c r="I759" t="s">
        <v>18027</v>
      </c>
      <c r="J759" s="161" t="s">
        <v>19202</v>
      </c>
      <c r="K759" t="s">
        <v>19203</v>
      </c>
      <c r="L759" t="s">
        <v>17019</v>
      </c>
      <c r="M759" s="161" t="s">
        <v>19202</v>
      </c>
    </row>
    <row r="760" spans="9:13" x14ac:dyDescent="0.25">
      <c r="I760" t="s">
        <v>11818</v>
      </c>
      <c r="J760" s="161" t="s">
        <v>19202</v>
      </c>
      <c r="K760" t="s">
        <v>19203</v>
      </c>
      <c r="L760" t="s">
        <v>11817</v>
      </c>
      <c r="M760" s="161" t="s">
        <v>19202</v>
      </c>
    </row>
    <row r="761" spans="9:13" x14ac:dyDescent="0.25">
      <c r="I761" t="s">
        <v>1341</v>
      </c>
      <c r="J761" s="161" t="s">
        <v>19202</v>
      </c>
      <c r="K761" t="s">
        <v>19203</v>
      </c>
      <c r="L761" t="s">
        <v>1340</v>
      </c>
      <c r="M761" s="161" t="s">
        <v>19202</v>
      </c>
    </row>
    <row r="762" spans="9:13" x14ac:dyDescent="0.25">
      <c r="I762" t="s">
        <v>1137</v>
      </c>
      <c r="J762" s="161" t="s">
        <v>19202</v>
      </c>
      <c r="K762" t="s">
        <v>19203</v>
      </c>
      <c r="L762" t="s">
        <v>1136</v>
      </c>
      <c r="M762" s="161" t="s">
        <v>19202</v>
      </c>
    </row>
    <row r="763" spans="9:13" x14ac:dyDescent="0.25">
      <c r="I763" t="s">
        <v>1421</v>
      </c>
      <c r="J763" s="161" t="s">
        <v>19202</v>
      </c>
      <c r="K763" t="s">
        <v>19203</v>
      </c>
      <c r="L763" t="s">
        <v>1420</v>
      </c>
      <c r="M763" s="161" t="s">
        <v>19202</v>
      </c>
    </row>
    <row r="764" spans="9:13" x14ac:dyDescent="0.25">
      <c r="I764" t="s">
        <v>2417</v>
      </c>
      <c r="J764" s="161" t="s">
        <v>19202</v>
      </c>
      <c r="K764" t="s">
        <v>19203</v>
      </c>
      <c r="L764" t="s">
        <v>2416</v>
      </c>
      <c r="M764" s="161" t="s">
        <v>19202</v>
      </c>
    </row>
    <row r="765" spans="9:13" x14ac:dyDescent="0.25">
      <c r="I765" t="s">
        <v>13759</v>
      </c>
      <c r="J765" s="161" t="s">
        <v>19202</v>
      </c>
      <c r="K765" t="s">
        <v>19203</v>
      </c>
      <c r="L765" t="s">
        <v>13758</v>
      </c>
      <c r="M765" s="161" t="s">
        <v>19202</v>
      </c>
    </row>
    <row r="766" spans="9:13" x14ac:dyDescent="0.25">
      <c r="I766" t="s">
        <v>17655</v>
      </c>
      <c r="J766" s="161" t="s">
        <v>19202</v>
      </c>
      <c r="K766" t="s">
        <v>19203</v>
      </c>
      <c r="L766" t="s">
        <v>17654</v>
      </c>
      <c r="M766" s="161" t="s">
        <v>19202</v>
      </c>
    </row>
    <row r="767" spans="9:13" x14ac:dyDescent="0.25">
      <c r="I767" t="s">
        <v>13810</v>
      </c>
      <c r="J767" s="161" t="s">
        <v>19202</v>
      </c>
      <c r="K767" t="s">
        <v>19203</v>
      </c>
      <c r="L767" t="s">
        <v>5234</v>
      </c>
      <c r="M767" s="161" t="s">
        <v>19202</v>
      </c>
    </row>
    <row r="768" spans="9:13" x14ac:dyDescent="0.25">
      <c r="I768" t="s">
        <v>5122</v>
      </c>
      <c r="J768" s="161" t="s">
        <v>19202</v>
      </c>
      <c r="K768" t="s">
        <v>19203</v>
      </c>
      <c r="L768" t="s">
        <v>5121</v>
      </c>
      <c r="M768" s="161" t="s">
        <v>19202</v>
      </c>
    </row>
    <row r="769" spans="9:13" x14ac:dyDescent="0.25">
      <c r="I769" t="s">
        <v>994</v>
      </c>
      <c r="J769" s="161" t="s">
        <v>19202</v>
      </c>
      <c r="K769" t="s">
        <v>19203</v>
      </c>
      <c r="L769" t="s">
        <v>993</v>
      </c>
      <c r="M769" s="161" t="s">
        <v>19202</v>
      </c>
    </row>
    <row r="770" spans="9:13" x14ac:dyDescent="0.25">
      <c r="I770" t="s">
        <v>17361</v>
      </c>
      <c r="J770" s="161" t="s">
        <v>19202</v>
      </c>
      <c r="K770" t="s">
        <v>19203</v>
      </c>
      <c r="L770" t="s">
        <v>17360</v>
      </c>
      <c r="M770" s="161" t="s">
        <v>19202</v>
      </c>
    </row>
    <row r="771" spans="9:13" x14ac:dyDescent="0.25">
      <c r="I771" t="s">
        <v>1869</v>
      </c>
      <c r="J771" s="161" t="s">
        <v>19202</v>
      </c>
      <c r="K771" t="s">
        <v>19203</v>
      </c>
      <c r="L771" t="s">
        <v>1868</v>
      </c>
      <c r="M771" s="161" t="s">
        <v>19202</v>
      </c>
    </row>
    <row r="772" spans="9:13" x14ac:dyDescent="0.25">
      <c r="I772" t="s">
        <v>14924</v>
      </c>
      <c r="J772" s="161" t="s">
        <v>19202</v>
      </c>
      <c r="K772" t="s">
        <v>19203</v>
      </c>
      <c r="L772" t="s">
        <v>14923</v>
      </c>
      <c r="M772" s="161" t="s">
        <v>19202</v>
      </c>
    </row>
    <row r="773" spans="9:13" x14ac:dyDescent="0.25">
      <c r="I773" t="s">
        <v>19340</v>
      </c>
      <c r="J773" s="161" t="s">
        <v>19202</v>
      </c>
      <c r="K773" t="s">
        <v>19203</v>
      </c>
      <c r="L773" t="s">
        <v>440</v>
      </c>
      <c r="M773" s="161" t="s">
        <v>19202</v>
      </c>
    </row>
    <row r="774" spans="9:13" x14ac:dyDescent="0.25">
      <c r="I774" t="s">
        <v>9050</v>
      </c>
      <c r="J774" s="161" t="s">
        <v>19202</v>
      </c>
      <c r="K774" t="s">
        <v>19203</v>
      </c>
      <c r="L774" t="s">
        <v>9049</v>
      </c>
      <c r="M774" s="161" t="s">
        <v>19202</v>
      </c>
    </row>
    <row r="775" spans="9:13" x14ac:dyDescent="0.25">
      <c r="I775" t="s">
        <v>1320</v>
      </c>
      <c r="J775" s="161" t="s">
        <v>19202</v>
      </c>
      <c r="K775" t="s">
        <v>19203</v>
      </c>
      <c r="L775" t="s">
        <v>1319</v>
      </c>
      <c r="M775" s="161" t="s">
        <v>19202</v>
      </c>
    </row>
    <row r="776" spans="9:13" x14ac:dyDescent="0.25">
      <c r="I776" t="s">
        <v>8122</v>
      </c>
      <c r="J776" s="161" t="s">
        <v>19202</v>
      </c>
      <c r="K776" t="s">
        <v>19203</v>
      </c>
      <c r="L776" t="s">
        <v>8121</v>
      </c>
      <c r="M776" s="161" t="s">
        <v>19202</v>
      </c>
    </row>
    <row r="777" spans="9:13" x14ac:dyDescent="0.25">
      <c r="I777" t="s">
        <v>17918</v>
      </c>
      <c r="J777" s="161" t="s">
        <v>19202</v>
      </c>
      <c r="K777" t="s">
        <v>19203</v>
      </c>
      <c r="L777" t="s">
        <v>5493</v>
      </c>
      <c r="M777" s="161" t="s">
        <v>19202</v>
      </c>
    </row>
    <row r="778" spans="9:13" x14ac:dyDescent="0.25">
      <c r="I778" t="s">
        <v>14629</v>
      </c>
      <c r="J778" s="161" t="s">
        <v>19202</v>
      </c>
      <c r="K778" t="s">
        <v>19203</v>
      </c>
      <c r="L778" t="s">
        <v>3560</v>
      </c>
      <c r="M778" s="161" t="s">
        <v>19202</v>
      </c>
    </row>
    <row r="779" spans="9:13" x14ac:dyDescent="0.25">
      <c r="I779" t="s">
        <v>14351</v>
      </c>
      <c r="J779" s="161" t="s">
        <v>19202</v>
      </c>
      <c r="K779" t="s">
        <v>19203</v>
      </c>
      <c r="L779" t="s">
        <v>14350</v>
      </c>
      <c r="M779" s="161" t="s">
        <v>19202</v>
      </c>
    </row>
    <row r="780" spans="9:13" x14ac:dyDescent="0.25">
      <c r="I780" t="s">
        <v>14623</v>
      </c>
      <c r="J780" s="161" t="s">
        <v>19202</v>
      </c>
      <c r="K780" t="s">
        <v>19203</v>
      </c>
      <c r="L780" t="s">
        <v>14622</v>
      </c>
      <c r="M780" s="161" t="s">
        <v>19202</v>
      </c>
    </row>
    <row r="781" spans="9:13" x14ac:dyDescent="0.25">
      <c r="I781" t="s">
        <v>14304</v>
      </c>
      <c r="J781" s="161" t="s">
        <v>19202</v>
      </c>
      <c r="K781" t="s">
        <v>19203</v>
      </c>
      <c r="L781" t="s">
        <v>14303</v>
      </c>
      <c r="M781" s="161" t="s">
        <v>19202</v>
      </c>
    </row>
    <row r="782" spans="9:13" x14ac:dyDescent="0.25">
      <c r="I782" t="s">
        <v>14498</v>
      </c>
      <c r="J782" s="161" t="s">
        <v>19202</v>
      </c>
      <c r="K782" t="s">
        <v>19203</v>
      </c>
      <c r="L782" t="s">
        <v>13655</v>
      </c>
      <c r="M782" s="161" t="s">
        <v>19202</v>
      </c>
    </row>
    <row r="783" spans="9:13" x14ac:dyDescent="0.25">
      <c r="I783" t="s">
        <v>14397</v>
      </c>
      <c r="J783" s="161" t="s">
        <v>19202</v>
      </c>
      <c r="K783" t="s">
        <v>19203</v>
      </c>
      <c r="L783" t="s">
        <v>14396</v>
      </c>
      <c r="M783" s="161" t="s">
        <v>19202</v>
      </c>
    </row>
    <row r="784" spans="9:13" x14ac:dyDescent="0.25">
      <c r="I784" t="s">
        <v>14621</v>
      </c>
      <c r="J784" s="161" t="s">
        <v>19202</v>
      </c>
      <c r="K784" t="s">
        <v>19203</v>
      </c>
      <c r="L784" t="s">
        <v>14620</v>
      </c>
      <c r="M784" s="161" t="s">
        <v>19202</v>
      </c>
    </row>
    <row r="785" spans="9:13" x14ac:dyDescent="0.25">
      <c r="I785" t="s">
        <v>14459</v>
      </c>
      <c r="J785" s="161" t="s">
        <v>19202</v>
      </c>
      <c r="K785" t="s">
        <v>19203</v>
      </c>
      <c r="L785" t="s">
        <v>14458</v>
      </c>
      <c r="M785" s="161" t="s">
        <v>19202</v>
      </c>
    </row>
    <row r="786" spans="9:13" x14ac:dyDescent="0.25">
      <c r="I786" t="s">
        <v>14347</v>
      </c>
      <c r="J786" s="161" t="s">
        <v>19202</v>
      </c>
      <c r="K786" t="s">
        <v>19203</v>
      </c>
      <c r="L786" t="s">
        <v>14346</v>
      </c>
      <c r="M786" s="161" t="s">
        <v>19202</v>
      </c>
    </row>
    <row r="787" spans="9:13" x14ac:dyDescent="0.25">
      <c r="I787" t="s">
        <v>17736</v>
      </c>
      <c r="J787" s="161" t="s">
        <v>19202</v>
      </c>
      <c r="K787" t="s">
        <v>19203</v>
      </c>
      <c r="L787" t="s">
        <v>16596</v>
      </c>
      <c r="M787" s="161" t="s">
        <v>19202</v>
      </c>
    </row>
    <row r="788" spans="9:13" x14ac:dyDescent="0.25">
      <c r="I788" t="s">
        <v>1284</v>
      </c>
      <c r="J788" s="161" t="s">
        <v>19202</v>
      </c>
      <c r="K788" t="s">
        <v>19203</v>
      </c>
      <c r="L788" t="s">
        <v>610</v>
      </c>
      <c r="M788" s="161" t="s">
        <v>19202</v>
      </c>
    </row>
    <row r="789" spans="9:13" x14ac:dyDescent="0.25">
      <c r="I789" t="s">
        <v>19341</v>
      </c>
      <c r="J789" s="161" t="s">
        <v>19202</v>
      </c>
      <c r="K789" t="s">
        <v>19203</v>
      </c>
      <c r="L789" t="s">
        <v>19342</v>
      </c>
      <c r="M789" s="161" t="s">
        <v>19202</v>
      </c>
    </row>
    <row r="790" spans="9:13" x14ac:dyDescent="0.25">
      <c r="I790" t="s">
        <v>15070</v>
      </c>
      <c r="J790" s="161" t="s">
        <v>19202</v>
      </c>
      <c r="K790" t="s">
        <v>19203</v>
      </c>
      <c r="L790" t="s">
        <v>15069</v>
      </c>
      <c r="M790" s="161" t="s">
        <v>19202</v>
      </c>
    </row>
    <row r="791" spans="9:13" x14ac:dyDescent="0.25">
      <c r="I791" t="s">
        <v>17317</v>
      </c>
      <c r="J791" s="161" t="s">
        <v>19202</v>
      </c>
      <c r="K791" t="s">
        <v>19203</v>
      </c>
      <c r="L791" t="s">
        <v>610</v>
      </c>
      <c r="M791" s="161" t="s">
        <v>19202</v>
      </c>
    </row>
    <row r="792" spans="9:13" x14ac:dyDescent="0.25">
      <c r="I792" t="s">
        <v>17336</v>
      </c>
      <c r="J792" s="161" t="s">
        <v>19202</v>
      </c>
      <c r="K792" t="s">
        <v>19203</v>
      </c>
      <c r="L792" t="s">
        <v>17335</v>
      </c>
      <c r="M792" s="161" t="s">
        <v>19202</v>
      </c>
    </row>
    <row r="793" spans="9:13" x14ac:dyDescent="0.25">
      <c r="I793" t="s">
        <v>4469</v>
      </c>
      <c r="J793" s="161" t="s">
        <v>19202</v>
      </c>
      <c r="K793" t="s">
        <v>19203</v>
      </c>
      <c r="L793" t="s">
        <v>4468</v>
      </c>
      <c r="M793" s="161" t="s">
        <v>19202</v>
      </c>
    </row>
    <row r="794" spans="9:13" x14ac:dyDescent="0.25">
      <c r="I794" t="s">
        <v>14440</v>
      </c>
      <c r="J794" s="161" t="s">
        <v>19202</v>
      </c>
      <c r="K794" t="s">
        <v>19203</v>
      </c>
      <c r="L794" t="s">
        <v>14439</v>
      </c>
      <c r="M794" s="161" t="s">
        <v>19202</v>
      </c>
    </row>
    <row r="795" spans="9:13" x14ac:dyDescent="0.25">
      <c r="I795" t="s">
        <v>6843</v>
      </c>
      <c r="J795" s="161" t="s">
        <v>19202</v>
      </c>
      <c r="K795" t="s">
        <v>19203</v>
      </c>
      <c r="L795" t="s">
        <v>6842</v>
      </c>
      <c r="M795" s="161" t="s">
        <v>19202</v>
      </c>
    </row>
    <row r="796" spans="9:13" x14ac:dyDescent="0.25">
      <c r="I796" t="s">
        <v>13668</v>
      </c>
      <c r="J796" s="161" t="s">
        <v>19202</v>
      </c>
      <c r="K796" t="s">
        <v>19203</v>
      </c>
      <c r="L796" t="s">
        <v>13667</v>
      </c>
      <c r="M796" s="161" t="s">
        <v>19202</v>
      </c>
    </row>
    <row r="797" spans="9:13" x14ac:dyDescent="0.25">
      <c r="I797" t="s">
        <v>13626</v>
      </c>
      <c r="J797" s="161" t="s">
        <v>19202</v>
      </c>
      <c r="K797" t="s">
        <v>19203</v>
      </c>
      <c r="L797" t="s">
        <v>13625</v>
      </c>
      <c r="M797" s="161" t="s">
        <v>19202</v>
      </c>
    </row>
    <row r="798" spans="9:13" x14ac:dyDescent="0.25">
      <c r="I798" t="s">
        <v>19343</v>
      </c>
      <c r="J798" s="161" t="s">
        <v>19202</v>
      </c>
      <c r="K798" t="s">
        <v>19203</v>
      </c>
      <c r="L798" t="s">
        <v>19344</v>
      </c>
      <c r="M798" s="161" t="s">
        <v>19202</v>
      </c>
    </row>
    <row r="799" spans="9:13" x14ac:dyDescent="0.25">
      <c r="I799" t="s">
        <v>6718</v>
      </c>
      <c r="J799" s="161" t="s">
        <v>19202</v>
      </c>
      <c r="K799" t="s">
        <v>19203</v>
      </c>
      <c r="L799" t="s">
        <v>6717</v>
      </c>
      <c r="M799" s="161" t="s">
        <v>19202</v>
      </c>
    </row>
    <row r="800" spans="9:13" x14ac:dyDescent="0.25">
      <c r="I800" t="s">
        <v>1243</v>
      </c>
      <c r="J800" s="161" t="s">
        <v>19202</v>
      </c>
      <c r="K800" t="s">
        <v>19203</v>
      </c>
      <c r="L800" t="s">
        <v>1242</v>
      </c>
      <c r="M800" s="161" t="s">
        <v>19202</v>
      </c>
    </row>
    <row r="801" spans="9:13" x14ac:dyDescent="0.25">
      <c r="I801" t="s">
        <v>17506</v>
      </c>
      <c r="J801" s="161" t="s">
        <v>19202</v>
      </c>
      <c r="K801" t="s">
        <v>19203</v>
      </c>
      <c r="L801" t="s">
        <v>17505</v>
      </c>
      <c r="M801" s="161" t="s">
        <v>19202</v>
      </c>
    </row>
    <row r="802" spans="9:13" x14ac:dyDescent="0.25">
      <c r="I802" t="s">
        <v>19345</v>
      </c>
      <c r="J802" s="161" t="s">
        <v>19202</v>
      </c>
      <c r="K802" t="s">
        <v>19203</v>
      </c>
      <c r="L802" t="s">
        <v>5411</v>
      </c>
      <c r="M802" s="161" t="s">
        <v>19202</v>
      </c>
    </row>
    <row r="803" spans="9:13" x14ac:dyDescent="0.25">
      <c r="I803" t="s">
        <v>12374</v>
      </c>
      <c r="J803" s="161" t="s">
        <v>19202</v>
      </c>
      <c r="K803" t="s">
        <v>19203</v>
      </c>
      <c r="L803" t="s">
        <v>12373</v>
      </c>
      <c r="M803" s="161" t="s">
        <v>19202</v>
      </c>
    </row>
    <row r="804" spans="9:13" x14ac:dyDescent="0.25">
      <c r="I804" t="s">
        <v>328</v>
      </c>
      <c r="J804" s="161" t="s">
        <v>19202</v>
      </c>
      <c r="K804" t="s">
        <v>19203</v>
      </c>
      <c r="L804" t="s">
        <v>327</v>
      </c>
      <c r="M804" s="161" t="s">
        <v>19202</v>
      </c>
    </row>
    <row r="805" spans="9:13" x14ac:dyDescent="0.25">
      <c r="I805" t="s">
        <v>11148</v>
      </c>
      <c r="J805" s="161" t="s">
        <v>19202</v>
      </c>
      <c r="K805" t="s">
        <v>19203</v>
      </c>
      <c r="L805" t="s">
        <v>11147</v>
      </c>
      <c r="M805" s="161" t="s">
        <v>19202</v>
      </c>
    </row>
    <row r="806" spans="9:13" x14ac:dyDescent="0.25">
      <c r="I806" t="s">
        <v>1628</v>
      </c>
      <c r="J806" s="161" t="s">
        <v>19202</v>
      </c>
      <c r="K806" t="s">
        <v>19203</v>
      </c>
      <c r="L806" t="s">
        <v>1627</v>
      </c>
      <c r="M806" s="161" t="s">
        <v>19202</v>
      </c>
    </row>
    <row r="807" spans="9:13" x14ac:dyDescent="0.25">
      <c r="I807" t="s">
        <v>5794</v>
      </c>
      <c r="J807" s="161" t="s">
        <v>19202</v>
      </c>
      <c r="K807" t="s">
        <v>19203</v>
      </c>
      <c r="L807" t="s">
        <v>5793</v>
      </c>
      <c r="M807" s="161" t="s">
        <v>19202</v>
      </c>
    </row>
    <row r="808" spans="9:13" x14ac:dyDescent="0.25">
      <c r="I808" t="s">
        <v>17273</v>
      </c>
      <c r="J808" s="161" t="s">
        <v>19202</v>
      </c>
      <c r="K808" t="s">
        <v>19203</v>
      </c>
      <c r="L808" t="s">
        <v>17272</v>
      </c>
      <c r="M808" s="161" t="s">
        <v>19202</v>
      </c>
    </row>
    <row r="809" spans="9:13" x14ac:dyDescent="0.25">
      <c r="I809" t="s">
        <v>14142</v>
      </c>
      <c r="J809" s="161" t="s">
        <v>19202</v>
      </c>
      <c r="K809" t="s">
        <v>19203</v>
      </c>
      <c r="L809" t="s">
        <v>14141</v>
      </c>
      <c r="M809" s="161" t="s">
        <v>19202</v>
      </c>
    </row>
    <row r="810" spans="9:13" x14ac:dyDescent="0.25">
      <c r="I810" t="s">
        <v>6032</v>
      </c>
      <c r="J810" s="161" t="s">
        <v>19202</v>
      </c>
      <c r="K810" t="s">
        <v>19203</v>
      </c>
      <c r="L810" t="s">
        <v>405</v>
      </c>
      <c r="M810" s="161" t="s">
        <v>19202</v>
      </c>
    </row>
    <row r="811" spans="9:13" x14ac:dyDescent="0.25">
      <c r="I811" t="s">
        <v>8326</v>
      </c>
      <c r="J811" s="161" t="s">
        <v>19202</v>
      </c>
      <c r="K811" t="s">
        <v>19203</v>
      </c>
      <c r="L811" t="s">
        <v>8325</v>
      </c>
      <c r="M811" s="161" t="s">
        <v>19202</v>
      </c>
    </row>
    <row r="812" spans="9:13" x14ac:dyDescent="0.25">
      <c r="I812" t="s">
        <v>15112</v>
      </c>
      <c r="J812" s="161" t="s">
        <v>19202</v>
      </c>
      <c r="K812" t="s">
        <v>19203</v>
      </c>
      <c r="L812" t="s">
        <v>15111</v>
      </c>
      <c r="M812" s="161" t="s">
        <v>19202</v>
      </c>
    </row>
    <row r="813" spans="9:13" x14ac:dyDescent="0.25">
      <c r="I813" t="s">
        <v>17860</v>
      </c>
      <c r="J813" s="161" t="s">
        <v>19202</v>
      </c>
      <c r="K813" t="s">
        <v>19203</v>
      </c>
      <c r="L813" t="s">
        <v>17859</v>
      </c>
      <c r="M813" s="161" t="s">
        <v>19202</v>
      </c>
    </row>
    <row r="814" spans="9:13" x14ac:dyDescent="0.25">
      <c r="I814" t="s">
        <v>5792</v>
      </c>
      <c r="J814" s="161" t="s">
        <v>19202</v>
      </c>
      <c r="K814" t="s">
        <v>19203</v>
      </c>
      <c r="L814" t="s">
        <v>3599</v>
      </c>
      <c r="M814" s="161" t="s">
        <v>19202</v>
      </c>
    </row>
    <row r="815" spans="9:13" x14ac:dyDescent="0.25">
      <c r="I815" t="s">
        <v>5185</v>
      </c>
      <c r="J815" s="161" t="s">
        <v>19202</v>
      </c>
      <c r="K815" t="s">
        <v>19203</v>
      </c>
      <c r="L815" t="s">
        <v>5184</v>
      </c>
      <c r="M815" s="161" t="s">
        <v>19202</v>
      </c>
    </row>
    <row r="816" spans="9:13" x14ac:dyDescent="0.25">
      <c r="I816" t="s">
        <v>17937</v>
      </c>
      <c r="J816" s="161" t="s">
        <v>19202</v>
      </c>
      <c r="K816" t="s">
        <v>19203</v>
      </c>
      <c r="L816" t="s">
        <v>17936</v>
      </c>
      <c r="M816" s="161" t="s">
        <v>19202</v>
      </c>
    </row>
    <row r="817" spans="9:13" x14ac:dyDescent="0.25">
      <c r="I817" t="s">
        <v>15718</v>
      </c>
      <c r="J817" s="161" t="s">
        <v>19202</v>
      </c>
      <c r="K817" t="s">
        <v>19203</v>
      </c>
      <c r="L817" t="s">
        <v>15717</v>
      </c>
      <c r="M817" s="161" t="s">
        <v>19202</v>
      </c>
    </row>
    <row r="818" spans="9:13" x14ac:dyDescent="0.25">
      <c r="I818" t="s">
        <v>1640</v>
      </c>
      <c r="J818" s="161" t="s">
        <v>19202</v>
      </c>
      <c r="K818" t="s">
        <v>19203</v>
      </c>
      <c r="L818" t="s">
        <v>1639</v>
      </c>
      <c r="M818" s="161" t="s">
        <v>19202</v>
      </c>
    </row>
    <row r="819" spans="9:13" x14ac:dyDescent="0.25">
      <c r="I819" t="s">
        <v>12565</v>
      </c>
      <c r="J819" s="161" t="s">
        <v>19202</v>
      </c>
      <c r="K819" t="s">
        <v>19203</v>
      </c>
      <c r="L819" t="s">
        <v>12564</v>
      </c>
      <c r="M819" s="161" t="s">
        <v>19202</v>
      </c>
    </row>
    <row r="820" spans="9:13" x14ac:dyDescent="0.25">
      <c r="I820" t="s">
        <v>17524</v>
      </c>
      <c r="J820" s="161" t="s">
        <v>19202</v>
      </c>
      <c r="K820" t="s">
        <v>19203</v>
      </c>
      <c r="L820" t="s">
        <v>17523</v>
      </c>
      <c r="M820" s="161" t="s">
        <v>19202</v>
      </c>
    </row>
    <row r="821" spans="9:13" x14ac:dyDescent="0.25">
      <c r="I821" t="s">
        <v>17596</v>
      </c>
      <c r="J821" s="161" t="s">
        <v>19202</v>
      </c>
      <c r="K821" t="s">
        <v>19203</v>
      </c>
      <c r="L821" t="s">
        <v>17595</v>
      </c>
      <c r="M821" s="161" t="s">
        <v>19202</v>
      </c>
    </row>
    <row r="822" spans="9:13" x14ac:dyDescent="0.25">
      <c r="I822" t="s">
        <v>17462</v>
      </c>
      <c r="J822" s="161" t="s">
        <v>19202</v>
      </c>
      <c r="K822" t="s">
        <v>19203</v>
      </c>
      <c r="L822" t="s">
        <v>17461</v>
      </c>
      <c r="M822" s="161" t="s">
        <v>19202</v>
      </c>
    </row>
    <row r="823" spans="9:13" x14ac:dyDescent="0.25">
      <c r="I823" t="s">
        <v>19346</v>
      </c>
      <c r="J823" s="161" t="s">
        <v>19202</v>
      </c>
      <c r="K823" t="s">
        <v>19203</v>
      </c>
      <c r="L823" t="s">
        <v>19347</v>
      </c>
      <c r="M823" s="161" t="s">
        <v>19202</v>
      </c>
    </row>
    <row r="824" spans="9:13" x14ac:dyDescent="0.25">
      <c r="I824" t="s">
        <v>5474</v>
      </c>
      <c r="J824" s="161" t="s">
        <v>19202</v>
      </c>
      <c r="K824" t="s">
        <v>19203</v>
      </c>
      <c r="L824" t="s">
        <v>5473</v>
      </c>
      <c r="M824" s="161" t="s">
        <v>19202</v>
      </c>
    </row>
    <row r="825" spans="9:13" x14ac:dyDescent="0.25">
      <c r="I825" t="s">
        <v>15838</v>
      </c>
      <c r="J825" s="161" t="s">
        <v>19202</v>
      </c>
      <c r="K825" t="s">
        <v>19203</v>
      </c>
      <c r="L825" t="s">
        <v>15837</v>
      </c>
      <c r="M825" s="161" t="s">
        <v>19202</v>
      </c>
    </row>
    <row r="826" spans="9:13" x14ac:dyDescent="0.25">
      <c r="I826" t="s">
        <v>6480</v>
      </c>
      <c r="J826" s="161" t="s">
        <v>19202</v>
      </c>
      <c r="K826" t="s">
        <v>19203</v>
      </c>
      <c r="L826" t="s">
        <v>6357</v>
      </c>
      <c r="M826" s="161" t="s">
        <v>19202</v>
      </c>
    </row>
    <row r="827" spans="9:13" x14ac:dyDescent="0.25">
      <c r="I827" t="s">
        <v>3602</v>
      </c>
      <c r="J827" s="161" t="s">
        <v>19202</v>
      </c>
      <c r="K827" t="s">
        <v>19203</v>
      </c>
      <c r="L827" t="s">
        <v>3601</v>
      </c>
      <c r="M827" s="161" t="s">
        <v>19202</v>
      </c>
    </row>
    <row r="828" spans="9:13" x14ac:dyDescent="0.25">
      <c r="I828" t="s">
        <v>8624</v>
      </c>
      <c r="J828" s="161" t="s">
        <v>19202</v>
      </c>
      <c r="K828" t="s">
        <v>19203</v>
      </c>
      <c r="L828" t="s">
        <v>8623</v>
      </c>
      <c r="M828" s="161" t="s">
        <v>19202</v>
      </c>
    </row>
    <row r="829" spans="9:13" x14ac:dyDescent="0.25">
      <c r="I829" t="s">
        <v>1491</v>
      </c>
      <c r="J829" s="161" t="s">
        <v>19202</v>
      </c>
      <c r="K829" t="s">
        <v>19203</v>
      </c>
      <c r="L829" t="s">
        <v>1490</v>
      </c>
      <c r="M829" s="161" t="s">
        <v>19202</v>
      </c>
    </row>
    <row r="830" spans="9:13" x14ac:dyDescent="0.25">
      <c r="I830" t="s">
        <v>17602</v>
      </c>
      <c r="J830" s="161" t="s">
        <v>19202</v>
      </c>
      <c r="K830" t="s">
        <v>19203</v>
      </c>
      <c r="L830" t="s">
        <v>17601</v>
      </c>
      <c r="M830" s="161" t="s">
        <v>19202</v>
      </c>
    </row>
    <row r="831" spans="9:13" x14ac:dyDescent="0.25">
      <c r="I831" t="s">
        <v>17281</v>
      </c>
      <c r="J831" s="161" t="s">
        <v>19202</v>
      </c>
      <c r="K831" t="s">
        <v>19203</v>
      </c>
      <c r="L831" t="s">
        <v>17280</v>
      </c>
      <c r="M831" s="161" t="s">
        <v>19202</v>
      </c>
    </row>
    <row r="832" spans="9:13" x14ac:dyDescent="0.25">
      <c r="I832" t="s">
        <v>17279</v>
      </c>
      <c r="J832" s="161" t="s">
        <v>19202</v>
      </c>
      <c r="K832" t="s">
        <v>19203</v>
      </c>
      <c r="L832" t="s">
        <v>405</v>
      </c>
      <c r="M832" s="161" t="s">
        <v>19202</v>
      </c>
    </row>
    <row r="833" spans="9:13" x14ac:dyDescent="0.25">
      <c r="I833" t="s">
        <v>1300</v>
      </c>
      <c r="J833" s="161" t="s">
        <v>19202</v>
      </c>
      <c r="K833" t="s">
        <v>19203</v>
      </c>
      <c r="L833" t="s">
        <v>1299</v>
      </c>
      <c r="M833" s="161" t="s">
        <v>19202</v>
      </c>
    </row>
    <row r="834" spans="9:13" x14ac:dyDescent="0.25">
      <c r="I834" t="s">
        <v>17198</v>
      </c>
      <c r="J834" s="161" t="s">
        <v>19202</v>
      </c>
      <c r="K834" t="s">
        <v>19203</v>
      </c>
      <c r="L834" t="s">
        <v>17197</v>
      </c>
      <c r="M834" s="161" t="s">
        <v>19202</v>
      </c>
    </row>
    <row r="835" spans="9:13" x14ac:dyDescent="0.25">
      <c r="I835" t="s">
        <v>1536</v>
      </c>
      <c r="J835" s="161" t="s">
        <v>19202</v>
      </c>
      <c r="K835" t="s">
        <v>19203</v>
      </c>
      <c r="L835" t="s">
        <v>1535</v>
      </c>
      <c r="M835" s="161" t="s">
        <v>19202</v>
      </c>
    </row>
    <row r="836" spans="9:13" x14ac:dyDescent="0.25">
      <c r="I836" t="s">
        <v>17915</v>
      </c>
      <c r="J836" s="161" t="s">
        <v>19202</v>
      </c>
      <c r="K836" t="s">
        <v>19203</v>
      </c>
      <c r="L836" t="s">
        <v>17914</v>
      </c>
      <c r="M836" s="161" t="s">
        <v>19202</v>
      </c>
    </row>
    <row r="837" spans="9:13" x14ac:dyDescent="0.25">
      <c r="I837" t="s">
        <v>18021</v>
      </c>
      <c r="J837" s="161" t="s">
        <v>19202</v>
      </c>
      <c r="K837" t="s">
        <v>19203</v>
      </c>
      <c r="L837" t="s">
        <v>758</v>
      </c>
      <c r="M837" s="161" t="s">
        <v>19202</v>
      </c>
    </row>
    <row r="838" spans="9:13" x14ac:dyDescent="0.25">
      <c r="I838" t="s">
        <v>4132</v>
      </c>
      <c r="J838" s="161" t="s">
        <v>19202</v>
      </c>
      <c r="K838" t="s">
        <v>19203</v>
      </c>
      <c r="L838" t="s">
        <v>4131</v>
      </c>
      <c r="M838" s="161" t="s">
        <v>19202</v>
      </c>
    </row>
    <row r="839" spans="9:13" x14ac:dyDescent="0.25">
      <c r="I839" t="s">
        <v>17961</v>
      </c>
      <c r="J839" s="161" t="s">
        <v>19202</v>
      </c>
      <c r="K839" t="s">
        <v>19203</v>
      </c>
      <c r="L839" t="s">
        <v>17960</v>
      </c>
      <c r="M839" s="161" t="s">
        <v>19202</v>
      </c>
    </row>
    <row r="840" spans="9:13" x14ac:dyDescent="0.25">
      <c r="I840" t="s">
        <v>1326</v>
      </c>
      <c r="J840" s="161" t="s">
        <v>19202</v>
      </c>
      <c r="K840" t="s">
        <v>19203</v>
      </c>
      <c r="L840" t="s">
        <v>1325</v>
      </c>
      <c r="M840" s="161" t="s">
        <v>19202</v>
      </c>
    </row>
    <row r="841" spans="9:13" x14ac:dyDescent="0.25">
      <c r="I841" t="s">
        <v>19348</v>
      </c>
      <c r="J841" s="161" t="s">
        <v>19202</v>
      </c>
      <c r="K841" t="s">
        <v>19203</v>
      </c>
      <c r="L841" t="s">
        <v>19349</v>
      </c>
      <c r="M841" s="161" t="s">
        <v>19202</v>
      </c>
    </row>
    <row r="842" spans="9:13" x14ac:dyDescent="0.25">
      <c r="I842" t="s">
        <v>14488</v>
      </c>
      <c r="J842" s="161" t="s">
        <v>19202</v>
      </c>
      <c r="K842" t="s">
        <v>19203</v>
      </c>
      <c r="L842" t="s">
        <v>542</v>
      </c>
      <c r="M842" s="161" t="s">
        <v>19202</v>
      </c>
    </row>
    <row r="843" spans="9:13" x14ac:dyDescent="0.25">
      <c r="I843" t="s">
        <v>17887</v>
      </c>
      <c r="J843" s="161" t="s">
        <v>19202</v>
      </c>
      <c r="K843" t="s">
        <v>19203</v>
      </c>
      <c r="L843" t="s">
        <v>17886</v>
      </c>
      <c r="M843" s="161" t="s">
        <v>19202</v>
      </c>
    </row>
    <row r="844" spans="9:13" x14ac:dyDescent="0.25">
      <c r="I844" t="s">
        <v>2419</v>
      </c>
      <c r="J844" s="161" t="s">
        <v>19202</v>
      </c>
      <c r="K844" t="s">
        <v>19203</v>
      </c>
      <c r="L844" t="s">
        <v>2418</v>
      </c>
      <c r="M844" s="161" t="s">
        <v>19202</v>
      </c>
    </row>
    <row r="845" spans="9:13" x14ac:dyDescent="0.25">
      <c r="I845" t="s">
        <v>17304</v>
      </c>
      <c r="J845" s="161" t="s">
        <v>19202</v>
      </c>
      <c r="K845" t="s">
        <v>19203</v>
      </c>
      <c r="L845" t="s">
        <v>17303</v>
      </c>
      <c r="M845" s="161" t="s">
        <v>19202</v>
      </c>
    </row>
    <row r="846" spans="9:13" x14ac:dyDescent="0.25">
      <c r="I846" t="s">
        <v>11846</v>
      </c>
      <c r="J846" s="161" t="s">
        <v>19202</v>
      </c>
      <c r="K846" t="s">
        <v>19203</v>
      </c>
      <c r="L846" t="s">
        <v>11845</v>
      </c>
      <c r="M846" s="161" t="s">
        <v>19202</v>
      </c>
    </row>
    <row r="847" spans="9:13" x14ac:dyDescent="0.25">
      <c r="I847" t="s">
        <v>1427</v>
      </c>
      <c r="J847" s="161" t="s">
        <v>19202</v>
      </c>
      <c r="K847" t="s">
        <v>19203</v>
      </c>
      <c r="L847" t="s">
        <v>1426</v>
      </c>
      <c r="M847" s="161" t="s">
        <v>19202</v>
      </c>
    </row>
    <row r="848" spans="9:13" x14ac:dyDescent="0.25">
      <c r="I848" t="s">
        <v>1083</v>
      </c>
      <c r="J848" s="161" t="s">
        <v>19202</v>
      </c>
      <c r="K848" t="s">
        <v>19203</v>
      </c>
      <c r="L848" t="s">
        <v>1082</v>
      </c>
      <c r="M848" s="161" t="s">
        <v>19202</v>
      </c>
    </row>
    <row r="849" spans="9:13" x14ac:dyDescent="0.25">
      <c r="I849" t="s">
        <v>387</v>
      </c>
      <c r="J849" s="161" t="s">
        <v>19202</v>
      </c>
      <c r="K849" t="s">
        <v>19203</v>
      </c>
      <c r="L849" t="s">
        <v>386</v>
      </c>
      <c r="M849" s="161" t="s">
        <v>19202</v>
      </c>
    </row>
    <row r="850" spans="9:13" x14ac:dyDescent="0.25">
      <c r="I850" t="s">
        <v>12332</v>
      </c>
      <c r="J850" s="161" t="s">
        <v>19202</v>
      </c>
      <c r="K850" t="s">
        <v>19203</v>
      </c>
      <c r="L850" t="s">
        <v>12331</v>
      </c>
      <c r="M850" s="161" t="s">
        <v>19202</v>
      </c>
    </row>
    <row r="851" spans="9:13" x14ac:dyDescent="0.25">
      <c r="I851" t="s">
        <v>13383</v>
      </c>
      <c r="J851" s="161" t="s">
        <v>19202</v>
      </c>
      <c r="K851" t="s">
        <v>19203</v>
      </c>
      <c r="L851" t="s">
        <v>13382</v>
      </c>
      <c r="M851" s="161" t="s">
        <v>19202</v>
      </c>
    </row>
    <row r="852" spans="9:13" x14ac:dyDescent="0.25">
      <c r="I852" t="s">
        <v>17464</v>
      </c>
      <c r="J852" s="161" t="s">
        <v>19202</v>
      </c>
      <c r="K852" t="s">
        <v>19203</v>
      </c>
      <c r="L852" t="s">
        <v>17463</v>
      </c>
      <c r="M852" s="161" t="s">
        <v>19202</v>
      </c>
    </row>
    <row r="853" spans="9:13" x14ac:dyDescent="0.25">
      <c r="I853" t="s">
        <v>7776</v>
      </c>
      <c r="J853" s="161" t="s">
        <v>19202</v>
      </c>
      <c r="K853" t="s">
        <v>19203</v>
      </c>
      <c r="L853" t="s">
        <v>7775</v>
      </c>
      <c r="M853" s="161" t="s">
        <v>19202</v>
      </c>
    </row>
    <row r="854" spans="9:13" x14ac:dyDescent="0.25">
      <c r="I854" t="s">
        <v>2022</v>
      </c>
      <c r="J854" s="161" t="s">
        <v>19202</v>
      </c>
      <c r="K854" t="s">
        <v>19203</v>
      </c>
      <c r="L854" t="s">
        <v>2021</v>
      </c>
      <c r="M854" s="161" t="s">
        <v>19202</v>
      </c>
    </row>
    <row r="855" spans="9:13" x14ac:dyDescent="0.25">
      <c r="I855" t="s">
        <v>1765</v>
      </c>
      <c r="J855" s="161" t="s">
        <v>19202</v>
      </c>
      <c r="K855" t="s">
        <v>19203</v>
      </c>
      <c r="L855" t="s">
        <v>1354</v>
      </c>
      <c r="M855" s="161" t="s">
        <v>19202</v>
      </c>
    </row>
    <row r="856" spans="9:13" x14ac:dyDescent="0.25">
      <c r="I856" t="s">
        <v>2015</v>
      </c>
      <c r="J856" s="161" t="s">
        <v>19202</v>
      </c>
      <c r="K856" t="s">
        <v>19203</v>
      </c>
      <c r="L856" t="s">
        <v>2014</v>
      </c>
      <c r="M856" s="161" t="s">
        <v>19202</v>
      </c>
    </row>
    <row r="857" spans="9:13" x14ac:dyDescent="0.25">
      <c r="I857" t="s">
        <v>1217</v>
      </c>
      <c r="J857" s="161" t="s">
        <v>19202</v>
      </c>
      <c r="K857" t="s">
        <v>19203</v>
      </c>
      <c r="L857" t="s">
        <v>1216</v>
      </c>
      <c r="M857" s="161" t="s">
        <v>19202</v>
      </c>
    </row>
    <row r="858" spans="9:13" x14ac:dyDescent="0.25">
      <c r="I858" t="s">
        <v>6772</v>
      </c>
      <c r="J858" s="161" t="s">
        <v>19202</v>
      </c>
      <c r="K858" t="s">
        <v>19203</v>
      </c>
      <c r="L858" t="s">
        <v>6771</v>
      </c>
      <c r="M858" s="161" t="s">
        <v>19202</v>
      </c>
    </row>
    <row r="859" spans="9:13" x14ac:dyDescent="0.25">
      <c r="I859" t="s">
        <v>1880</v>
      </c>
      <c r="J859" s="161" t="s">
        <v>19202</v>
      </c>
      <c r="K859" t="s">
        <v>19203</v>
      </c>
      <c r="L859" t="s">
        <v>970</v>
      </c>
      <c r="M859" s="161" t="s">
        <v>19202</v>
      </c>
    </row>
    <row r="860" spans="9:13" x14ac:dyDescent="0.25">
      <c r="I860" t="s">
        <v>901</v>
      </c>
      <c r="J860" s="161" t="s">
        <v>19202</v>
      </c>
      <c r="K860" t="s">
        <v>19203</v>
      </c>
      <c r="L860" t="s">
        <v>900</v>
      </c>
      <c r="M860" s="161" t="s">
        <v>19202</v>
      </c>
    </row>
    <row r="861" spans="9:13" x14ac:dyDescent="0.25">
      <c r="I861" t="s">
        <v>790</v>
      </c>
      <c r="J861" s="161" t="s">
        <v>19202</v>
      </c>
      <c r="K861" t="s">
        <v>19203</v>
      </c>
      <c r="L861" t="s">
        <v>789</v>
      </c>
      <c r="M861" s="161" t="s">
        <v>19202</v>
      </c>
    </row>
    <row r="862" spans="9:13" x14ac:dyDescent="0.25">
      <c r="I862" t="s">
        <v>15224</v>
      </c>
      <c r="J862" s="161" t="s">
        <v>19202</v>
      </c>
      <c r="K862" t="s">
        <v>19203</v>
      </c>
      <c r="L862" t="s">
        <v>15223</v>
      </c>
      <c r="M862" s="161" t="s">
        <v>19202</v>
      </c>
    </row>
    <row r="863" spans="9:13" x14ac:dyDescent="0.25">
      <c r="I863" t="s">
        <v>9591</v>
      </c>
      <c r="J863" s="161" t="s">
        <v>19202</v>
      </c>
      <c r="K863" t="s">
        <v>19203</v>
      </c>
      <c r="L863" t="s">
        <v>9590</v>
      </c>
      <c r="M863" s="161" t="s">
        <v>19202</v>
      </c>
    </row>
    <row r="864" spans="9:13" x14ac:dyDescent="0.25">
      <c r="I864" t="s">
        <v>14184</v>
      </c>
      <c r="J864" s="161" t="s">
        <v>19202</v>
      </c>
      <c r="K864" t="s">
        <v>19203</v>
      </c>
      <c r="L864" t="s">
        <v>14183</v>
      </c>
      <c r="M864" s="161" t="s">
        <v>19202</v>
      </c>
    </row>
    <row r="865" spans="9:13" x14ac:dyDescent="0.25">
      <c r="I865" t="s">
        <v>15106</v>
      </c>
      <c r="J865" s="161" t="s">
        <v>19202</v>
      </c>
      <c r="K865" t="s">
        <v>19203</v>
      </c>
      <c r="L865" t="s">
        <v>15105</v>
      </c>
      <c r="M865" s="161" t="s">
        <v>19202</v>
      </c>
    </row>
    <row r="866" spans="9:13" x14ac:dyDescent="0.25">
      <c r="I866" t="s">
        <v>5001</v>
      </c>
      <c r="J866" s="161" t="s">
        <v>19202</v>
      </c>
      <c r="K866" t="s">
        <v>19203</v>
      </c>
      <c r="L866" t="s">
        <v>5000</v>
      </c>
      <c r="M866" s="161" t="s">
        <v>19202</v>
      </c>
    </row>
    <row r="867" spans="9:13" x14ac:dyDescent="0.25">
      <c r="I867" t="s">
        <v>1935</v>
      </c>
      <c r="J867" s="161" t="s">
        <v>19202</v>
      </c>
      <c r="K867" t="s">
        <v>19203</v>
      </c>
      <c r="L867" t="s">
        <v>1934</v>
      </c>
      <c r="M867" s="161" t="s">
        <v>19202</v>
      </c>
    </row>
    <row r="868" spans="9:13" x14ac:dyDescent="0.25">
      <c r="I868" t="s">
        <v>17746</v>
      </c>
      <c r="J868" s="161" t="s">
        <v>19202</v>
      </c>
      <c r="K868" t="s">
        <v>19203</v>
      </c>
      <c r="L868" t="s">
        <v>14251</v>
      </c>
      <c r="M868" s="161" t="s">
        <v>19202</v>
      </c>
    </row>
    <row r="869" spans="9:13" x14ac:dyDescent="0.25">
      <c r="I869" t="s">
        <v>12514</v>
      </c>
      <c r="J869" s="161" t="s">
        <v>19202</v>
      </c>
      <c r="K869" t="s">
        <v>19203</v>
      </c>
      <c r="L869" t="s">
        <v>12513</v>
      </c>
      <c r="M869" s="161" t="s">
        <v>19202</v>
      </c>
    </row>
    <row r="870" spans="9:13" x14ac:dyDescent="0.25">
      <c r="I870" t="s">
        <v>5984</v>
      </c>
      <c r="J870" s="161" t="s">
        <v>19202</v>
      </c>
      <c r="K870" t="s">
        <v>19203</v>
      </c>
      <c r="L870" t="s">
        <v>5983</v>
      </c>
      <c r="M870" s="161" t="s">
        <v>19202</v>
      </c>
    </row>
    <row r="871" spans="9:13" x14ac:dyDescent="0.25">
      <c r="I871" t="s">
        <v>17542</v>
      </c>
      <c r="J871" s="161" t="s">
        <v>19202</v>
      </c>
      <c r="K871" t="s">
        <v>19203</v>
      </c>
      <c r="L871" t="s">
        <v>301</v>
      </c>
      <c r="M871" s="161" t="s">
        <v>19202</v>
      </c>
    </row>
    <row r="872" spans="9:13" x14ac:dyDescent="0.25">
      <c r="I872" t="s">
        <v>17313</v>
      </c>
      <c r="J872" s="161" t="s">
        <v>19202</v>
      </c>
      <c r="K872" t="s">
        <v>19203</v>
      </c>
      <c r="L872" t="s">
        <v>17312</v>
      </c>
      <c r="M872" s="161" t="s">
        <v>19202</v>
      </c>
    </row>
    <row r="873" spans="9:13" x14ac:dyDescent="0.25">
      <c r="I873" t="s">
        <v>17955</v>
      </c>
      <c r="J873" s="161" t="s">
        <v>19202</v>
      </c>
      <c r="K873" t="s">
        <v>19203</v>
      </c>
      <c r="L873" t="s">
        <v>17954</v>
      </c>
      <c r="M873" s="161" t="s">
        <v>19202</v>
      </c>
    </row>
    <row r="874" spans="9:13" x14ac:dyDescent="0.25">
      <c r="I874" t="s">
        <v>18091</v>
      </c>
      <c r="J874" s="161" t="s">
        <v>19202</v>
      </c>
      <c r="K874" t="s">
        <v>19203</v>
      </c>
      <c r="L874" t="s">
        <v>3476</v>
      </c>
      <c r="M874" s="161" t="s">
        <v>19202</v>
      </c>
    </row>
    <row r="875" spans="9:13" x14ac:dyDescent="0.25">
      <c r="I875" t="s">
        <v>17611</v>
      </c>
      <c r="J875" s="161" t="s">
        <v>19202</v>
      </c>
      <c r="K875" t="s">
        <v>19203</v>
      </c>
      <c r="L875" t="s">
        <v>4989</v>
      </c>
      <c r="M875" s="161" t="s">
        <v>19202</v>
      </c>
    </row>
    <row r="876" spans="9:13" x14ac:dyDescent="0.25">
      <c r="I876" t="s">
        <v>1482</v>
      </c>
      <c r="J876" s="161" t="s">
        <v>19202</v>
      </c>
      <c r="K876" t="s">
        <v>19203</v>
      </c>
      <c r="L876" t="s">
        <v>1374</v>
      </c>
      <c r="M876" s="161" t="s">
        <v>19202</v>
      </c>
    </row>
    <row r="877" spans="9:13" x14ac:dyDescent="0.25">
      <c r="I877" t="s">
        <v>7302</v>
      </c>
      <c r="J877" s="161" t="s">
        <v>19202</v>
      </c>
      <c r="K877" t="s">
        <v>19203</v>
      </c>
      <c r="L877" t="s">
        <v>7301</v>
      </c>
      <c r="M877" s="161" t="s">
        <v>19202</v>
      </c>
    </row>
    <row r="878" spans="9:13" x14ac:dyDescent="0.25">
      <c r="I878" t="s">
        <v>19350</v>
      </c>
      <c r="J878" s="161" t="s">
        <v>19202</v>
      </c>
      <c r="K878" t="s">
        <v>19203</v>
      </c>
      <c r="L878" t="s">
        <v>19351</v>
      </c>
      <c r="M878" s="161" t="s">
        <v>19202</v>
      </c>
    </row>
    <row r="879" spans="9:13" x14ac:dyDescent="0.25">
      <c r="I879" t="s">
        <v>19352</v>
      </c>
      <c r="J879" s="161" t="s">
        <v>19202</v>
      </c>
      <c r="K879" t="s">
        <v>19203</v>
      </c>
      <c r="L879" t="s">
        <v>19353</v>
      </c>
      <c r="M879" s="161" t="s">
        <v>19202</v>
      </c>
    </row>
    <row r="880" spans="9:13" x14ac:dyDescent="0.25">
      <c r="I880" t="s">
        <v>19354</v>
      </c>
      <c r="J880" s="161" t="s">
        <v>19202</v>
      </c>
      <c r="K880" t="s">
        <v>19203</v>
      </c>
      <c r="L880" t="s">
        <v>3508</v>
      </c>
      <c r="M880" s="161" t="s">
        <v>19202</v>
      </c>
    </row>
    <row r="881" spans="9:13" x14ac:dyDescent="0.25">
      <c r="I881" t="s">
        <v>1149</v>
      </c>
      <c r="J881" s="161" t="s">
        <v>19202</v>
      </c>
      <c r="K881" t="s">
        <v>19203</v>
      </c>
      <c r="L881" t="s">
        <v>1148</v>
      </c>
      <c r="M881" s="161" t="s">
        <v>19202</v>
      </c>
    </row>
    <row r="882" spans="9:13" x14ac:dyDescent="0.25">
      <c r="I882" t="s">
        <v>14345</v>
      </c>
      <c r="J882" s="161" t="s">
        <v>19202</v>
      </c>
      <c r="K882" t="s">
        <v>19203</v>
      </c>
      <c r="L882" t="s">
        <v>14344</v>
      </c>
      <c r="M882" s="161" t="s">
        <v>19202</v>
      </c>
    </row>
    <row r="883" spans="9:13" x14ac:dyDescent="0.25">
      <c r="I883" t="s">
        <v>1866</v>
      </c>
      <c r="J883" s="161" t="s">
        <v>19202</v>
      </c>
      <c r="K883" t="s">
        <v>19203</v>
      </c>
      <c r="L883" t="s">
        <v>1865</v>
      </c>
      <c r="M883" s="161" t="s">
        <v>19202</v>
      </c>
    </row>
    <row r="884" spans="9:13" x14ac:dyDescent="0.25">
      <c r="I884" t="s">
        <v>16332</v>
      </c>
      <c r="J884" s="161" t="s">
        <v>19202</v>
      </c>
      <c r="K884" t="s">
        <v>19203</v>
      </c>
      <c r="L884" t="s">
        <v>898</v>
      </c>
      <c r="M884" s="161" t="s">
        <v>19202</v>
      </c>
    </row>
    <row r="885" spans="9:13" x14ac:dyDescent="0.25">
      <c r="I885" t="s">
        <v>12463</v>
      </c>
      <c r="J885" s="161" t="s">
        <v>19202</v>
      </c>
      <c r="K885" t="s">
        <v>19203</v>
      </c>
      <c r="L885" t="s">
        <v>12462</v>
      </c>
      <c r="M885" s="161" t="s">
        <v>19202</v>
      </c>
    </row>
    <row r="886" spans="9:13" x14ac:dyDescent="0.25">
      <c r="I886" t="s">
        <v>12457</v>
      </c>
      <c r="J886" s="161" t="s">
        <v>19202</v>
      </c>
      <c r="K886" t="s">
        <v>19203</v>
      </c>
      <c r="L886" t="s">
        <v>12456</v>
      </c>
      <c r="M886" s="161" t="s">
        <v>19202</v>
      </c>
    </row>
    <row r="887" spans="9:13" x14ac:dyDescent="0.25">
      <c r="I887" t="s">
        <v>17759</v>
      </c>
      <c r="J887" s="161" t="s">
        <v>19202</v>
      </c>
      <c r="K887" t="s">
        <v>19203</v>
      </c>
      <c r="L887" t="s">
        <v>17758</v>
      </c>
      <c r="M887" s="161" t="s">
        <v>19202</v>
      </c>
    </row>
    <row r="888" spans="9:13" x14ac:dyDescent="0.25">
      <c r="I888" t="s">
        <v>13898</v>
      </c>
      <c r="J888" s="161" t="s">
        <v>19202</v>
      </c>
      <c r="K888" t="s">
        <v>19203</v>
      </c>
      <c r="L888" t="s">
        <v>13897</v>
      </c>
      <c r="M888" s="161" t="s">
        <v>19202</v>
      </c>
    </row>
    <row r="889" spans="9:13" x14ac:dyDescent="0.25">
      <c r="I889" t="s">
        <v>2109</v>
      </c>
      <c r="J889" s="161" t="s">
        <v>19202</v>
      </c>
      <c r="K889" t="s">
        <v>19203</v>
      </c>
      <c r="L889" t="s">
        <v>2108</v>
      </c>
      <c r="M889" s="161" t="s">
        <v>19202</v>
      </c>
    </row>
    <row r="890" spans="9:13" x14ac:dyDescent="0.25">
      <c r="I890" t="s">
        <v>4547</v>
      </c>
      <c r="J890" s="161" t="s">
        <v>19202</v>
      </c>
      <c r="K890" t="s">
        <v>19203</v>
      </c>
      <c r="L890" t="s">
        <v>4546</v>
      </c>
      <c r="M890" s="161" t="s">
        <v>19202</v>
      </c>
    </row>
    <row r="891" spans="9:13" x14ac:dyDescent="0.25">
      <c r="I891" t="s">
        <v>5081</v>
      </c>
      <c r="J891" s="161" t="s">
        <v>19202</v>
      </c>
      <c r="K891" t="s">
        <v>19203</v>
      </c>
      <c r="L891" t="s">
        <v>5080</v>
      </c>
      <c r="M891" s="161" t="s">
        <v>19202</v>
      </c>
    </row>
    <row r="892" spans="9:13" x14ac:dyDescent="0.25">
      <c r="I892" t="s">
        <v>3693</v>
      </c>
      <c r="J892" s="161" t="s">
        <v>19202</v>
      </c>
      <c r="K892" t="s">
        <v>19203</v>
      </c>
      <c r="L892" t="s">
        <v>3692</v>
      </c>
      <c r="M892" s="161" t="s">
        <v>19202</v>
      </c>
    </row>
    <row r="893" spans="9:13" x14ac:dyDescent="0.25">
      <c r="I893" t="s">
        <v>6054</v>
      </c>
      <c r="J893" s="161" t="s">
        <v>19202</v>
      </c>
      <c r="K893" t="s">
        <v>19203</v>
      </c>
      <c r="L893" t="s">
        <v>6053</v>
      </c>
      <c r="M893" s="161" t="s">
        <v>19202</v>
      </c>
    </row>
    <row r="894" spans="9:13" x14ac:dyDescent="0.25">
      <c r="I894" t="s">
        <v>1116</v>
      </c>
      <c r="J894" s="161" t="s">
        <v>19202</v>
      </c>
      <c r="K894" t="s">
        <v>19203</v>
      </c>
      <c r="L894" t="s">
        <v>1115</v>
      </c>
      <c r="M894" s="161" t="s">
        <v>19202</v>
      </c>
    </row>
    <row r="895" spans="9:13" x14ac:dyDescent="0.25">
      <c r="I895" t="s">
        <v>14021</v>
      </c>
      <c r="J895" s="161" t="s">
        <v>19202</v>
      </c>
      <c r="K895" t="s">
        <v>19203</v>
      </c>
      <c r="L895" t="s">
        <v>14020</v>
      </c>
      <c r="M895" s="161" t="s">
        <v>19202</v>
      </c>
    </row>
    <row r="896" spans="9:13" x14ac:dyDescent="0.25">
      <c r="I896" t="s">
        <v>15934</v>
      </c>
      <c r="J896" s="161" t="s">
        <v>19202</v>
      </c>
      <c r="K896" t="s">
        <v>19203</v>
      </c>
      <c r="L896" t="s">
        <v>15611</v>
      </c>
      <c r="M896" s="161" t="s">
        <v>19202</v>
      </c>
    </row>
    <row r="897" spans="9:13" x14ac:dyDescent="0.25">
      <c r="I897" t="s">
        <v>18040</v>
      </c>
      <c r="J897" s="161" t="s">
        <v>19202</v>
      </c>
      <c r="K897" t="s">
        <v>19203</v>
      </c>
      <c r="L897" t="s">
        <v>18039</v>
      </c>
      <c r="M897" s="161" t="s">
        <v>19202</v>
      </c>
    </row>
    <row r="898" spans="9:13" x14ac:dyDescent="0.25">
      <c r="I898" t="s">
        <v>1349</v>
      </c>
      <c r="J898" s="161" t="s">
        <v>19202</v>
      </c>
      <c r="K898" t="s">
        <v>19203</v>
      </c>
      <c r="L898" t="s">
        <v>1348</v>
      </c>
      <c r="M898" s="161" t="s">
        <v>19202</v>
      </c>
    </row>
    <row r="899" spans="9:13" x14ac:dyDescent="0.25">
      <c r="I899" t="s">
        <v>11183</v>
      </c>
      <c r="J899" s="161" t="s">
        <v>19202</v>
      </c>
      <c r="K899" t="s">
        <v>19203</v>
      </c>
      <c r="L899" t="s">
        <v>11182</v>
      </c>
      <c r="M899" s="161" t="s">
        <v>19202</v>
      </c>
    </row>
    <row r="900" spans="9:13" x14ac:dyDescent="0.25">
      <c r="I900" t="s">
        <v>17504</v>
      </c>
      <c r="J900" s="161" t="s">
        <v>19202</v>
      </c>
      <c r="K900" t="s">
        <v>19203</v>
      </c>
      <c r="L900" t="s">
        <v>17503</v>
      </c>
      <c r="M900" s="161" t="s">
        <v>19202</v>
      </c>
    </row>
    <row r="901" spans="9:13" x14ac:dyDescent="0.25">
      <c r="I901" t="s">
        <v>4085</v>
      </c>
      <c r="J901" s="161" t="s">
        <v>19202</v>
      </c>
      <c r="K901" t="s">
        <v>19203</v>
      </c>
      <c r="L901" t="s">
        <v>4084</v>
      </c>
      <c r="M901" s="161" t="s">
        <v>19202</v>
      </c>
    </row>
    <row r="902" spans="9:13" x14ac:dyDescent="0.25">
      <c r="I902" t="s">
        <v>1230</v>
      </c>
      <c r="J902" s="161" t="s">
        <v>19202</v>
      </c>
      <c r="K902" t="s">
        <v>19203</v>
      </c>
      <c r="L902" t="s">
        <v>1229</v>
      </c>
      <c r="M902" s="161" t="s">
        <v>19202</v>
      </c>
    </row>
    <row r="903" spans="9:13" x14ac:dyDescent="0.25">
      <c r="I903" t="s">
        <v>16853</v>
      </c>
      <c r="J903" s="161" t="s">
        <v>19202</v>
      </c>
      <c r="K903" t="s">
        <v>19203</v>
      </c>
      <c r="L903" t="s">
        <v>4966</v>
      </c>
      <c r="M903" s="161" t="s">
        <v>19202</v>
      </c>
    </row>
    <row r="904" spans="9:13" x14ac:dyDescent="0.25">
      <c r="I904" t="s">
        <v>14541</v>
      </c>
      <c r="J904" s="161" t="s">
        <v>19202</v>
      </c>
      <c r="K904" t="s">
        <v>19203</v>
      </c>
      <c r="L904" t="s">
        <v>14540</v>
      </c>
      <c r="M904" s="161" t="s">
        <v>19202</v>
      </c>
    </row>
    <row r="905" spans="9:13" x14ac:dyDescent="0.25">
      <c r="I905" t="s">
        <v>14453</v>
      </c>
      <c r="J905" s="161" t="s">
        <v>19202</v>
      </c>
      <c r="K905" t="s">
        <v>19203</v>
      </c>
      <c r="L905" t="s">
        <v>5065</v>
      </c>
      <c r="M905" s="161" t="s">
        <v>19202</v>
      </c>
    </row>
    <row r="906" spans="9:13" x14ac:dyDescent="0.25">
      <c r="I906" t="s">
        <v>19355</v>
      </c>
      <c r="J906" s="161" t="s">
        <v>19202</v>
      </c>
      <c r="K906" t="s">
        <v>19203</v>
      </c>
      <c r="L906" t="s">
        <v>19356</v>
      </c>
      <c r="M906" s="161" t="s">
        <v>19202</v>
      </c>
    </row>
    <row r="907" spans="9:13" x14ac:dyDescent="0.25">
      <c r="I907" t="s">
        <v>9621</v>
      </c>
      <c r="J907" s="161" t="s">
        <v>19202</v>
      </c>
      <c r="K907" t="s">
        <v>19203</v>
      </c>
      <c r="L907" t="s">
        <v>9620</v>
      </c>
      <c r="M907" s="161" t="s">
        <v>19202</v>
      </c>
    </row>
    <row r="908" spans="9:13" x14ac:dyDescent="0.25">
      <c r="I908" t="s">
        <v>1239</v>
      </c>
      <c r="J908" s="161" t="s">
        <v>19202</v>
      </c>
      <c r="K908" t="s">
        <v>19203</v>
      </c>
      <c r="L908" t="s">
        <v>1238</v>
      </c>
      <c r="M908" s="161" t="s">
        <v>19202</v>
      </c>
    </row>
    <row r="909" spans="9:13" x14ac:dyDescent="0.25">
      <c r="I909" t="s">
        <v>17559</v>
      </c>
      <c r="J909" s="161" t="s">
        <v>19202</v>
      </c>
      <c r="K909" t="s">
        <v>19203</v>
      </c>
      <c r="L909" t="s">
        <v>17558</v>
      </c>
      <c r="M909" s="161" t="s">
        <v>19202</v>
      </c>
    </row>
    <row r="910" spans="9:13" x14ac:dyDescent="0.25">
      <c r="I910" t="s">
        <v>10375</v>
      </c>
      <c r="J910" s="161" t="s">
        <v>19202</v>
      </c>
      <c r="K910" t="s">
        <v>19203</v>
      </c>
      <c r="L910" t="s">
        <v>10374</v>
      </c>
      <c r="M910" s="161" t="s">
        <v>19202</v>
      </c>
    </row>
    <row r="911" spans="9:13" x14ac:dyDescent="0.25">
      <c r="I911" t="s">
        <v>19357</v>
      </c>
      <c r="J911" s="161" t="s">
        <v>19202</v>
      </c>
      <c r="K911" t="s">
        <v>19203</v>
      </c>
      <c r="L911" t="s">
        <v>19358</v>
      </c>
      <c r="M911" s="161" t="s">
        <v>19202</v>
      </c>
    </row>
    <row r="912" spans="9:13" x14ac:dyDescent="0.25">
      <c r="I912" t="s">
        <v>9144</v>
      </c>
      <c r="J912" s="161" t="s">
        <v>19202</v>
      </c>
      <c r="K912" t="s">
        <v>19203</v>
      </c>
      <c r="L912" t="s">
        <v>9143</v>
      </c>
      <c r="M912" s="161" t="s">
        <v>19202</v>
      </c>
    </row>
    <row r="913" spans="9:13" x14ac:dyDescent="0.25">
      <c r="I913" t="s">
        <v>1091</v>
      </c>
      <c r="J913" s="161" t="s">
        <v>19202</v>
      </c>
      <c r="K913" t="s">
        <v>19203</v>
      </c>
      <c r="L913" t="s">
        <v>1090</v>
      </c>
      <c r="M913" s="161" t="s">
        <v>19202</v>
      </c>
    </row>
    <row r="914" spans="9:13" x14ac:dyDescent="0.25">
      <c r="I914" t="s">
        <v>4012</v>
      </c>
      <c r="J914" s="161" t="s">
        <v>19202</v>
      </c>
      <c r="K914" t="s">
        <v>19203</v>
      </c>
      <c r="L914" t="s">
        <v>4011</v>
      </c>
      <c r="M914" s="161" t="s">
        <v>19202</v>
      </c>
    </row>
    <row r="915" spans="9:13" x14ac:dyDescent="0.25">
      <c r="I915" t="s">
        <v>1802</v>
      </c>
      <c r="J915" s="161" t="s">
        <v>19202</v>
      </c>
      <c r="K915" t="s">
        <v>19203</v>
      </c>
      <c r="L915" t="s">
        <v>1801</v>
      </c>
      <c r="M915" s="161" t="s">
        <v>19202</v>
      </c>
    </row>
    <row r="916" spans="9:13" x14ac:dyDescent="0.25">
      <c r="I916" t="s">
        <v>9999</v>
      </c>
      <c r="J916" s="161" t="s">
        <v>19202</v>
      </c>
      <c r="K916" t="s">
        <v>19203</v>
      </c>
      <c r="L916" t="s">
        <v>9998</v>
      </c>
      <c r="M916" s="161" t="s">
        <v>19202</v>
      </c>
    </row>
    <row r="917" spans="9:13" x14ac:dyDescent="0.25">
      <c r="I917" t="s">
        <v>14444</v>
      </c>
      <c r="J917" s="161" t="s">
        <v>19202</v>
      </c>
      <c r="K917" t="s">
        <v>19203</v>
      </c>
      <c r="L917" t="s">
        <v>697</v>
      </c>
      <c r="M917" s="161" t="s">
        <v>19202</v>
      </c>
    </row>
    <row r="918" spans="9:13" x14ac:dyDescent="0.25">
      <c r="I918" t="s">
        <v>14395</v>
      </c>
      <c r="J918" s="161" t="s">
        <v>19202</v>
      </c>
      <c r="K918" t="s">
        <v>19203</v>
      </c>
      <c r="L918" t="s">
        <v>795</v>
      </c>
      <c r="M918" s="161" t="s">
        <v>19202</v>
      </c>
    </row>
    <row r="919" spans="9:13" x14ac:dyDescent="0.25">
      <c r="I919" t="s">
        <v>14533</v>
      </c>
      <c r="J919" s="161" t="s">
        <v>19202</v>
      </c>
      <c r="K919" t="s">
        <v>19203</v>
      </c>
      <c r="L919" t="s">
        <v>4989</v>
      </c>
      <c r="M919" s="161" t="s">
        <v>19202</v>
      </c>
    </row>
    <row r="920" spans="9:13" x14ac:dyDescent="0.25">
      <c r="I920" t="s">
        <v>14607</v>
      </c>
      <c r="J920" s="161" t="s">
        <v>19202</v>
      </c>
      <c r="K920" t="s">
        <v>19203</v>
      </c>
      <c r="L920" t="s">
        <v>14606</v>
      </c>
      <c r="M920" s="161" t="s">
        <v>19202</v>
      </c>
    </row>
    <row r="921" spans="9:13" x14ac:dyDescent="0.25">
      <c r="I921" t="s">
        <v>17741</v>
      </c>
      <c r="J921" s="161" t="s">
        <v>19202</v>
      </c>
      <c r="K921" t="s">
        <v>19203</v>
      </c>
      <c r="L921" t="s">
        <v>4243</v>
      </c>
      <c r="M921" s="161" t="s">
        <v>19202</v>
      </c>
    </row>
    <row r="922" spans="9:13" x14ac:dyDescent="0.25">
      <c r="I922" t="s">
        <v>8489</v>
      </c>
      <c r="J922" s="161" t="s">
        <v>19202</v>
      </c>
      <c r="K922" t="s">
        <v>19203</v>
      </c>
      <c r="L922" t="s">
        <v>8488</v>
      </c>
      <c r="M922" s="161" t="s">
        <v>19202</v>
      </c>
    </row>
    <row r="923" spans="9:13" x14ac:dyDescent="0.25">
      <c r="I923" t="s">
        <v>10504</v>
      </c>
      <c r="J923" s="161" t="s">
        <v>19202</v>
      </c>
      <c r="K923" t="s">
        <v>19203</v>
      </c>
      <c r="L923" t="s">
        <v>10503</v>
      </c>
      <c r="M923" s="161" t="s">
        <v>19202</v>
      </c>
    </row>
    <row r="924" spans="9:13" x14ac:dyDescent="0.25">
      <c r="I924" t="s">
        <v>6066</v>
      </c>
      <c r="J924" s="161" t="s">
        <v>19202</v>
      </c>
      <c r="K924" t="s">
        <v>19203</v>
      </c>
      <c r="L924" t="s">
        <v>1127</v>
      </c>
      <c r="M924" s="161" t="s">
        <v>19202</v>
      </c>
    </row>
    <row r="925" spans="9:13" x14ac:dyDescent="0.25">
      <c r="I925" t="s">
        <v>3755</v>
      </c>
      <c r="J925" s="161" t="s">
        <v>19202</v>
      </c>
      <c r="K925" t="s">
        <v>19203</v>
      </c>
      <c r="L925" t="s">
        <v>3754</v>
      </c>
      <c r="M925" s="161" t="s">
        <v>19202</v>
      </c>
    </row>
    <row r="926" spans="9:13" x14ac:dyDescent="0.25">
      <c r="I926" t="s">
        <v>17774</v>
      </c>
      <c r="J926" s="161" t="s">
        <v>19202</v>
      </c>
      <c r="K926" t="s">
        <v>19203</v>
      </c>
      <c r="L926" t="s">
        <v>17773</v>
      </c>
      <c r="M926" s="161" t="s">
        <v>19202</v>
      </c>
    </row>
    <row r="927" spans="9:13" x14ac:dyDescent="0.25">
      <c r="I927" t="s">
        <v>16918</v>
      </c>
      <c r="J927" s="161" t="s">
        <v>19202</v>
      </c>
      <c r="K927" t="s">
        <v>19203</v>
      </c>
      <c r="L927" t="s">
        <v>16917</v>
      </c>
      <c r="M927" s="161" t="s">
        <v>19202</v>
      </c>
    </row>
    <row r="928" spans="9:13" x14ac:dyDescent="0.25">
      <c r="I928" t="s">
        <v>18011</v>
      </c>
      <c r="J928" s="161" t="s">
        <v>19202</v>
      </c>
      <c r="K928" t="s">
        <v>19203</v>
      </c>
      <c r="L928" t="s">
        <v>18010</v>
      </c>
      <c r="M928" s="161" t="s">
        <v>19202</v>
      </c>
    </row>
    <row r="929" spans="9:13" x14ac:dyDescent="0.25">
      <c r="I929" t="s">
        <v>17925</v>
      </c>
      <c r="J929" s="161" t="s">
        <v>19202</v>
      </c>
      <c r="K929" t="s">
        <v>19203</v>
      </c>
      <c r="L929" t="s">
        <v>15611</v>
      </c>
      <c r="M929" s="161" t="s">
        <v>19202</v>
      </c>
    </row>
    <row r="930" spans="9:13" x14ac:dyDescent="0.25">
      <c r="I930" t="s">
        <v>1473</v>
      </c>
      <c r="J930" s="161" t="s">
        <v>19202</v>
      </c>
      <c r="K930" t="s">
        <v>19203</v>
      </c>
      <c r="L930" t="s">
        <v>1472</v>
      </c>
      <c r="M930" s="161" t="s">
        <v>19202</v>
      </c>
    </row>
    <row r="931" spans="9:13" x14ac:dyDescent="0.25">
      <c r="I931" t="s">
        <v>18022</v>
      </c>
      <c r="J931" s="161" t="s">
        <v>19202</v>
      </c>
      <c r="K931" t="s">
        <v>19203</v>
      </c>
      <c r="L931" t="s">
        <v>1350</v>
      </c>
      <c r="M931" s="161" t="s">
        <v>19202</v>
      </c>
    </row>
    <row r="932" spans="9:13" x14ac:dyDescent="0.25">
      <c r="I932" t="s">
        <v>17726</v>
      </c>
      <c r="J932" s="161" t="s">
        <v>19202</v>
      </c>
      <c r="K932" t="s">
        <v>19203</v>
      </c>
      <c r="L932" t="s">
        <v>17725</v>
      </c>
      <c r="M932" s="161" t="s">
        <v>19202</v>
      </c>
    </row>
    <row r="933" spans="9:13" x14ac:dyDescent="0.25">
      <c r="I933" t="s">
        <v>8536</v>
      </c>
      <c r="J933" s="161" t="s">
        <v>19202</v>
      </c>
      <c r="K933" t="s">
        <v>19203</v>
      </c>
      <c r="L933" t="s">
        <v>8535</v>
      </c>
      <c r="M933" s="161" t="s">
        <v>19202</v>
      </c>
    </row>
    <row r="934" spans="9:13" x14ac:dyDescent="0.25">
      <c r="I934" t="s">
        <v>15179</v>
      </c>
      <c r="J934" s="161" t="s">
        <v>19202</v>
      </c>
      <c r="K934" t="s">
        <v>19203</v>
      </c>
      <c r="L934" t="s">
        <v>15178</v>
      </c>
      <c r="M934" s="161" t="s">
        <v>19202</v>
      </c>
    </row>
    <row r="935" spans="9:13" x14ac:dyDescent="0.25">
      <c r="I935" t="s">
        <v>1279</v>
      </c>
      <c r="J935" s="161" t="s">
        <v>19202</v>
      </c>
      <c r="K935" t="s">
        <v>19203</v>
      </c>
      <c r="L935" t="s">
        <v>1278</v>
      </c>
      <c r="M935" s="161" t="s">
        <v>19202</v>
      </c>
    </row>
    <row r="936" spans="9:13" x14ac:dyDescent="0.25">
      <c r="I936" t="s">
        <v>942</v>
      </c>
      <c r="J936" s="161" t="s">
        <v>19202</v>
      </c>
      <c r="K936" t="s">
        <v>19203</v>
      </c>
      <c r="L936" t="s">
        <v>941</v>
      </c>
      <c r="M936" s="161" t="s">
        <v>19202</v>
      </c>
    </row>
    <row r="937" spans="9:13" x14ac:dyDescent="0.25">
      <c r="I937" t="s">
        <v>14619</v>
      </c>
      <c r="J937" s="161" t="s">
        <v>19202</v>
      </c>
      <c r="K937" t="s">
        <v>19203</v>
      </c>
      <c r="L937" t="s">
        <v>14618</v>
      </c>
      <c r="M937" s="161" t="s">
        <v>19202</v>
      </c>
    </row>
    <row r="938" spans="9:13" x14ac:dyDescent="0.25">
      <c r="I938" t="s">
        <v>12561</v>
      </c>
      <c r="J938" s="161" t="s">
        <v>19202</v>
      </c>
      <c r="K938" t="s">
        <v>19203</v>
      </c>
      <c r="L938" t="s">
        <v>12560</v>
      </c>
      <c r="M938" s="161" t="s">
        <v>19202</v>
      </c>
    </row>
    <row r="939" spans="9:13" x14ac:dyDescent="0.25">
      <c r="I939" t="s">
        <v>12453</v>
      </c>
      <c r="J939" s="161" t="s">
        <v>19202</v>
      </c>
      <c r="K939" t="s">
        <v>19203</v>
      </c>
      <c r="L939" t="s">
        <v>12452</v>
      </c>
      <c r="M939" s="161" t="s">
        <v>19202</v>
      </c>
    </row>
    <row r="940" spans="9:13" x14ac:dyDescent="0.25">
      <c r="I940" t="s">
        <v>12445</v>
      </c>
      <c r="J940" s="161" t="s">
        <v>19202</v>
      </c>
      <c r="K940" t="s">
        <v>19203</v>
      </c>
      <c r="L940" t="s">
        <v>12444</v>
      </c>
      <c r="M940" s="161" t="s">
        <v>19202</v>
      </c>
    </row>
    <row r="941" spans="9:13" x14ac:dyDescent="0.25">
      <c r="I941" t="s">
        <v>1700</v>
      </c>
      <c r="J941" s="161" t="s">
        <v>19202</v>
      </c>
      <c r="K941" t="s">
        <v>19203</v>
      </c>
      <c r="L941" t="s">
        <v>928</v>
      </c>
      <c r="M941" s="161" t="s">
        <v>19202</v>
      </c>
    </row>
    <row r="942" spans="9:13" x14ac:dyDescent="0.25">
      <c r="I942" t="s">
        <v>12516</v>
      </c>
      <c r="J942" s="161" t="s">
        <v>19202</v>
      </c>
      <c r="K942" t="s">
        <v>19203</v>
      </c>
      <c r="L942" t="s">
        <v>12515</v>
      </c>
      <c r="M942" s="161" t="s">
        <v>19202</v>
      </c>
    </row>
    <row r="943" spans="9:13" x14ac:dyDescent="0.25">
      <c r="I943" t="s">
        <v>15831</v>
      </c>
      <c r="J943" s="161" t="s">
        <v>19202</v>
      </c>
      <c r="K943" t="s">
        <v>19203</v>
      </c>
      <c r="L943" t="s">
        <v>15830</v>
      </c>
      <c r="M943" s="161" t="s">
        <v>19202</v>
      </c>
    </row>
    <row r="944" spans="9:13" x14ac:dyDescent="0.25">
      <c r="I944" t="s">
        <v>7994</v>
      </c>
      <c r="J944" s="161" t="s">
        <v>19202</v>
      </c>
      <c r="K944" t="s">
        <v>19203</v>
      </c>
      <c r="L944" t="s">
        <v>7993</v>
      </c>
      <c r="M944" s="161" t="s">
        <v>19202</v>
      </c>
    </row>
    <row r="945" spans="9:13" x14ac:dyDescent="0.25">
      <c r="I945" t="s">
        <v>10013</v>
      </c>
      <c r="J945" s="161" t="s">
        <v>19202</v>
      </c>
      <c r="K945" t="s">
        <v>19203</v>
      </c>
      <c r="L945" t="s">
        <v>10012</v>
      </c>
      <c r="M945" s="161" t="s">
        <v>19202</v>
      </c>
    </row>
    <row r="946" spans="9:13" x14ac:dyDescent="0.25">
      <c r="I946" t="s">
        <v>14145</v>
      </c>
      <c r="J946" s="161" t="s">
        <v>19202</v>
      </c>
      <c r="K946" t="s">
        <v>19203</v>
      </c>
      <c r="L946" t="s">
        <v>716</v>
      </c>
      <c r="M946" s="161" t="s">
        <v>19202</v>
      </c>
    </row>
    <row r="947" spans="9:13" x14ac:dyDescent="0.25">
      <c r="I947" t="s">
        <v>17807</v>
      </c>
      <c r="J947" s="161" t="s">
        <v>19202</v>
      </c>
      <c r="K947" t="s">
        <v>19203</v>
      </c>
      <c r="L947" t="s">
        <v>17806</v>
      </c>
      <c r="M947" s="161" t="s">
        <v>19202</v>
      </c>
    </row>
    <row r="948" spans="9:13" x14ac:dyDescent="0.25">
      <c r="I948" t="s">
        <v>17840</v>
      </c>
      <c r="J948" s="161" t="s">
        <v>19202</v>
      </c>
      <c r="K948" t="s">
        <v>19203</v>
      </c>
      <c r="L948" t="s">
        <v>1736</v>
      </c>
      <c r="M948" s="161" t="s">
        <v>19202</v>
      </c>
    </row>
    <row r="949" spans="9:13" x14ac:dyDescent="0.25">
      <c r="I949" t="s">
        <v>14928</v>
      </c>
      <c r="J949" s="161" t="s">
        <v>19202</v>
      </c>
      <c r="K949" t="s">
        <v>19203</v>
      </c>
      <c r="L949" t="s">
        <v>14927</v>
      </c>
      <c r="M949" s="161" t="s">
        <v>19202</v>
      </c>
    </row>
    <row r="950" spans="9:13" x14ac:dyDescent="0.25">
      <c r="I950" t="s">
        <v>18120</v>
      </c>
      <c r="J950" s="161" t="s">
        <v>19202</v>
      </c>
      <c r="K950" t="s">
        <v>19203</v>
      </c>
      <c r="L950" t="s">
        <v>18119</v>
      </c>
      <c r="M950" s="161" t="s">
        <v>19202</v>
      </c>
    </row>
    <row r="951" spans="9:13" x14ac:dyDescent="0.25">
      <c r="I951" t="s">
        <v>19359</v>
      </c>
      <c r="J951" s="161" t="s">
        <v>19202</v>
      </c>
      <c r="K951" t="s">
        <v>19203</v>
      </c>
      <c r="L951" t="s">
        <v>19360</v>
      </c>
      <c r="M951" s="161" t="s">
        <v>19202</v>
      </c>
    </row>
    <row r="952" spans="9:13" x14ac:dyDescent="0.25">
      <c r="I952" t="s">
        <v>17256</v>
      </c>
      <c r="J952" s="161" t="s">
        <v>19202</v>
      </c>
      <c r="K952" t="s">
        <v>19203</v>
      </c>
      <c r="L952" t="s">
        <v>17255</v>
      </c>
      <c r="M952" s="161" t="s">
        <v>19202</v>
      </c>
    </row>
    <row r="953" spans="9:13" x14ac:dyDescent="0.25">
      <c r="I953" t="s">
        <v>17468</v>
      </c>
      <c r="J953" s="161" t="s">
        <v>19202</v>
      </c>
      <c r="K953" t="s">
        <v>19203</v>
      </c>
      <c r="L953" t="s">
        <v>17467</v>
      </c>
      <c r="M953" s="161" t="s">
        <v>19202</v>
      </c>
    </row>
    <row r="954" spans="9:13" x14ac:dyDescent="0.25">
      <c r="I954" t="s">
        <v>3956</v>
      </c>
      <c r="J954" s="161" t="s">
        <v>19202</v>
      </c>
      <c r="K954" t="s">
        <v>19203</v>
      </c>
      <c r="L954" t="s">
        <v>1835</v>
      </c>
      <c r="M954" s="161" t="s">
        <v>19202</v>
      </c>
    </row>
    <row r="955" spans="9:13" x14ac:dyDescent="0.25">
      <c r="I955" t="s">
        <v>1087</v>
      </c>
      <c r="J955" s="161" t="s">
        <v>19202</v>
      </c>
      <c r="K955" t="s">
        <v>19203</v>
      </c>
      <c r="L955" t="s">
        <v>1086</v>
      </c>
      <c r="M955" s="161" t="s">
        <v>19202</v>
      </c>
    </row>
    <row r="956" spans="9:13" x14ac:dyDescent="0.25">
      <c r="I956" t="s">
        <v>7813</v>
      </c>
      <c r="J956" s="161" t="s">
        <v>19202</v>
      </c>
      <c r="K956" t="s">
        <v>19203</v>
      </c>
      <c r="L956" t="s">
        <v>3560</v>
      </c>
      <c r="M956" s="161" t="s">
        <v>19202</v>
      </c>
    </row>
    <row r="957" spans="9:13" x14ac:dyDescent="0.25">
      <c r="I957" t="s">
        <v>3563</v>
      </c>
      <c r="J957" s="161" t="s">
        <v>19202</v>
      </c>
      <c r="K957" t="s">
        <v>19203</v>
      </c>
      <c r="L957" t="s">
        <v>3562</v>
      </c>
      <c r="M957" s="161" t="s">
        <v>19202</v>
      </c>
    </row>
    <row r="958" spans="9:13" x14ac:dyDescent="0.25">
      <c r="I958" t="s">
        <v>1616</v>
      </c>
      <c r="J958" s="161" t="s">
        <v>19202</v>
      </c>
      <c r="K958" t="s">
        <v>19203</v>
      </c>
      <c r="L958" t="s">
        <v>1615</v>
      </c>
      <c r="M958" s="161" t="s">
        <v>19202</v>
      </c>
    </row>
    <row r="959" spans="9:13" x14ac:dyDescent="0.25">
      <c r="I959" t="s">
        <v>4854</v>
      </c>
      <c r="J959" s="161" t="s">
        <v>19202</v>
      </c>
      <c r="K959" t="s">
        <v>19203</v>
      </c>
      <c r="L959" t="s">
        <v>4853</v>
      </c>
      <c r="M959" s="161" t="s">
        <v>19202</v>
      </c>
    </row>
    <row r="960" spans="9:13" x14ac:dyDescent="0.25">
      <c r="I960" t="s">
        <v>14617</v>
      </c>
      <c r="J960" s="161" t="s">
        <v>19202</v>
      </c>
      <c r="K960" t="s">
        <v>19203</v>
      </c>
      <c r="L960" t="s">
        <v>1484</v>
      </c>
      <c r="M960" s="161" t="s">
        <v>19202</v>
      </c>
    </row>
    <row r="961" spans="9:13" x14ac:dyDescent="0.25">
      <c r="I961" t="s">
        <v>14035</v>
      </c>
      <c r="J961" s="161" t="s">
        <v>19202</v>
      </c>
      <c r="K961" t="s">
        <v>19203</v>
      </c>
      <c r="L961" t="s">
        <v>941</v>
      </c>
      <c r="M961" s="161" t="s">
        <v>19202</v>
      </c>
    </row>
    <row r="962" spans="9:13" x14ac:dyDescent="0.25">
      <c r="I962" t="s">
        <v>2338</v>
      </c>
      <c r="J962" s="161" t="s">
        <v>19202</v>
      </c>
      <c r="K962" t="s">
        <v>19203</v>
      </c>
      <c r="L962" t="s">
        <v>2337</v>
      </c>
      <c r="M962" s="161" t="s">
        <v>19202</v>
      </c>
    </row>
    <row r="963" spans="9:13" x14ac:dyDescent="0.25">
      <c r="I963" t="s">
        <v>9766</v>
      </c>
      <c r="J963" s="161" t="s">
        <v>19202</v>
      </c>
      <c r="K963" t="s">
        <v>19203</v>
      </c>
      <c r="L963" t="s">
        <v>9765</v>
      </c>
      <c r="M963" s="161" t="s">
        <v>19202</v>
      </c>
    </row>
    <row r="964" spans="9:13" x14ac:dyDescent="0.25">
      <c r="I964" t="s">
        <v>8263</v>
      </c>
      <c r="J964" s="161" t="s">
        <v>19202</v>
      </c>
      <c r="K964" t="s">
        <v>19203</v>
      </c>
      <c r="L964" t="s">
        <v>8262</v>
      </c>
      <c r="M964" s="161" t="s">
        <v>19202</v>
      </c>
    </row>
    <row r="965" spans="9:13" x14ac:dyDescent="0.25">
      <c r="I965" t="s">
        <v>17457</v>
      </c>
      <c r="J965" s="161" t="s">
        <v>19202</v>
      </c>
      <c r="K965" t="s">
        <v>19203</v>
      </c>
      <c r="L965" t="s">
        <v>17456</v>
      </c>
      <c r="M965" s="161" t="s">
        <v>19202</v>
      </c>
    </row>
    <row r="966" spans="9:13" x14ac:dyDescent="0.25">
      <c r="I966" t="s">
        <v>13669</v>
      </c>
      <c r="J966" s="161" t="s">
        <v>19202</v>
      </c>
      <c r="K966" t="s">
        <v>19203</v>
      </c>
      <c r="L966" t="s">
        <v>2111</v>
      </c>
      <c r="M966" s="161" t="s">
        <v>19202</v>
      </c>
    </row>
    <row r="967" spans="9:13" x14ac:dyDescent="0.25">
      <c r="I967" t="s">
        <v>2058</v>
      </c>
      <c r="J967" s="161" t="s">
        <v>19202</v>
      </c>
      <c r="K967" t="s">
        <v>19203</v>
      </c>
      <c r="L967" t="s">
        <v>2057</v>
      </c>
      <c r="M967" s="161" t="s">
        <v>19202</v>
      </c>
    </row>
    <row r="968" spans="9:13" x14ac:dyDescent="0.25">
      <c r="I968" t="s">
        <v>1429</v>
      </c>
      <c r="J968" s="161" t="s">
        <v>19202</v>
      </c>
      <c r="K968" t="s">
        <v>19203</v>
      </c>
      <c r="L968" t="s">
        <v>1428</v>
      </c>
      <c r="M968" s="161" t="s">
        <v>19202</v>
      </c>
    </row>
    <row r="969" spans="9:13" x14ac:dyDescent="0.25">
      <c r="I969" t="s">
        <v>1377</v>
      </c>
      <c r="J969" s="161" t="s">
        <v>19202</v>
      </c>
      <c r="K969" t="s">
        <v>19203</v>
      </c>
      <c r="L969" t="s">
        <v>1376</v>
      </c>
      <c r="M969" s="161" t="s">
        <v>19202</v>
      </c>
    </row>
    <row r="970" spans="9:13" x14ac:dyDescent="0.25">
      <c r="I970" t="s">
        <v>14615</v>
      </c>
      <c r="J970" s="161" t="s">
        <v>19202</v>
      </c>
      <c r="K970" t="s">
        <v>19203</v>
      </c>
      <c r="L970" t="s">
        <v>14614</v>
      </c>
      <c r="M970" s="161" t="s">
        <v>19202</v>
      </c>
    </row>
    <row r="971" spans="9:13" x14ac:dyDescent="0.25">
      <c r="I971" t="s">
        <v>3935</v>
      </c>
      <c r="J971" s="161" t="s">
        <v>19202</v>
      </c>
      <c r="K971" t="s">
        <v>19203</v>
      </c>
      <c r="L971" t="s">
        <v>3934</v>
      </c>
      <c r="M971" s="161" t="s">
        <v>19202</v>
      </c>
    </row>
    <row r="972" spans="9:13" x14ac:dyDescent="0.25">
      <c r="I972" t="s">
        <v>17300</v>
      </c>
      <c r="J972" s="161" t="s">
        <v>19202</v>
      </c>
      <c r="K972" t="s">
        <v>19203</v>
      </c>
      <c r="L972" t="s">
        <v>17299</v>
      </c>
      <c r="M972" s="161" t="s">
        <v>19202</v>
      </c>
    </row>
    <row r="973" spans="9:13" x14ac:dyDescent="0.25">
      <c r="I973" t="s">
        <v>1203</v>
      </c>
      <c r="J973" s="161" t="s">
        <v>19202</v>
      </c>
      <c r="K973" t="s">
        <v>19203</v>
      </c>
      <c r="L973" t="s">
        <v>1202</v>
      </c>
      <c r="M973" s="161" t="s">
        <v>19202</v>
      </c>
    </row>
    <row r="974" spans="9:13" x14ac:dyDescent="0.25">
      <c r="I974" t="s">
        <v>1677</v>
      </c>
      <c r="J974" s="161" t="s">
        <v>19202</v>
      </c>
      <c r="K974" t="s">
        <v>19203</v>
      </c>
      <c r="L974" t="s">
        <v>1676</v>
      </c>
      <c r="M974" s="161" t="s">
        <v>19202</v>
      </c>
    </row>
    <row r="975" spans="9:13" x14ac:dyDescent="0.25">
      <c r="I975" t="s">
        <v>15774</v>
      </c>
      <c r="J975" s="161" t="s">
        <v>19202</v>
      </c>
      <c r="K975" t="s">
        <v>19203</v>
      </c>
      <c r="L975" t="s">
        <v>15773</v>
      </c>
      <c r="M975" s="161" t="s">
        <v>19202</v>
      </c>
    </row>
    <row r="976" spans="9:13" x14ac:dyDescent="0.25">
      <c r="I976" t="s">
        <v>1679</v>
      </c>
      <c r="J976" s="161" t="s">
        <v>19202</v>
      </c>
      <c r="K976" t="s">
        <v>19203</v>
      </c>
      <c r="L976" t="s">
        <v>1678</v>
      </c>
      <c r="M976" s="161" t="s">
        <v>19202</v>
      </c>
    </row>
    <row r="977" spans="9:13" x14ac:dyDescent="0.25">
      <c r="I977" t="s">
        <v>13165</v>
      </c>
      <c r="J977" s="161" t="s">
        <v>19202</v>
      </c>
      <c r="K977" t="s">
        <v>19203</v>
      </c>
      <c r="L977" t="s">
        <v>13164</v>
      </c>
      <c r="M977" s="161" t="s">
        <v>19202</v>
      </c>
    </row>
    <row r="978" spans="9:13" x14ac:dyDescent="0.25">
      <c r="I978" t="s">
        <v>5422</v>
      </c>
      <c r="J978" s="161" t="s">
        <v>19202</v>
      </c>
      <c r="K978" t="s">
        <v>19203</v>
      </c>
      <c r="L978" t="s">
        <v>5156</v>
      </c>
      <c r="M978" s="161" t="s">
        <v>19202</v>
      </c>
    </row>
    <row r="979" spans="9:13" x14ac:dyDescent="0.25">
      <c r="I979" t="s">
        <v>17587</v>
      </c>
      <c r="J979" s="161" t="s">
        <v>19202</v>
      </c>
      <c r="K979" t="s">
        <v>19203</v>
      </c>
      <c r="L979" t="s">
        <v>17586</v>
      </c>
      <c r="M979" s="161" t="s">
        <v>19202</v>
      </c>
    </row>
    <row r="980" spans="9:13" x14ac:dyDescent="0.25">
      <c r="I980" t="s">
        <v>543</v>
      </c>
      <c r="J980" s="161" t="s">
        <v>19202</v>
      </c>
      <c r="K980" t="s">
        <v>19203</v>
      </c>
      <c r="L980" t="s">
        <v>542</v>
      </c>
      <c r="M980" s="161" t="s">
        <v>19202</v>
      </c>
    </row>
    <row r="981" spans="9:13" x14ac:dyDescent="0.25">
      <c r="I981" t="s">
        <v>14610</v>
      </c>
      <c r="J981" s="161" t="s">
        <v>19202</v>
      </c>
      <c r="K981" t="s">
        <v>19203</v>
      </c>
      <c r="L981" t="s">
        <v>14609</v>
      </c>
      <c r="M981" s="161" t="s">
        <v>19202</v>
      </c>
    </row>
    <row r="982" spans="9:13" x14ac:dyDescent="0.25">
      <c r="I982" t="s">
        <v>1189</v>
      </c>
      <c r="J982" s="161" t="s">
        <v>19202</v>
      </c>
      <c r="K982" t="s">
        <v>19203</v>
      </c>
      <c r="L982" t="s">
        <v>934</v>
      </c>
      <c r="M982" s="161" t="s">
        <v>19202</v>
      </c>
    </row>
    <row r="983" spans="9:13" x14ac:dyDescent="0.25">
      <c r="I983" t="s">
        <v>8526</v>
      </c>
      <c r="J983" s="161" t="s">
        <v>19202</v>
      </c>
      <c r="K983" t="s">
        <v>19203</v>
      </c>
      <c r="L983" t="s">
        <v>8525</v>
      </c>
      <c r="M983" s="161" t="s">
        <v>19202</v>
      </c>
    </row>
    <row r="984" spans="9:13" x14ac:dyDescent="0.25">
      <c r="I984" t="s">
        <v>12623</v>
      </c>
      <c r="J984" s="161" t="s">
        <v>19202</v>
      </c>
      <c r="K984" t="s">
        <v>19203</v>
      </c>
      <c r="L984" t="s">
        <v>4506</v>
      </c>
      <c r="M984" s="161" t="s">
        <v>19202</v>
      </c>
    </row>
    <row r="985" spans="9:13" x14ac:dyDescent="0.25">
      <c r="I985" t="s">
        <v>17334</v>
      </c>
      <c r="J985" s="161" t="s">
        <v>19202</v>
      </c>
      <c r="K985" t="s">
        <v>19203</v>
      </c>
      <c r="L985" t="s">
        <v>17333</v>
      </c>
      <c r="M985" s="161" t="s">
        <v>19202</v>
      </c>
    </row>
    <row r="986" spans="9:13" x14ac:dyDescent="0.25">
      <c r="I986" t="s">
        <v>12372</v>
      </c>
      <c r="J986" s="161" t="s">
        <v>19202</v>
      </c>
      <c r="K986" t="s">
        <v>19203</v>
      </c>
      <c r="L986" t="s">
        <v>12371</v>
      </c>
      <c r="M986" s="161" t="s">
        <v>19202</v>
      </c>
    </row>
    <row r="987" spans="9:13" x14ac:dyDescent="0.25">
      <c r="I987" t="s">
        <v>1673</v>
      </c>
      <c r="J987" s="161" t="s">
        <v>19202</v>
      </c>
      <c r="K987" t="s">
        <v>19203</v>
      </c>
      <c r="L987" t="s">
        <v>1672</v>
      </c>
      <c r="M987" s="161" t="s">
        <v>19202</v>
      </c>
    </row>
    <row r="988" spans="9:13" x14ac:dyDescent="0.25">
      <c r="I988" t="s">
        <v>1248</v>
      </c>
      <c r="J988" s="161" t="s">
        <v>19202</v>
      </c>
      <c r="K988" t="s">
        <v>19203</v>
      </c>
      <c r="L988" t="s">
        <v>1247</v>
      </c>
      <c r="M988" s="161" t="s">
        <v>19202</v>
      </c>
    </row>
    <row r="989" spans="9:13" x14ac:dyDescent="0.25">
      <c r="I989" t="s">
        <v>829</v>
      </c>
      <c r="J989" s="161" t="s">
        <v>19202</v>
      </c>
      <c r="K989" t="s">
        <v>19203</v>
      </c>
      <c r="L989" t="s">
        <v>828</v>
      </c>
      <c r="M989" s="161" t="s">
        <v>19202</v>
      </c>
    </row>
    <row r="990" spans="9:13" x14ac:dyDescent="0.25">
      <c r="I990" t="s">
        <v>13674</v>
      </c>
      <c r="J990" s="161" t="s">
        <v>19202</v>
      </c>
      <c r="K990" t="s">
        <v>19203</v>
      </c>
      <c r="L990" t="s">
        <v>13673</v>
      </c>
      <c r="M990" s="161" t="s">
        <v>19202</v>
      </c>
    </row>
    <row r="991" spans="9:13" x14ac:dyDescent="0.25">
      <c r="I991" t="s">
        <v>18034</v>
      </c>
      <c r="J991" s="161" t="s">
        <v>19202</v>
      </c>
      <c r="K991" t="s">
        <v>19203</v>
      </c>
      <c r="L991" t="s">
        <v>18033</v>
      </c>
      <c r="M991" s="161" t="s">
        <v>19202</v>
      </c>
    </row>
    <row r="992" spans="9:13" x14ac:dyDescent="0.25">
      <c r="I992" t="s">
        <v>1710</v>
      </c>
      <c r="J992" s="161" t="s">
        <v>19202</v>
      </c>
      <c r="K992" t="s">
        <v>19203</v>
      </c>
      <c r="L992" t="s">
        <v>1709</v>
      </c>
      <c r="M992" s="161" t="s">
        <v>19202</v>
      </c>
    </row>
    <row r="993" spans="9:13" x14ac:dyDescent="0.25">
      <c r="I993" t="s">
        <v>3287</v>
      </c>
      <c r="J993" s="161" t="s">
        <v>19202</v>
      </c>
      <c r="K993" t="s">
        <v>19203</v>
      </c>
      <c r="L993" t="s">
        <v>3286</v>
      </c>
      <c r="M993" s="161" t="s">
        <v>19202</v>
      </c>
    </row>
    <row r="994" spans="9:13" x14ac:dyDescent="0.25">
      <c r="I994" t="s">
        <v>3235</v>
      </c>
      <c r="J994" s="161" t="s">
        <v>19202</v>
      </c>
      <c r="K994" t="s">
        <v>19203</v>
      </c>
      <c r="L994" t="s">
        <v>3234</v>
      </c>
      <c r="M994" s="161" t="s">
        <v>19202</v>
      </c>
    </row>
    <row r="995" spans="9:13" x14ac:dyDescent="0.25">
      <c r="I995" t="s">
        <v>1177</v>
      </c>
      <c r="J995" s="161" t="s">
        <v>19202</v>
      </c>
      <c r="K995" t="s">
        <v>19203</v>
      </c>
      <c r="L995" t="s">
        <v>1176</v>
      </c>
      <c r="M995" s="161" t="s">
        <v>19202</v>
      </c>
    </row>
    <row r="996" spans="9:13" x14ac:dyDescent="0.25">
      <c r="I996" t="s">
        <v>12324</v>
      </c>
      <c r="J996" s="161" t="s">
        <v>19202</v>
      </c>
      <c r="K996" t="s">
        <v>19203</v>
      </c>
      <c r="L996" t="s">
        <v>12323</v>
      </c>
      <c r="M996" s="161" t="s">
        <v>19202</v>
      </c>
    </row>
    <row r="997" spans="9:13" x14ac:dyDescent="0.25">
      <c r="I997" t="s">
        <v>12046</v>
      </c>
      <c r="J997" s="161" t="s">
        <v>19202</v>
      </c>
      <c r="K997" t="s">
        <v>19203</v>
      </c>
      <c r="L997" t="s">
        <v>12045</v>
      </c>
      <c r="M997" s="161" t="s">
        <v>19202</v>
      </c>
    </row>
    <row r="998" spans="9:13" x14ac:dyDescent="0.25">
      <c r="I998" t="s">
        <v>7415</v>
      </c>
      <c r="J998" s="161" t="s">
        <v>19202</v>
      </c>
      <c r="K998" t="s">
        <v>19203</v>
      </c>
      <c r="L998" t="s">
        <v>7414</v>
      </c>
      <c r="M998" s="161" t="s">
        <v>19202</v>
      </c>
    </row>
    <row r="999" spans="9:13" x14ac:dyDescent="0.25">
      <c r="I999" t="s">
        <v>1357</v>
      </c>
      <c r="J999" s="161" t="s">
        <v>19202</v>
      </c>
      <c r="K999" t="s">
        <v>19203</v>
      </c>
      <c r="L999" t="s">
        <v>1356</v>
      </c>
      <c r="M999" s="161" t="s">
        <v>19202</v>
      </c>
    </row>
    <row r="1000" spans="9:13" x14ac:dyDescent="0.25">
      <c r="I1000" t="s">
        <v>16586</v>
      </c>
      <c r="J1000" s="161" t="s">
        <v>19202</v>
      </c>
      <c r="K1000" t="s">
        <v>19203</v>
      </c>
      <c r="L1000" t="s">
        <v>2618</v>
      </c>
      <c r="M1000" s="161" t="s">
        <v>19202</v>
      </c>
    </row>
    <row r="1001" spans="9:13" x14ac:dyDescent="0.25">
      <c r="I1001" t="s">
        <v>17581</v>
      </c>
      <c r="J1001" s="161" t="s">
        <v>19202</v>
      </c>
      <c r="K1001" t="s">
        <v>19203</v>
      </c>
      <c r="L1001" t="s">
        <v>4292</v>
      </c>
      <c r="M1001" s="161" t="s">
        <v>19202</v>
      </c>
    </row>
    <row r="1002" spans="9:13" x14ac:dyDescent="0.25">
      <c r="I1002" t="s">
        <v>14232</v>
      </c>
      <c r="J1002" s="161" t="s">
        <v>19202</v>
      </c>
      <c r="K1002" t="s">
        <v>19203</v>
      </c>
      <c r="L1002" t="s">
        <v>700</v>
      </c>
      <c r="M1002" s="161" t="s">
        <v>19202</v>
      </c>
    </row>
    <row r="1003" spans="9:13" x14ac:dyDescent="0.25">
      <c r="I1003" t="s">
        <v>1688</v>
      </c>
      <c r="J1003" s="161" t="s">
        <v>19202</v>
      </c>
      <c r="K1003" t="s">
        <v>19203</v>
      </c>
      <c r="L1003" t="s">
        <v>1687</v>
      </c>
      <c r="M1003" s="161" t="s">
        <v>19202</v>
      </c>
    </row>
    <row r="1004" spans="9:13" x14ac:dyDescent="0.25">
      <c r="I1004" t="s">
        <v>12563</v>
      </c>
      <c r="J1004" s="161" t="s">
        <v>19202</v>
      </c>
      <c r="K1004" t="s">
        <v>19203</v>
      </c>
      <c r="L1004" t="s">
        <v>12562</v>
      </c>
      <c r="M1004" s="161" t="s">
        <v>19202</v>
      </c>
    </row>
    <row r="1005" spans="9:13" x14ac:dyDescent="0.25">
      <c r="I1005" t="s">
        <v>11820</v>
      </c>
      <c r="J1005" s="161" t="s">
        <v>19202</v>
      </c>
      <c r="K1005" t="s">
        <v>19203</v>
      </c>
      <c r="L1005" t="s">
        <v>11819</v>
      </c>
      <c r="M1005" s="161" t="s">
        <v>19202</v>
      </c>
    </row>
    <row r="1006" spans="9:13" x14ac:dyDescent="0.25">
      <c r="I1006" t="s">
        <v>12508</v>
      </c>
      <c r="J1006" s="161" t="s">
        <v>19202</v>
      </c>
      <c r="K1006" t="s">
        <v>19203</v>
      </c>
      <c r="L1006" t="s">
        <v>12507</v>
      </c>
      <c r="M1006" s="161" t="s">
        <v>19202</v>
      </c>
    </row>
    <row r="1007" spans="9:13" x14ac:dyDescent="0.25">
      <c r="I1007" t="s">
        <v>12465</v>
      </c>
      <c r="J1007" s="161" t="s">
        <v>19202</v>
      </c>
      <c r="K1007" t="s">
        <v>19203</v>
      </c>
      <c r="L1007" t="s">
        <v>12464</v>
      </c>
      <c r="M1007" s="161" t="s">
        <v>19202</v>
      </c>
    </row>
    <row r="1008" spans="9:13" x14ac:dyDescent="0.25">
      <c r="I1008" t="s">
        <v>12461</v>
      </c>
      <c r="J1008" s="161" t="s">
        <v>19202</v>
      </c>
      <c r="K1008" t="s">
        <v>19203</v>
      </c>
      <c r="L1008" t="s">
        <v>12460</v>
      </c>
      <c r="M1008" s="161" t="s">
        <v>19202</v>
      </c>
    </row>
    <row r="1009" spans="9:13" x14ac:dyDescent="0.25">
      <c r="I1009" t="s">
        <v>12459</v>
      </c>
      <c r="J1009" s="161" t="s">
        <v>19202</v>
      </c>
      <c r="K1009" t="s">
        <v>19203</v>
      </c>
      <c r="L1009" t="s">
        <v>12458</v>
      </c>
      <c r="M1009" s="161" t="s">
        <v>19202</v>
      </c>
    </row>
    <row r="1010" spans="9:13" x14ac:dyDescent="0.25">
      <c r="I1010" t="s">
        <v>12455</v>
      </c>
      <c r="J1010" s="161" t="s">
        <v>19202</v>
      </c>
      <c r="K1010" t="s">
        <v>19203</v>
      </c>
      <c r="L1010" t="s">
        <v>12454</v>
      </c>
      <c r="M1010" s="161" t="s">
        <v>19202</v>
      </c>
    </row>
    <row r="1011" spans="9:13" x14ac:dyDescent="0.25">
      <c r="I1011" t="s">
        <v>12451</v>
      </c>
      <c r="J1011" s="161" t="s">
        <v>19202</v>
      </c>
      <c r="K1011" t="s">
        <v>19203</v>
      </c>
      <c r="L1011" t="s">
        <v>12450</v>
      </c>
      <c r="M1011" s="161" t="s">
        <v>19202</v>
      </c>
    </row>
    <row r="1012" spans="9:13" x14ac:dyDescent="0.25">
      <c r="I1012" t="s">
        <v>12449</v>
      </c>
      <c r="J1012" s="161" t="s">
        <v>19202</v>
      </c>
      <c r="K1012" t="s">
        <v>19203</v>
      </c>
      <c r="L1012" t="s">
        <v>12448</v>
      </c>
      <c r="M1012" s="161" t="s">
        <v>19202</v>
      </c>
    </row>
    <row r="1013" spans="9:13" x14ac:dyDescent="0.25">
      <c r="I1013" t="s">
        <v>12447</v>
      </c>
      <c r="J1013" s="161" t="s">
        <v>19202</v>
      </c>
      <c r="K1013" t="s">
        <v>19203</v>
      </c>
      <c r="L1013" t="s">
        <v>12446</v>
      </c>
      <c r="M1013" s="161" t="s">
        <v>19202</v>
      </c>
    </row>
    <row r="1014" spans="9:13" x14ac:dyDescent="0.25">
      <c r="I1014" t="s">
        <v>12443</v>
      </c>
      <c r="J1014" s="161" t="s">
        <v>19202</v>
      </c>
      <c r="K1014" t="s">
        <v>19203</v>
      </c>
      <c r="L1014" t="s">
        <v>12442</v>
      </c>
      <c r="M1014" s="161" t="s">
        <v>19202</v>
      </c>
    </row>
    <row r="1015" spans="9:13" x14ac:dyDescent="0.25">
      <c r="I1015" t="s">
        <v>12196</v>
      </c>
      <c r="J1015" s="161" t="s">
        <v>19202</v>
      </c>
      <c r="K1015" t="s">
        <v>19203</v>
      </c>
      <c r="L1015" t="s">
        <v>12195</v>
      </c>
      <c r="M1015" s="161" t="s">
        <v>19202</v>
      </c>
    </row>
    <row r="1016" spans="9:13" x14ac:dyDescent="0.25">
      <c r="I1016" t="s">
        <v>14482</v>
      </c>
      <c r="J1016" s="161" t="s">
        <v>19202</v>
      </c>
      <c r="K1016" t="s">
        <v>19203</v>
      </c>
      <c r="L1016" t="s">
        <v>700</v>
      </c>
      <c r="M1016" s="161" t="s">
        <v>19202</v>
      </c>
    </row>
    <row r="1017" spans="9:13" x14ac:dyDescent="0.25">
      <c r="I1017" t="s">
        <v>15538</v>
      </c>
      <c r="J1017" s="161" t="s">
        <v>19202</v>
      </c>
      <c r="K1017" t="s">
        <v>19203</v>
      </c>
      <c r="L1017" t="s">
        <v>15537</v>
      </c>
      <c r="M1017" s="161" t="s">
        <v>19202</v>
      </c>
    </row>
    <row r="1018" spans="9:13" x14ac:dyDescent="0.25">
      <c r="I1018" t="s">
        <v>11665</v>
      </c>
      <c r="J1018" s="161" t="s">
        <v>19202</v>
      </c>
      <c r="K1018" t="s">
        <v>19203</v>
      </c>
      <c r="L1018" t="s">
        <v>11664</v>
      </c>
      <c r="M1018" s="161" t="s">
        <v>19202</v>
      </c>
    </row>
    <row r="1019" spans="9:13" x14ac:dyDescent="0.25">
      <c r="I1019" t="s">
        <v>14159</v>
      </c>
      <c r="J1019" s="161" t="s">
        <v>19202</v>
      </c>
      <c r="K1019" t="s">
        <v>19203</v>
      </c>
      <c r="L1019" t="s">
        <v>14158</v>
      </c>
      <c r="M1019" s="161" t="s">
        <v>19202</v>
      </c>
    </row>
    <row r="1020" spans="9:13" x14ac:dyDescent="0.25">
      <c r="I1020" t="s">
        <v>9074</v>
      </c>
      <c r="J1020" s="161" t="s">
        <v>19202</v>
      </c>
      <c r="K1020" t="s">
        <v>19203</v>
      </c>
      <c r="L1020" t="s">
        <v>9073</v>
      </c>
      <c r="M1020" s="161" t="s">
        <v>19202</v>
      </c>
    </row>
    <row r="1021" spans="9:13" x14ac:dyDescent="0.25">
      <c r="I1021" t="s">
        <v>3057</v>
      </c>
      <c r="J1021" s="161" t="s">
        <v>19202</v>
      </c>
      <c r="K1021" t="s">
        <v>19203</v>
      </c>
      <c r="L1021" t="s">
        <v>3056</v>
      </c>
      <c r="M1021" s="161" t="s">
        <v>19202</v>
      </c>
    </row>
    <row r="1022" spans="9:13" x14ac:dyDescent="0.25">
      <c r="I1022" t="s">
        <v>17323</v>
      </c>
      <c r="J1022" s="161" t="s">
        <v>19202</v>
      </c>
      <c r="K1022" t="s">
        <v>19203</v>
      </c>
      <c r="L1022" t="s">
        <v>6819</v>
      </c>
      <c r="M1022" s="161" t="s">
        <v>19202</v>
      </c>
    </row>
    <row r="1023" spans="9:13" x14ac:dyDescent="0.25">
      <c r="I1023" t="s">
        <v>18063</v>
      </c>
      <c r="J1023" s="161" t="s">
        <v>19202</v>
      </c>
      <c r="K1023" t="s">
        <v>19203</v>
      </c>
      <c r="L1023" t="s">
        <v>18062</v>
      </c>
      <c r="M1023" s="161" t="s">
        <v>19202</v>
      </c>
    </row>
    <row r="1024" spans="9:13" x14ac:dyDescent="0.25">
      <c r="I1024" t="s">
        <v>15883</v>
      </c>
      <c r="J1024" s="161" t="s">
        <v>19202</v>
      </c>
      <c r="K1024" t="s">
        <v>19203</v>
      </c>
      <c r="L1024" t="s">
        <v>15882</v>
      </c>
      <c r="M1024" s="161" t="s">
        <v>19202</v>
      </c>
    </row>
    <row r="1025" spans="9:13" x14ac:dyDescent="0.25">
      <c r="I1025" t="s">
        <v>11246</v>
      </c>
      <c r="J1025" s="161" t="s">
        <v>19202</v>
      </c>
      <c r="K1025" t="s">
        <v>19203</v>
      </c>
      <c r="L1025" t="s">
        <v>11245</v>
      </c>
      <c r="M1025" s="161" t="s">
        <v>19202</v>
      </c>
    </row>
    <row r="1026" spans="9:13" x14ac:dyDescent="0.25">
      <c r="I1026" t="s">
        <v>8196</v>
      </c>
      <c r="J1026" s="161" t="s">
        <v>19202</v>
      </c>
      <c r="K1026" t="s">
        <v>19203</v>
      </c>
      <c r="L1026" t="s">
        <v>8195</v>
      </c>
      <c r="M1026" s="161" t="s">
        <v>19202</v>
      </c>
    </row>
    <row r="1027" spans="9:13" x14ac:dyDescent="0.25">
      <c r="I1027" t="s">
        <v>1381</v>
      </c>
      <c r="J1027" s="161" t="s">
        <v>19202</v>
      </c>
      <c r="K1027" t="s">
        <v>19203</v>
      </c>
      <c r="L1027" t="s">
        <v>1380</v>
      </c>
      <c r="M1027" s="161" t="s">
        <v>19202</v>
      </c>
    </row>
    <row r="1028" spans="9:13" x14ac:dyDescent="0.25">
      <c r="I1028" t="s">
        <v>13539</v>
      </c>
      <c r="J1028" s="161" t="s">
        <v>19202</v>
      </c>
      <c r="K1028" t="s">
        <v>19203</v>
      </c>
      <c r="L1028" t="s">
        <v>13538</v>
      </c>
      <c r="M1028" s="161" t="s">
        <v>19202</v>
      </c>
    </row>
    <row r="1029" spans="9:13" x14ac:dyDescent="0.25">
      <c r="I1029" t="s">
        <v>17443</v>
      </c>
      <c r="J1029" s="161" t="s">
        <v>19202</v>
      </c>
      <c r="K1029" t="s">
        <v>19203</v>
      </c>
      <c r="L1029" t="s">
        <v>17442</v>
      </c>
      <c r="M1029" s="161" t="s">
        <v>19202</v>
      </c>
    </row>
    <row r="1030" spans="9:13" x14ac:dyDescent="0.25">
      <c r="I1030" t="s">
        <v>14981</v>
      </c>
      <c r="J1030" s="161" t="s">
        <v>19202</v>
      </c>
      <c r="K1030" t="s">
        <v>19203</v>
      </c>
      <c r="L1030" t="s">
        <v>181</v>
      </c>
      <c r="M1030" s="161" t="s">
        <v>19202</v>
      </c>
    </row>
    <row r="1031" spans="9:13" x14ac:dyDescent="0.25">
      <c r="I1031" t="s">
        <v>1780</v>
      </c>
      <c r="J1031" s="161" t="s">
        <v>19202</v>
      </c>
      <c r="K1031" t="s">
        <v>19203</v>
      </c>
      <c r="L1031" t="s">
        <v>1779</v>
      </c>
      <c r="M1031" s="161" t="s">
        <v>19202</v>
      </c>
    </row>
    <row r="1032" spans="9:13" x14ac:dyDescent="0.25">
      <c r="I1032" t="s">
        <v>15881</v>
      </c>
      <c r="J1032" s="161" t="s">
        <v>19202</v>
      </c>
      <c r="K1032" t="s">
        <v>19203</v>
      </c>
      <c r="L1032" t="s">
        <v>15880</v>
      </c>
      <c r="M1032" s="161" t="s">
        <v>19202</v>
      </c>
    </row>
    <row r="1033" spans="9:13" x14ac:dyDescent="0.25">
      <c r="I1033" t="s">
        <v>17436</v>
      </c>
      <c r="J1033" s="161" t="s">
        <v>19202</v>
      </c>
      <c r="K1033" t="s">
        <v>19203</v>
      </c>
      <c r="L1033" t="s">
        <v>17435</v>
      </c>
      <c r="M1033" s="161" t="s">
        <v>19202</v>
      </c>
    </row>
    <row r="1034" spans="9:13" x14ac:dyDescent="0.25">
      <c r="I1034" t="s">
        <v>484</v>
      </c>
      <c r="J1034" s="161" t="s">
        <v>19202</v>
      </c>
      <c r="K1034" t="s">
        <v>19203</v>
      </c>
      <c r="L1034" t="s">
        <v>483</v>
      </c>
      <c r="M1034" s="161" t="s">
        <v>19202</v>
      </c>
    </row>
    <row r="1035" spans="9:13" x14ac:dyDescent="0.25">
      <c r="I1035" t="s">
        <v>4818</v>
      </c>
      <c r="J1035" s="161" t="s">
        <v>19202</v>
      </c>
      <c r="K1035" t="s">
        <v>19203</v>
      </c>
      <c r="L1035" t="s">
        <v>544</v>
      </c>
      <c r="M1035" s="161" t="s">
        <v>19202</v>
      </c>
    </row>
    <row r="1036" spans="9:13" x14ac:dyDescent="0.25">
      <c r="I1036" t="s">
        <v>16978</v>
      </c>
      <c r="J1036" s="161" t="s">
        <v>19202</v>
      </c>
      <c r="K1036" t="s">
        <v>19203</v>
      </c>
      <c r="L1036" t="s">
        <v>3758</v>
      </c>
      <c r="M1036" s="161" t="s">
        <v>19202</v>
      </c>
    </row>
    <row r="1037" spans="9:13" x14ac:dyDescent="0.25">
      <c r="I1037" t="s">
        <v>17311</v>
      </c>
      <c r="J1037" s="161" t="s">
        <v>19202</v>
      </c>
      <c r="K1037" t="s">
        <v>19203</v>
      </c>
      <c r="L1037" t="s">
        <v>17310</v>
      </c>
      <c r="M1037" s="161" t="s">
        <v>19202</v>
      </c>
    </row>
    <row r="1038" spans="9:13" x14ac:dyDescent="0.25">
      <c r="I1038" t="s">
        <v>19361</v>
      </c>
      <c r="J1038" s="161" t="s">
        <v>19202</v>
      </c>
      <c r="K1038" t="s">
        <v>19203</v>
      </c>
      <c r="L1038" t="s">
        <v>19362</v>
      </c>
      <c r="M1038" s="161" t="s">
        <v>19202</v>
      </c>
    </row>
    <row r="1039" spans="9:13" x14ac:dyDescent="0.25">
      <c r="I1039" t="s">
        <v>9248</v>
      </c>
      <c r="J1039" s="161" t="s">
        <v>19202</v>
      </c>
      <c r="K1039" t="s">
        <v>19203</v>
      </c>
      <c r="L1039" t="s">
        <v>9247</v>
      </c>
      <c r="M1039" s="161" t="s">
        <v>19202</v>
      </c>
    </row>
    <row r="1040" spans="9:13" x14ac:dyDescent="0.25">
      <c r="I1040" t="s">
        <v>1271</v>
      </c>
      <c r="J1040" s="161" t="s">
        <v>19202</v>
      </c>
      <c r="K1040" t="s">
        <v>19203</v>
      </c>
      <c r="L1040" t="s">
        <v>1270</v>
      </c>
      <c r="M1040" s="161" t="s">
        <v>19202</v>
      </c>
    </row>
    <row r="1041" spans="9:13" x14ac:dyDescent="0.25">
      <c r="I1041" t="s">
        <v>9200</v>
      </c>
      <c r="J1041" s="161" t="s">
        <v>19202</v>
      </c>
      <c r="K1041" t="s">
        <v>19203</v>
      </c>
      <c r="L1041" t="s">
        <v>9199</v>
      </c>
      <c r="M1041" s="161" t="s">
        <v>19202</v>
      </c>
    </row>
    <row r="1042" spans="9:13" x14ac:dyDescent="0.25">
      <c r="I1042" t="s">
        <v>14613</v>
      </c>
      <c r="J1042" s="161" t="s">
        <v>19202</v>
      </c>
      <c r="K1042" t="s">
        <v>19203</v>
      </c>
      <c r="L1042" t="s">
        <v>14612</v>
      </c>
      <c r="M1042" s="161" t="s">
        <v>19202</v>
      </c>
    </row>
    <row r="1043" spans="9:13" x14ac:dyDescent="0.25">
      <c r="I1043" t="s">
        <v>14270</v>
      </c>
      <c r="J1043" s="161" t="s">
        <v>19202</v>
      </c>
      <c r="K1043" t="s">
        <v>19203</v>
      </c>
      <c r="L1043" t="s">
        <v>13578</v>
      </c>
      <c r="M1043" s="161" t="s">
        <v>19202</v>
      </c>
    </row>
    <row r="1044" spans="9:13" x14ac:dyDescent="0.25">
      <c r="I1044" t="s">
        <v>14234</v>
      </c>
      <c r="J1044" s="161" t="s">
        <v>19202</v>
      </c>
      <c r="K1044" t="s">
        <v>19203</v>
      </c>
      <c r="L1044" t="s">
        <v>14233</v>
      </c>
      <c r="M1044" s="161" t="s">
        <v>19202</v>
      </c>
    </row>
    <row r="1045" spans="9:13" x14ac:dyDescent="0.25">
      <c r="I1045" t="s">
        <v>14544</v>
      </c>
      <c r="J1045" s="161" t="s">
        <v>19202</v>
      </c>
      <c r="K1045" t="s">
        <v>19203</v>
      </c>
      <c r="L1045" t="s">
        <v>14543</v>
      </c>
      <c r="M1045" s="161" t="s">
        <v>19202</v>
      </c>
    </row>
    <row r="1046" spans="9:13" x14ac:dyDescent="0.25">
      <c r="I1046" t="s">
        <v>14457</v>
      </c>
      <c r="J1046" s="161" t="s">
        <v>19202</v>
      </c>
      <c r="K1046" t="s">
        <v>19203</v>
      </c>
      <c r="L1046" t="s">
        <v>14456</v>
      </c>
      <c r="M1046" s="161" t="s">
        <v>19202</v>
      </c>
    </row>
    <row r="1047" spans="9:13" x14ac:dyDescent="0.25">
      <c r="I1047" t="s">
        <v>1282</v>
      </c>
      <c r="J1047" s="161" t="s">
        <v>19202</v>
      </c>
      <c r="K1047" t="s">
        <v>19203</v>
      </c>
      <c r="L1047" t="s">
        <v>1281</v>
      </c>
      <c r="M1047" s="161" t="s">
        <v>19202</v>
      </c>
    </row>
    <row r="1048" spans="9:13" x14ac:dyDescent="0.25">
      <c r="I1048" t="s">
        <v>13757</v>
      </c>
      <c r="J1048" s="161" t="s">
        <v>19202</v>
      </c>
      <c r="K1048" t="s">
        <v>19203</v>
      </c>
      <c r="L1048" t="s">
        <v>13756</v>
      </c>
      <c r="M1048" s="161" t="s">
        <v>19202</v>
      </c>
    </row>
    <row r="1049" spans="9:13" x14ac:dyDescent="0.25">
      <c r="I1049" t="s">
        <v>14186</v>
      </c>
      <c r="J1049" s="161" t="s">
        <v>19202</v>
      </c>
      <c r="K1049" t="s">
        <v>19203</v>
      </c>
      <c r="L1049" t="s">
        <v>13866</v>
      </c>
      <c r="M1049" s="161" t="s">
        <v>19202</v>
      </c>
    </row>
    <row r="1050" spans="9:13" x14ac:dyDescent="0.25">
      <c r="I1050" t="s">
        <v>14535</v>
      </c>
      <c r="J1050" s="161" t="s">
        <v>19202</v>
      </c>
      <c r="K1050" t="s">
        <v>19203</v>
      </c>
      <c r="L1050" t="s">
        <v>4182</v>
      </c>
      <c r="M1050" s="161" t="s">
        <v>19202</v>
      </c>
    </row>
    <row r="1051" spans="9:13" x14ac:dyDescent="0.25">
      <c r="I1051" t="s">
        <v>940</v>
      </c>
      <c r="J1051" s="161" t="s">
        <v>19202</v>
      </c>
      <c r="K1051" t="s">
        <v>19203</v>
      </c>
      <c r="L1051" t="s">
        <v>939</v>
      </c>
      <c r="M1051" s="161" t="s">
        <v>19202</v>
      </c>
    </row>
    <row r="1052" spans="9:13" x14ac:dyDescent="0.25">
      <c r="I1052" t="s">
        <v>14611</v>
      </c>
      <c r="J1052" s="161" t="s">
        <v>19202</v>
      </c>
      <c r="K1052" t="s">
        <v>19203</v>
      </c>
      <c r="L1052" t="s">
        <v>3560</v>
      </c>
      <c r="M1052" s="161" t="s">
        <v>19202</v>
      </c>
    </row>
    <row r="1053" spans="9:13" x14ac:dyDescent="0.25">
      <c r="I1053" t="s">
        <v>14497</v>
      </c>
      <c r="J1053" s="161" t="s">
        <v>19202</v>
      </c>
      <c r="K1053" t="s">
        <v>19203</v>
      </c>
      <c r="L1053" t="s">
        <v>14496</v>
      </c>
      <c r="M1053" s="161" t="s">
        <v>19202</v>
      </c>
    </row>
    <row r="1054" spans="9:13" x14ac:dyDescent="0.25">
      <c r="I1054" t="s">
        <v>14491</v>
      </c>
      <c r="J1054" s="161" t="s">
        <v>19202</v>
      </c>
      <c r="K1054" t="s">
        <v>19203</v>
      </c>
      <c r="L1054" t="s">
        <v>14490</v>
      </c>
      <c r="M1054" s="161" t="s">
        <v>19202</v>
      </c>
    </row>
    <row r="1055" spans="9:13" x14ac:dyDescent="0.25">
      <c r="I1055" t="s">
        <v>14455</v>
      </c>
      <c r="J1055" s="161" t="s">
        <v>19202</v>
      </c>
      <c r="K1055" t="s">
        <v>19203</v>
      </c>
      <c r="L1055" t="s">
        <v>14454</v>
      </c>
      <c r="M1055" s="161" t="s">
        <v>19202</v>
      </c>
    </row>
    <row r="1056" spans="9:13" x14ac:dyDescent="0.25">
      <c r="I1056" t="s">
        <v>14452</v>
      </c>
      <c r="J1056" s="161" t="s">
        <v>19202</v>
      </c>
      <c r="K1056" t="s">
        <v>19203</v>
      </c>
      <c r="L1056" t="s">
        <v>14451</v>
      </c>
      <c r="M1056" s="161" t="s">
        <v>19202</v>
      </c>
    </row>
    <row r="1057" spans="9:13" x14ac:dyDescent="0.25">
      <c r="I1057" t="s">
        <v>13720</v>
      </c>
      <c r="J1057" s="161" t="s">
        <v>19202</v>
      </c>
      <c r="K1057" t="s">
        <v>19203</v>
      </c>
      <c r="L1057" t="s">
        <v>13719</v>
      </c>
      <c r="M1057" s="161" t="s">
        <v>19202</v>
      </c>
    </row>
    <row r="1058" spans="9:13" x14ac:dyDescent="0.25">
      <c r="I1058" t="s">
        <v>13717</v>
      </c>
      <c r="J1058" s="161" t="s">
        <v>19202</v>
      </c>
      <c r="K1058" t="s">
        <v>19203</v>
      </c>
      <c r="L1058" t="s">
        <v>13716</v>
      </c>
      <c r="M1058" s="161" t="s">
        <v>19202</v>
      </c>
    </row>
    <row r="1059" spans="9:13" x14ac:dyDescent="0.25">
      <c r="I1059" t="s">
        <v>14446</v>
      </c>
      <c r="J1059" s="161" t="s">
        <v>19202</v>
      </c>
      <c r="K1059" t="s">
        <v>19203</v>
      </c>
      <c r="L1059" t="s">
        <v>823</v>
      </c>
      <c r="M1059" s="161" t="s">
        <v>19202</v>
      </c>
    </row>
    <row r="1060" spans="9:13" x14ac:dyDescent="0.25">
      <c r="I1060" t="s">
        <v>13754</v>
      </c>
      <c r="J1060" s="161" t="s">
        <v>19202</v>
      </c>
      <c r="K1060" t="s">
        <v>19203</v>
      </c>
      <c r="L1060" t="s">
        <v>550</v>
      </c>
      <c r="M1060" s="161" t="s">
        <v>19202</v>
      </c>
    </row>
    <row r="1061" spans="9:13" x14ac:dyDescent="0.25">
      <c r="I1061" t="s">
        <v>14443</v>
      </c>
      <c r="J1061" s="161" t="s">
        <v>19202</v>
      </c>
      <c r="K1061" t="s">
        <v>19203</v>
      </c>
      <c r="L1061" t="s">
        <v>14442</v>
      </c>
      <c r="M1061" s="161" t="s">
        <v>19202</v>
      </c>
    </row>
    <row r="1062" spans="9:13" x14ac:dyDescent="0.25">
      <c r="I1062" t="s">
        <v>14441</v>
      </c>
      <c r="J1062" s="161" t="s">
        <v>19202</v>
      </c>
      <c r="K1062" t="s">
        <v>19203</v>
      </c>
      <c r="L1062" t="s">
        <v>970</v>
      </c>
      <c r="M1062" s="161" t="s">
        <v>19202</v>
      </c>
    </row>
    <row r="1063" spans="9:13" x14ac:dyDescent="0.25">
      <c r="I1063" t="s">
        <v>17724</v>
      </c>
      <c r="J1063" s="161" t="s">
        <v>19202</v>
      </c>
      <c r="K1063" t="s">
        <v>19203</v>
      </c>
      <c r="L1063" t="s">
        <v>1740</v>
      </c>
      <c r="M1063" s="161" t="s">
        <v>19202</v>
      </c>
    </row>
    <row r="1064" spans="9:13" x14ac:dyDescent="0.25">
      <c r="I1064" t="s">
        <v>9432</v>
      </c>
      <c r="J1064" s="161" t="s">
        <v>19202</v>
      </c>
      <c r="K1064" t="s">
        <v>19203</v>
      </c>
      <c r="L1064" t="s">
        <v>9431</v>
      </c>
      <c r="M1064" s="161" t="s">
        <v>19202</v>
      </c>
    </row>
    <row r="1065" spans="9:13" x14ac:dyDescent="0.25">
      <c r="I1065" t="s">
        <v>12662</v>
      </c>
      <c r="J1065" s="161" t="s">
        <v>19202</v>
      </c>
      <c r="K1065" t="s">
        <v>19203</v>
      </c>
      <c r="L1065" t="s">
        <v>12661</v>
      </c>
      <c r="M1065" s="161" t="s">
        <v>19202</v>
      </c>
    </row>
    <row r="1066" spans="9:13" x14ac:dyDescent="0.25">
      <c r="I1066" t="s">
        <v>8744</v>
      </c>
      <c r="J1066" s="161" t="s">
        <v>19202</v>
      </c>
      <c r="K1066" t="s">
        <v>19203</v>
      </c>
      <c r="L1066" t="s">
        <v>8743</v>
      </c>
      <c r="M1066" s="161" t="s">
        <v>19202</v>
      </c>
    </row>
    <row r="1067" spans="9:13" x14ac:dyDescent="0.25">
      <c r="I1067" t="s">
        <v>14538</v>
      </c>
      <c r="J1067" s="161" t="s">
        <v>19202</v>
      </c>
      <c r="K1067" t="s">
        <v>19203</v>
      </c>
      <c r="L1067" t="s">
        <v>12697</v>
      </c>
      <c r="M1067" s="161" t="s">
        <v>19202</v>
      </c>
    </row>
    <row r="1068" spans="9:13" x14ac:dyDescent="0.25">
      <c r="I1068" t="s">
        <v>12849</v>
      </c>
      <c r="J1068" s="161" t="s">
        <v>19202</v>
      </c>
      <c r="K1068" t="s">
        <v>19203</v>
      </c>
      <c r="L1068" t="s">
        <v>12848</v>
      </c>
      <c r="M1068" s="161" t="s">
        <v>19202</v>
      </c>
    </row>
    <row r="1069" spans="9:13" x14ac:dyDescent="0.25">
      <c r="I1069" t="s">
        <v>1624</v>
      </c>
      <c r="J1069" s="161" t="s">
        <v>19202</v>
      </c>
      <c r="K1069" t="s">
        <v>19203</v>
      </c>
      <c r="L1069" t="s">
        <v>1623</v>
      </c>
      <c r="M1069" s="161" t="s">
        <v>19202</v>
      </c>
    </row>
    <row r="1070" spans="9:13" x14ac:dyDescent="0.25">
      <c r="I1070" t="s">
        <v>1183</v>
      </c>
      <c r="J1070" s="161" t="s">
        <v>19202</v>
      </c>
      <c r="K1070" t="s">
        <v>19203</v>
      </c>
      <c r="L1070" t="s">
        <v>1182</v>
      </c>
      <c r="M1070" s="161" t="s">
        <v>19202</v>
      </c>
    </row>
    <row r="1071" spans="9:13" x14ac:dyDescent="0.25">
      <c r="I1071" t="s">
        <v>1085</v>
      </c>
      <c r="J1071" s="161" t="s">
        <v>19202</v>
      </c>
      <c r="K1071" t="s">
        <v>19203</v>
      </c>
      <c r="L1071" t="s">
        <v>1084</v>
      </c>
      <c r="M1071" s="161" t="s">
        <v>19202</v>
      </c>
    </row>
    <row r="1072" spans="9:13" x14ac:dyDescent="0.25">
      <c r="I1072" t="s">
        <v>1103</v>
      </c>
      <c r="J1072" s="161" t="s">
        <v>19202</v>
      </c>
      <c r="K1072" t="s">
        <v>19203</v>
      </c>
      <c r="L1072" t="s">
        <v>1102</v>
      </c>
      <c r="M1072" s="161" t="s">
        <v>19202</v>
      </c>
    </row>
    <row r="1073" spans="9:13" x14ac:dyDescent="0.25">
      <c r="I1073" t="s">
        <v>7557</v>
      </c>
      <c r="J1073" s="161" t="s">
        <v>19202</v>
      </c>
      <c r="K1073" t="s">
        <v>19203</v>
      </c>
      <c r="L1073" t="s">
        <v>7556</v>
      </c>
      <c r="M1073" s="161" t="s">
        <v>19202</v>
      </c>
    </row>
    <row r="1074" spans="9:13" x14ac:dyDescent="0.25">
      <c r="I1074" t="s">
        <v>14416</v>
      </c>
      <c r="J1074" s="161" t="s">
        <v>19202</v>
      </c>
      <c r="K1074" t="s">
        <v>19203</v>
      </c>
      <c r="L1074" t="s">
        <v>14415</v>
      </c>
      <c r="M1074" s="161" t="s">
        <v>19202</v>
      </c>
    </row>
    <row r="1075" spans="9:13" x14ac:dyDescent="0.25">
      <c r="I1075" t="s">
        <v>5421</v>
      </c>
      <c r="J1075" s="161" t="s">
        <v>19202</v>
      </c>
      <c r="K1075" t="s">
        <v>19203</v>
      </c>
      <c r="L1075" t="s">
        <v>5420</v>
      </c>
      <c r="M1075" s="161" t="s">
        <v>19202</v>
      </c>
    </row>
    <row r="1076" spans="9:13" x14ac:dyDescent="0.25">
      <c r="I1076" t="s">
        <v>14537</v>
      </c>
      <c r="J1076" s="161" t="s">
        <v>19202</v>
      </c>
      <c r="K1076" t="s">
        <v>19203</v>
      </c>
      <c r="L1076" t="s">
        <v>14536</v>
      </c>
      <c r="M1076" s="161" t="s">
        <v>19202</v>
      </c>
    </row>
    <row r="1077" spans="9:13" x14ac:dyDescent="0.25">
      <c r="I1077" t="s">
        <v>17322</v>
      </c>
      <c r="J1077" s="161" t="s">
        <v>19202</v>
      </c>
      <c r="K1077" t="s">
        <v>19203</v>
      </c>
      <c r="L1077" t="s">
        <v>4890</v>
      </c>
      <c r="M1077" s="161" t="s">
        <v>19202</v>
      </c>
    </row>
    <row r="1078" spans="9:13" x14ac:dyDescent="0.25">
      <c r="I1078" t="s">
        <v>12005</v>
      </c>
      <c r="J1078" s="161" t="s">
        <v>19202</v>
      </c>
      <c r="K1078" t="s">
        <v>19203</v>
      </c>
      <c r="L1078" t="s">
        <v>12004</v>
      </c>
      <c r="M1078" s="161" t="s">
        <v>19202</v>
      </c>
    </row>
    <row r="1079" spans="9:13" x14ac:dyDescent="0.25">
      <c r="I1079" t="s">
        <v>1250</v>
      </c>
      <c r="J1079" s="161" t="s">
        <v>19202</v>
      </c>
      <c r="K1079" t="s">
        <v>19203</v>
      </c>
      <c r="L1079" t="s">
        <v>1249</v>
      </c>
      <c r="M1079" s="161" t="s">
        <v>19202</v>
      </c>
    </row>
    <row r="1080" spans="9:13" x14ac:dyDescent="0.25">
      <c r="I1080" t="s">
        <v>7011</v>
      </c>
      <c r="J1080" s="161" t="s">
        <v>19202</v>
      </c>
      <c r="K1080" t="s">
        <v>19203</v>
      </c>
      <c r="L1080" t="s">
        <v>7010</v>
      </c>
      <c r="M1080" s="161" t="s">
        <v>19202</v>
      </c>
    </row>
    <row r="1081" spans="9:13" x14ac:dyDescent="0.25">
      <c r="I1081" t="s">
        <v>1263</v>
      </c>
      <c r="J1081" s="161" t="s">
        <v>19202</v>
      </c>
      <c r="K1081" t="s">
        <v>19203</v>
      </c>
      <c r="L1081" t="s">
        <v>1262</v>
      </c>
      <c r="M1081" s="161" t="s">
        <v>19202</v>
      </c>
    </row>
    <row r="1082" spans="9:13" x14ac:dyDescent="0.25">
      <c r="I1082" t="s">
        <v>14393</v>
      </c>
      <c r="J1082" s="161" t="s">
        <v>19202</v>
      </c>
      <c r="K1082" t="s">
        <v>19203</v>
      </c>
      <c r="L1082" t="s">
        <v>14392</v>
      </c>
      <c r="M1082" s="161" t="s">
        <v>19202</v>
      </c>
    </row>
    <row r="1083" spans="9:13" x14ac:dyDescent="0.25">
      <c r="I1083" t="s">
        <v>14391</v>
      </c>
      <c r="J1083" s="161" t="s">
        <v>19202</v>
      </c>
      <c r="K1083" t="s">
        <v>19203</v>
      </c>
      <c r="L1083" t="s">
        <v>892</v>
      </c>
      <c r="M1083" s="161" t="s">
        <v>19202</v>
      </c>
    </row>
    <row r="1084" spans="9:13" x14ac:dyDescent="0.25">
      <c r="I1084" t="s">
        <v>14254</v>
      </c>
      <c r="J1084" s="161" t="s">
        <v>19202</v>
      </c>
      <c r="K1084" t="s">
        <v>19203</v>
      </c>
      <c r="L1084" t="s">
        <v>14253</v>
      </c>
      <c r="M1084" s="161" t="s">
        <v>19202</v>
      </c>
    </row>
    <row r="1085" spans="9:13" x14ac:dyDescent="0.25">
      <c r="I1085" t="s">
        <v>17417</v>
      </c>
      <c r="J1085" s="161" t="s">
        <v>19202</v>
      </c>
      <c r="K1085" t="s">
        <v>19203</v>
      </c>
      <c r="L1085" t="s">
        <v>17416</v>
      </c>
      <c r="M1085" s="161" t="s">
        <v>19202</v>
      </c>
    </row>
    <row r="1086" spans="9:13" x14ac:dyDescent="0.25">
      <c r="I1086" t="s">
        <v>19363</v>
      </c>
      <c r="J1086" s="161" t="s">
        <v>19202</v>
      </c>
      <c r="K1086" t="s">
        <v>19203</v>
      </c>
      <c r="L1086" t="s">
        <v>181</v>
      </c>
      <c r="M1086" s="161" t="s">
        <v>19202</v>
      </c>
    </row>
    <row r="1087" spans="9:13" x14ac:dyDescent="0.25">
      <c r="I1087" t="s">
        <v>17367</v>
      </c>
      <c r="J1087" s="161" t="s">
        <v>19202</v>
      </c>
      <c r="K1087" t="s">
        <v>19203</v>
      </c>
      <c r="L1087" t="s">
        <v>17366</v>
      </c>
      <c r="M1087" s="161" t="s">
        <v>19202</v>
      </c>
    </row>
    <row r="1088" spans="9:13" x14ac:dyDescent="0.25">
      <c r="I1088" t="s">
        <v>17508</v>
      </c>
      <c r="J1088" s="161" t="s">
        <v>19202</v>
      </c>
      <c r="K1088" t="s">
        <v>19203</v>
      </c>
      <c r="L1088" t="s">
        <v>17507</v>
      </c>
      <c r="M1088" s="161" t="s">
        <v>19202</v>
      </c>
    </row>
    <row r="1089" spans="9:13" x14ac:dyDescent="0.25">
      <c r="I1089" t="s">
        <v>7238</v>
      </c>
      <c r="J1089" s="161" t="s">
        <v>19202</v>
      </c>
      <c r="K1089" t="s">
        <v>19203</v>
      </c>
      <c r="L1089" t="s">
        <v>7237</v>
      </c>
      <c r="M1089" s="161" t="s">
        <v>19202</v>
      </c>
    </row>
    <row r="1090" spans="9:13" x14ac:dyDescent="0.25">
      <c r="I1090" t="s">
        <v>2080</v>
      </c>
      <c r="J1090" s="161" t="s">
        <v>19202</v>
      </c>
      <c r="K1090" t="s">
        <v>19203</v>
      </c>
      <c r="L1090" t="s">
        <v>2079</v>
      </c>
      <c r="M1090" s="161" t="s">
        <v>19202</v>
      </c>
    </row>
    <row r="1091" spans="9:13" x14ac:dyDescent="0.25">
      <c r="I1091" t="s">
        <v>19364</v>
      </c>
      <c r="J1091" s="161" t="s">
        <v>19202</v>
      </c>
      <c r="K1091" t="s">
        <v>19203</v>
      </c>
      <c r="L1091" t="s">
        <v>19365</v>
      </c>
      <c r="M1091" s="161" t="s">
        <v>19202</v>
      </c>
    </row>
    <row r="1092" spans="9:13" x14ac:dyDescent="0.25">
      <c r="I1092" t="s">
        <v>1211</v>
      </c>
      <c r="J1092" s="161" t="s">
        <v>19202</v>
      </c>
      <c r="K1092" t="s">
        <v>19203</v>
      </c>
      <c r="L1092" t="s">
        <v>1210</v>
      </c>
      <c r="M1092" s="161" t="s">
        <v>19202</v>
      </c>
    </row>
    <row r="1093" spans="9:13" x14ac:dyDescent="0.25">
      <c r="I1093" t="s">
        <v>1201</v>
      </c>
      <c r="J1093" s="161" t="s">
        <v>19202</v>
      </c>
      <c r="K1093" t="s">
        <v>19203</v>
      </c>
      <c r="L1093" t="s">
        <v>1200</v>
      </c>
      <c r="M1093" s="161" t="s">
        <v>19202</v>
      </c>
    </row>
    <row r="1094" spans="9:13" x14ac:dyDescent="0.25">
      <c r="I1094" t="s">
        <v>1917</v>
      </c>
      <c r="J1094" s="161" t="s">
        <v>19202</v>
      </c>
      <c r="K1094" t="s">
        <v>19203</v>
      </c>
      <c r="L1094" t="s">
        <v>1916</v>
      </c>
      <c r="M1094" s="161" t="s">
        <v>19202</v>
      </c>
    </row>
    <row r="1095" spans="9:13" x14ac:dyDescent="0.25">
      <c r="I1095" t="s">
        <v>1004</v>
      </c>
      <c r="J1095" s="161" t="s">
        <v>19202</v>
      </c>
      <c r="K1095" t="s">
        <v>19203</v>
      </c>
      <c r="L1095" t="s">
        <v>1003</v>
      </c>
      <c r="M1095" s="161" t="s">
        <v>19202</v>
      </c>
    </row>
    <row r="1096" spans="9:13" x14ac:dyDescent="0.25">
      <c r="I1096" t="s">
        <v>7919</v>
      </c>
      <c r="J1096" s="161" t="s">
        <v>19202</v>
      </c>
      <c r="K1096" t="s">
        <v>19203</v>
      </c>
      <c r="L1096" t="s">
        <v>7918</v>
      </c>
      <c r="M1096" s="161" t="s">
        <v>19202</v>
      </c>
    </row>
    <row r="1097" spans="9:13" x14ac:dyDescent="0.25">
      <c r="I1097" t="s">
        <v>1155</v>
      </c>
      <c r="J1097" s="161" t="s">
        <v>19202</v>
      </c>
      <c r="K1097" t="s">
        <v>19203</v>
      </c>
      <c r="L1097" t="s">
        <v>1154</v>
      </c>
      <c r="M1097" s="161" t="s">
        <v>19202</v>
      </c>
    </row>
    <row r="1098" spans="9:13" x14ac:dyDescent="0.25">
      <c r="I1098" t="s">
        <v>17321</v>
      </c>
      <c r="J1098" s="161" t="s">
        <v>19202</v>
      </c>
      <c r="K1098" t="s">
        <v>19203</v>
      </c>
      <c r="L1098" t="s">
        <v>17320</v>
      </c>
      <c r="M1098" s="161" t="s">
        <v>19202</v>
      </c>
    </row>
    <row r="1099" spans="9:13" x14ac:dyDescent="0.25">
      <c r="I1099" t="s">
        <v>16071</v>
      </c>
      <c r="J1099" s="161" t="s">
        <v>19202</v>
      </c>
      <c r="K1099" t="s">
        <v>19203</v>
      </c>
      <c r="L1099" t="s">
        <v>16070</v>
      </c>
      <c r="M1099" s="161" t="s">
        <v>19202</v>
      </c>
    </row>
    <row r="1100" spans="9:13" x14ac:dyDescent="0.25">
      <c r="I1100" t="s">
        <v>15146</v>
      </c>
      <c r="J1100" s="161" t="s">
        <v>19202</v>
      </c>
      <c r="K1100" t="s">
        <v>19203</v>
      </c>
      <c r="L1100" t="s">
        <v>15145</v>
      </c>
      <c r="M1100" s="161" t="s">
        <v>19202</v>
      </c>
    </row>
    <row r="1101" spans="9:13" x14ac:dyDescent="0.25">
      <c r="I1101" t="s">
        <v>18019</v>
      </c>
      <c r="J1101" s="161" t="s">
        <v>19202</v>
      </c>
      <c r="K1101" t="s">
        <v>19203</v>
      </c>
      <c r="L1101" t="s">
        <v>18018</v>
      </c>
      <c r="M1101" s="161" t="s">
        <v>19202</v>
      </c>
    </row>
    <row r="1102" spans="9:13" x14ac:dyDescent="0.25">
      <c r="I1102" t="s">
        <v>14194</v>
      </c>
      <c r="J1102" s="161" t="s">
        <v>19202</v>
      </c>
      <c r="K1102" t="s">
        <v>19203</v>
      </c>
      <c r="L1102" t="s">
        <v>14193</v>
      </c>
      <c r="M1102" s="161" t="s">
        <v>19202</v>
      </c>
    </row>
    <row r="1103" spans="9:13" x14ac:dyDescent="0.25">
      <c r="I1103" t="s">
        <v>18114</v>
      </c>
      <c r="J1103" s="161" t="s">
        <v>19202</v>
      </c>
      <c r="K1103" t="s">
        <v>19203</v>
      </c>
      <c r="L1103" t="s">
        <v>18113</v>
      </c>
      <c r="M1103" s="161" t="s">
        <v>19202</v>
      </c>
    </row>
    <row r="1104" spans="9:13" x14ac:dyDescent="0.25">
      <c r="I1104" t="s">
        <v>17940</v>
      </c>
      <c r="J1104" s="161" t="s">
        <v>19202</v>
      </c>
      <c r="K1104" t="s">
        <v>19203</v>
      </c>
      <c r="L1104" t="s">
        <v>17939</v>
      </c>
      <c r="M1104" s="161" t="s">
        <v>19202</v>
      </c>
    </row>
    <row r="1105" spans="9:13" x14ac:dyDescent="0.25">
      <c r="I1105" t="s">
        <v>2075</v>
      </c>
      <c r="J1105" s="161" t="s">
        <v>19202</v>
      </c>
      <c r="K1105" t="s">
        <v>19203</v>
      </c>
      <c r="L1105" t="s">
        <v>2074</v>
      </c>
      <c r="M1105" s="161" t="s">
        <v>19202</v>
      </c>
    </row>
    <row r="1106" spans="9:13" x14ac:dyDescent="0.25">
      <c r="I1106" t="s">
        <v>2453</v>
      </c>
      <c r="J1106" s="161" t="s">
        <v>19202</v>
      </c>
      <c r="K1106" t="s">
        <v>19203</v>
      </c>
      <c r="L1106" t="s">
        <v>2452</v>
      </c>
      <c r="M1106" s="161" t="s">
        <v>19202</v>
      </c>
    </row>
    <row r="1107" spans="9:13" x14ac:dyDescent="0.25">
      <c r="I1107" t="s">
        <v>5504</v>
      </c>
      <c r="J1107" s="161" t="s">
        <v>19202</v>
      </c>
      <c r="K1107" t="s">
        <v>19203</v>
      </c>
      <c r="L1107" t="s">
        <v>5503</v>
      </c>
      <c r="M1107" s="161" t="s">
        <v>19202</v>
      </c>
    </row>
    <row r="1108" spans="9:13" x14ac:dyDescent="0.25">
      <c r="I1108" t="s">
        <v>1345</v>
      </c>
      <c r="J1108" s="161" t="s">
        <v>19202</v>
      </c>
      <c r="K1108" t="s">
        <v>19203</v>
      </c>
      <c r="L1108" t="s">
        <v>1344</v>
      </c>
      <c r="M1108" s="161" t="s">
        <v>19202</v>
      </c>
    </row>
    <row r="1109" spans="9:13" x14ac:dyDescent="0.25">
      <c r="I1109" t="s">
        <v>7633</v>
      </c>
      <c r="J1109" s="161" t="s">
        <v>19202</v>
      </c>
      <c r="K1109" t="s">
        <v>19203</v>
      </c>
      <c r="L1109" t="s">
        <v>7632</v>
      </c>
      <c r="M1109" s="161" t="s">
        <v>19202</v>
      </c>
    </row>
    <row r="1110" spans="9:13" x14ac:dyDescent="0.25">
      <c r="I1110" t="s">
        <v>19366</v>
      </c>
      <c r="J1110" s="161" t="s">
        <v>19202</v>
      </c>
      <c r="K1110" t="s">
        <v>19203</v>
      </c>
      <c r="L1110" t="s">
        <v>19367</v>
      </c>
      <c r="M1110" s="161" t="s">
        <v>19202</v>
      </c>
    </row>
    <row r="1111" spans="9:13" x14ac:dyDescent="0.25">
      <c r="I1111" t="s">
        <v>14196</v>
      </c>
      <c r="J1111" s="161" t="s">
        <v>19202</v>
      </c>
      <c r="K1111" t="s">
        <v>19203</v>
      </c>
      <c r="L1111" t="s">
        <v>14195</v>
      </c>
      <c r="M1111" s="161" t="s">
        <v>19202</v>
      </c>
    </row>
    <row r="1112" spans="9:13" x14ac:dyDescent="0.25">
      <c r="I1112" t="s">
        <v>6384</v>
      </c>
      <c r="J1112" s="161" t="s">
        <v>19202</v>
      </c>
      <c r="K1112" t="s">
        <v>19203</v>
      </c>
      <c r="L1112" t="s">
        <v>6383</v>
      </c>
      <c r="M1112" s="161" t="s">
        <v>19202</v>
      </c>
    </row>
    <row r="1113" spans="9:13" x14ac:dyDescent="0.25">
      <c r="I1113" t="s">
        <v>12407</v>
      </c>
      <c r="J1113" s="161" t="s">
        <v>19202</v>
      </c>
      <c r="K1113" t="s">
        <v>19203</v>
      </c>
      <c r="L1113" t="s">
        <v>12406</v>
      </c>
      <c r="M1113" s="161" t="s">
        <v>19202</v>
      </c>
    </row>
    <row r="1114" spans="9:13" x14ac:dyDescent="0.25">
      <c r="I1114" t="s">
        <v>12194</v>
      </c>
      <c r="J1114" s="161" t="s">
        <v>19202</v>
      </c>
      <c r="K1114" t="s">
        <v>19203</v>
      </c>
      <c r="L1114" t="s">
        <v>12193</v>
      </c>
      <c r="M1114" s="161" t="s">
        <v>19202</v>
      </c>
    </row>
    <row r="1115" spans="9:13" x14ac:dyDescent="0.25">
      <c r="I1115" t="s">
        <v>1661</v>
      </c>
      <c r="J1115" s="161" t="s">
        <v>19202</v>
      </c>
      <c r="K1115" t="s">
        <v>19203</v>
      </c>
      <c r="L1115" t="s">
        <v>1660</v>
      </c>
      <c r="M1115" s="161" t="s">
        <v>19202</v>
      </c>
    </row>
    <row r="1116" spans="9:13" x14ac:dyDescent="0.25">
      <c r="I1116" t="s">
        <v>3376</v>
      </c>
      <c r="J1116" s="161" t="s">
        <v>19202</v>
      </c>
      <c r="K1116" t="s">
        <v>19203</v>
      </c>
      <c r="L1116" t="s">
        <v>3375</v>
      </c>
      <c r="M1116" s="161" t="s">
        <v>19202</v>
      </c>
    </row>
    <row r="1117" spans="9:13" x14ac:dyDescent="0.25">
      <c r="I1117" t="s">
        <v>9336</v>
      </c>
      <c r="J1117" s="161" t="s">
        <v>19202</v>
      </c>
      <c r="K1117" t="s">
        <v>19203</v>
      </c>
      <c r="L1117" t="s">
        <v>9335</v>
      </c>
      <c r="M1117" s="161" t="s">
        <v>19202</v>
      </c>
    </row>
    <row r="1118" spans="9:13" x14ac:dyDescent="0.25">
      <c r="I1118" t="s">
        <v>17075</v>
      </c>
      <c r="J1118" s="161" t="s">
        <v>19202</v>
      </c>
      <c r="K1118" t="s">
        <v>19203</v>
      </c>
      <c r="L1118" t="s">
        <v>181</v>
      </c>
      <c r="M1118" s="161" t="s">
        <v>19202</v>
      </c>
    </row>
    <row r="1119" spans="9:13" x14ac:dyDescent="0.25">
      <c r="I1119" t="s">
        <v>2703</v>
      </c>
      <c r="J1119" s="161" t="s">
        <v>19202</v>
      </c>
      <c r="K1119" t="s">
        <v>19203</v>
      </c>
      <c r="L1119" t="s">
        <v>2702</v>
      </c>
      <c r="M1119" s="161" t="s">
        <v>19202</v>
      </c>
    </row>
    <row r="1120" spans="9:13" x14ac:dyDescent="0.25">
      <c r="I1120" t="s">
        <v>1828</v>
      </c>
      <c r="J1120" s="161" t="s">
        <v>19202</v>
      </c>
      <c r="K1120" t="s">
        <v>19203</v>
      </c>
      <c r="L1120" t="s">
        <v>1827</v>
      </c>
      <c r="M1120" s="161" t="s">
        <v>19202</v>
      </c>
    </row>
    <row r="1121" spans="9:13" x14ac:dyDescent="0.25">
      <c r="I1121" t="s">
        <v>1111</v>
      </c>
      <c r="J1121" s="161" t="s">
        <v>19202</v>
      </c>
      <c r="K1121" t="s">
        <v>19203</v>
      </c>
      <c r="L1121" t="s">
        <v>1110</v>
      </c>
      <c r="M1121" s="161" t="s">
        <v>19202</v>
      </c>
    </row>
    <row r="1122" spans="9:13" x14ac:dyDescent="0.25">
      <c r="I1122" t="s">
        <v>18095</v>
      </c>
      <c r="J1122" s="161" t="s">
        <v>19202</v>
      </c>
      <c r="K1122" t="s">
        <v>19203</v>
      </c>
      <c r="L1122" t="s">
        <v>18094</v>
      </c>
      <c r="M1122" s="161" t="s">
        <v>19202</v>
      </c>
    </row>
    <row r="1123" spans="9:13" x14ac:dyDescent="0.25">
      <c r="I1123" t="s">
        <v>19368</v>
      </c>
      <c r="J1123" s="161" t="s">
        <v>19202</v>
      </c>
      <c r="K1123" t="s">
        <v>19203</v>
      </c>
      <c r="L1123" t="s">
        <v>19369</v>
      </c>
      <c r="M1123" s="161" t="s">
        <v>19202</v>
      </c>
    </row>
    <row r="1124" spans="9:13" x14ac:dyDescent="0.25">
      <c r="I1124" t="s">
        <v>9860</v>
      </c>
      <c r="J1124" s="161" t="s">
        <v>19202</v>
      </c>
      <c r="K1124" t="s">
        <v>19203</v>
      </c>
      <c r="L1124" t="s">
        <v>9859</v>
      </c>
      <c r="M1124" s="161" t="s">
        <v>19202</v>
      </c>
    </row>
    <row r="1125" spans="9:13" x14ac:dyDescent="0.25">
      <c r="I1125" t="s">
        <v>5247</v>
      </c>
      <c r="J1125" s="161" t="s">
        <v>19202</v>
      </c>
      <c r="K1125" t="s">
        <v>19203</v>
      </c>
      <c r="L1125" t="s">
        <v>5246</v>
      </c>
      <c r="M1125" s="161" t="s">
        <v>19202</v>
      </c>
    </row>
    <row r="1126" spans="9:13" x14ac:dyDescent="0.25">
      <c r="I1126" t="s">
        <v>1545</v>
      </c>
      <c r="J1126" s="161" t="s">
        <v>19202</v>
      </c>
      <c r="K1126" t="s">
        <v>19203</v>
      </c>
      <c r="L1126" t="s">
        <v>1544</v>
      </c>
      <c r="M1126" s="161" t="s">
        <v>19202</v>
      </c>
    </row>
    <row r="1127" spans="9:13" x14ac:dyDescent="0.25">
      <c r="I1127" t="s">
        <v>1288</v>
      </c>
      <c r="J1127" s="161" t="s">
        <v>19202</v>
      </c>
      <c r="K1127" t="s">
        <v>19203</v>
      </c>
      <c r="L1127" t="s">
        <v>1287</v>
      </c>
      <c r="M1127" s="161" t="s">
        <v>19202</v>
      </c>
    </row>
    <row r="1128" spans="9:13" x14ac:dyDescent="0.25">
      <c r="I1128" t="s">
        <v>13968</v>
      </c>
      <c r="J1128" s="161" t="s">
        <v>19202</v>
      </c>
      <c r="K1128" t="s">
        <v>19203</v>
      </c>
      <c r="L1128" t="s">
        <v>13967</v>
      </c>
      <c r="M1128" s="161" t="s">
        <v>19202</v>
      </c>
    </row>
    <row r="1129" spans="9:13" x14ac:dyDescent="0.25">
      <c r="I1129" t="s">
        <v>3332</v>
      </c>
      <c r="J1129" s="161" t="s">
        <v>19202</v>
      </c>
      <c r="K1129" t="s">
        <v>19203</v>
      </c>
      <c r="L1129" t="s">
        <v>3331</v>
      </c>
      <c r="M1129" s="161" t="s">
        <v>19202</v>
      </c>
    </row>
    <row r="1130" spans="9:13" x14ac:dyDescent="0.25">
      <c r="I1130" t="s">
        <v>14494</v>
      </c>
      <c r="J1130" s="161" t="s">
        <v>19202</v>
      </c>
      <c r="K1130" t="s">
        <v>19203</v>
      </c>
      <c r="L1130" t="s">
        <v>14493</v>
      </c>
      <c r="M1130" s="161" t="s">
        <v>19202</v>
      </c>
    </row>
    <row r="1131" spans="9:13" x14ac:dyDescent="0.25">
      <c r="I1131" t="s">
        <v>7980</v>
      </c>
      <c r="J1131" s="161" t="s">
        <v>19202</v>
      </c>
      <c r="K1131" t="s">
        <v>19203</v>
      </c>
      <c r="L1131" t="s">
        <v>7979</v>
      </c>
      <c r="M1131" s="161" t="s">
        <v>19202</v>
      </c>
    </row>
    <row r="1132" spans="9:13" x14ac:dyDescent="0.25">
      <c r="I1132" t="s">
        <v>17517</v>
      </c>
      <c r="J1132" s="161" t="s">
        <v>19202</v>
      </c>
      <c r="K1132" t="s">
        <v>19203</v>
      </c>
      <c r="L1132" t="s">
        <v>17516</v>
      </c>
      <c r="M1132" s="161" t="s">
        <v>19202</v>
      </c>
    </row>
    <row r="1133" spans="9:13" x14ac:dyDescent="0.25">
      <c r="I1133" t="s">
        <v>4713</v>
      </c>
      <c r="J1133" s="161" t="s">
        <v>19202</v>
      </c>
      <c r="K1133" t="s">
        <v>19203</v>
      </c>
      <c r="L1133" t="s">
        <v>4712</v>
      </c>
      <c r="M1133" s="161" t="s">
        <v>19202</v>
      </c>
    </row>
    <row r="1134" spans="9:13" x14ac:dyDescent="0.25">
      <c r="I1134" t="s">
        <v>14182</v>
      </c>
      <c r="J1134" s="161" t="s">
        <v>19202</v>
      </c>
      <c r="K1134" t="s">
        <v>19203</v>
      </c>
      <c r="L1134" t="s">
        <v>14181</v>
      </c>
      <c r="M1134" s="161" t="s">
        <v>19202</v>
      </c>
    </row>
    <row r="1135" spans="9:13" x14ac:dyDescent="0.25">
      <c r="I1135" t="s">
        <v>2961</v>
      </c>
      <c r="J1135" s="161" t="s">
        <v>19202</v>
      </c>
      <c r="K1135" t="s">
        <v>19203</v>
      </c>
      <c r="L1135" t="s">
        <v>2960</v>
      </c>
      <c r="M1135" s="161" t="s">
        <v>19202</v>
      </c>
    </row>
    <row r="1136" spans="9:13" x14ac:dyDescent="0.25">
      <c r="I1136" t="s">
        <v>1233</v>
      </c>
      <c r="J1136" s="161" t="s">
        <v>19202</v>
      </c>
      <c r="K1136" t="s">
        <v>19203</v>
      </c>
      <c r="L1136" t="s">
        <v>1232</v>
      </c>
      <c r="M1136" s="161" t="s">
        <v>19202</v>
      </c>
    </row>
    <row r="1137" spans="9:13" x14ac:dyDescent="0.25">
      <c r="I1137" t="s">
        <v>1659</v>
      </c>
      <c r="J1137" s="161" t="s">
        <v>19202</v>
      </c>
      <c r="K1137" t="s">
        <v>19203</v>
      </c>
      <c r="L1137" t="s">
        <v>1658</v>
      </c>
      <c r="M1137" s="161" t="s">
        <v>19202</v>
      </c>
    </row>
    <row r="1138" spans="9:13" x14ac:dyDescent="0.25">
      <c r="I1138" t="s">
        <v>1423</v>
      </c>
      <c r="J1138" s="161" t="s">
        <v>19202</v>
      </c>
      <c r="K1138" t="s">
        <v>19203</v>
      </c>
      <c r="L1138" t="s">
        <v>1422</v>
      </c>
      <c r="M1138" s="161" t="s">
        <v>19202</v>
      </c>
    </row>
    <row r="1139" spans="9:13" x14ac:dyDescent="0.25">
      <c r="I1139" t="s">
        <v>1132</v>
      </c>
      <c r="J1139" s="161" t="s">
        <v>19202</v>
      </c>
      <c r="K1139" t="s">
        <v>19203</v>
      </c>
      <c r="L1139" t="s">
        <v>1131</v>
      </c>
      <c r="M1139" s="161" t="s">
        <v>19202</v>
      </c>
    </row>
    <row r="1140" spans="9:13" x14ac:dyDescent="0.25">
      <c r="I1140" t="s">
        <v>17511</v>
      </c>
      <c r="J1140" s="161" t="s">
        <v>19202</v>
      </c>
      <c r="K1140" t="s">
        <v>19203</v>
      </c>
      <c r="L1140" t="s">
        <v>2543</v>
      </c>
      <c r="M1140" s="161" t="s">
        <v>19202</v>
      </c>
    </row>
    <row r="1141" spans="9:13" x14ac:dyDescent="0.25">
      <c r="I1141" t="s">
        <v>3825</v>
      </c>
      <c r="J1141" s="161" t="s">
        <v>19202</v>
      </c>
      <c r="K1141" t="s">
        <v>19203</v>
      </c>
      <c r="L1141" t="s">
        <v>3824</v>
      </c>
      <c r="M1141" s="161" t="s">
        <v>19202</v>
      </c>
    </row>
    <row r="1142" spans="9:13" x14ac:dyDescent="0.25">
      <c r="I1142" t="s">
        <v>17839</v>
      </c>
      <c r="J1142" s="161" t="s">
        <v>19202</v>
      </c>
      <c r="K1142" t="s">
        <v>19203</v>
      </c>
      <c r="L1142" t="s">
        <v>17838</v>
      </c>
      <c r="M1142" s="161" t="s">
        <v>19202</v>
      </c>
    </row>
    <row r="1143" spans="9:13" x14ac:dyDescent="0.25">
      <c r="I1143" t="s">
        <v>17837</v>
      </c>
      <c r="J1143" s="161" t="s">
        <v>19202</v>
      </c>
      <c r="K1143" t="s">
        <v>19203</v>
      </c>
      <c r="L1143" t="s">
        <v>3896</v>
      </c>
      <c r="M1143" s="161" t="s">
        <v>19202</v>
      </c>
    </row>
    <row r="1144" spans="9:13" x14ac:dyDescent="0.25">
      <c r="I1144" t="s">
        <v>9639</v>
      </c>
      <c r="J1144" s="161" t="s">
        <v>19202</v>
      </c>
      <c r="K1144" t="s">
        <v>19203</v>
      </c>
      <c r="L1144" t="s">
        <v>9638</v>
      </c>
      <c r="M1144" s="161" t="s">
        <v>19202</v>
      </c>
    </row>
    <row r="1145" spans="9:13" x14ac:dyDescent="0.25">
      <c r="I1145" t="s">
        <v>13071</v>
      </c>
      <c r="J1145" s="161" t="s">
        <v>19202</v>
      </c>
      <c r="K1145" t="s">
        <v>19203</v>
      </c>
      <c r="L1145" t="s">
        <v>13070</v>
      </c>
      <c r="M1145" s="161" t="s">
        <v>19202</v>
      </c>
    </row>
    <row r="1146" spans="9:13" x14ac:dyDescent="0.25">
      <c r="I1146" t="s">
        <v>1955</v>
      </c>
      <c r="J1146" s="161" t="s">
        <v>19202</v>
      </c>
      <c r="K1146" t="s">
        <v>19203</v>
      </c>
      <c r="L1146" t="s">
        <v>1954</v>
      </c>
      <c r="M1146" s="161" t="s">
        <v>19202</v>
      </c>
    </row>
    <row r="1147" spans="9:13" x14ac:dyDescent="0.25">
      <c r="I1147" t="s">
        <v>1219</v>
      </c>
      <c r="J1147" s="161" t="s">
        <v>19202</v>
      </c>
      <c r="K1147" t="s">
        <v>19203</v>
      </c>
      <c r="L1147" t="s">
        <v>1218</v>
      </c>
      <c r="M1147" s="161" t="s">
        <v>19202</v>
      </c>
    </row>
    <row r="1148" spans="9:13" x14ac:dyDescent="0.25">
      <c r="I1148" t="s">
        <v>1207</v>
      </c>
      <c r="J1148" s="161" t="s">
        <v>19202</v>
      </c>
      <c r="K1148" t="s">
        <v>19203</v>
      </c>
      <c r="L1148" t="s">
        <v>1206</v>
      </c>
      <c r="M1148" s="161" t="s">
        <v>19202</v>
      </c>
    </row>
    <row r="1149" spans="9:13" x14ac:dyDescent="0.25">
      <c r="I1149" t="s">
        <v>1294</v>
      </c>
      <c r="J1149" s="161" t="s">
        <v>19202</v>
      </c>
      <c r="K1149" t="s">
        <v>19203</v>
      </c>
      <c r="L1149" t="s">
        <v>1293</v>
      </c>
      <c r="M1149" s="161" t="s">
        <v>19202</v>
      </c>
    </row>
    <row r="1150" spans="9:13" x14ac:dyDescent="0.25">
      <c r="I1150" t="s">
        <v>5451</v>
      </c>
      <c r="J1150" s="161" t="s">
        <v>19202</v>
      </c>
      <c r="K1150" t="s">
        <v>19203</v>
      </c>
      <c r="L1150" t="s">
        <v>5450</v>
      </c>
      <c r="M1150" s="161" t="s">
        <v>19202</v>
      </c>
    </row>
    <row r="1151" spans="9:13" x14ac:dyDescent="0.25">
      <c r="I1151" t="s">
        <v>14597</v>
      </c>
      <c r="J1151" s="161" t="s">
        <v>19202</v>
      </c>
      <c r="K1151" t="s">
        <v>19203</v>
      </c>
      <c r="L1151" t="s">
        <v>14596</v>
      </c>
      <c r="M1151" s="161" t="s">
        <v>19202</v>
      </c>
    </row>
    <row r="1152" spans="9:13" x14ac:dyDescent="0.25">
      <c r="I1152" t="s">
        <v>11677</v>
      </c>
      <c r="J1152" s="161" t="s">
        <v>19202</v>
      </c>
      <c r="K1152" t="s">
        <v>19203</v>
      </c>
      <c r="L1152" t="s">
        <v>11676</v>
      </c>
      <c r="M1152" s="161" t="s">
        <v>19202</v>
      </c>
    </row>
    <row r="1153" spans="9:13" x14ac:dyDescent="0.25">
      <c r="I1153" t="s">
        <v>17987</v>
      </c>
      <c r="J1153" s="161" t="s">
        <v>19202</v>
      </c>
      <c r="K1153" t="s">
        <v>19203</v>
      </c>
      <c r="L1153" t="s">
        <v>17986</v>
      </c>
      <c r="M1153" s="161" t="s">
        <v>19202</v>
      </c>
    </row>
    <row r="1154" spans="9:13" x14ac:dyDescent="0.25">
      <c r="I1154" t="s">
        <v>1702</v>
      </c>
      <c r="J1154" s="161" t="s">
        <v>19202</v>
      </c>
      <c r="K1154" t="s">
        <v>19203</v>
      </c>
      <c r="L1154" t="s">
        <v>1701</v>
      </c>
      <c r="M1154" s="161" t="s">
        <v>19202</v>
      </c>
    </row>
    <row r="1155" spans="9:13" x14ac:dyDescent="0.25">
      <c r="I1155" t="s">
        <v>7242</v>
      </c>
      <c r="J1155" s="161" t="s">
        <v>19202</v>
      </c>
      <c r="K1155" t="s">
        <v>19203</v>
      </c>
      <c r="L1155" t="s">
        <v>7241</v>
      </c>
      <c r="M1155" s="161" t="s">
        <v>19202</v>
      </c>
    </row>
    <row r="1156" spans="9:13" x14ac:dyDescent="0.25">
      <c r="I1156" t="s">
        <v>12559</v>
      </c>
      <c r="J1156" s="161" t="s">
        <v>19202</v>
      </c>
      <c r="K1156" t="s">
        <v>19203</v>
      </c>
      <c r="L1156" t="s">
        <v>12558</v>
      </c>
      <c r="M1156" s="161" t="s">
        <v>19202</v>
      </c>
    </row>
    <row r="1157" spans="9:13" x14ac:dyDescent="0.25">
      <c r="I1157" t="s">
        <v>1665</v>
      </c>
      <c r="J1157" s="161" t="s">
        <v>19202</v>
      </c>
      <c r="K1157" t="s">
        <v>19203</v>
      </c>
      <c r="L1157" t="s">
        <v>1664</v>
      </c>
      <c r="M1157" s="161" t="s">
        <v>19202</v>
      </c>
    </row>
    <row r="1158" spans="9:13" x14ac:dyDescent="0.25">
      <c r="I1158" t="s">
        <v>767</v>
      </c>
      <c r="J1158" s="161" t="s">
        <v>19202</v>
      </c>
      <c r="K1158" t="s">
        <v>19203</v>
      </c>
      <c r="L1158" t="s">
        <v>766</v>
      </c>
      <c r="M1158" s="161" t="s">
        <v>19202</v>
      </c>
    </row>
    <row r="1159" spans="9:13" x14ac:dyDescent="0.25">
      <c r="I1159" t="s">
        <v>1163</v>
      </c>
      <c r="J1159" s="161" t="s">
        <v>19202</v>
      </c>
      <c r="K1159" t="s">
        <v>19203</v>
      </c>
      <c r="L1159" t="s">
        <v>1162</v>
      </c>
      <c r="M1159" s="161" t="s">
        <v>19202</v>
      </c>
    </row>
    <row r="1160" spans="9:13" x14ac:dyDescent="0.25">
      <c r="I1160" t="s">
        <v>1425</v>
      </c>
      <c r="J1160" s="161" t="s">
        <v>19202</v>
      </c>
      <c r="K1160" t="s">
        <v>19203</v>
      </c>
      <c r="L1160" t="s">
        <v>1424</v>
      </c>
      <c r="M1160" s="161" t="s">
        <v>19202</v>
      </c>
    </row>
    <row r="1161" spans="9:13" x14ac:dyDescent="0.25">
      <c r="I1161" t="s">
        <v>14515</v>
      </c>
      <c r="J1161" s="161" t="s">
        <v>19202</v>
      </c>
      <c r="K1161" t="s">
        <v>19203</v>
      </c>
      <c r="L1161" t="s">
        <v>14514</v>
      </c>
      <c r="M1161" s="161" t="s">
        <v>19202</v>
      </c>
    </row>
    <row r="1162" spans="9:13" x14ac:dyDescent="0.25">
      <c r="I1162" t="s">
        <v>17947</v>
      </c>
      <c r="J1162" s="161" t="s">
        <v>19202</v>
      </c>
      <c r="K1162" t="s">
        <v>19203</v>
      </c>
      <c r="L1162" t="s">
        <v>142</v>
      </c>
      <c r="M1162" s="161" t="s">
        <v>19202</v>
      </c>
    </row>
    <row r="1163" spans="9:13" x14ac:dyDescent="0.25">
      <c r="I1163" t="s">
        <v>17342</v>
      </c>
      <c r="J1163" s="161" t="s">
        <v>19202</v>
      </c>
      <c r="K1163" t="s">
        <v>19203</v>
      </c>
      <c r="L1163" t="s">
        <v>17341</v>
      </c>
      <c r="M1163" s="161" t="s">
        <v>19202</v>
      </c>
    </row>
    <row r="1164" spans="9:13" x14ac:dyDescent="0.25">
      <c r="I1164" t="s">
        <v>1787</v>
      </c>
      <c r="J1164" s="161" t="s">
        <v>19202</v>
      </c>
      <c r="K1164" t="s">
        <v>19203</v>
      </c>
      <c r="L1164" t="s">
        <v>1786</v>
      </c>
      <c r="M1164" s="161" t="s">
        <v>19202</v>
      </c>
    </row>
    <row r="1165" spans="9:13" x14ac:dyDescent="0.25">
      <c r="I1165" t="s">
        <v>11816</v>
      </c>
      <c r="J1165" s="161" t="s">
        <v>19202</v>
      </c>
      <c r="K1165" t="s">
        <v>19203</v>
      </c>
      <c r="L1165" t="s">
        <v>11815</v>
      </c>
      <c r="M1165" s="161" t="s">
        <v>19202</v>
      </c>
    </row>
    <row r="1166" spans="9:13" x14ac:dyDescent="0.25">
      <c r="I1166" t="s">
        <v>17287</v>
      </c>
      <c r="J1166" s="161" t="s">
        <v>19202</v>
      </c>
      <c r="K1166" t="s">
        <v>19203</v>
      </c>
      <c r="L1166" t="s">
        <v>17286</v>
      </c>
      <c r="M1166" s="161" t="s">
        <v>19202</v>
      </c>
    </row>
    <row r="1167" spans="9:13" x14ac:dyDescent="0.25">
      <c r="I1167" t="s">
        <v>4631</v>
      </c>
      <c r="J1167" s="161" t="s">
        <v>19202</v>
      </c>
      <c r="K1167" t="s">
        <v>19203</v>
      </c>
      <c r="L1167" t="s">
        <v>4630</v>
      </c>
      <c r="M1167" s="161" t="s">
        <v>19202</v>
      </c>
    </row>
    <row r="1168" spans="9:13" x14ac:dyDescent="0.25">
      <c r="I1168" t="s">
        <v>2845</v>
      </c>
      <c r="J1168" s="161" t="s">
        <v>19202</v>
      </c>
      <c r="K1168" t="s">
        <v>19203</v>
      </c>
      <c r="L1168" t="s">
        <v>2844</v>
      </c>
      <c r="M1168" s="161" t="s">
        <v>19202</v>
      </c>
    </row>
    <row r="1169" spans="9:13" x14ac:dyDescent="0.25">
      <c r="I1169" t="s">
        <v>7940</v>
      </c>
      <c r="J1169" s="161" t="s">
        <v>19202</v>
      </c>
      <c r="K1169" t="s">
        <v>19203</v>
      </c>
      <c r="L1169" t="s">
        <v>7939</v>
      </c>
      <c r="M1169" s="161" t="s">
        <v>19202</v>
      </c>
    </row>
    <row r="1170" spans="9:13" x14ac:dyDescent="0.25">
      <c r="I1170" t="s">
        <v>7935</v>
      </c>
      <c r="J1170" s="161" t="s">
        <v>19202</v>
      </c>
      <c r="K1170" t="s">
        <v>19203</v>
      </c>
      <c r="L1170" t="s">
        <v>7934</v>
      </c>
      <c r="M1170" s="161" t="s">
        <v>19202</v>
      </c>
    </row>
    <row r="1171" spans="9:13" x14ac:dyDescent="0.25">
      <c r="I1171" t="s">
        <v>18105</v>
      </c>
      <c r="J1171" s="161" t="s">
        <v>19202</v>
      </c>
      <c r="K1171" t="s">
        <v>19203</v>
      </c>
      <c r="L1171" t="s">
        <v>5411</v>
      </c>
      <c r="M1171" s="161" t="s">
        <v>19202</v>
      </c>
    </row>
    <row r="1172" spans="9:13" x14ac:dyDescent="0.25">
      <c r="I1172" t="s">
        <v>4859</v>
      </c>
      <c r="J1172" s="161" t="s">
        <v>19202</v>
      </c>
      <c r="K1172" t="s">
        <v>19203</v>
      </c>
      <c r="L1172" t="s">
        <v>4858</v>
      </c>
      <c r="M1172" s="161" t="s">
        <v>19202</v>
      </c>
    </row>
    <row r="1173" spans="9:13" x14ac:dyDescent="0.25">
      <c r="I1173" t="s">
        <v>1079</v>
      </c>
      <c r="J1173" s="161" t="s">
        <v>19202</v>
      </c>
      <c r="K1173" t="s">
        <v>19203</v>
      </c>
      <c r="L1173" t="s">
        <v>1078</v>
      </c>
      <c r="M1173" s="161" t="s">
        <v>19202</v>
      </c>
    </row>
    <row r="1174" spans="9:13" x14ac:dyDescent="0.25">
      <c r="I1174" t="s">
        <v>16471</v>
      </c>
      <c r="J1174" s="161" t="s">
        <v>19202</v>
      </c>
      <c r="K1174" t="s">
        <v>19203</v>
      </c>
      <c r="L1174" t="s">
        <v>4468</v>
      </c>
      <c r="M1174" s="161" t="s">
        <v>19202</v>
      </c>
    </row>
    <row r="1175" spans="9:13" x14ac:dyDescent="0.25">
      <c r="I1175" t="s">
        <v>8950</v>
      </c>
      <c r="J1175" s="161" t="s">
        <v>19202</v>
      </c>
      <c r="K1175" t="s">
        <v>19203</v>
      </c>
      <c r="L1175" t="s">
        <v>8949</v>
      </c>
      <c r="M1175" s="161" t="s">
        <v>19202</v>
      </c>
    </row>
    <row r="1176" spans="9:13" x14ac:dyDescent="0.25">
      <c r="I1176" t="s">
        <v>1645</v>
      </c>
      <c r="J1176" s="161" t="s">
        <v>19202</v>
      </c>
      <c r="K1176" t="s">
        <v>19203</v>
      </c>
      <c r="L1176" t="s">
        <v>1644</v>
      </c>
      <c r="M1176" s="161" t="s">
        <v>19202</v>
      </c>
    </row>
    <row r="1177" spans="9:13" x14ac:dyDescent="0.25">
      <c r="I1177" t="s">
        <v>14603</v>
      </c>
      <c r="J1177" s="161" t="s">
        <v>19202</v>
      </c>
      <c r="K1177" t="s">
        <v>19203</v>
      </c>
      <c r="L1177" t="s">
        <v>4566</v>
      </c>
      <c r="M1177" s="161" t="s">
        <v>19202</v>
      </c>
    </row>
    <row r="1178" spans="9:13" x14ac:dyDescent="0.25">
      <c r="I1178" t="s">
        <v>14531</v>
      </c>
      <c r="J1178" s="161" t="s">
        <v>19202</v>
      </c>
      <c r="K1178" t="s">
        <v>19203</v>
      </c>
      <c r="L1178" t="s">
        <v>1123</v>
      </c>
      <c r="M1178" s="161" t="s">
        <v>19202</v>
      </c>
    </row>
    <row r="1179" spans="9:13" x14ac:dyDescent="0.25">
      <c r="I1179" t="s">
        <v>14601</v>
      </c>
      <c r="J1179" s="161" t="s">
        <v>19202</v>
      </c>
      <c r="K1179" t="s">
        <v>19203</v>
      </c>
      <c r="L1179" t="s">
        <v>14600</v>
      </c>
      <c r="M1179" s="161" t="s">
        <v>19202</v>
      </c>
    </row>
    <row r="1180" spans="9:13" x14ac:dyDescent="0.25">
      <c r="I1180" t="s">
        <v>14302</v>
      </c>
      <c r="J1180" s="161" t="s">
        <v>19202</v>
      </c>
      <c r="K1180" t="s">
        <v>19203</v>
      </c>
      <c r="L1180" t="s">
        <v>632</v>
      </c>
      <c r="M1180" s="161" t="s">
        <v>19202</v>
      </c>
    </row>
    <row r="1181" spans="9:13" x14ac:dyDescent="0.25">
      <c r="I1181" t="s">
        <v>14485</v>
      </c>
      <c r="J1181" s="161" t="s">
        <v>19202</v>
      </c>
      <c r="K1181" t="s">
        <v>19203</v>
      </c>
      <c r="L1181" t="s">
        <v>14484</v>
      </c>
      <c r="M1181" s="161" t="s">
        <v>19202</v>
      </c>
    </row>
    <row r="1182" spans="9:13" x14ac:dyDescent="0.25">
      <c r="I1182" t="s">
        <v>14599</v>
      </c>
      <c r="J1182" s="161" t="s">
        <v>19202</v>
      </c>
      <c r="K1182" t="s">
        <v>19203</v>
      </c>
      <c r="L1182" t="s">
        <v>14598</v>
      </c>
      <c r="M1182" s="161" t="s">
        <v>19202</v>
      </c>
    </row>
    <row r="1183" spans="9:13" x14ac:dyDescent="0.25">
      <c r="I1183" t="s">
        <v>17298</v>
      </c>
      <c r="J1183" s="161" t="s">
        <v>19202</v>
      </c>
      <c r="K1183" t="s">
        <v>19203</v>
      </c>
      <c r="L1183" t="s">
        <v>17297</v>
      </c>
      <c r="M1183" s="161" t="s">
        <v>19202</v>
      </c>
    </row>
    <row r="1184" spans="9:13" x14ac:dyDescent="0.25">
      <c r="I1184" t="s">
        <v>17519</v>
      </c>
      <c r="J1184" s="161" t="s">
        <v>19202</v>
      </c>
      <c r="K1184" t="s">
        <v>19203</v>
      </c>
      <c r="L1184" t="s">
        <v>181</v>
      </c>
      <c r="M1184" s="161" t="s">
        <v>19202</v>
      </c>
    </row>
    <row r="1185" spans="9:13" x14ac:dyDescent="0.25">
      <c r="I1185" t="s">
        <v>1926</v>
      </c>
      <c r="J1185" s="161" t="s">
        <v>19202</v>
      </c>
      <c r="K1185" t="s">
        <v>19203</v>
      </c>
      <c r="L1185" t="s">
        <v>1925</v>
      </c>
      <c r="M1185" s="161" t="s">
        <v>19202</v>
      </c>
    </row>
    <row r="1186" spans="9:13" x14ac:dyDescent="0.25">
      <c r="I1186" t="s">
        <v>13253</v>
      </c>
      <c r="J1186" s="161" t="s">
        <v>19202</v>
      </c>
      <c r="K1186" t="s">
        <v>19203</v>
      </c>
      <c r="L1186" t="s">
        <v>13252</v>
      </c>
      <c r="M1186" s="161" t="s">
        <v>19202</v>
      </c>
    </row>
    <row r="1187" spans="9:13" x14ac:dyDescent="0.25">
      <c r="I1187" t="s">
        <v>18052</v>
      </c>
      <c r="J1187" s="161" t="s">
        <v>19202</v>
      </c>
      <c r="K1187" t="s">
        <v>19203</v>
      </c>
      <c r="L1187" t="s">
        <v>18051</v>
      </c>
      <c r="M1187" s="161" t="s">
        <v>19202</v>
      </c>
    </row>
    <row r="1188" spans="9:13" x14ac:dyDescent="0.25">
      <c r="I1188" t="s">
        <v>2591</v>
      </c>
      <c r="J1188" s="161" t="s">
        <v>19202</v>
      </c>
      <c r="K1188" t="s">
        <v>19203</v>
      </c>
      <c r="L1188" t="s">
        <v>2590</v>
      </c>
      <c r="M1188" s="161" t="s">
        <v>19202</v>
      </c>
    </row>
    <row r="1189" spans="9:13" x14ac:dyDescent="0.25">
      <c r="I1189" t="s">
        <v>17858</v>
      </c>
      <c r="J1189" s="161" t="s">
        <v>19202</v>
      </c>
      <c r="K1189" t="s">
        <v>19203</v>
      </c>
      <c r="L1189" t="s">
        <v>17857</v>
      </c>
      <c r="M1189" s="161" t="s">
        <v>19202</v>
      </c>
    </row>
    <row r="1190" spans="9:13" x14ac:dyDescent="0.25">
      <c r="I1190" t="s">
        <v>18138</v>
      </c>
      <c r="J1190" s="161" t="s">
        <v>19202</v>
      </c>
      <c r="K1190" t="s">
        <v>19203</v>
      </c>
      <c r="L1190" t="s">
        <v>18137</v>
      </c>
      <c r="M1190" s="161" t="s">
        <v>19202</v>
      </c>
    </row>
    <row r="1191" spans="9:13" x14ac:dyDescent="0.25">
      <c r="I1191" t="s">
        <v>1414</v>
      </c>
      <c r="J1191" s="161" t="s">
        <v>19202</v>
      </c>
      <c r="K1191" t="s">
        <v>19203</v>
      </c>
      <c r="L1191" t="s">
        <v>1413</v>
      </c>
      <c r="M1191" s="161" t="s">
        <v>19202</v>
      </c>
    </row>
    <row r="1192" spans="9:13" x14ac:dyDescent="0.25">
      <c r="I1192" t="s">
        <v>1641</v>
      </c>
      <c r="J1192" s="161" t="s">
        <v>19202</v>
      </c>
      <c r="K1192" t="s">
        <v>19203</v>
      </c>
      <c r="L1192" t="s">
        <v>1306</v>
      </c>
      <c r="M1192" s="161" t="s">
        <v>19202</v>
      </c>
    </row>
    <row r="1193" spans="9:13" x14ac:dyDescent="0.25">
      <c r="I1193" t="s">
        <v>11853</v>
      </c>
      <c r="J1193" s="161" t="s">
        <v>19202</v>
      </c>
      <c r="K1193" t="s">
        <v>19203</v>
      </c>
      <c r="L1193" t="s">
        <v>11852</v>
      </c>
      <c r="M1193" s="161" t="s">
        <v>19202</v>
      </c>
    </row>
    <row r="1194" spans="9:13" x14ac:dyDescent="0.25">
      <c r="I1194" t="s">
        <v>2336</v>
      </c>
      <c r="J1194" s="161" t="s">
        <v>19202</v>
      </c>
      <c r="K1194" t="s">
        <v>19203</v>
      </c>
      <c r="L1194" t="s">
        <v>2335</v>
      </c>
      <c r="M1194" s="161" t="s">
        <v>19202</v>
      </c>
    </row>
    <row r="1195" spans="9:13" x14ac:dyDescent="0.25">
      <c r="I1195" t="s">
        <v>19370</v>
      </c>
      <c r="J1195" s="161" t="s">
        <v>19202</v>
      </c>
      <c r="K1195" t="s">
        <v>19203</v>
      </c>
      <c r="L1195" t="s">
        <v>19371</v>
      </c>
      <c r="M1195" s="161" t="s">
        <v>19202</v>
      </c>
    </row>
    <row r="1196" spans="9:13" x14ac:dyDescent="0.25">
      <c r="I1196" t="s">
        <v>2288</v>
      </c>
      <c r="J1196" s="161" t="s">
        <v>19202</v>
      </c>
      <c r="K1196" t="s">
        <v>19203</v>
      </c>
      <c r="L1196" t="s">
        <v>2287</v>
      </c>
      <c r="M1196" s="161" t="s">
        <v>19202</v>
      </c>
    </row>
    <row r="1197" spans="9:13" x14ac:dyDescent="0.25">
      <c r="I1197" t="s">
        <v>13344</v>
      </c>
      <c r="J1197" s="161" t="s">
        <v>19202</v>
      </c>
      <c r="K1197" t="s">
        <v>19203</v>
      </c>
      <c r="L1197" t="s">
        <v>13343</v>
      </c>
      <c r="M1197" s="161" t="s">
        <v>19202</v>
      </c>
    </row>
    <row r="1198" spans="9:13" x14ac:dyDescent="0.25">
      <c r="I1198" t="s">
        <v>8540</v>
      </c>
      <c r="J1198" s="161" t="s">
        <v>19202</v>
      </c>
      <c r="K1198" t="s">
        <v>19203</v>
      </c>
      <c r="L1198" t="s">
        <v>8539</v>
      </c>
      <c r="M1198" s="161" t="s">
        <v>19202</v>
      </c>
    </row>
    <row r="1199" spans="9:13" x14ac:dyDescent="0.25">
      <c r="I1199" t="s">
        <v>4099</v>
      </c>
      <c r="J1199" s="161" t="s">
        <v>19202</v>
      </c>
      <c r="K1199" t="s">
        <v>19203</v>
      </c>
      <c r="L1199" t="s">
        <v>4098</v>
      </c>
      <c r="M1199" s="161" t="s">
        <v>19202</v>
      </c>
    </row>
    <row r="1200" spans="9:13" x14ac:dyDescent="0.25">
      <c r="I1200" t="s">
        <v>17459</v>
      </c>
      <c r="J1200" s="161" t="s">
        <v>19202</v>
      </c>
      <c r="K1200" t="s">
        <v>19203</v>
      </c>
      <c r="L1200" t="s">
        <v>17458</v>
      </c>
      <c r="M1200" s="161" t="s">
        <v>19202</v>
      </c>
    </row>
    <row r="1201" spans="9:13" x14ac:dyDescent="0.25">
      <c r="I1201" t="s">
        <v>11995</v>
      </c>
      <c r="J1201" s="161" t="s">
        <v>19202</v>
      </c>
      <c r="K1201" t="s">
        <v>19203</v>
      </c>
      <c r="L1201" t="s">
        <v>11994</v>
      </c>
      <c r="M1201" s="161" t="s">
        <v>19202</v>
      </c>
    </row>
    <row r="1202" spans="9:13" x14ac:dyDescent="0.25">
      <c r="I1202" t="s">
        <v>4026</v>
      </c>
      <c r="J1202" s="161" t="s">
        <v>19202</v>
      </c>
      <c r="K1202" t="s">
        <v>19203</v>
      </c>
      <c r="L1202" t="s">
        <v>3507</v>
      </c>
      <c r="M1202" s="161" t="s">
        <v>19202</v>
      </c>
    </row>
    <row r="1203" spans="9:13" x14ac:dyDescent="0.25">
      <c r="I1203" t="s">
        <v>12441</v>
      </c>
      <c r="J1203" s="161" t="s">
        <v>19202</v>
      </c>
      <c r="K1203" t="s">
        <v>19203</v>
      </c>
      <c r="L1203" t="s">
        <v>12440</v>
      </c>
      <c r="M1203" s="161" t="s">
        <v>19202</v>
      </c>
    </row>
    <row r="1204" spans="9:13" x14ac:dyDescent="0.25">
      <c r="I1204" t="s">
        <v>14161</v>
      </c>
      <c r="J1204" s="161" t="s">
        <v>19202</v>
      </c>
      <c r="K1204" t="s">
        <v>19203</v>
      </c>
      <c r="L1204" t="s">
        <v>14160</v>
      </c>
      <c r="M1204" s="161" t="s">
        <v>19202</v>
      </c>
    </row>
    <row r="1205" spans="9:13" x14ac:dyDescent="0.25">
      <c r="I1205" t="s">
        <v>10907</v>
      </c>
      <c r="J1205" s="161" t="s">
        <v>19202</v>
      </c>
      <c r="K1205" t="s">
        <v>19203</v>
      </c>
      <c r="L1205" t="s">
        <v>10906</v>
      </c>
      <c r="M1205" s="161" t="s">
        <v>19202</v>
      </c>
    </row>
    <row r="1206" spans="9:13" x14ac:dyDescent="0.25">
      <c r="I1206" t="s">
        <v>1655</v>
      </c>
      <c r="J1206" s="161" t="s">
        <v>19202</v>
      </c>
      <c r="K1206" t="s">
        <v>19203</v>
      </c>
      <c r="L1206" t="s">
        <v>1654</v>
      </c>
      <c r="M1206" s="161" t="s">
        <v>19202</v>
      </c>
    </row>
    <row r="1207" spans="9:13" x14ac:dyDescent="0.25">
      <c r="I1207" t="s">
        <v>17526</v>
      </c>
      <c r="J1207" s="161" t="s">
        <v>19202</v>
      </c>
      <c r="K1207" t="s">
        <v>19203</v>
      </c>
      <c r="L1207" t="s">
        <v>17525</v>
      </c>
      <c r="M1207" s="161" t="s">
        <v>19202</v>
      </c>
    </row>
    <row r="1208" spans="9:13" x14ac:dyDescent="0.25">
      <c r="I1208" t="s">
        <v>1923</v>
      </c>
      <c r="J1208" s="161" t="s">
        <v>19202</v>
      </c>
      <c r="K1208" t="s">
        <v>19203</v>
      </c>
      <c r="L1208" t="s">
        <v>1922</v>
      </c>
      <c r="M1208" s="161" t="s">
        <v>19202</v>
      </c>
    </row>
    <row r="1209" spans="9:13" x14ac:dyDescent="0.25">
      <c r="I1209" t="s">
        <v>19372</v>
      </c>
      <c r="J1209" s="161" t="s">
        <v>19202</v>
      </c>
      <c r="K1209" t="s">
        <v>19203</v>
      </c>
      <c r="L1209" t="s">
        <v>19373</v>
      </c>
      <c r="M1209" s="161" t="s">
        <v>19202</v>
      </c>
    </row>
    <row r="1210" spans="9:13" x14ac:dyDescent="0.25">
      <c r="I1210" t="s">
        <v>1462</v>
      </c>
      <c r="J1210" s="161" t="s">
        <v>19202</v>
      </c>
      <c r="K1210" t="s">
        <v>19203</v>
      </c>
      <c r="L1210" t="s">
        <v>1461</v>
      </c>
      <c r="M1210" s="161" t="s">
        <v>19202</v>
      </c>
    </row>
    <row r="1211" spans="9:13" x14ac:dyDescent="0.25">
      <c r="I1211" t="s">
        <v>1002</v>
      </c>
      <c r="J1211" s="161" t="s">
        <v>19202</v>
      </c>
      <c r="K1211" t="s">
        <v>19203</v>
      </c>
      <c r="L1211" t="s">
        <v>1001</v>
      </c>
      <c r="M1211" s="161" t="s">
        <v>19202</v>
      </c>
    </row>
    <row r="1212" spans="9:13" x14ac:dyDescent="0.25">
      <c r="I1212" t="s">
        <v>17170</v>
      </c>
      <c r="J1212" s="161" t="s">
        <v>19202</v>
      </c>
      <c r="K1212" t="s">
        <v>19203</v>
      </c>
      <c r="L1212" t="s">
        <v>17169</v>
      </c>
      <c r="M1212" s="161" t="s">
        <v>19202</v>
      </c>
    </row>
    <row r="1213" spans="9:13" x14ac:dyDescent="0.25">
      <c r="I1213" t="s">
        <v>13865</v>
      </c>
      <c r="J1213" s="161" t="s">
        <v>19202</v>
      </c>
      <c r="K1213" t="s">
        <v>19203</v>
      </c>
      <c r="L1213" t="s">
        <v>13864</v>
      </c>
      <c r="M1213" s="161" t="s">
        <v>19202</v>
      </c>
    </row>
    <row r="1214" spans="9:13" x14ac:dyDescent="0.25">
      <c r="I1214" t="s">
        <v>19374</v>
      </c>
      <c r="J1214" s="161" t="s">
        <v>19202</v>
      </c>
      <c r="K1214" t="s">
        <v>19203</v>
      </c>
      <c r="L1214" t="s">
        <v>19375</v>
      </c>
      <c r="M1214" s="161" t="s">
        <v>19202</v>
      </c>
    </row>
    <row r="1215" spans="9:13" x14ac:dyDescent="0.25">
      <c r="I1215" t="s">
        <v>14324</v>
      </c>
      <c r="J1215" s="161" t="s">
        <v>19202</v>
      </c>
      <c r="K1215" t="s">
        <v>19203</v>
      </c>
      <c r="L1215" t="s">
        <v>14323</v>
      </c>
      <c r="M1215" s="161" t="s">
        <v>19202</v>
      </c>
    </row>
    <row r="1216" spans="9:13" x14ac:dyDescent="0.25">
      <c r="I1216" t="s">
        <v>5038</v>
      </c>
      <c r="J1216" s="161" t="s">
        <v>19202</v>
      </c>
      <c r="K1216" t="s">
        <v>19203</v>
      </c>
      <c r="L1216" t="s">
        <v>4462</v>
      </c>
      <c r="M1216" s="161" t="s">
        <v>19202</v>
      </c>
    </row>
    <row r="1217" spans="9:13" x14ac:dyDescent="0.25">
      <c r="I1217" t="s">
        <v>19376</v>
      </c>
      <c r="J1217" s="161" t="s">
        <v>19202</v>
      </c>
      <c r="K1217" t="s">
        <v>19203</v>
      </c>
      <c r="L1217" t="s">
        <v>19377</v>
      </c>
      <c r="M1217" s="161" t="s">
        <v>19202</v>
      </c>
    </row>
    <row r="1218" spans="9:13" x14ac:dyDescent="0.25">
      <c r="I1218" t="s">
        <v>13551</v>
      </c>
      <c r="J1218" s="161" t="s">
        <v>19202</v>
      </c>
      <c r="K1218" t="s">
        <v>19203</v>
      </c>
      <c r="L1218" t="s">
        <v>19378</v>
      </c>
      <c r="M1218" s="161" t="s">
        <v>19202</v>
      </c>
    </row>
    <row r="1219" spans="9:13" x14ac:dyDescent="0.25">
      <c r="I1219" t="s">
        <v>13838</v>
      </c>
      <c r="J1219" s="161" t="s">
        <v>19202</v>
      </c>
      <c r="K1219" t="s">
        <v>19203</v>
      </c>
      <c r="L1219" t="s">
        <v>13837</v>
      </c>
      <c r="M1219" s="161" t="s">
        <v>19202</v>
      </c>
    </row>
    <row r="1220" spans="9:13" x14ac:dyDescent="0.25">
      <c r="I1220" t="s">
        <v>1388</v>
      </c>
      <c r="J1220" s="161" t="s">
        <v>19202</v>
      </c>
      <c r="K1220" t="s">
        <v>19203</v>
      </c>
      <c r="L1220" t="s">
        <v>1387</v>
      </c>
      <c r="M1220" s="161" t="s">
        <v>19202</v>
      </c>
    </row>
    <row r="1221" spans="9:13" x14ac:dyDescent="0.25">
      <c r="I1221" t="s">
        <v>18089</v>
      </c>
      <c r="J1221" s="161" t="s">
        <v>19202</v>
      </c>
      <c r="K1221" t="s">
        <v>19203</v>
      </c>
      <c r="L1221" t="s">
        <v>13453</v>
      </c>
      <c r="M1221" s="161" t="s">
        <v>19202</v>
      </c>
    </row>
    <row r="1222" spans="9:13" x14ac:dyDescent="0.25">
      <c r="I1222" t="s">
        <v>12439</v>
      </c>
      <c r="J1222" s="161" t="s">
        <v>19202</v>
      </c>
      <c r="K1222" t="s">
        <v>19203</v>
      </c>
      <c r="L1222" t="s">
        <v>12438</v>
      </c>
      <c r="M1222" s="161" t="s">
        <v>19202</v>
      </c>
    </row>
    <row r="1223" spans="9:13" x14ac:dyDescent="0.25">
      <c r="I1223" t="s">
        <v>1583</v>
      </c>
      <c r="J1223" s="161" t="s">
        <v>19202</v>
      </c>
      <c r="K1223" t="s">
        <v>19203</v>
      </c>
      <c r="L1223" t="s">
        <v>1582</v>
      </c>
      <c r="M1223" s="161" t="s">
        <v>19202</v>
      </c>
    </row>
    <row r="1224" spans="9:13" x14ac:dyDescent="0.25">
      <c r="I1224" t="s">
        <v>1515</v>
      </c>
      <c r="J1224" s="161" t="s">
        <v>19202</v>
      </c>
      <c r="K1224" t="s">
        <v>19203</v>
      </c>
      <c r="L1224" t="s">
        <v>1514</v>
      </c>
      <c r="M1224" s="161" t="s">
        <v>19202</v>
      </c>
    </row>
    <row r="1225" spans="9:13" x14ac:dyDescent="0.25">
      <c r="I1225" t="s">
        <v>5124</v>
      </c>
      <c r="J1225" s="161" t="s">
        <v>19202</v>
      </c>
      <c r="K1225" t="s">
        <v>19203</v>
      </c>
      <c r="L1225" t="s">
        <v>5123</v>
      </c>
      <c r="M1225" s="161" t="s">
        <v>19202</v>
      </c>
    </row>
    <row r="1226" spans="9:13" x14ac:dyDescent="0.25">
      <c r="I1226" t="s">
        <v>3979</v>
      </c>
      <c r="J1226" s="161" t="s">
        <v>19202</v>
      </c>
      <c r="K1226" t="s">
        <v>19203</v>
      </c>
      <c r="L1226" t="s">
        <v>3978</v>
      </c>
      <c r="M1226" s="161" t="s">
        <v>19202</v>
      </c>
    </row>
    <row r="1227" spans="9:13" x14ac:dyDescent="0.25">
      <c r="I1227" t="s">
        <v>14449</v>
      </c>
      <c r="J1227" s="161" t="s">
        <v>19202</v>
      </c>
      <c r="K1227" t="s">
        <v>19203</v>
      </c>
      <c r="L1227" t="s">
        <v>14448</v>
      </c>
      <c r="M1227" s="161" t="s">
        <v>19202</v>
      </c>
    </row>
    <row r="1228" spans="9:13" x14ac:dyDescent="0.25">
      <c r="I1228" t="s">
        <v>1806</v>
      </c>
      <c r="J1228" s="161" t="s">
        <v>19202</v>
      </c>
      <c r="K1228" t="s">
        <v>19203</v>
      </c>
      <c r="L1228" t="s">
        <v>1805</v>
      </c>
      <c r="M1228" s="161" t="s">
        <v>19202</v>
      </c>
    </row>
    <row r="1229" spans="9:13" x14ac:dyDescent="0.25">
      <c r="I1229" t="s">
        <v>1587</v>
      </c>
      <c r="J1229" s="161" t="s">
        <v>19202</v>
      </c>
      <c r="K1229" t="s">
        <v>19203</v>
      </c>
      <c r="L1229" t="s">
        <v>1586</v>
      </c>
      <c r="M1229" s="161" t="s">
        <v>19202</v>
      </c>
    </row>
    <row r="1230" spans="9:13" x14ac:dyDescent="0.25">
      <c r="I1230" t="s">
        <v>17811</v>
      </c>
      <c r="J1230" s="161" t="s">
        <v>19202</v>
      </c>
      <c r="K1230" t="s">
        <v>19203</v>
      </c>
      <c r="L1230" t="s">
        <v>17810</v>
      </c>
      <c r="M1230" s="161" t="s">
        <v>19202</v>
      </c>
    </row>
    <row r="1231" spans="9:13" x14ac:dyDescent="0.25">
      <c r="I1231" t="s">
        <v>3664</v>
      </c>
      <c r="J1231" s="161" t="s">
        <v>19202</v>
      </c>
      <c r="K1231" t="s">
        <v>19203</v>
      </c>
      <c r="L1231" t="s">
        <v>3663</v>
      </c>
      <c r="M1231" s="161" t="s">
        <v>19202</v>
      </c>
    </row>
    <row r="1232" spans="9:13" x14ac:dyDescent="0.25">
      <c r="I1232" t="s">
        <v>15612</v>
      </c>
      <c r="J1232" s="161" t="s">
        <v>19202</v>
      </c>
      <c r="K1232" t="s">
        <v>19203</v>
      </c>
      <c r="L1232" t="s">
        <v>15611</v>
      </c>
      <c r="M1232" s="161" t="s">
        <v>19202</v>
      </c>
    </row>
    <row r="1233" spans="9:13" x14ac:dyDescent="0.25">
      <c r="I1233" t="s">
        <v>18135</v>
      </c>
      <c r="J1233" s="161" t="s">
        <v>19202</v>
      </c>
      <c r="K1233" t="s">
        <v>19203</v>
      </c>
      <c r="L1233" t="s">
        <v>17605</v>
      </c>
      <c r="M1233" s="161" t="s">
        <v>19202</v>
      </c>
    </row>
    <row r="1234" spans="9:13" x14ac:dyDescent="0.25">
      <c r="I1234" t="s">
        <v>17815</v>
      </c>
      <c r="J1234" s="161" t="s">
        <v>19202</v>
      </c>
      <c r="K1234" t="s">
        <v>19203</v>
      </c>
      <c r="L1234" t="s">
        <v>17814</v>
      </c>
      <c r="M1234" s="161" t="s">
        <v>19202</v>
      </c>
    </row>
    <row r="1235" spans="9:13" x14ac:dyDescent="0.25">
      <c r="I1235" t="s">
        <v>4768</v>
      </c>
      <c r="J1235" s="161" t="s">
        <v>19202</v>
      </c>
      <c r="K1235" t="s">
        <v>19203</v>
      </c>
      <c r="L1235" t="s">
        <v>4767</v>
      </c>
      <c r="M1235" s="161" t="s">
        <v>19202</v>
      </c>
    </row>
    <row r="1236" spans="9:13" x14ac:dyDescent="0.25">
      <c r="I1236" t="s">
        <v>1695</v>
      </c>
      <c r="J1236" s="161" t="s">
        <v>19202</v>
      </c>
      <c r="K1236" t="s">
        <v>19203</v>
      </c>
      <c r="L1236" t="s">
        <v>1694</v>
      </c>
      <c r="M1236" s="161" t="s">
        <v>19202</v>
      </c>
    </row>
    <row r="1237" spans="9:13" x14ac:dyDescent="0.25">
      <c r="I1237" t="s">
        <v>1952</v>
      </c>
      <c r="J1237" s="161" t="s">
        <v>19202</v>
      </c>
      <c r="K1237" t="s">
        <v>19203</v>
      </c>
      <c r="L1237" t="s">
        <v>1951</v>
      </c>
      <c r="M1237" s="161" t="s">
        <v>19202</v>
      </c>
    </row>
    <row r="1238" spans="9:13" x14ac:dyDescent="0.25">
      <c r="I1238" t="s">
        <v>1252</v>
      </c>
      <c r="J1238" s="161" t="s">
        <v>19202</v>
      </c>
      <c r="K1238" t="s">
        <v>19203</v>
      </c>
      <c r="L1238" t="s">
        <v>1251</v>
      </c>
      <c r="M1238" s="161" t="s">
        <v>19202</v>
      </c>
    </row>
    <row r="1239" spans="9:13" x14ac:dyDescent="0.25">
      <c r="I1239" t="s">
        <v>13564</v>
      </c>
      <c r="J1239" s="161" t="s">
        <v>19202</v>
      </c>
      <c r="K1239" t="s">
        <v>19203</v>
      </c>
      <c r="L1239" t="s">
        <v>405</v>
      </c>
      <c r="M1239" s="161" t="s">
        <v>19202</v>
      </c>
    </row>
    <row r="1240" spans="9:13" x14ac:dyDescent="0.25">
      <c r="I1240" t="s">
        <v>13563</v>
      </c>
      <c r="J1240" s="161" t="s">
        <v>19202</v>
      </c>
      <c r="K1240" t="s">
        <v>19203</v>
      </c>
      <c r="L1240" t="s">
        <v>13562</v>
      </c>
      <c r="M1240" s="161" t="s">
        <v>19202</v>
      </c>
    </row>
    <row r="1241" spans="9:13" x14ac:dyDescent="0.25">
      <c r="I1241" t="s">
        <v>19379</v>
      </c>
      <c r="J1241" s="161" t="s">
        <v>19202</v>
      </c>
      <c r="K1241" t="s">
        <v>19203</v>
      </c>
      <c r="L1241" t="s">
        <v>19380</v>
      </c>
      <c r="M1241" s="161" t="s">
        <v>19202</v>
      </c>
    </row>
    <row r="1242" spans="9:13" x14ac:dyDescent="0.25">
      <c r="I1242" t="s">
        <v>17314</v>
      </c>
      <c r="J1242" s="161" t="s">
        <v>19202</v>
      </c>
      <c r="K1242" t="s">
        <v>19203</v>
      </c>
      <c r="L1242" t="s">
        <v>4292</v>
      </c>
      <c r="M1242" s="161" t="s">
        <v>19202</v>
      </c>
    </row>
    <row r="1243" spans="9:13" x14ac:dyDescent="0.25">
      <c r="I1243" t="s">
        <v>19381</v>
      </c>
      <c r="J1243" s="161" t="s">
        <v>19202</v>
      </c>
      <c r="K1243" t="s">
        <v>19203</v>
      </c>
      <c r="L1243" t="s">
        <v>19382</v>
      </c>
      <c r="M1243" s="161" t="s">
        <v>19202</v>
      </c>
    </row>
    <row r="1244" spans="9:13" x14ac:dyDescent="0.25">
      <c r="I1244" t="s">
        <v>14071</v>
      </c>
      <c r="J1244" s="161" t="s">
        <v>19202</v>
      </c>
      <c r="K1244" t="s">
        <v>19203</v>
      </c>
      <c r="L1244" t="s">
        <v>14070</v>
      </c>
      <c r="M1244" s="161" t="s">
        <v>19202</v>
      </c>
    </row>
    <row r="1245" spans="9:13" x14ac:dyDescent="0.25">
      <c r="I1245" t="s">
        <v>998</v>
      </c>
      <c r="J1245" s="161" t="s">
        <v>19202</v>
      </c>
      <c r="K1245" t="s">
        <v>19203</v>
      </c>
      <c r="L1245" t="s">
        <v>997</v>
      </c>
      <c r="M1245" s="161" t="s">
        <v>19202</v>
      </c>
    </row>
    <row r="1246" spans="9:13" x14ac:dyDescent="0.25">
      <c r="I1246" t="s">
        <v>18004</v>
      </c>
      <c r="J1246" s="161" t="s">
        <v>19202</v>
      </c>
      <c r="K1246" t="s">
        <v>19203</v>
      </c>
      <c r="L1246" t="s">
        <v>18003</v>
      </c>
      <c r="M1246" s="161" t="s">
        <v>19202</v>
      </c>
    </row>
    <row r="1247" spans="9:13" x14ac:dyDescent="0.25">
      <c r="I1247" t="s">
        <v>13128</v>
      </c>
      <c r="J1247" s="161" t="s">
        <v>19202</v>
      </c>
      <c r="K1247" t="s">
        <v>19203</v>
      </c>
      <c r="L1247" t="s">
        <v>13127</v>
      </c>
      <c r="M1247" s="161" t="s">
        <v>19202</v>
      </c>
    </row>
    <row r="1248" spans="9:13" x14ac:dyDescent="0.25">
      <c r="I1248" t="s">
        <v>12245</v>
      </c>
      <c r="J1248" s="161" t="s">
        <v>19202</v>
      </c>
      <c r="K1248" t="s">
        <v>19203</v>
      </c>
      <c r="L1248" t="s">
        <v>12244</v>
      </c>
      <c r="M1248" s="161" t="s">
        <v>19202</v>
      </c>
    </row>
    <row r="1249" spans="9:13" x14ac:dyDescent="0.25">
      <c r="I1249" t="s">
        <v>14140</v>
      </c>
      <c r="J1249" s="161" t="s">
        <v>19202</v>
      </c>
      <c r="K1249" t="s">
        <v>19203</v>
      </c>
      <c r="L1249" t="s">
        <v>4054</v>
      </c>
      <c r="M1249" s="161" t="s">
        <v>19202</v>
      </c>
    </row>
    <row r="1250" spans="9:13" x14ac:dyDescent="0.25">
      <c r="I1250" t="s">
        <v>17316</v>
      </c>
      <c r="J1250" s="161" t="s">
        <v>19202</v>
      </c>
      <c r="K1250" t="s">
        <v>19203</v>
      </c>
      <c r="L1250" t="s">
        <v>17315</v>
      </c>
      <c r="M1250" s="161" t="s">
        <v>19202</v>
      </c>
    </row>
    <row r="1251" spans="9:13" x14ac:dyDescent="0.25">
      <c r="I1251" t="s">
        <v>16353</v>
      </c>
      <c r="J1251" s="161" t="s">
        <v>19202</v>
      </c>
      <c r="K1251" t="s">
        <v>19203</v>
      </c>
      <c r="L1251" t="s">
        <v>15330</v>
      </c>
      <c r="M1251" s="161" t="s">
        <v>19202</v>
      </c>
    </row>
    <row r="1252" spans="9:13" x14ac:dyDescent="0.25">
      <c r="I1252" t="s">
        <v>12142</v>
      </c>
      <c r="J1252" s="161" t="s">
        <v>19202</v>
      </c>
      <c r="K1252" t="s">
        <v>19203</v>
      </c>
      <c r="L1252" t="s">
        <v>12141</v>
      </c>
      <c r="M1252" s="161" t="s">
        <v>19202</v>
      </c>
    </row>
    <row r="1253" spans="9:13" x14ac:dyDescent="0.25">
      <c r="I1253" t="s">
        <v>1296</v>
      </c>
      <c r="J1253" s="161" t="s">
        <v>19202</v>
      </c>
      <c r="K1253" t="s">
        <v>19203</v>
      </c>
      <c r="L1253" t="s">
        <v>1295</v>
      </c>
      <c r="M1253" s="161" t="s">
        <v>19202</v>
      </c>
    </row>
    <row r="1254" spans="9:13" x14ac:dyDescent="0.25">
      <c r="I1254" t="s">
        <v>1185</v>
      </c>
      <c r="J1254" s="161" t="s">
        <v>19202</v>
      </c>
      <c r="K1254" t="s">
        <v>19203</v>
      </c>
      <c r="L1254" t="s">
        <v>1184</v>
      </c>
      <c r="M1254" s="161" t="s">
        <v>19202</v>
      </c>
    </row>
    <row r="1255" spans="9:13" x14ac:dyDescent="0.25">
      <c r="I1255" t="s">
        <v>16234</v>
      </c>
      <c r="J1255" s="161" t="s">
        <v>19202</v>
      </c>
      <c r="K1255" t="s">
        <v>19203</v>
      </c>
      <c r="L1255" t="s">
        <v>3562</v>
      </c>
      <c r="M1255" s="161" t="s">
        <v>19202</v>
      </c>
    </row>
    <row r="1256" spans="9:13" x14ac:dyDescent="0.25">
      <c r="I1256" t="s">
        <v>17426</v>
      </c>
      <c r="J1256" s="161" t="s">
        <v>19202</v>
      </c>
      <c r="K1256" t="s">
        <v>19203</v>
      </c>
      <c r="L1256" t="s">
        <v>17425</v>
      </c>
      <c r="M1256" s="161" t="s">
        <v>19202</v>
      </c>
    </row>
    <row r="1257" spans="9:13" x14ac:dyDescent="0.25">
      <c r="I1257" t="s">
        <v>1712</v>
      </c>
      <c r="J1257" s="161" t="s">
        <v>19202</v>
      </c>
      <c r="K1257" t="s">
        <v>19203</v>
      </c>
      <c r="L1257" t="s">
        <v>1711</v>
      </c>
      <c r="M1257" s="161" t="s">
        <v>19202</v>
      </c>
    </row>
    <row r="1258" spans="9:13" x14ac:dyDescent="0.25">
      <c r="I1258" t="s">
        <v>7788</v>
      </c>
      <c r="J1258" s="161" t="s">
        <v>19202</v>
      </c>
      <c r="K1258" t="s">
        <v>19203</v>
      </c>
      <c r="L1258" t="s">
        <v>7787</v>
      </c>
      <c r="M1258" s="161" t="s">
        <v>19202</v>
      </c>
    </row>
    <row r="1259" spans="9:13" x14ac:dyDescent="0.25">
      <c r="I1259" t="s">
        <v>16645</v>
      </c>
      <c r="J1259" s="161" t="s">
        <v>19202</v>
      </c>
      <c r="K1259" t="s">
        <v>19203</v>
      </c>
      <c r="L1259" t="s">
        <v>16644</v>
      </c>
      <c r="M1259" s="161" t="s">
        <v>19202</v>
      </c>
    </row>
    <row r="1260" spans="9:13" x14ac:dyDescent="0.25">
      <c r="I1260" t="s">
        <v>7877</v>
      </c>
      <c r="J1260" s="161" t="s">
        <v>19202</v>
      </c>
      <c r="K1260" t="s">
        <v>19203</v>
      </c>
      <c r="L1260" t="s">
        <v>7876</v>
      </c>
      <c r="M1260" s="161" t="s">
        <v>19202</v>
      </c>
    </row>
    <row r="1261" spans="9:13" x14ac:dyDescent="0.25">
      <c r="I1261" t="s">
        <v>5043</v>
      </c>
      <c r="J1261" s="161" t="s">
        <v>19202</v>
      </c>
      <c r="K1261" t="s">
        <v>19203</v>
      </c>
      <c r="L1261" t="s">
        <v>5042</v>
      </c>
      <c r="M1261" s="161" t="s">
        <v>19202</v>
      </c>
    </row>
    <row r="1262" spans="9:13" x14ac:dyDescent="0.25">
      <c r="I1262" t="s">
        <v>1614</v>
      </c>
      <c r="J1262" s="161" t="s">
        <v>19202</v>
      </c>
      <c r="K1262" t="s">
        <v>19203</v>
      </c>
      <c r="L1262" t="s">
        <v>1613</v>
      </c>
      <c r="M1262" s="161" t="s">
        <v>19202</v>
      </c>
    </row>
    <row r="1263" spans="9:13" x14ac:dyDescent="0.25">
      <c r="I1263" t="s">
        <v>1606</v>
      </c>
      <c r="J1263" s="161" t="s">
        <v>19202</v>
      </c>
      <c r="K1263" t="s">
        <v>19203</v>
      </c>
      <c r="L1263" t="s">
        <v>1605</v>
      </c>
      <c r="M1263" s="161" t="s">
        <v>19202</v>
      </c>
    </row>
    <row r="1264" spans="9:13" x14ac:dyDescent="0.25">
      <c r="I1264" t="s">
        <v>7643</v>
      </c>
      <c r="J1264" s="161" t="s">
        <v>19202</v>
      </c>
      <c r="K1264" t="s">
        <v>19203</v>
      </c>
      <c r="L1264" t="s">
        <v>7642</v>
      </c>
      <c r="M1264" s="161" t="s">
        <v>19202</v>
      </c>
    </row>
    <row r="1265" spans="9:13" x14ac:dyDescent="0.25">
      <c r="I1265" t="s">
        <v>5828</v>
      </c>
      <c r="J1265" s="161" t="s">
        <v>19202</v>
      </c>
      <c r="K1265" t="s">
        <v>19203</v>
      </c>
      <c r="L1265" t="s">
        <v>5827</v>
      </c>
      <c r="M1265" s="161" t="s">
        <v>19202</v>
      </c>
    </row>
    <row r="1266" spans="9:13" x14ac:dyDescent="0.25">
      <c r="I1266" t="s">
        <v>11997</v>
      </c>
      <c r="J1266" s="161" t="s">
        <v>19202</v>
      </c>
      <c r="K1266" t="s">
        <v>19203</v>
      </c>
      <c r="L1266" t="s">
        <v>11996</v>
      </c>
      <c r="M1266" s="161" t="s">
        <v>19202</v>
      </c>
    </row>
    <row r="1267" spans="9:13" x14ac:dyDescent="0.25">
      <c r="I1267" t="s">
        <v>18610</v>
      </c>
      <c r="J1267" s="161" t="s">
        <v>19202</v>
      </c>
      <c r="K1267" t="s">
        <v>19203</v>
      </c>
      <c r="L1267" t="s">
        <v>10908</v>
      </c>
      <c r="M1267" s="161" t="s">
        <v>19202</v>
      </c>
    </row>
    <row r="1268" spans="9:13" x14ac:dyDescent="0.25">
      <c r="I1268" t="s">
        <v>1139</v>
      </c>
      <c r="J1268" s="161" t="s">
        <v>19202</v>
      </c>
      <c r="K1268" t="s">
        <v>19203</v>
      </c>
      <c r="L1268" t="s">
        <v>1138</v>
      </c>
      <c r="M1268" s="161" t="s">
        <v>19202</v>
      </c>
    </row>
    <row r="1269" spans="9:13" x14ac:dyDescent="0.25">
      <c r="I1269" t="s">
        <v>1322</v>
      </c>
      <c r="J1269" s="161" t="s">
        <v>19202</v>
      </c>
      <c r="K1269" t="s">
        <v>19203</v>
      </c>
      <c r="L1269" t="s">
        <v>1321</v>
      </c>
      <c r="M1269" s="161" t="s">
        <v>19202</v>
      </c>
    </row>
    <row r="1270" spans="9:13" x14ac:dyDescent="0.25">
      <c r="I1270" t="s">
        <v>9724</v>
      </c>
      <c r="J1270" s="161" t="s">
        <v>19202</v>
      </c>
      <c r="K1270" t="s">
        <v>19203</v>
      </c>
      <c r="L1270" t="s">
        <v>9723</v>
      </c>
      <c r="M1270" s="161" t="s">
        <v>19202</v>
      </c>
    </row>
    <row r="1271" spans="9:13" x14ac:dyDescent="0.25">
      <c r="I1271" t="s">
        <v>1620</v>
      </c>
      <c r="J1271" s="161" t="s">
        <v>19202</v>
      </c>
      <c r="K1271" t="s">
        <v>19203</v>
      </c>
      <c r="L1271" t="s">
        <v>1619</v>
      </c>
      <c r="M1271" s="161" t="s">
        <v>19202</v>
      </c>
    </row>
    <row r="1272" spans="9:13" x14ac:dyDescent="0.25">
      <c r="I1272" t="s">
        <v>5414</v>
      </c>
      <c r="J1272" s="161" t="s">
        <v>19202</v>
      </c>
      <c r="K1272" t="s">
        <v>19203</v>
      </c>
      <c r="L1272" t="s">
        <v>5413</v>
      </c>
      <c r="M1272" s="161" t="s">
        <v>19202</v>
      </c>
    </row>
    <row r="1273" spans="9:13" x14ac:dyDescent="0.25">
      <c r="I1273" t="s">
        <v>8080</v>
      </c>
      <c r="J1273" s="161" t="s">
        <v>19202</v>
      </c>
      <c r="K1273" t="s">
        <v>19203</v>
      </c>
      <c r="L1273" t="s">
        <v>8079</v>
      </c>
      <c r="M1273" s="161" t="s">
        <v>19202</v>
      </c>
    </row>
    <row r="1274" spans="9:13" x14ac:dyDescent="0.25">
      <c r="I1274" t="s">
        <v>4383</v>
      </c>
      <c r="J1274" s="161" t="s">
        <v>19202</v>
      </c>
      <c r="K1274" t="s">
        <v>19203</v>
      </c>
      <c r="L1274" t="s">
        <v>405</v>
      </c>
      <c r="M1274" s="161" t="s">
        <v>19202</v>
      </c>
    </row>
    <row r="1275" spans="9:13" x14ac:dyDescent="0.25">
      <c r="I1275" t="s">
        <v>17331</v>
      </c>
      <c r="J1275" s="161" t="s">
        <v>19202</v>
      </c>
      <c r="K1275" t="s">
        <v>19203</v>
      </c>
      <c r="L1275" t="s">
        <v>17330</v>
      </c>
      <c r="M1275" s="161" t="s">
        <v>19202</v>
      </c>
    </row>
    <row r="1276" spans="9:13" x14ac:dyDescent="0.25">
      <c r="I1276" t="s">
        <v>3430</v>
      </c>
      <c r="J1276" s="161" t="s">
        <v>19202</v>
      </c>
      <c r="K1276" t="s">
        <v>19203</v>
      </c>
      <c r="L1276" t="s">
        <v>3429</v>
      </c>
      <c r="M1276" s="161" t="s">
        <v>19202</v>
      </c>
    </row>
    <row r="1277" spans="9:13" x14ac:dyDescent="0.25">
      <c r="I1277" t="s">
        <v>5034</v>
      </c>
      <c r="J1277" s="161" t="s">
        <v>19202</v>
      </c>
      <c r="K1277" t="s">
        <v>19203</v>
      </c>
      <c r="L1277" t="s">
        <v>5033</v>
      </c>
      <c r="M1277" s="161" t="s">
        <v>19202</v>
      </c>
    </row>
    <row r="1278" spans="9:13" x14ac:dyDescent="0.25">
      <c r="I1278" t="s">
        <v>2132</v>
      </c>
      <c r="J1278" s="161" t="s">
        <v>19202</v>
      </c>
      <c r="K1278" t="s">
        <v>19203</v>
      </c>
      <c r="L1278" t="s">
        <v>2131</v>
      </c>
      <c r="M1278" s="161" t="s">
        <v>19202</v>
      </c>
    </row>
    <row r="1279" spans="9:13" x14ac:dyDescent="0.25">
      <c r="I1279" t="s">
        <v>14438</v>
      </c>
      <c r="J1279" s="161" t="s">
        <v>19202</v>
      </c>
      <c r="K1279" t="s">
        <v>19203</v>
      </c>
      <c r="L1279" t="s">
        <v>14437</v>
      </c>
      <c r="M1279" s="161" t="s">
        <v>19202</v>
      </c>
    </row>
    <row r="1280" spans="9:13" x14ac:dyDescent="0.25">
      <c r="I1280" t="s">
        <v>14283</v>
      </c>
      <c r="J1280" s="161" t="s">
        <v>19202</v>
      </c>
      <c r="K1280" t="s">
        <v>19203</v>
      </c>
      <c r="L1280" t="s">
        <v>14282</v>
      </c>
      <c r="M1280" s="161" t="s">
        <v>19202</v>
      </c>
    </row>
    <row r="1281" spans="9:13" x14ac:dyDescent="0.25">
      <c r="I1281" t="s">
        <v>8340</v>
      </c>
      <c r="J1281" s="161" t="s">
        <v>19202</v>
      </c>
      <c r="K1281" t="s">
        <v>19203</v>
      </c>
      <c r="L1281" t="s">
        <v>8339</v>
      </c>
      <c r="M1281" s="161" t="s">
        <v>19202</v>
      </c>
    </row>
    <row r="1282" spans="9:13" x14ac:dyDescent="0.25">
      <c r="I1282" t="s">
        <v>8078</v>
      </c>
      <c r="J1282" s="161" t="s">
        <v>19202</v>
      </c>
      <c r="K1282" t="s">
        <v>19203</v>
      </c>
      <c r="L1282" t="s">
        <v>8077</v>
      </c>
      <c r="M1282" s="161" t="s">
        <v>19202</v>
      </c>
    </row>
    <row r="1283" spans="9:13" x14ac:dyDescent="0.25">
      <c r="I1283" t="s">
        <v>3475</v>
      </c>
      <c r="J1283" s="161" t="s">
        <v>19202</v>
      </c>
      <c r="K1283" t="s">
        <v>19203</v>
      </c>
      <c r="L1283" t="s">
        <v>3474</v>
      </c>
      <c r="M1283" s="161" t="s">
        <v>19202</v>
      </c>
    </row>
    <row r="1284" spans="9:13" x14ac:dyDescent="0.25">
      <c r="I1284" t="s">
        <v>14530</v>
      </c>
      <c r="J1284" s="161" t="s">
        <v>19202</v>
      </c>
      <c r="K1284" t="s">
        <v>19203</v>
      </c>
      <c r="L1284" t="s">
        <v>14529</v>
      </c>
      <c r="M1284" s="161" t="s">
        <v>19202</v>
      </c>
    </row>
    <row r="1285" spans="9:13" x14ac:dyDescent="0.25">
      <c r="I1285" t="s">
        <v>14527</v>
      </c>
      <c r="J1285" s="161" t="s">
        <v>19202</v>
      </c>
      <c r="K1285" t="s">
        <v>19203</v>
      </c>
      <c r="L1285" t="s">
        <v>14526</v>
      </c>
      <c r="M1285" s="161" t="s">
        <v>19202</v>
      </c>
    </row>
    <row r="1286" spans="9:13" x14ac:dyDescent="0.25">
      <c r="I1286" t="s">
        <v>14480</v>
      </c>
      <c r="J1286" s="161" t="s">
        <v>19202</v>
      </c>
      <c r="K1286" t="s">
        <v>19203</v>
      </c>
      <c r="L1286" t="s">
        <v>14479</v>
      </c>
      <c r="M1286" s="161" t="s">
        <v>19202</v>
      </c>
    </row>
    <row r="1287" spans="9:13" x14ac:dyDescent="0.25">
      <c r="I1287" t="s">
        <v>3719</v>
      </c>
      <c r="J1287" s="161" t="s">
        <v>19202</v>
      </c>
      <c r="K1287" t="s">
        <v>19203</v>
      </c>
      <c r="L1287" t="s">
        <v>3718</v>
      </c>
      <c r="M1287" s="161" t="s">
        <v>19202</v>
      </c>
    </row>
    <row r="1288" spans="9:13" x14ac:dyDescent="0.25">
      <c r="I1288" t="s">
        <v>14389</v>
      </c>
      <c r="J1288" s="161" t="s">
        <v>19202</v>
      </c>
      <c r="K1288" t="s">
        <v>19203</v>
      </c>
      <c r="L1288" t="s">
        <v>14388</v>
      </c>
      <c r="M1288" s="161" t="s">
        <v>19202</v>
      </c>
    </row>
    <row r="1289" spans="9:13" x14ac:dyDescent="0.25">
      <c r="I1289" t="s">
        <v>10277</v>
      </c>
      <c r="J1289" s="161" t="s">
        <v>19202</v>
      </c>
      <c r="K1289" t="s">
        <v>19203</v>
      </c>
      <c r="L1289" t="s">
        <v>10276</v>
      </c>
      <c r="M1289" s="161" t="s">
        <v>19202</v>
      </c>
    </row>
    <row r="1290" spans="9:13" x14ac:dyDescent="0.25">
      <c r="I1290" t="s">
        <v>16249</v>
      </c>
      <c r="J1290" s="161" t="s">
        <v>19202</v>
      </c>
      <c r="K1290" t="s">
        <v>19203</v>
      </c>
      <c r="L1290" t="s">
        <v>14484</v>
      </c>
      <c r="M1290" s="161" t="s">
        <v>19202</v>
      </c>
    </row>
    <row r="1291" spans="9:13" x14ac:dyDescent="0.25">
      <c r="I1291" t="s">
        <v>17074</v>
      </c>
      <c r="J1291" s="161" t="s">
        <v>19202</v>
      </c>
      <c r="K1291" t="s">
        <v>19203</v>
      </c>
      <c r="L1291" t="s">
        <v>5010</v>
      </c>
      <c r="M1291" s="161" t="s">
        <v>19202</v>
      </c>
    </row>
    <row r="1292" spans="9:13" x14ac:dyDescent="0.25">
      <c r="I1292" t="s">
        <v>15110</v>
      </c>
      <c r="J1292" s="161" t="s">
        <v>19202</v>
      </c>
      <c r="K1292" t="s">
        <v>19203</v>
      </c>
      <c r="L1292" t="s">
        <v>15109</v>
      </c>
      <c r="M1292" s="161" t="s">
        <v>19202</v>
      </c>
    </row>
    <row r="1293" spans="9:13" x14ac:dyDescent="0.25">
      <c r="I1293" t="s">
        <v>11809</v>
      </c>
      <c r="J1293" s="161" t="s">
        <v>19202</v>
      </c>
      <c r="K1293" t="s">
        <v>19203</v>
      </c>
      <c r="L1293" t="s">
        <v>11808</v>
      </c>
      <c r="M1293" s="161" t="s">
        <v>19202</v>
      </c>
    </row>
    <row r="1294" spans="9:13" x14ac:dyDescent="0.25">
      <c r="I1294" t="s">
        <v>1797</v>
      </c>
      <c r="J1294" s="161" t="s">
        <v>19202</v>
      </c>
      <c r="K1294" t="s">
        <v>19203</v>
      </c>
      <c r="L1294" t="s">
        <v>1796</v>
      </c>
      <c r="M1294" s="161" t="s">
        <v>19202</v>
      </c>
    </row>
    <row r="1295" spans="9:13" x14ac:dyDescent="0.25">
      <c r="I1295" t="s">
        <v>1730</v>
      </c>
      <c r="J1295" s="161" t="s">
        <v>19202</v>
      </c>
      <c r="K1295" t="s">
        <v>19203</v>
      </c>
      <c r="L1295" t="s">
        <v>1729</v>
      </c>
      <c r="M1295" s="161" t="s">
        <v>19202</v>
      </c>
    </row>
    <row r="1296" spans="9:13" x14ac:dyDescent="0.25">
      <c r="I1296" t="s">
        <v>11851</v>
      </c>
      <c r="J1296" s="161" t="s">
        <v>19202</v>
      </c>
      <c r="K1296" t="s">
        <v>19203</v>
      </c>
      <c r="L1296" t="s">
        <v>10423</v>
      </c>
      <c r="M1296" s="161" t="s">
        <v>19202</v>
      </c>
    </row>
    <row r="1297" spans="9:13" x14ac:dyDescent="0.25">
      <c r="I1297" t="s">
        <v>15019</v>
      </c>
      <c r="J1297" s="161" t="s">
        <v>19202</v>
      </c>
      <c r="K1297" t="s">
        <v>19203</v>
      </c>
      <c r="L1297" t="s">
        <v>15018</v>
      </c>
      <c r="M1297" s="161" t="s">
        <v>19202</v>
      </c>
    </row>
    <row r="1298" spans="9:13" x14ac:dyDescent="0.25">
      <c r="I1298" t="s">
        <v>1589</v>
      </c>
      <c r="J1298" s="161" t="s">
        <v>19202</v>
      </c>
      <c r="K1298" t="s">
        <v>19203</v>
      </c>
      <c r="L1298" t="s">
        <v>1588</v>
      </c>
      <c r="M1298" s="161" t="s">
        <v>19202</v>
      </c>
    </row>
    <row r="1299" spans="9:13" x14ac:dyDescent="0.25">
      <c r="I1299" t="s">
        <v>18124</v>
      </c>
      <c r="J1299" s="161" t="s">
        <v>19202</v>
      </c>
      <c r="K1299" t="s">
        <v>19203</v>
      </c>
      <c r="L1299" t="s">
        <v>18123</v>
      </c>
      <c r="M1299" s="161" t="s">
        <v>19202</v>
      </c>
    </row>
    <row r="1300" spans="9:13" x14ac:dyDescent="0.25">
      <c r="I1300" t="s">
        <v>19383</v>
      </c>
      <c r="J1300" s="161" t="s">
        <v>19202</v>
      </c>
      <c r="K1300" t="s">
        <v>19203</v>
      </c>
      <c r="L1300" t="s">
        <v>19384</v>
      </c>
      <c r="M1300" s="161" t="s">
        <v>19202</v>
      </c>
    </row>
    <row r="1301" spans="9:13" x14ac:dyDescent="0.25">
      <c r="I1301" t="s">
        <v>16555</v>
      </c>
      <c r="J1301" s="161" t="s">
        <v>19202</v>
      </c>
      <c r="K1301" t="s">
        <v>19203</v>
      </c>
      <c r="L1301" t="s">
        <v>970</v>
      </c>
      <c r="M1301" s="161" t="s">
        <v>19202</v>
      </c>
    </row>
    <row r="1302" spans="9:13" x14ac:dyDescent="0.25">
      <c r="I1302" t="s">
        <v>10840</v>
      </c>
      <c r="J1302" s="161" t="s">
        <v>19202</v>
      </c>
      <c r="K1302" t="s">
        <v>19203</v>
      </c>
      <c r="L1302" t="s">
        <v>10839</v>
      </c>
      <c r="M1302" s="161" t="s">
        <v>19202</v>
      </c>
    </row>
    <row r="1303" spans="9:13" x14ac:dyDescent="0.25">
      <c r="I1303" t="s">
        <v>2029</v>
      </c>
      <c r="J1303" s="161" t="s">
        <v>19202</v>
      </c>
      <c r="K1303" t="s">
        <v>19203</v>
      </c>
      <c r="L1303" t="s">
        <v>2028</v>
      </c>
      <c r="M1303" s="161" t="s">
        <v>19202</v>
      </c>
    </row>
    <row r="1304" spans="9:13" x14ac:dyDescent="0.25">
      <c r="I1304" t="s">
        <v>17836</v>
      </c>
      <c r="J1304" s="161" t="s">
        <v>19202</v>
      </c>
      <c r="K1304" t="s">
        <v>19203</v>
      </c>
      <c r="L1304" t="s">
        <v>3896</v>
      </c>
      <c r="M1304" s="161" t="s">
        <v>19202</v>
      </c>
    </row>
    <row r="1305" spans="9:13" x14ac:dyDescent="0.25">
      <c r="I1305" t="s">
        <v>1575</v>
      </c>
      <c r="J1305" s="161" t="s">
        <v>19202</v>
      </c>
      <c r="K1305" t="s">
        <v>19203</v>
      </c>
      <c r="L1305" t="s">
        <v>1574</v>
      </c>
      <c r="M1305" s="161" t="s">
        <v>19202</v>
      </c>
    </row>
    <row r="1306" spans="9:13" x14ac:dyDescent="0.25">
      <c r="I1306" t="s">
        <v>8600</v>
      </c>
      <c r="J1306" s="161" t="s">
        <v>19202</v>
      </c>
      <c r="K1306" t="s">
        <v>19203</v>
      </c>
      <c r="L1306" t="s">
        <v>8599</v>
      </c>
      <c r="M1306" s="161" t="s">
        <v>19202</v>
      </c>
    </row>
    <row r="1307" spans="9:13" x14ac:dyDescent="0.25">
      <c r="I1307" t="s">
        <v>16903</v>
      </c>
      <c r="J1307" s="161" t="s">
        <v>19202</v>
      </c>
      <c r="K1307" t="s">
        <v>19203</v>
      </c>
      <c r="L1307" t="s">
        <v>941</v>
      </c>
      <c r="M1307" s="161" t="s">
        <v>19202</v>
      </c>
    </row>
    <row r="1308" spans="9:13" x14ac:dyDescent="0.25">
      <c r="I1308" t="s">
        <v>17543</v>
      </c>
      <c r="J1308" s="161" t="s">
        <v>19202</v>
      </c>
      <c r="K1308" t="s">
        <v>19203</v>
      </c>
      <c r="L1308" t="s">
        <v>932</v>
      </c>
      <c r="M1308" s="161" t="s">
        <v>19202</v>
      </c>
    </row>
    <row r="1309" spans="9:13" x14ac:dyDescent="0.25">
      <c r="I1309" t="s">
        <v>17071</v>
      </c>
      <c r="J1309" s="161" t="s">
        <v>19202</v>
      </c>
      <c r="K1309" t="s">
        <v>19203</v>
      </c>
      <c r="L1309" t="s">
        <v>4060</v>
      </c>
      <c r="M1309" s="161" t="s">
        <v>19202</v>
      </c>
    </row>
    <row r="1310" spans="9:13" x14ac:dyDescent="0.25">
      <c r="I1310" t="s">
        <v>17053</v>
      </c>
      <c r="J1310" s="161" t="s">
        <v>19202</v>
      </c>
      <c r="K1310" t="s">
        <v>19203</v>
      </c>
      <c r="L1310" t="s">
        <v>6846</v>
      </c>
      <c r="M1310" s="161" t="s">
        <v>19202</v>
      </c>
    </row>
    <row r="1311" spans="9:13" x14ac:dyDescent="0.25">
      <c r="I1311" t="s">
        <v>3992</v>
      </c>
      <c r="J1311" s="161" t="s">
        <v>19202</v>
      </c>
      <c r="K1311" t="s">
        <v>19203</v>
      </c>
      <c r="L1311" t="s">
        <v>632</v>
      </c>
      <c r="M1311" s="161" t="s">
        <v>19202</v>
      </c>
    </row>
    <row r="1312" spans="9:13" x14ac:dyDescent="0.25">
      <c r="I1312" t="s">
        <v>13939</v>
      </c>
      <c r="J1312" s="161" t="s">
        <v>19202</v>
      </c>
      <c r="K1312" t="s">
        <v>19203</v>
      </c>
      <c r="L1312" t="s">
        <v>13938</v>
      </c>
      <c r="M1312" s="161" t="s">
        <v>19202</v>
      </c>
    </row>
    <row r="1313" spans="9:13" x14ac:dyDescent="0.25">
      <c r="I1313" t="s">
        <v>1789</v>
      </c>
      <c r="J1313" s="161" t="s">
        <v>19202</v>
      </c>
      <c r="K1313" t="s">
        <v>19203</v>
      </c>
      <c r="L1313" t="s">
        <v>1788</v>
      </c>
      <c r="M1313" s="161" t="s">
        <v>19202</v>
      </c>
    </row>
    <row r="1314" spans="9:13" x14ac:dyDescent="0.25">
      <c r="I1314" t="s">
        <v>1626</v>
      </c>
      <c r="J1314" s="161" t="s">
        <v>19202</v>
      </c>
      <c r="K1314" t="s">
        <v>19203</v>
      </c>
      <c r="L1314" t="s">
        <v>1625</v>
      </c>
      <c r="M1314" s="161" t="s">
        <v>19202</v>
      </c>
    </row>
    <row r="1315" spans="9:13" x14ac:dyDescent="0.25">
      <c r="I1315" t="s">
        <v>541</v>
      </c>
      <c r="J1315" s="161" t="s">
        <v>19202</v>
      </c>
      <c r="K1315" t="s">
        <v>19203</v>
      </c>
      <c r="L1315" t="s">
        <v>540</v>
      </c>
      <c r="M1315" s="161" t="s">
        <v>19202</v>
      </c>
    </row>
    <row r="1316" spans="9:13" x14ac:dyDescent="0.25">
      <c r="I1316" t="s">
        <v>5037</v>
      </c>
      <c r="J1316" s="161" t="s">
        <v>19202</v>
      </c>
      <c r="K1316" t="s">
        <v>19203</v>
      </c>
      <c r="L1316" t="s">
        <v>1470</v>
      </c>
      <c r="M1316" s="161" t="s">
        <v>19202</v>
      </c>
    </row>
    <row r="1317" spans="9:13" x14ac:dyDescent="0.25">
      <c r="I1317" t="s">
        <v>14605</v>
      </c>
      <c r="J1317" s="161" t="s">
        <v>19202</v>
      </c>
      <c r="K1317" t="s">
        <v>19203</v>
      </c>
      <c r="L1317" t="s">
        <v>14604</v>
      </c>
      <c r="M1317" s="161" t="s">
        <v>19202</v>
      </c>
    </row>
    <row r="1318" spans="9:13" x14ac:dyDescent="0.25">
      <c r="I1318" t="s">
        <v>17911</v>
      </c>
      <c r="J1318" s="161" t="s">
        <v>19202</v>
      </c>
      <c r="K1318" t="s">
        <v>19203</v>
      </c>
      <c r="L1318" t="s">
        <v>17910</v>
      </c>
      <c r="M1318" s="161" t="s">
        <v>19202</v>
      </c>
    </row>
    <row r="1319" spans="9:13" x14ac:dyDescent="0.25">
      <c r="I1319" t="s">
        <v>1221</v>
      </c>
      <c r="J1319" s="161" t="s">
        <v>19202</v>
      </c>
      <c r="K1319" t="s">
        <v>19203</v>
      </c>
      <c r="L1319" t="s">
        <v>1220</v>
      </c>
      <c r="M1319" s="161" t="s">
        <v>19202</v>
      </c>
    </row>
    <row r="1320" spans="9:13" x14ac:dyDescent="0.25">
      <c r="I1320" t="s">
        <v>10992</v>
      </c>
      <c r="J1320" s="161" t="s">
        <v>19202</v>
      </c>
      <c r="K1320" t="s">
        <v>19203</v>
      </c>
      <c r="L1320" t="s">
        <v>10991</v>
      </c>
      <c r="M1320" s="161" t="s">
        <v>19202</v>
      </c>
    </row>
    <row r="1321" spans="9:13" x14ac:dyDescent="0.25">
      <c r="I1321" t="s">
        <v>12506</v>
      </c>
      <c r="J1321" s="161" t="s">
        <v>19202</v>
      </c>
      <c r="K1321" t="s">
        <v>19203</v>
      </c>
      <c r="L1321" t="s">
        <v>12505</v>
      </c>
      <c r="M1321" s="161" t="s">
        <v>19202</v>
      </c>
    </row>
    <row r="1322" spans="9:13" x14ac:dyDescent="0.25">
      <c r="I1322" t="s">
        <v>18087</v>
      </c>
      <c r="J1322" s="161" t="s">
        <v>19202</v>
      </c>
      <c r="K1322" t="s">
        <v>19203</v>
      </c>
      <c r="L1322" t="s">
        <v>1504</v>
      </c>
      <c r="M1322" s="161" t="s">
        <v>19202</v>
      </c>
    </row>
    <row r="1323" spans="9:13" x14ac:dyDescent="0.25">
      <c r="I1323" t="s">
        <v>17573</v>
      </c>
      <c r="J1323" s="161" t="s">
        <v>19202</v>
      </c>
      <c r="K1323" t="s">
        <v>19203</v>
      </c>
      <c r="L1323" t="s">
        <v>17572</v>
      </c>
      <c r="M1323" s="161" t="s">
        <v>19202</v>
      </c>
    </row>
    <row r="1324" spans="9:13" x14ac:dyDescent="0.25">
      <c r="I1324" t="s">
        <v>17626</v>
      </c>
      <c r="J1324" s="161" t="s">
        <v>19202</v>
      </c>
      <c r="K1324" t="s">
        <v>19203</v>
      </c>
      <c r="L1324" t="s">
        <v>17625</v>
      </c>
      <c r="M1324" s="161" t="s">
        <v>19202</v>
      </c>
    </row>
    <row r="1325" spans="9:13" x14ac:dyDescent="0.25">
      <c r="I1325" t="s">
        <v>14508</v>
      </c>
      <c r="J1325" s="161" t="s">
        <v>19202</v>
      </c>
      <c r="K1325" t="s">
        <v>19203</v>
      </c>
      <c r="L1325" t="s">
        <v>14507</v>
      </c>
      <c r="M1325" s="161" t="s">
        <v>19202</v>
      </c>
    </row>
    <row r="1326" spans="9:13" x14ac:dyDescent="0.25">
      <c r="I1326" t="s">
        <v>10554</v>
      </c>
      <c r="J1326" s="161" t="s">
        <v>19202</v>
      </c>
      <c r="K1326" t="s">
        <v>19203</v>
      </c>
      <c r="L1326" t="s">
        <v>10553</v>
      </c>
      <c r="M1326" s="161" t="s">
        <v>19202</v>
      </c>
    </row>
    <row r="1327" spans="9:13" x14ac:dyDescent="0.25">
      <c r="I1327" t="s">
        <v>15267</v>
      </c>
      <c r="J1327" s="161" t="s">
        <v>19202</v>
      </c>
      <c r="K1327" t="s">
        <v>19203</v>
      </c>
      <c r="L1327" t="s">
        <v>4203</v>
      </c>
      <c r="M1327" s="161" t="s">
        <v>19202</v>
      </c>
    </row>
    <row r="1328" spans="9:13" x14ac:dyDescent="0.25">
      <c r="I1328" t="s">
        <v>17903</v>
      </c>
      <c r="J1328" s="161" t="s">
        <v>19202</v>
      </c>
      <c r="K1328" t="s">
        <v>19203</v>
      </c>
      <c r="L1328" t="s">
        <v>17902</v>
      </c>
      <c r="M1328" s="161" t="s">
        <v>19202</v>
      </c>
    </row>
    <row r="1329" spans="9:13" x14ac:dyDescent="0.25">
      <c r="I1329" t="s">
        <v>7063</v>
      </c>
      <c r="J1329" s="161" t="s">
        <v>19202</v>
      </c>
      <c r="K1329" t="s">
        <v>19203</v>
      </c>
      <c r="L1329" t="s">
        <v>7062</v>
      </c>
      <c r="M1329" s="161" t="s">
        <v>19202</v>
      </c>
    </row>
    <row r="1330" spans="9:13" x14ac:dyDescent="0.25">
      <c r="I1330" t="s">
        <v>18061</v>
      </c>
      <c r="J1330" s="161" t="s">
        <v>19202</v>
      </c>
      <c r="K1330" t="s">
        <v>19203</v>
      </c>
      <c r="L1330" t="s">
        <v>18060</v>
      </c>
      <c r="M1330" s="161" t="s">
        <v>19202</v>
      </c>
    </row>
    <row r="1331" spans="9:13" x14ac:dyDescent="0.25">
      <c r="I1331" t="s">
        <v>9550</v>
      </c>
      <c r="J1331" s="161" t="s">
        <v>19202</v>
      </c>
      <c r="K1331" t="s">
        <v>19203</v>
      </c>
      <c r="L1331" t="s">
        <v>9549</v>
      </c>
      <c r="M1331" s="161" t="s">
        <v>19202</v>
      </c>
    </row>
    <row r="1332" spans="9:13" x14ac:dyDescent="0.25">
      <c r="I1332" t="s">
        <v>18017</v>
      </c>
      <c r="J1332" s="161" t="s">
        <v>19202</v>
      </c>
      <c r="K1332" t="s">
        <v>19203</v>
      </c>
      <c r="L1332" t="s">
        <v>1709</v>
      </c>
      <c r="M1332" s="161" t="s">
        <v>19202</v>
      </c>
    </row>
    <row r="1333" spans="9:13" x14ac:dyDescent="0.25">
      <c r="I1333" t="s">
        <v>8432</v>
      </c>
      <c r="J1333" s="161" t="s">
        <v>19202</v>
      </c>
      <c r="K1333" t="s">
        <v>19203</v>
      </c>
      <c r="L1333" t="s">
        <v>8431</v>
      </c>
      <c r="M1333" s="161" t="s">
        <v>19202</v>
      </c>
    </row>
    <row r="1334" spans="9:13" x14ac:dyDescent="0.25">
      <c r="I1334" t="s">
        <v>13217</v>
      </c>
      <c r="J1334" s="161" t="s">
        <v>19202</v>
      </c>
      <c r="K1334" t="s">
        <v>19203</v>
      </c>
      <c r="L1334" t="s">
        <v>970</v>
      </c>
      <c r="M1334" s="161" t="s">
        <v>19202</v>
      </c>
    </row>
    <row r="1335" spans="9:13" x14ac:dyDescent="0.25">
      <c r="I1335" t="s">
        <v>9819</v>
      </c>
      <c r="J1335" s="161" t="s">
        <v>19202</v>
      </c>
      <c r="K1335" t="s">
        <v>19203</v>
      </c>
      <c r="L1335" t="s">
        <v>9818</v>
      </c>
      <c r="M1335" s="161" t="s">
        <v>19202</v>
      </c>
    </row>
    <row r="1336" spans="9:13" x14ac:dyDescent="0.25">
      <c r="I1336" t="s">
        <v>1328</v>
      </c>
      <c r="J1336" s="161" t="s">
        <v>19202</v>
      </c>
      <c r="K1336" t="s">
        <v>19203</v>
      </c>
      <c r="L1336" t="s">
        <v>1327</v>
      </c>
      <c r="M1336" s="161" t="s">
        <v>19202</v>
      </c>
    </row>
    <row r="1337" spans="9:13" x14ac:dyDescent="0.25">
      <c r="I1337" t="s">
        <v>1563</v>
      </c>
      <c r="J1337" s="161" t="s">
        <v>19202</v>
      </c>
      <c r="K1337" t="s">
        <v>19203</v>
      </c>
      <c r="L1337" t="s">
        <v>1562</v>
      </c>
      <c r="M1337" s="161" t="s">
        <v>19202</v>
      </c>
    </row>
    <row r="1338" spans="9:13" x14ac:dyDescent="0.25">
      <c r="I1338" t="s">
        <v>2340</v>
      </c>
      <c r="J1338" s="161" t="s">
        <v>19202</v>
      </c>
      <c r="K1338" t="s">
        <v>19203</v>
      </c>
      <c r="L1338" t="s">
        <v>2339</v>
      </c>
      <c r="M1338" s="161" t="s">
        <v>19202</v>
      </c>
    </row>
    <row r="1339" spans="9:13" x14ac:dyDescent="0.25">
      <c r="I1339" t="s">
        <v>12495</v>
      </c>
      <c r="J1339" s="161" t="s">
        <v>19202</v>
      </c>
      <c r="K1339" t="s">
        <v>19203</v>
      </c>
      <c r="L1339" t="s">
        <v>12494</v>
      </c>
      <c r="M1339" s="161" t="s">
        <v>19202</v>
      </c>
    </row>
    <row r="1340" spans="9:13" x14ac:dyDescent="0.25">
      <c r="I1340" t="s">
        <v>1012</v>
      </c>
      <c r="J1340" s="161" t="s">
        <v>19202</v>
      </c>
      <c r="K1340" t="s">
        <v>19203</v>
      </c>
      <c r="L1340" t="s">
        <v>1011</v>
      </c>
      <c r="M1340" s="161" t="s">
        <v>19202</v>
      </c>
    </row>
    <row r="1341" spans="9:13" x14ac:dyDescent="0.25">
      <c r="I1341" t="s">
        <v>14321</v>
      </c>
      <c r="J1341" s="161" t="s">
        <v>19202</v>
      </c>
      <c r="K1341" t="s">
        <v>19203</v>
      </c>
      <c r="L1341" t="s">
        <v>14320</v>
      </c>
      <c r="M1341" s="161" t="s">
        <v>19202</v>
      </c>
    </row>
    <row r="1342" spans="9:13" x14ac:dyDescent="0.25">
      <c r="I1342" t="s">
        <v>2346</v>
      </c>
      <c r="J1342" s="161" t="s">
        <v>19202</v>
      </c>
      <c r="K1342" t="s">
        <v>19203</v>
      </c>
      <c r="L1342" t="s">
        <v>2345</v>
      </c>
      <c r="M1342" s="161" t="s">
        <v>19202</v>
      </c>
    </row>
    <row r="1343" spans="9:13" x14ac:dyDescent="0.25">
      <c r="I1343" t="s">
        <v>17922</v>
      </c>
      <c r="J1343" s="161" t="s">
        <v>19202</v>
      </c>
      <c r="K1343" t="s">
        <v>19203</v>
      </c>
      <c r="L1343" t="s">
        <v>15227</v>
      </c>
      <c r="M1343" s="161" t="s">
        <v>19202</v>
      </c>
    </row>
    <row r="1344" spans="9:13" x14ac:dyDescent="0.25">
      <c r="I1344" t="s">
        <v>14635</v>
      </c>
      <c r="J1344" s="161" t="s">
        <v>19202</v>
      </c>
      <c r="K1344" t="s">
        <v>19203</v>
      </c>
      <c r="L1344" t="s">
        <v>14634</v>
      </c>
      <c r="M1344" s="161" t="s">
        <v>19202</v>
      </c>
    </row>
    <row r="1345" spans="9:13" x14ac:dyDescent="0.25">
      <c r="I1345" t="s">
        <v>7531</v>
      </c>
      <c r="J1345" s="161" t="s">
        <v>19202</v>
      </c>
      <c r="K1345" t="s">
        <v>19203</v>
      </c>
      <c r="L1345" t="s">
        <v>7530</v>
      </c>
      <c r="M1345" s="161" t="s">
        <v>19202</v>
      </c>
    </row>
    <row r="1346" spans="9:13" x14ac:dyDescent="0.25">
      <c r="I1346" t="s">
        <v>9168</v>
      </c>
      <c r="J1346" s="161" t="s">
        <v>19202</v>
      </c>
      <c r="K1346" t="s">
        <v>19203</v>
      </c>
      <c r="L1346" t="s">
        <v>9167</v>
      </c>
      <c r="M1346" s="161" t="s">
        <v>19202</v>
      </c>
    </row>
    <row r="1347" spans="9:13" x14ac:dyDescent="0.25">
      <c r="I1347" t="s">
        <v>14047</v>
      </c>
      <c r="J1347" s="161" t="s">
        <v>19202</v>
      </c>
      <c r="K1347" t="s">
        <v>19203</v>
      </c>
      <c r="L1347" t="s">
        <v>14046</v>
      </c>
      <c r="M1347" s="161" t="s">
        <v>19202</v>
      </c>
    </row>
    <row r="1348" spans="9:13" x14ac:dyDescent="0.25">
      <c r="I1348" t="s">
        <v>14268</v>
      </c>
      <c r="J1348" s="161" t="s">
        <v>19202</v>
      </c>
      <c r="K1348" t="s">
        <v>19203</v>
      </c>
      <c r="L1348" t="s">
        <v>14267</v>
      </c>
      <c r="M1348" s="161" t="s">
        <v>19202</v>
      </c>
    </row>
    <row r="1349" spans="9:13" x14ac:dyDescent="0.25">
      <c r="I1349" t="s">
        <v>14265</v>
      </c>
      <c r="J1349" s="161" t="s">
        <v>19202</v>
      </c>
      <c r="K1349" t="s">
        <v>19203</v>
      </c>
      <c r="L1349" t="s">
        <v>14264</v>
      </c>
      <c r="M1349" s="161" t="s">
        <v>19202</v>
      </c>
    </row>
    <row r="1350" spans="9:13" x14ac:dyDescent="0.25">
      <c r="I1350" t="s">
        <v>14263</v>
      </c>
      <c r="J1350" s="161" t="s">
        <v>19202</v>
      </c>
      <c r="K1350" t="s">
        <v>19203</v>
      </c>
      <c r="L1350" t="s">
        <v>823</v>
      </c>
      <c r="M1350" s="161" t="s">
        <v>19202</v>
      </c>
    </row>
    <row r="1351" spans="9:13" x14ac:dyDescent="0.25">
      <c r="I1351" t="s">
        <v>14261</v>
      </c>
      <c r="J1351" s="161" t="s">
        <v>19202</v>
      </c>
      <c r="K1351" t="s">
        <v>19203</v>
      </c>
      <c r="L1351" t="s">
        <v>4052</v>
      </c>
      <c r="M1351" s="161" t="s">
        <v>19202</v>
      </c>
    </row>
    <row r="1352" spans="9:13" x14ac:dyDescent="0.25">
      <c r="I1352" t="s">
        <v>14230</v>
      </c>
      <c r="J1352" s="161" t="s">
        <v>19202</v>
      </c>
      <c r="K1352" t="s">
        <v>19203</v>
      </c>
      <c r="L1352" t="s">
        <v>14229</v>
      </c>
      <c r="M1352" s="161" t="s">
        <v>19202</v>
      </c>
    </row>
    <row r="1353" spans="9:13" x14ac:dyDescent="0.25">
      <c r="I1353" t="s">
        <v>14227</v>
      </c>
      <c r="J1353" s="161" t="s">
        <v>19202</v>
      </c>
      <c r="K1353" t="s">
        <v>19203</v>
      </c>
      <c r="L1353" t="s">
        <v>14226</v>
      </c>
      <c r="M1353" s="161" t="s">
        <v>19202</v>
      </c>
    </row>
    <row r="1354" spans="9:13" x14ac:dyDescent="0.25">
      <c r="I1354" t="s">
        <v>14224</v>
      </c>
      <c r="J1354" s="161" t="s">
        <v>19202</v>
      </c>
      <c r="K1354" t="s">
        <v>19203</v>
      </c>
      <c r="L1354" t="s">
        <v>1664</v>
      </c>
      <c r="M1354" s="161" t="s">
        <v>19202</v>
      </c>
    </row>
    <row r="1355" spans="9:13" x14ac:dyDescent="0.25">
      <c r="I1355" t="s">
        <v>14300</v>
      </c>
      <c r="J1355" s="161" t="s">
        <v>19202</v>
      </c>
      <c r="K1355" t="s">
        <v>19203</v>
      </c>
      <c r="L1355" t="s">
        <v>235</v>
      </c>
      <c r="M1355" s="161" t="s">
        <v>19202</v>
      </c>
    </row>
    <row r="1356" spans="9:13" x14ac:dyDescent="0.25">
      <c r="I1356" t="s">
        <v>19385</v>
      </c>
      <c r="J1356" s="161" t="s">
        <v>19202</v>
      </c>
      <c r="K1356" t="s">
        <v>19203</v>
      </c>
      <c r="L1356" t="s">
        <v>15719</v>
      </c>
      <c r="M1356" s="161" t="s">
        <v>19202</v>
      </c>
    </row>
    <row r="1357" spans="9:13" x14ac:dyDescent="0.25">
      <c r="I1357" t="s">
        <v>14299</v>
      </c>
      <c r="J1357" s="161" t="s">
        <v>19202</v>
      </c>
      <c r="K1357" t="s">
        <v>19203</v>
      </c>
      <c r="L1357" t="s">
        <v>14298</v>
      </c>
      <c r="M1357" s="161" t="s">
        <v>19202</v>
      </c>
    </row>
    <row r="1358" spans="9:13" x14ac:dyDescent="0.25">
      <c r="I1358" t="s">
        <v>14296</v>
      </c>
      <c r="J1358" s="161" t="s">
        <v>19202</v>
      </c>
      <c r="K1358" t="s">
        <v>19203</v>
      </c>
      <c r="L1358" t="s">
        <v>2622</v>
      </c>
      <c r="M1358" s="161" t="s">
        <v>19202</v>
      </c>
    </row>
    <row r="1359" spans="9:13" x14ac:dyDescent="0.25">
      <c r="I1359" t="s">
        <v>14295</v>
      </c>
      <c r="J1359" s="161" t="s">
        <v>19202</v>
      </c>
      <c r="K1359" t="s">
        <v>19203</v>
      </c>
      <c r="L1359" t="s">
        <v>6826</v>
      </c>
      <c r="M1359" s="161" t="s">
        <v>19202</v>
      </c>
    </row>
    <row r="1360" spans="9:13" x14ac:dyDescent="0.25">
      <c r="I1360" t="s">
        <v>14294</v>
      </c>
      <c r="J1360" s="161" t="s">
        <v>19202</v>
      </c>
      <c r="K1360" t="s">
        <v>19203</v>
      </c>
      <c r="L1360" t="s">
        <v>14293</v>
      </c>
      <c r="M1360" s="161" t="s">
        <v>19202</v>
      </c>
    </row>
    <row r="1361" spans="9:13" x14ac:dyDescent="0.25">
      <c r="I1361" t="s">
        <v>14341</v>
      </c>
      <c r="J1361" s="161" t="s">
        <v>19202</v>
      </c>
      <c r="K1361" t="s">
        <v>19203</v>
      </c>
      <c r="L1361" t="s">
        <v>1123</v>
      </c>
      <c r="M1361" s="161" t="s">
        <v>19202</v>
      </c>
    </row>
    <row r="1362" spans="9:13" x14ac:dyDescent="0.25">
      <c r="I1362" t="s">
        <v>14337</v>
      </c>
      <c r="J1362" s="161" t="s">
        <v>19202</v>
      </c>
      <c r="K1362" t="s">
        <v>19203</v>
      </c>
      <c r="L1362" t="s">
        <v>14336</v>
      </c>
      <c r="M1362" s="161" t="s">
        <v>19202</v>
      </c>
    </row>
    <row r="1363" spans="9:13" x14ac:dyDescent="0.25">
      <c r="I1363" t="s">
        <v>14334</v>
      </c>
      <c r="J1363" s="161" t="s">
        <v>19202</v>
      </c>
      <c r="K1363" t="s">
        <v>19203</v>
      </c>
      <c r="L1363" t="s">
        <v>2082</v>
      </c>
      <c r="M1363" s="161" t="s">
        <v>19202</v>
      </c>
    </row>
    <row r="1364" spans="9:13" x14ac:dyDescent="0.25">
      <c r="I1364" t="s">
        <v>14290</v>
      </c>
      <c r="J1364" s="161" t="s">
        <v>19202</v>
      </c>
      <c r="K1364" t="s">
        <v>19203</v>
      </c>
      <c r="L1364" t="s">
        <v>14289</v>
      </c>
      <c r="M1364" s="161" t="s">
        <v>19202</v>
      </c>
    </row>
    <row r="1365" spans="9:13" x14ac:dyDescent="0.25">
      <c r="I1365" t="s">
        <v>14288</v>
      </c>
      <c r="J1365" s="161" t="s">
        <v>19202</v>
      </c>
      <c r="K1365" t="s">
        <v>19203</v>
      </c>
      <c r="L1365" t="s">
        <v>14287</v>
      </c>
      <c r="M1365" s="161" t="s">
        <v>19202</v>
      </c>
    </row>
    <row r="1366" spans="9:13" x14ac:dyDescent="0.25">
      <c r="I1366" t="s">
        <v>14436</v>
      </c>
      <c r="J1366" s="161" t="s">
        <v>19202</v>
      </c>
      <c r="K1366" t="s">
        <v>19203</v>
      </c>
      <c r="L1366" t="s">
        <v>2494</v>
      </c>
      <c r="M1366" s="161" t="s">
        <v>19202</v>
      </c>
    </row>
    <row r="1367" spans="9:13" x14ac:dyDescent="0.25">
      <c r="I1367" t="s">
        <v>14478</v>
      </c>
      <c r="J1367" s="161" t="s">
        <v>19202</v>
      </c>
      <c r="K1367" t="s">
        <v>19203</v>
      </c>
      <c r="L1367" t="s">
        <v>3943</v>
      </c>
      <c r="M1367" s="161" t="s">
        <v>19202</v>
      </c>
    </row>
    <row r="1368" spans="9:13" x14ac:dyDescent="0.25">
      <c r="I1368" t="s">
        <v>13751</v>
      </c>
      <c r="J1368" s="161" t="s">
        <v>19202</v>
      </c>
      <c r="K1368" t="s">
        <v>19203</v>
      </c>
      <c r="L1368" t="s">
        <v>13750</v>
      </c>
      <c r="M1368" s="161" t="s">
        <v>19202</v>
      </c>
    </row>
    <row r="1369" spans="9:13" x14ac:dyDescent="0.25">
      <c r="I1369" t="s">
        <v>14595</v>
      </c>
      <c r="J1369" s="161" t="s">
        <v>19202</v>
      </c>
      <c r="K1369" t="s">
        <v>19203</v>
      </c>
      <c r="L1369" t="s">
        <v>14594</v>
      </c>
      <c r="M1369" s="161" t="s">
        <v>19202</v>
      </c>
    </row>
    <row r="1370" spans="9:13" x14ac:dyDescent="0.25">
      <c r="I1370" t="s">
        <v>14593</v>
      </c>
      <c r="J1370" s="161" t="s">
        <v>19202</v>
      </c>
      <c r="K1370" t="s">
        <v>19203</v>
      </c>
      <c r="L1370" t="s">
        <v>3801</v>
      </c>
      <c r="M1370" s="161" t="s">
        <v>19202</v>
      </c>
    </row>
    <row r="1371" spans="9:13" x14ac:dyDescent="0.25">
      <c r="I1371" t="s">
        <v>14592</v>
      </c>
      <c r="J1371" s="161" t="s">
        <v>19202</v>
      </c>
      <c r="K1371" t="s">
        <v>19203</v>
      </c>
      <c r="L1371" t="s">
        <v>1740</v>
      </c>
      <c r="M1371" s="161" t="s">
        <v>19202</v>
      </c>
    </row>
    <row r="1372" spans="9:13" x14ac:dyDescent="0.25">
      <c r="I1372" t="s">
        <v>14433</v>
      </c>
      <c r="J1372" s="161" t="s">
        <v>19202</v>
      </c>
      <c r="K1372" t="s">
        <v>19203</v>
      </c>
      <c r="L1372" t="s">
        <v>14432</v>
      </c>
      <c r="M1372" s="161" t="s">
        <v>19202</v>
      </c>
    </row>
    <row r="1373" spans="9:13" x14ac:dyDescent="0.25">
      <c r="I1373" t="s">
        <v>14519</v>
      </c>
      <c r="J1373" s="161" t="s">
        <v>19202</v>
      </c>
      <c r="K1373" t="s">
        <v>19203</v>
      </c>
      <c r="L1373" t="s">
        <v>14518</v>
      </c>
      <c r="M1373" s="161" t="s">
        <v>19202</v>
      </c>
    </row>
    <row r="1374" spans="9:13" x14ac:dyDescent="0.25">
      <c r="I1374" t="s">
        <v>14428</v>
      </c>
      <c r="J1374" s="161" t="s">
        <v>19202</v>
      </c>
      <c r="K1374" t="s">
        <v>19203</v>
      </c>
      <c r="L1374" t="s">
        <v>3943</v>
      </c>
      <c r="M1374" s="161" t="s">
        <v>19202</v>
      </c>
    </row>
    <row r="1375" spans="9:13" x14ac:dyDescent="0.25">
      <c r="I1375" t="s">
        <v>14286</v>
      </c>
      <c r="J1375" s="161" t="s">
        <v>19202</v>
      </c>
      <c r="K1375" t="s">
        <v>19203</v>
      </c>
      <c r="L1375" t="s">
        <v>14285</v>
      </c>
      <c r="M1375" s="161" t="s">
        <v>19202</v>
      </c>
    </row>
    <row r="1376" spans="9:13" x14ac:dyDescent="0.25">
      <c r="I1376" t="s">
        <v>14222</v>
      </c>
      <c r="J1376" s="161" t="s">
        <v>19202</v>
      </c>
      <c r="K1376" t="s">
        <v>19203</v>
      </c>
      <c r="L1376" t="s">
        <v>14221</v>
      </c>
      <c r="M1376" s="161" t="s">
        <v>19202</v>
      </c>
    </row>
    <row r="1377" spans="9:13" x14ac:dyDescent="0.25">
      <c r="I1377" t="s">
        <v>14591</v>
      </c>
      <c r="J1377" s="161" t="s">
        <v>19202</v>
      </c>
      <c r="K1377" t="s">
        <v>19203</v>
      </c>
      <c r="L1377" t="s">
        <v>14590</v>
      </c>
      <c r="M1377" s="161" t="s">
        <v>19202</v>
      </c>
    </row>
    <row r="1378" spans="9:13" x14ac:dyDescent="0.25">
      <c r="I1378" t="s">
        <v>14252</v>
      </c>
      <c r="J1378" s="161" t="s">
        <v>19202</v>
      </c>
      <c r="K1378" t="s">
        <v>19203</v>
      </c>
      <c r="L1378" t="s">
        <v>14251</v>
      </c>
      <c r="M1378" s="161" t="s">
        <v>19202</v>
      </c>
    </row>
    <row r="1379" spans="9:13" x14ac:dyDescent="0.25">
      <c r="I1379" t="s">
        <v>14426</v>
      </c>
      <c r="J1379" s="161" t="s">
        <v>19202</v>
      </c>
      <c r="K1379" t="s">
        <v>19203</v>
      </c>
      <c r="L1379" t="s">
        <v>14425</v>
      </c>
      <c r="M1379" s="161" t="s">
        <v>19202</v>
      </c>
    </row>
    <row r="1380" spans="9:13" x14ac:dyDescent="0.25">
      <c r="I1380" t="s">
        <v>14420</v>
      </c>
      <c r="J1380" s="161" t="s">
        <v>19202</v>
      </c>
      <c r="K1380" t="s">
        <v>19203</v>
      </c>
      <c r="L1380" t="s">
        <v>14419</v>
      </c>
      <c r="M1380" s="161" t="s">
        <v>19202</v>
      </c>
    </row>
    <row r="1381" spans="9:13" x14ac:dyDescent="0.25">
      <c r="I1381" t="s">
        <v>14418</v>
      </c>
      <c r="J1381" s="161" t="s">
        <v>19202</v>
      </c>
      <c r="K1381" t="s">
        <v>19203</v>
      </c>
      <c r="L1381" t="s">
        <v>14417</v>
      </c>
      <c r="M1381" s="161" t="s">
        <v>19202</v>
      </c>
    </row>
    <row r="1382" spans="9:13" x14ac:dyDescent="0.25">
      <c r="I1382" t="s">
        <v>14475</v>
      </c>
      <c r="J1382" s="161" t="s">
        <v>19202</v>
      </c>
      <c r="K1382" t="s">
        <v>19203</v>
      </c>
      <c r="L1382" t="s">
        <v>941</v>
      </c>
      <c r="M1382" s="161" t="s">
        <v>19202</v>
      </c>
    </row>
    <row r="1383" spans="9:13" x14ac:dyDescent="0.25">
      <c r="I1383" t="s">
        <v>14219</v>
      </c>
      <c r="J1383" s="161" t="s">
        <v>19202</v>
      </c>
      <c r="K1383" t="s">
        <v>19203</v>
      </c>
      <c r="L1383" t="s">
        <v>898</v>
      </c>
      <c r="M1383" s="161" t="s">
        <v>19202</v>
      </c>
    </row>
    <row r="1384" spans="9:13" x14ac:dyDescent="0.25">
      <c r="I1384" t="s">
        <v>19386</v>
      </c>
      <c r="J1384" s="161" t="s">
        <v>19202</v>
      </c>
      <c r="K1384" t="s">
        <v>19203</v>
      </c>
      <c r="L1384" t="s">
        <v>19387</v>
      </c>
      <c r="M1384" s="161" t="s">
        <v>19202</v>
      </c>
    </row>
    <row r="1385" spans="9:13" x14ac:dyDescent="0.25">
      <c r="I1385" t="s">
        <v>14474</v>
      </c>
      <c r="J1385" s="161" t="s">
        <v>19202</v>
      </c>
      <c r="K1385" t="s">
        <v>19203</v>
      </c>
      <c r="L1385" t="s">
        <v>2033</v>
      </c>
      <c r="M1385" s="161" t="s">
        <v>19202</v>
      </c>
    </row>
    <row r="1386" spans="9:13" x14ac:dyDescent="0.25">
      <c r="I1386" t="s">
        <v>14326</v>
      </c>
      <c r="J1386" s="161" t="s">
        <v>19202</v>
      </c>
      <c r="K1386" t="s">
        <v>19203</v>
      </c>
      <c r="L1386" t="s">
        <v>1409</v>
      </c>
      <c r="M1386" s="161" t="s">
        <v>19202</v>
      </c>
    </row>
    <row r="1387" spans="9:13" x14ac:dyDescent="0.25">
      <c r="I1387" t="s">
        <v>14248</v>
      </c>
      <c r="J1387" s="161" t="s">
        <v>19202</v>
      </c>
      <c r="K1387" t="s">
        <v>19203</v>
      </c>
      <c r="L1387" t="s">
        <v>14247</v>
      </c>
      <c r="M1387" s="161" t="s">
        <v>19202</v>
      </c>
    </row>
    <row r="1388" spans="9:13" x14ac:dyDescent="0.25">
      <c r="I1388" t="s">
        <v>7346</v>
      </c>
      <c r="J1388" s="161" t="s">
        <v>19202</v>
      </c>
      <c r="K1388" t="s">
        <v>19203</v>
      </c>
      <c r="L1388" t="s">
        <v>7345</v>
      </c>
      <c r="M1388" s="161" t="s">
        <v>19202</v>
      </c>
    </row>
    <row r="1389" spans="9:13" x14ac:dyDescent="0.25">
      <c r="I1389" t="s">
        <v>4061</v>
      </c>
      <c r="J1389" s="161" t="s">
        <v>19202</v>
      </c>
      <c r="K1389" t="s">
        <v>19203</v>
      </c>
      <c r="L1389" t="s">
        <v>4060</v>
      </c>
      <c r="M1389" s="161" t="s">
        <v>19202</v>
      </c>
    </row>
    <row r="1390" spans="9:13" x14ac:dyDescent="0.25">
      <c r="I1390" t="s">
        <v>1128</v>
      </c>
      <c r="J1390" s="161" t="s">
        <v>19202</v>
      </c>
      <c r="K1390" t="s">
        <v>19203</v>
      </c>
      <c r="L1390" t="s">
        <v>1127</v>
      </c>
      <c r="M1390" s="161" t="s">
        <v>19202</v>
      </c>
    </row>
    <row r="1391" spans="9:13" x14ac:dyDescent="0.25">
      <c r="I1391" t="s">
        <v>2919</v>
      </c>
      <c r="J1391" s="161" t="s">
        <v>19202</v>
      </c>
      <c r="K1391" t="s">
        <v>19203</v>
      </c>
      <c r="L1391" t="s">
        <v>2918</v>
      </c>
      <c r="M1391" s="161" t="s">
        <v>19202</v>
      </c>
    </row>
    <row r="1392" spans="9:13" x14ac:dyDescent="0.25">
      <c r="I1392" t="s">
        <v>1579</v>
      </c>
      <c r="J1392" s="161" t="s">
        <v>19202</v>
      </c>
      <c r="K1392" t="s">
        <v>19203</v>
      </c>
      <c r="L1392" t="s">
        <v>1578</v>
      </c>
      <c r="M1392" s="161" t="s">
        <v>19202</v>
      </c>
    </row>
    <row r="1393" spans="9:13" x14ac:dyDescent="0.25">
      <c r="I1393" t="s">
        <v>17998</v>
      </c>
      <c r="J1393" s="161" t="s">
        <v>19202</v>
      </c>
      <c r="K1393" t="s">
        <v>19203</v>
      </c>
      <c r="L1393" t="s">
        <v>2084</v>
      </c>
      <c r="M1393" s="161" t="s">
        <v>19202</v>
      </c>
    </row>
    <row r="1394" spans="9:13" x14ac:dyDescent="0.25">
      <c r="I1394" t="s">
        <v>14332</v>
      </c>
      <c r="J1394" s="161" t="s">
        <v>19202</v>
      </c>
      <c r="K1394" t="s">
        <v>19203</v>
      </c>
      <c r="L1394" t="s">
        <v>14331</v>
      </c>
      <c r="M1394" s="161" t="s">
        <v>19202</v>
      </c>
    </row>
    <row r="1395" spans="9:13" x14ac:dyDescent="0.25">
      <c r="I1395" t="s">
        <v>17846</v>
      </c>
      <c r="J1395" s="161" t="s">
        <v>19202</v>
      </c>
      <c r="K1395" t="s">
        <v>19203</v>
      </c>
      <c r="L1395" t="s">
        <v>17845</v>
      </c>
      <c r="M1395" s="161" t="s">
        <v>19202</v>
      </c>
    </row>
    <row r="1396" spans="9:13" x14ac:dyDescent="0.25">
      <c r="I1396" t="s">
        <v>17889</v>
      </c>
      <c r="J1396" s="161" t="s">
        <v>19202</v>
      </c>
      <c r="K1396" t="s">
        <v>19203</v>
      </c>
      <c r="L1396" t="s">
        <v>17888</v>
      </c>
      <c r="M1396" s="161" t="s">
        <v>19202</v>
      </c>
    </row>
    <row r="1397" spans="9:13" x14ac:dyDescent="0.25">
      <c r="I1397" t="s">
        <v>1561</v>
      </c>
      <c r="J1397" s="161" t="s">
        <v>19202</v>
      </c>
      <c r="K1397" t="s">
        <v>19203</v>
      </c>
      <c r="L1397" t="s">
        <v>350</v>
      </c>
      <c r="M1397" s="161" t="s">
        <v>19202</v>
      </c>
    </row>
    <row r="1398" spans="9:13" x14ac:dyDescent="0.25">
      <c r="I1398" t="s">
        <v>14521</v>
      </c>
      <c r="J1398" s="161" t="s">
        <v>19202</v>
      </c>
      <c r="K1398" t="s">
        <v>19203</v>
      </c>
      <c r="L1398" t="s">
        <v>4398</v>
      </c>
      <c r="M1398" s="161" t="s">
        <v>19202</v>
      </c>
    </row>
    <row r="1399" spans="9:13" x14ac:dyDescent="0.25">
      <c r="I1399" t="s">
        <v>1089</v>
      </c>
      <c r="J1399" s="161" t="s">
        <v>19202</v>
      </c>
      <c r="K1399" t="s">
        <v>19203</v>
      </c>
      <c r="L1399" t="s">
        <v>1088</v>
      </c>
      <c r="M1399" s="161" t="s">
        <v>19202</v>
      </c>
    </row>
    <row r="1400" spans="9:13" x14ac:dyDescent="0.25">
      <c r="I1400" t="s">
        <v>18035</v>
      </c>
      <c r="J1400" s="161" t="s">
        <v>19202</v>
      </c>
      <c r="K1400" t="s">
        <v>19203</v>
      </c>
      <c r="L1400" t="s">
        <v>941</v>
      </c>
      <c r="M1400" s="161" t="s">
        <v>19202</v>
      </c>
    </row>
    <row r="1401" spans="9:13" x14ac:dyDescent="0.25">
      <c r="I1401" t="s">
        <v>17624</v>
      </c>
      <c r="J1401" s="161" t="s">
        <v>19202</v>
      </c>
      <c r="K1401" t="s">
        <v>19203</v>
      </c>
      <c r="L1401" t="s">
        <v>17623</v>
      </c>
      <c r="M1401" s="161" t="s">
        <v>19202</v>
      </c>
    </row>
    <row r="1402" spans="9:13" x14ac:dyDescent="0.25">
      <c r="I1402" t="s">
        <v>1105</v>
      </c>
      <c r="J1402" s="161" t="s">
        <v>19202</v>
      </c>
      <c r="K1402" t="s">
        <v>19203</v>
      </c>
      <c r="L1402" t="s">
        <v>1104</v>
      </c>
      <c r="M1402" s="161" t="s">
        <v>19202</v>
      </c>
    </row>
    <row r="1403" spans="9:13" x14ac:dyDescent="0.25">
      <c r="I1403" t="s">
        <v>17648</v>
      </c>
      <c r="J1403" s="161" t="s">
        <v>19202</v>
      </c>
      <c r="K1403" t="s">
        <v>19203</v>
      </c>
      <c r="L1403" t="s">
        <v>17647</v>
      </c>
      <c r="M1403" s="161" t="s">
        <v>19202</v>
      </c>
    </row>
    <row r="1404" spans="9:13" x14ac:dyDescent="0.25">
      <c r="I1404" t="s">
        <v>14383</v>
      </c>
      <c r="J1404" s="161" t="s">
        <v>19202</v>
      </c>
      <c r="K1404" t="s">
        <v>19203</v>
      </c>
      <c r="L1404" t="s">
        <v>14382</v>
      </c>
      <c r="M1404" s="161" t="s">
        <v>19202</v>
      </c>
    </row>
    <row r="1405" spans="9:13" x14ac:dyDescent="0.25">
      <c r="I1405" t="s">
        <v>5691</v>
      </c>
      <c r="J1405" s="161" t="s">
        <v>19202</v>
      </c>
      <c r="K1405" t="s">
        <v>19203</v>
      </c>
      <c r="L1405" t="s">
        <v>5690</v>
      </c>
      <c r="M1405" s="161" t="s">
        <v>19202</v>
      </c>
    </row>
    <row r="1406" spans="9:13" x14ac:dyDescent="0.25">
      <c r="I1406" t="s">
        <v>10611</v>
      </c>
      <c r="J1406" s="161" t="s">
        <v>19202</v>
      </c>
      <c r="K1406" t="s">
        <v>19203</v>
      </c>
      <c r="L1406" t="s">
        <v>10610</v>
      </c>
      <c r="M1406" s="161" t="s">
        <v>19202</v>
      </c>
    </row>
    <row r="1407" spans="9:13" x14ac:dyDescent="0.25">
      <c r="I1407" t="s">
        <v>14477</v>
      </c>
      <c r="J1407" s="161" t="s">
        <v>19202</v>
      </c>
      <c r="K1407" t="s">
        <v>19203</v>
      </c>
      <c r="L1407" t="s">
        <v>14476</v>
      </c>
      <c r="M1407" s="161" t="s">
        <v>19202</v>
      </c>
    </row>
    <row r="1408" spans="9:13" x14ac:dyDescent="0.25">
      <c r="I1408" t="s">
        <v>1302</v>
      </c>
      <c r="J1408" s="161" t="s">
        <v>19202</v>
      </c>
      <c r="K1408" t="s">
        <v>19203</v>
      </c>
      <c r="L1408" t="s">
        <v>1301</v>
      </c>
      <c r="M1408" s="161" t="s">
        <v>19202</v>
      </c>
    </row>
    <row r="1409" spans="9:13" x14ac:dyDescent="0.25">
      <c r="I1409" t="s">
        <v>13548</v>
      </c>
      <c r="J1409" s="161" t="s">
        <v>19202</v>
      </c>
      <c r="K1409" t="s">
        <v>19203</v>
      </c>
      <c r="L1409" t="s">
        <v>13547</v>
      </c>
      <c r="M1409" s="161" t="s">
        <v>19202</v>
      </c>
    </row>
    <row r="1410" spans="9:13" x14ac:dyDescent="0.25">
      <c r="I1410" t="s">
        <v>8388</v>
      </c>
      <c r="J1410" s="161" t="s">
        <v>19202</v>
      </c>
      <c r="K1410" t="s">
        <v>19203</v>
      </c>
      <c r="L1410" t="s">
        <v>8387</v>
      </c>
      <c r="M1410" s="161" t="s">
        <v>19202</v>
      </c>
    </row>
    <row r="1411" spans="9:13" x14ac:dyDescent="0.25">
      <c r="I1411" t="s">
        <v>1577</v>
      </c>
      <c r="J1411" s="161" t="s">
        <v>19202</v>
      </c>
      <c r="K1411" t="s">
        <v>19203</v>
      </c>
      <c r="L1411" t="s">
        <v>1576</v>
      </c>
      <c r="M1411" s="161" t="s">
        <v>19202</v>
      </c>
    </row>
    <row r="1412" spans="9:13" x14ac:dyDescent="0.25">
      <c r="I1412" t="s">
        <v>16530</v>
      </c>
      <c r="J1412" s="161" t="s">
        <v>19202</v>
      </c>
      <c r="K1412" t="s">
        <v>19203</v>
      </c>
      <c r="L1412" t="s">
        <v>16529</v>
      </c>
      <c r="M1412" s="161" t="s">
        <v>19202</v>
      </c>
    </row>
    <row r="1413" spans="9:13" x14ac:dyDescent="0.25">
      <c r="I1413" t="s">
        <v>14329</v>
      </c>
      <c r="J1413" s="161" t="s">
        <v>19202</v>
      </c>
      <c r="K1413" t="s">
        <v>19203</v>
      </c>
      <c r="L1413" t="s">
        <v>14328</v>
      </c>
      <c r="M1413" s="161" t="s">
        <v>19202</v>
      </c>
    </row>
    <row r="1414" spans="9:13" x14ac:dyDescent="0.25">
      <c r="I1414" t="s">
        <v>12212</v>
      </c>
      <c r="J1414" s="161" t="s">
        <v>19202</v>
      </c>
      <c r="K1414" t="s">
        <v>19203</v>
      </c>
      <c r="L1414" t="s">
        <v>12211</v>
      </c>
      <c r="M1414" s="161" t="s">
        <v>19202</v>
      </c>
    </row>
    <row r="1415" spans="9:13" x14ac:dyDescent="0.25">
      <c r="I1415" t="s">
        <v>14199</v>
      </c>
      <c r="J1415" s="161" t="s">
        <v>19202</v>
      </c>
      <c r="K1415" t="s">
        <v>19203</v>
      </c>
      <c r="L1415" t="s">
        <v>14198</v>
      </c>
      <c r="M1415" s="161" t="s">
        <v>19202</v>
      </c>
    </row>
    <row r="1416" spans="9:13" x14ac:dyDescent="0.25">
      <c r="I1416" t="s">
        <v>14513</v>
      </c>
      <c r="J1416" s="161" t="s">
        <v>19202</v>
      </c>
      <c r="K1416" t="s">
        <v>19203</v>
      </c>
      <c r="L1416" t="s">
        <v>14512</v>
      </c>
      <c r="M1416" s="161" t="s">
        <v>19202</v>
      </c>
    </row>
    <row r="1417" spans="9:13" x14ac:dyDescent="0.25">
      <c r="I1417" t="s">
        <v>14180</v>
      </c>
      <c r="J1417" s="161" t="s">
        <v>19202</v>
      </c>
      <c r="K1417" t="s">
        <v>19203</v>
      </c>
      <c r="L1417" t="s">
        <v>14179</v>
      </c>
      <c r="M1417" s="161" t="s">
        <v>19202</v>
      </c>
    </row>
    <row r="1418" spans="9:13" x14ac:dyDescent="0.25">
      <c r="I1418" t="s">
        <v>19388</v>
      </c>
      <c r="J1418" s="161" t="s">
        <v>19202</v>
      </c>
      <c r="K1418" t="s">
        <v>19203</v>
      </c>
      <c r="L1418" t="s">
        <v>19389</v>
      </c>
      <c r="M1418" s="161" t="s">
        <v>19202</v>
      </c>
    </row>
    <row r="1419" spans="9:13" x14ac:dyDescent="0.25">
      <c r="I1419" t="s">
        <v>4503</v>
      </c>
      <c r="J1419" s="161" t="s">
        <v>19202</v>
      </c>
      <c r="K1419" t="s">
        <v>19203</v>
      </c>
      <c r="L1419" t="s">
        <v>4502</v>
      </c>
      <c r="M1419" s="161" t="s">
        <v>19202</v>
      </c>
    </row>
    <row r="1420" spans="9:13" x14ac:dyDescent="0.25">
      <c r="I1420" t="s">
        <v>7326</v>
      </c>
      <c r="J1420" s="161" t="s">
        <v>19202</v>
      </c>
      <c r="K1420" t="s">
        <v>19203</v>
      </c>
      <c r="L1420" t="s">
        <v>7325</v>
      </c>
      <c r="M1420" s="161" t="s">
        <v>19202</v>
      </c>
    </row>
    <row r="1421" spans="9:13" x14ac:dyDescent="0.25">
      <c r="I1421" t="s">
        <v>5434</v>
      </c>
      <c r="J1421" s="161" t="s">
        <v>19202</v>
      </c>
      <c r="K1421" t="s">
        <v>19203</v>
      </c>
      <c r="L1421" t="s">
        <v>5433</v>
      </c>
      <c r="M1421" s="161" t="s">
        <v>19202</v>
      </c>
    </row>
    <row r="1422" spans="9:13" x14ac:dyDescent="0.25">
      <c r="I1422" t="s">
        <v>5189</v>
      </c>
      <c r="J1422" s="161" t="s">
        <v>19202</v>
      </c>
      <c r="K1422" t="s">
        <v>19203</v>
      </c>
      <c r="L1422" t="s">
        <v>5188</v>
      </c>
      <c r="M1422" s="161" t="s">
        <v>19202</v>
      </c>
    </row>
    <row r="1423" spans="9:13" x14ac:dyDescent="0.25">
      <c r="I1423" t="s">
        <v>1130</v>
      </c>
      <c r="J1423" s="161" t="s">
        <v>19202</v>
      </c>
      <c r="K1423" t="s">
        <v>19203</v>
      </c>
      <c r="L1423" t="s">
        <v>1129</v>
      </c>
      <c r="M1423" s="161" t="s">
        <v>19202</v>
      </c>
    </row>
    <row r="1424" spans="9:13" x14ac:dyDescent="0.25">
      <c r="I1424" t="s">
        <v>13749</v>
      </c>
      <c r="J1424" s="161" t="s">
        <v>19202</v>
      </c>
      <c r="K1424" t="s">
        <v>19203</v>
      </c>
      <c r="L1424" t="s">
        <v>6502</v>
      </c>
      <c r="M1424" s="161" t="s">
        <v>19202</v>
      </c>
    </row>
    <row r="1425" spans="9:13" x14ac:dyDescent="0.25">
      <c r="I1425" t="s">
        <v>14511</v>
      </c>
      <c r="J1425" s="161" t="s">
        <v>19202</v>
      </c>
      <c r="K1425" t="s">
        <v>19203</v>
      </c>
      <c r="L1425" t="s">
        <v>243</v>
      </c>
      <c r="M1425" s="161" t="s">
        <v>19202</v>
      </c>
    </row>
    <row r="1426" spans="9:13" x14ac:dyDescent="0.25">
      <c r="I1426" t="s">
        <v>14178</v>
      </c>
      <c r="J1426" s="161" t="s">
        <v>19202</v>
      </c>
      <c r="K1426" t="s">
        <v>19203</v>
      </c>
      <c r="L1426" t="s">
        <v>14177</v>
      </c>
      <c r="M1426" s="161" t="s">
        <v>19202</v>
      </c>
    </row>
    <row r="1427" spans="9:13" x14ac:dyDescent="0.25">
      <c r="I1427" t="s">
        <v>14176</v>
      </c>
      <c r="J1427" s="161" t="s">
        <v>19202</v>
      </c>
      <c r="K1427" t="s">
        <v>19203</v>
      </c>
      <c r="L1427" t="s">
        <v>14175</v>
      </c>
      <c r="M1427" s="161" t="s">
        <v>19202</v>
      </c>
    </row>
    <row r="1428" spans="9:13" x14ac:dyDescent="0.25">
      <c r="I1428" t="s">
        <v>14174</v>
      </c>
      <c r="J1428" s="161" t="s">
        <v>19202</v>
      </c>
      <c r="K1428" t="s">
        <v>19203</v>
      </c>
      <c r="L1428" t="s">
        <v>14173</v>
      </c>
      <c r="M1428" s="161" t="s">
        <v>19202</v>
      </c>
    </row>
    <row r="1429" spans="9:13" x14ac:dyDescent="0.25">
      <c r="I1429" t="s">
        <v>14172</v>
      </c>
      <c r="J1429" s="161" t="s">
        <v>19202</v>
      </c>
      <c r="K1429" t="s">
        <v>19203</v>
      </c>
      <c r="L1429" t="s">
        <v>14171</v>
      </c>
      <c r="M1429" s="161" t="s">
        <v>19202</v>
      </c>
    </row>
    <row r="1430" spans="9:13" x14ac:dyDescent="0.25">
      <c r="I1430" t="s">
        <v>14581</v>
      </c>
      <c r="J1430" s="161" t="s">
        <v>19202</v>
      </c>
      <c r="K1430" t="s">
        <v>19203</v>
      </c>
      <c r="L1430" t="s">
        <v>14580</v>
      </c>
      <c r="M1430" s="161" t="s">
        <v>19202</v>
      </c>
    </row>
    <row r="1431" spans="9:13" x14ac:dyDescent="0.25">
      <c r="I1431" t="s">
        <v>14319</v>
      </c>
      <c r="J1431" s="161" t="s">
        <v>19202</v>
      </c>
      <c r="K1431" t="s">
        <v>19203</v>
      </c>
      <c r="L1431" t="s">
        <v>14318</v>
      </c>
      <c r="M1431" s="161" t="s">
        <v>19202</v>
      </c>
    </row>
    <row r="1432" spans="9:13" x14ac:dyDescent="0.25">
      <c r="I1432" t="s">
        <v>14387</v>
      </c>
      <c r="J1432" s="161" t="s">
        <v>19202</v>
      </c>
      <c r="K1432" t="s">
        <v>19203</v>
      </c>
      <c r="L1432" t="s">
        <v>14386</v>
      </c>
      <c r="M1432" s="161" t="s">
        <v>19202</v>
      </c>
    </row>
    <row r="1433" spans="9:13" x14ac:dyDescent="0.25">
      <c r="I1433" t="s">
        <v>14385</v>
      </c>
      <c r="J1433" s="161" t="s">
        <v>19202</v>
      </c>
      <c r="K1433" t="s">
        <v>19203</v>
      </c>
      <c r="L1433" t="s">
        <v>405</v>
      </c>
      <c r="M1433" s="161" t="s">
        <v>19202</v>
      </c>
    </row>
    <row r="1434" spans="9:13" x14ac:dyDescent="0.25">
      <c r="I1434" t="s">
        <v>14384</v>
      </c>
      <c r="J1434" s="161" t="s">
        <v>19202</v>
      </c>
      <c r="K1434" t="s">
        <v>19203</v>
      </c>
      <c r="L1434" t="s">
        <v>3564</v>
      </c>
      <c r="M1434" s="161" t="s">
        <v>19202</v>
      </c>
    </row>
    <row r="1435" spans="9:13" x14ac:dyDescent="0.25">
      <c r="I1435" t="s">
        <v>14377</v>
      </c>
      <c r="J1435" s="161" t="s">
        <v>19202</v>
      </c>
      <c r="K1435" t="s">
        <v>19203</v>
      </c>
      <c r="L1435" t="s">
        <v>2652</v>
      </c>
      <c r="M1435" s="161" t="s">
        <v>19202</v>
      </c>
    </row>
    <row r="1436" spans="9:13" x14ac:dyDescent="0.25">
      <c r="I1436" t="s">
        <v>14373</v>
      </c>
      <c r="J1436" s="161" t="s">
        <v>19202</v>
      </c>
      <c r="K1436" t="s">
        <v>19203</v>
      </c>
      <c r="L1436" t="s">
        <v>14372</v>
      </c>
      <c r="M1436" s="161" t="s">
        <v>19202</v>
      </c>
    </row>
    <row r="1437" spans="9:13" x14ac:dyDescent="0.25">
      <c r="I1437" t="s">
        <v>14579</v>
      </c>
      <c r="J1437" s="161" t="s">
        <v>19202</v>
      </c>
      <c r="K1437" t="s">
        <v>19203</v>
      </c>
      <c r="L1437" t="s">
        <v>1406</v>
      </c>
      <c r="M1437" s="161" t="s">
        <v>19202</v>
      </c>
    </row>
    <row r="1438" spans="9:13" x14ac:dyDescent="0.25">
      <c r="I1438" t="s">
        <v>14506</v>
      </c>
      <c r="J1438" s="161" t="s">
        <v>19202</v>
      </c>
      <c r="K1438" t="s">
        <v>19203</v>
      </c>
      <c r="L1438" t="s">
        <v>14505</v>
      </c>
      <c r="M1438" s="161" t="s">
        <v>19202</v>
      </c>
    </row>
    <row r="1439" spans="9:13" x14ac:dyDescent="0.25">
      <c r="I1439" t="s">
        <v>12296</v>
      </c>
      <c r="J1439" s="161" t="s">
        <v>19202</v>
      </c>
      <c r="K1439" t="s">
        <v>19203</v>
      </c>
      <c r="L1439" t="s">
        <v>12295</v>
      </c>
      <c r="M1439" s="161" t="s">
        <v>19202</v>
      </c>
    </row>
    <row r="1440" spans="9:13" x14ac:dyDescent="0.25">
      <c r="I1440" t="s">
        <v>18057</v>
      </c>
      <c r="J1440" s="161" t="s">
        <v>19202</v>
      </c>
      <c r="K1440" t="s">
        <v>19203</v>
      </c>
      <c r="L1440" t="s">
        <v>18056</v>
      </c>
      <c r="M1440" s="161" t="s">
        <v>19202</v>
      </c>
    </row>
    <row r="1441" spans="9:13" x14ac:dyDescent="0.25">
      <c r="I1441" t="s">
        <v>1549</v>
      </c>
      <c r="J1441" s="161" t="s">
        <v>19202</v>
      </c>
      <c r="K1441" t="s">
        <v>19203</v>
      </c>
      <c r="L1441" t="s">
        <v>1548</v>
      </c>
      <c r="M1441" s="161" t="s">
        <v>19202</v>
      </c>
    </row>
    <row r="1442" spans="9:13" x14ac:dyDescent="0.25">
      <c r="I1442" t="s">
        <v>17796</v>
      </c>
      <c r="J1442" s="161" t="s">
        <v>19202</v>
      </c>
      <c r="K1442" t="s">
        <v>19203</v>
      </c>
      <c r="L1442" t="s">
        <v>17795</v>
      </c>
      <c r="M1442" s="161" t="s">
        <v>19202</v>
      </c>
    </row>
    <row r="1443" spans="9:13" x14ac:dyDescent="0.25">
      <c r="I1443" t="s">
        <v>5293</v>
      </c>
      <c r="J1443" s="161" t="s">
        <v>19202</v>
      </c>
      <c r="K1443" t="s">
        <v>19203</v>
      </c>
      <c r="L1443" t="s">
        <v>5292</v>
      </c>
      <c r="M1443" s="161" t="s">
        <v>19202</v>
      </c>
    </row>
    <row r="1444" spans="9:13" x14ac:dyDescent="0.25">
      <c r="I1444" t="s">
        <v>16900</v>
      </c>
      <c r="J1444" s="161" t="s">
        <v>19202</v>
      </c>
      <c r="K1444" t="s">
        <v>19203</v>
      </c>
      <c r="L1444" t="s">
        <v>16899</v>
      </c>
      <c r="M1444" s="161" t="s">
        <v>19202</v>
      </c>
    </row>
    <row r="1445" spans="9:13" x14ac:dyDescent="0.25">
      <c r="I1445" t="s">
        <v>17883</v>
      </c>
      <c r="J1445" s="161" t="s">
        <v>19202</v>
      </c>
      <c r="K1445" t="s">
        <v>19203</v>
      </c>
      <c r="L1445" t="s">
        <v>4329</v>
      </c>
      <c r="M1445" s="161" t="s">
        <v>19202</v>
      </c>
    </row>
    <row r="1446" spans="9:13" x14ac:dyDescent="0.25">
      <c r="I1446" t="s">
        <v>19390</v>
      </c>
      <c r="J1446" s="161" t="s">
        <v>19202</v>
      </c>
      <c r="K1446" t="s">
        <v>19203</v>
      </c>
      <c r="L1446" t="s">
        <v>19391</v>
      </c>
      <c r="M1446" s="161" t="s">
        <v>19202</v>
      </c>
    </row>
    <row r="1447" spans="9:13" x14ac:dyDescent="0.25">
      <c r="I1447" t="s">
        <v>18059</v>
      </c>
      <c r="J1447" s="161" t="s">
        <v>19202</v>
      </c>
      <c r="K1447" t="s">
        <v>19203</v>
      </c>
      <c r="L1447" t="s">
        <v>18058</v>
      </c>
      <c r="M1447" s="161" t="s">
        <v>19202</v>
      </c>
    </row>
    <row r="1448" spans="9:13" x14ac:dyDescent="0.25">
      <c r="I1448" t="s">
        <v>14375</v>
      </c>
      <c r="J1448" s="161" t="s">
        <v>19202</v>
      </c>
      <c r="K1448" t="s">
        <v>19203</v>
      </c>
      <c r="L1448" t="s">
        <v>14374</v>
      </c>
      <c r="M1448" s="161" t="s">
        <v>19202</v>
      </c>
    </row>
    <row r="1449" spans="9:13" x14ac:dyDescent="0.25">
      <c r="I1449" t="s">
        <v>18930</v>
      </c>
      <c r="J1449" s="161" t="s">
        <v>19202</v>
      </c>
      <c r="K1449" t="s">
        <v>19203</v>
      </c>
      <c r="L1449" t="s">
        <v>5429</v>
      </c>
      <c r="M1449" s="161" t="s">
        <v>19202</v>
      </c>
    </row>
    <row r="1450" spans="9:13" x14ac:dyDescent="0.25">
      <c r="I1450" t="s">
        <v>14390</v>
      </c>
      <c r="J1450" s="161" t="s">
        <v>19202</v>
      </c>
      <c r="K1450" t="s">
        <v>19203</v>
      </c>
      <c r="L1450" t="s">
        <v>500</v>
      </c>
      <c r="M1450" s="161" t="s">
        <v>19202</v>
      </c>
    </row>
    <row r="1451" spans="9:13" x14ac:dyDescent="0.25">
      <c r="I1451" t="s">
        <v>14138</v>
      </c>
      <c r="J1451" s="161" t="s">
        <v>19202</v>
      </c>
      <c r="K1451" t="s">
        <v>19203</v>
      </c>
      <c r="L1451" t="s">
        <v>4560</v>
      </c>
      <c r="M1451" s="161" t="s">
        <v>19202</v>
      </c>
    </row>
    <row r="1452" spans="9:13" x14ac:dyDescent="0.25">
      <c r="I1452" t="s">
        <v>14471</v>
      </c>
      <c r="J1452" s="161" t="s">
        <v>19202</v>
      </c>
      <c r="K1452" t="s">
        <v>19203</v>
      </c>
      <c r="L1452" t="s">
        <v>716</v>
      </c>
      <c r="M1452" s="161" t="s">
        <v>19202</v>
      </c>
    </row>
    <row r="1453" spans="9:13" x14ac:dyDescent="0.25">
      <c r="I1453" t="s">
        <v>14168</v>
      </c>
      <c r="J1453" s="161" t="s">
        <v>19202</v>
      </c>
      <c r="K1453" t="s">
        <v>19203</v>
      </c>
      <c r="L1453" t="s">
        <v>1694</v>
      </c>
      <c r="M1453" s="161" t="s">
        <v>19202</v>
      </c>
    </row>
    <row r="1454" spans="9:13" x14ac:dyDescent="0.25">
      <c r="I1454" t="s">
        <v>14167</v>
      </c>
      <c r="J1454" s="161" t="s">
        <v>19202</v>
      </c>
      <c r="K1454" t="s">
        <v>19203</v>
      </c>
      <c r="L1454" t="s">
        <v>14166</v>
      </c>
      <c r="M1454" s="161" t="s">
        <v>19202</v>
      </c>
    </row>
    <row r="1455" spans="9:13" x14ac:dyDescent="0.25">
      <c r="I1455" t="s">
        <v>14165</v>
      </c>
      <c r="J1455" s="161" t="s">
        <v>19202</v>
      </c>
      <c r="K1455" t="s">
        <v>19203</v>
      </c>
      <c r="L1455" t="s">
        <v>14164</v>
      </c>
      <c r="M1455" s="161" t="s">
        <v>19202</v>
      </c>
    </row>
    <row r="1456" spans="9:13" x14ac:dyDescent="0.25">
      <c r="I1456" t="s">
        <v>19392</v>
      </c>
      <c r="J1456" s="161" t="s">
        <v>19202</v>
      </c>
      <c r="K1456" t="s">
        <v>19203</v>
      </c>
      <c r="L1456" t="s">
        <v>2033</v>
      </c>
      <c r="M1456" s="161" t="s">
        <v>19202</v>
      </c>
    </row>
    <row r="1457" spans="9:13" x14ac:dyDescent="0.25">
      <c r="I1457" t="s">
        <v>14510</v>
      </c>
      <c r="J1457" s="161" t="s">
        <v>19202</v>
      </c>
      <c r="K1457" t="s">
        <v>19203</v>
      </c>
      <c r="L1457" t="s">
        <v>14509</v>
      </c>
      <c r="M1457" s="161" t="s">
        <v>19202</v>
      </c>
    </row>
    <row r="1458" spans="9:13" x14ac:dyDescent="0.25">
      <c r="I1458" t="s">
        <v>1408</v>
      </c>
      <c r="J1458" s="161" t="s">
        <v>19202</v>
      </c>
      <c r="K1458" t="s">
        <v>19203</v>
      </c>
      <c r="L1458" t="s">
        <v>1407</v>
      </c>
      <c r="M1458" s="161" t="s">
        <v>19202</v>
      </c>
    </row>
    <row r="1459" spans="9:13" x14ac:dyDescent="0.25">
      <c r="I1459" t="s">
        <v>14524</v>
      </c>
      <c r="J1459" s="161" t="s">
        <v>19202</v>
      </c>
      <c r="K1459" t="s">
        <v>19203</v>
      </c>
      <c r="L1459" t="s">
        <v>14523</v>
      </c>
      <c r="M1459" s="161" t="s">
        <v>19202</v>
      </c>
    </row>
    <row r="1460" spans="9:13" x14ac:dyDescent="0.25">
      <c r="I1460" t="s">
        <v>19393</v>
      </c>
      <c r="J1460" s="161" t="s">
        <v>19202</v>
      </c>
      <c r="K1460" t="s">
        <v>19203</v>
      </c>
      <c r="L1460" t="s">
        <v>19394</v>
      </c>
      <c r="M1460" s="161" t="s">
        <v>19202</v>
      </c>
    </row>
    <row r="1461" spans="9:13" x14ac:dyDescent="0.25">
      <c r="I1461" t="s">
        <v>9434</v>
      </c>
      <c r="J1461" s="161" t="s">
        <v>19202</v>
      </c>
      <c r="K1461" t="s">
        <v>19203</v>
      </c>
      <c r="L1461" t="s">
        <v>9433</v>
      </c>
      <c r="M1461" s="161" t="s">
        <v>19202</v>
      </c>
    </row>
    <row r="1462" spans="9:13" x14ac:dyDescent="0.25">
      <c r="I1462" t="s">
        <v>14430</v>
      </c>
      <c r="J1462" s="161" t="s">
        <v>19202</v>
      </c>
      <c r="K1462" t="s">
        <v>19203</v>
      </c>
      <c r="L1462" t="s">
        <v>14429</v>
      </c>
      <c r="M1462" s="161" t="s">
        <v>19202</v>
      </c>
    </row>
    <row r="1463" spans="9:13" x14ac:dyDescent="0.25">
      <c r="I1463" t="s">
        <v>7678</v>
      </c>
      <c r="J1463" s="161" t="s">
        <v>19202</v>
      </c>
      <c r="K1463" t="s">
        <v>19203</v>
      </c>
      <c r="L1463" t="s">
        <v>7677</v>
      </c>
      <c r="M1463" s="161" t="s">
        <v>19202</v>
      </c>
    </row>
    <row r="1464" spans="9:13" x14ac:dyDescent="0.25">
      <c r="I1464" t="s">
        <v>15910</v>
      </c>
      <c r="J1464" s="161" t="s">
        <v>19202</v>
      </c>
      <c r="K1464" t="s">
        <v>19203</v>
      </c>
      <c r="L1464" t="s">
        <v>11686</v>
      </c>
      <c r="M1464" s="161" t="s">
        <v>19202</v>
      </c>
    </row>
    <row r="1465" spans="9:13" x14ac:dyDescent="0.25">
      <c r="I1465" t="s">
        <v>707</v>
      </c>
      <c r="J1465" s="161" t="s">
        <v>19202</v>
      </c>
      <c r="K1465" t="s">
        <v>19203</v>
      </c>
      <c r="L1465" t="s">
        <v>706</v>
      </c>
      <c r="M1465" s="161" t="s">
        <v>19202</v>
      </c>
    </row>
    <row r="1466" spans="9:13" x14ac:dyDescent="0.25">
      <c r="I1466" t="s">
        <v>14155</v>
      </c>
      <c r="J1466" s="161" t="s">
        <v>19202</v>
      </c>
      <c r="K1466" t="s">
        <v>19203</v>
      </c>
      <c r="L1466" t="s">
        <v>14154</v>
      </c>
      <c r="M1466" s="161" t="s">
        <v>19202</v>
      </c>
    </row>
    <row r="1467" spans="9:13" x14ac:dyDescent="0.25">
      <c r="I1467" t="s">
        <v>12180</v>
      </c>
      <c r="J1467" s="161" t="s">
        <v>19202</v>
      </c>
      <c r="K1467" t="s">
        <v>19203</v>
      </c>
      <c r="L1467" t="s">
        <v>12179</v>
      </c>
      <c r="M1467" s="161" t="s">
        <v>19202</v>
      </c>
    </row>
    <row r="1468" spans="9:13" x14ac:dyDescent="0.25">
      <c r="I1468" t="s">
        <v>14435</v>
      </c>
      <c r="J1468" s="161" t="s">
        <v>19202</v>
      </c>
      <c r="K1468" t="s">
        <v>19203</v>
      </c>
      <c r="L1468" t="s">
        <v>14434</v>
      </c>
      <c r="M1468" s="161" t="s">
        <v>19202</v>
      </c>
    </row>
    <row r="1469" spans="9:13" x14ac:dyDescent="0.25">
      <c r="I1469" t="s">
        <v>14583</v>
      </c>
      <c r="J1469" s="161" t="s">
        <v>19202</v>
      </c>
      <c r="K1469" t="s">
        <v>19203</v>
      </c>
      <c r="L1469" t="s">
        <v>14582</v>
      </c>
      <c r="M1469" s="161" t="s">
        <v>19202</v>
      </c>
    </row>
    <row r="1470" spans="9:13" x14ac:dyDescent="0.25">
      <c r="I1470" t="s">
        <v>14379</v>
      </c>
      <c r="J1470" s="161" t="s">
        <v>19202</v>
      </c>
      <c r="K1470" t="s">
        <v>19203</v>
      </c>
      <c r="L1470" t="s">
        <v>14378</v>
      </c>
      <c r="M1470" s="161" t="s">
        <v>19202</v>
      </c>
    </row>
    <row r="1471" spans="9:13" x14ac:dyDescent="0.25">
      <c r="I1471" t="s">
        <v>19395</v>
      </c>
      <c r="J1471" s="161" t="s">
        <v>19202</v>
      </c>
      <c r="K1471" t="s">
        <v>19203</v>
      </c>
      <c r="L1471" t="s">
        <v>19396</v>
      </c>
      <c r="M1471" s="161" t="s">
        <v>19202</v>
      </c>
    </row>
    <row r="1472" spans="9:13" x14ac:dyDescent="0.25">
      <c r="I1472" t="s">
        <v>5633</v>
      </c>
      <c r="J1472" s="161" t="s">
        <v>19202</v>
      </c>
      <c r="K1472" t="s">
        <v>19203</v>
      </c>
      <c r="L1472" t="s">
        <v>200</v>
      </c>
      <c r="M1472" s="161" t="s">
        <v>19202</v>
      </c>
    </row>
    <row r="1473" spans="9:13" x14ac:dyDescent="0.25">
      <c r="I1473" t="s">
        <v>14202</v>
      </c>
      <c r="J1473" s="161" t="s">
        <v>19202</v>
      </c>
      <c r="K1473" t="s">
        <v>19203</v>
      </c>
      <c r="L1473" t="s">
        <v>14201</v>
      </c>
      <c r="M1473" s="161" t="s">
        <v>19202</v>
      </c>
    </row>
    <row r="1474" spans="9:13" x14ac:dyDescent="0.25">
      <c r="I1474" t="s">
        <v>19397</v>
      </c>
      <c r="J1474" s="161" t="s">
        <v>19202</v>
      </c>
      <c r="K1474" t="s">
        <v>19203</v>
      </c>
      <c r="L1474" t="s">
        <v>19398</v>
      </c>
      <c r="M1474" s="161" t="s">
        <v>19202</v>
      </c>
    </row>
    <row r="1475" spans="9:13" x14ac:dyDescent="0.25">
      <c r="I1475" t="s">
        <v>17949</v>
      </c>
      <c r="J1475" s="161" t="s">
        <v>19202</v>
      </c>
      <c r="K1475" t="s">
        <v>19203</v>
      </c>
      <c r="L1475" t="s">
        <v>17948</v>
      </c>
      <c r="M1475" s="161" t="s">
        <v>19202</v>
      </c>
    </row>
    <row r="1476" spans="9:13" x14ac:dyDescent="0.25">
      <c r="I1476" t="s">
        <v>13956</v>
      </c>
      <c r="J1476" s="161" t="s">
        <v>19202</v>
      </c>
      <c r="K1476" t="s">
        <v>19203</v>
      </c>
      <c r="L1476" t="s">
        <v>13955</v>
      </c>
      <c r="M1476" s="161" t="s">
        <v>19202</v>
      </c>
    </row>
    <row r="1477" spans="9:13" x14ac:dyDescent="0.25">
      <c r="I1477" t="s">
        <v>14217</v>
      </c>
      <c r="J1477" s="161" t="s">
        <v>19202</v>
      </c>
      <c r="K1477" t="s">
        <v>19203</v>
      </c>
      <c r="L1477" t="s">
        <v>14216</v>
      </c>
      <c r="M1477" s="161" t="s">
        <v>19202</v>
      </c>
    </row>
    <row r="1478" spans="9:13" x14ac:dyDescent="0.25">
      <c r="I1478" t="s">
        <v>14215</v>
      </c>
      <c r="J1478" s="161" t="s">
        <v>19202</v>
      </c>
      <c r="K1478" t="s">
        <v>19203</v>
      </c>
      <c r="L1478" t="s">
        <v>14214</v>
      </c>
      <c r="M1478" s="161" t="s">
        <v>19202</v>
      </c>
    </row>
    <row r="1479" spans="9:13" x14ac:dyDescent="0.25">
      <c r="I1479" t="s">
        <v>14213</v>
      </c>
      <c r="J1479" s="161" t="s">
        <v>19202</v>
      </c>
      <c r="K1479" t="s">
        <v>19203</v>
      </c>
      <c r="L1479" t="s">
        <v>19399</v>
      </c>
      <c r="M1479" s="161" t="s">
        <v>19202</v>
      </c>
    </row>
    <row r="1480" spans="9:13" x14ac:dyDescent="0.25">
      <c r="I1480" t="s">
        <v>14212</v>
      </c>
      <c r="J1480" s="161" t="s">
        <v>19202</v>
      </c>
      <c r="K1480" t="s">
        <v>19203</v>
      </c>
      <c r="L1480" t="s">
        <v>14211</v>
      </c>
      <c r="M1480" s="161" t="s">
        <v>19202</v>
      </c>
    </row>
    <row r="1481" spans="9:13" x14ac:dyDescent="0.25">
      <c r="I1481" t="s">
        <v>1010</v>
      </c>
      <c r="J1481" s="161" t="s">
        <v>19202</v>
      </c>
      <c r="K1481" t="s">
        <v>19203</v>
      </c>
      <c r="L1481" t="s">
        <v>1009</v>
      </c>
      <c r="M1481" s="161" t="s">
        <v>19202</v>
      </c>
    </row>
    <row r="1482" spans="9:13" x14ac:dyDescent="0.25">
      <c r="I1482" t="s">
        <v>14208</v>
      </c>
      <c r="J1482" s="161" t="s">
        <v>19202</v>
      </c>
      <c r="K1482" t="s">
        <v>19203</v>
      </c>
      <c r="L1482" t="s">
        <v>14207</v>
      </c>
      <c r="M1482" s="161" t="s">
        <v>19202</v>
      </c>
    </row>
    <row r="1483" spans="9:13" x14ac:dyDescent="0.25">
      <c r="I1483" t="s">
        <v>14206</v>
      </c>
      <c r="J1483" s="161" t="s">
        <v>19202</v>
      </c>
      <c r="K1483" t="s">
        <v>19203</v>
      </c>
      <c r="L1483" t="s">
        <v>14205</v>
      </c>
      <c r="M1483" s="161" t="s">
        <v>19202</v>
      </c>
    </row>
    <row r="1484" spans="9:13" x14ac:dyDescent="0.25">
      <c r="I1484" t="s">
        <v>14204</v>
      </c>
      <c r="J1484" s="161" t="s">
        <v>19202</v>
      </c>
      <c r="K1484" t="s">
        <v>19203</v>
      </c>
      <c r="L1484" t="s">
        <v>14203</v>
      </c>
      <c r="M1484" s="161" t="s">
        <v>19202</v>
      </c>
    </row>
    <row r="1485" spans="9:13" x14ac:dyDescent="0.25">
      <c r="I1485" t="s">
        <v>8322</v>
      </c>
      <c r="J1485" s="161" t="s">
        <v>19202</v>
      </c>
      <c r="K1485" t="s">
        <v>19203</v>
      </c>
      <c r="L1485" t="s">
        <v>8321</v>
      </c>
      <c r="M1485" s="161" t="s">
        <v>19202</v>
      </c>
    </row>
    <row r="1486" spans="9:13" x14ac:dyDescent="0.25">
      <c r="I1486" t="s">
        <v>4543</v>
      </c>
      <c r="J1486" s="161" t="s">
        <v>19202</v>
      </c>
      <c r="K1486" t="s">
        <v>19203</v>
      </c>
      <c r="L1486" t="s">
        <v>4502</v>
      </c>
      <c r="M1486" s="161" t="s">
        <v>19202</v>
      </c>
    </row>
    <row r="1487" spans="9:13" x14ac:dyDescent="0.25">
      <c r="I1487" t="s">
        <v>19400</v>
      </c>
      <c r="J1487" s="161" t="s">
        <v>19202</v>
      </c>
      <c r="K1487" t="s">
        <v>19203</v>
      </c>
      <c r="L1487" t="s">
        <v>19401</v>
      </c>
      <c r="M1487" s="161" t="s">
        <v>19202</v>
      </c>
    </row>
    <row r="1488" spans="9:13" x14ac:dyDescent="0.25">
      <c r="I1488" t="s">
        <v>1595</v>
      </c>
      <c r="J1488" s="161" t="s">
        <v>19202</v>
      </c>
      <c r="K1488" t="s">
        <v>19203</v>
      </c>
      <c r="L1488" t="s">
        <v>1594</v>
      </c>
      <c r="M1488" s="161" t="s">
        <v>19202</v>
      </c>
    </row>
    <row r="1489" spans="9:13" x14ac:dyDescent="0.25">
      <c r="I1489" t="s">
        <v>14200</v>
      </c>
      <c r="J1489" s="161" t="s">
        <v>19202</v>
      </c>
      <c r="K1489" t="s">
        <v>19203</v>
      </c>
      <c r="L1489" t="s">
        <v>3854</v>
      </c>
      <c r="M1489" s="161" t="s">
        <v>19202</v>
      </c>
    </row>
    <row r="1490" spans="9:13" x14ac:dyDescent="0.25">
      <c r="I1490" t="s">
        <v>14170</v>
      </c>
      <c r="J1490" s="161" t="s">
        <v>19202</v>
      </c>
      <c r="K1490" t="s">
        <v>19203</v>
      </c>
      <c r="L1490" t="s">
        <v>14169</v>
      </c>
      <c r="M1490" s="161" t="s">
        <v>19202</v>
      </c>
    </row>
    <row r="1491" spans="9:13" x14ac:dyDescent="0.25">
      <c r="I1491" t="s">
        <v>11917</v>
      </c>
      <c r="J1491" s="161" t="s">
        <v>19202</v>
      </c>
      <c r="K1491" t="s">
        <v>19203</v>
      </c>
      <c r="L1491" t="s">
        <v>11916</v>
      </c>
      <c r="M1491" s="161" t="s">
        <v>19202</v>
      </c>
    </row>
    <row r="1492" spans="9:13" x14ac:dyDescent="0.25">
      <c r="I1492" t="s">
        <v>12238</v>
      </c>
      <c r="J1492" s="161" t="s">
        <v>19202</v>
      </c>
      <c r="K1492" t="s">
        <v>19203</v>
      </c>
      <c r="L1492" t="s">
        <v>12237</v>
      </c>
      <c r="M1492" s="161" t="s">
        <v>19202</v>
      </c>
    </row>
    <row r="1493" spans="9:13" x14ac:dyDescent="0.25">
      <c r="I1493" t="s">
        <v>12276</v>
      </c>
      <c r="J1493" s="161" t="s">
        <v>19202</v>
      </c>
      <c r="K1493" t="s">
        <v>19203</v>
      </c>
      <c r="L1493" t="s">
        <v>12275</v>
      </c>
      <c r="M1493" s="161" t="s">
        <v>19202</v>
      </c>
    </row>
    <row r="1494" spans="9:13" x14ac:dyDescent="0.25">
      <c r="I1494" t="s">
        <v>12156</v>
      </c>
      <c r="J1494" s="161" t="s">
        <v>19202</v>
      </c>
      <c r="K1494" t="s">
        <v>19203</v>
      </c>
      <c r="L1494" t="s">
        <v>12155</v>
      </c>
      <c r="M1494" s="161" t="s">
        <v>19202</v>
      </c>
    </row>
    <row r="1495" spans="9:13" x14ac:dyDescent="0.25">
      <c r="I1495" t="s">
        <v>12152</v>
      </c>
      <c r="J1495" s="161" t="s">
        <v>19202</v>
      </c>
      <c r="K1495" t="s">
        <v>19203</v>
      </c>
      <c r="L1495" t="s">
        <v>12151</v>
      </c>
      <c r="M1495" s="161" t="s">
        <v>19202</v>
      </c>
    </row>
    <row r="1496" spans="9:13" x14ac:dyDescent="0.25">
      <c r="I1496" t="s">
        <v>12056</v>
      </c>
      <c r="J1496" s="161" t="s">
        <v>19202</v>
      </c>
      <c r="K1496" t="s">
        <v>19203</v>
      </c>
      <c r="L1496" t="s">
        <v>12055</v>
      </c>
      <c r="M1496" s="161" t="s">
        <v>19202</v>
      </c>
    </row>
    <row r="1497" spans="9:13" x14ac:dyDescent="0.25">
      <c r="I1497" t="s">
        <v>12182</v>
      </c>
      <c r="J1497" s="161" t="s">
        <v>19202</v>
      </c>
      <c r="K1497" t="s">
        <v>19203</v>
      </c>
      <c r="L1497" t="s">
        <v>12181</v>
      </c>
      <c r="M1497" s="161" t="s">
        <v>19202</v>
      </c>
    </row>
    <row r="1498" spans="9:13" x14ac:dyDescent="0.25">
      <c r="I1498" t="s">
        <v>537</v>
      </c>
      <c r="J1498" s="161" t="s">
        <v>19202</v>
      </c>
      <c r="K1498" t="s">
        <v>19203</v>
      </c>
      <c r="L1498" t="s">
        <v>536</v>
      </c>
      <c r="M1498" s="161" t="s">
        <v>19202</v>
      </c>
    </row>
    <row r="1499" spans="9:13" x14ac:dyDescent="0.25">
      <c r="I1499" t="s">
        <v>12493</v>
      </c>
      <c r="J1499" s="161" t="s">
        <v>19202</v>
      </c>
      <c r="K1499" t="s">
        <v>19203</v>
      </c>
      <c r="L1499" t="s">
        <v>12492</v>
      </c>
      <c r="M1499" s="161" t="s">
        <v>19202</v>
      </c>
    </row>
    <row r="1500" spans="9:13" x14ac:dyDescent="0.25">
      <c r="I1500" t="s">
        <v>14153</v>
      </c>
      <c r="J1500" s="161" t="s">
        <v>19202</v>
      </c>
      <c r="K1500" t="s">
        <v>19203</v>
      </c>
      <c r="L1500" t="s">
        <v>14152</v>
      </c>
      <c r="M1500" s="161" t="s">
        <v>19202</v>
      </c>
    </row>
    <row r="1501" spans="9:13" x14ac:dyDescent="0.25">
      <c r="I1501" t="s">
        <v>14504</v>
      </c>
      <c r="J1501" s="161" t="s">
        <v>19202</v>
      </c>
      <c r="K1501" t="s">
        <v>19203</v>
      </c>
      <c r="L1501" t="s">
        <v>14503</v>
      </c>
      <c r="M1501" s="161" t="s">
        <v>19202</v>
      </c>
    </row>
    <row r="1502" spans="9:13" x14ac:dyDescent="0.25">
      <c r="I1502" t="s">
        <v>14502</v>
      </c>
      <c r="J1502" s="161" t="s">
        <v>19202</v>
      </c>
      <c r="K1502" t="s">
        <v>19203</v>
      </c>
      <c r="L1502" t="s">
        <v>632</v>
      </c>
      <c r="M1502" s="161" t="s">
        <v>19202</v>
      </c>
    </row>
    <row r="1503" spans="9:13" x14ac:dyDescent="0.25">
      <c r="I1503" t="s">
        <v>14422</v>
      </c>
      <c r="J1503" s="161" t="s">
        <v>19202</v>
      </c>
      <c r="K1503" t="s">
        <v>19203</v>
      </c>
      <c r="L1503" t="s">
        <v>14421</v>
      </c>
      <c r="M1503" s="161" t="s">
        <v>19202</v>
      </c>
    </row>
    <row r="1504" spans="9:13" x14ac:dyDescent="0.25">
      <c r="I1504" t="s">
        <v>8152</v>
      </c>
      <c r="J1504" s="161" t="s">
        <v>19202</v>
      </c>
      <c r="K1504" t="s">
        <v>19203</v>
      </c>
      <c r="L1504" t="s">
        <v>8151</v>
      </c>
      <c r="M1504" s="161" t="s">
        <v>19202</v>
      </c>
    </row>
    <row r="1505" spans="9:13" x14ac:dyDescent="0.25">
      <c r="I1505" t="s">
        <v>14412</v>
      </c>
      <c r="J1505" s="161" t="s">
        <v>19202</v>
      </c>
      <c r="K1505" t="s">
        <v>19203</v>
      </c>
      <c r="L1505" t="s">
        <v>14411</v>
      </c>
      <c r="M1505" s="161" t="s">
        <v>19202</v>
      </c>
    </row>
    <row r="1506" spans="9:13" x14ac:dyDescent="0.25">
      <c r="I1506" t="s">
        <v>18047</v>
      </c>
      <c r="J1506" s="161" t="s">
        <v>19202</v>
      </c>
      <c r="K1506" t="s">
        <v>19203</v>
      </c>
      <c r="L1506" t="s">
        <v>18046</v>
      </c>
      <c r="M1506" s="161" t="s">
        <v>19202</v>
      </c>
    </row>
    <row r="1507" spans="9:13" x14ac:dyDescent="0.25">
      <c r="I1507" t="s">
        <v>2134</v>
      </c>
      <c r="J1507" s="161" t="s">
        <v>19202</v>
      </c>
      <c r="K1507" t="s">
        <v>19203</v>
      </c>
      <c r="L1507" t="s">
        <v>2133</v>
      </c>
      <c r="M1507" s="161" t="s">
        <v>19202</v>
      </c>
    </row>
    <row r="1508" spans="9:13" x14ac:dyDescent="0.25">
      <c r="I1508" t="s">
        <v>14525</v>
      </c>
      <c r="J1508" s="161" t="s">
        <v>19202</v>
      </c>
      <c r="K1508" t="s">
        <v>19203</v>
      </c>
      <c r="L1508" t="s">
        <v>13224</v>
      </c>
      <c r="M1508" s="161" t="s">
        <v>19202</v>
      </c>
    </row>
    <row r="1509" spans="9:13" x14ac:dyDescent="0.25">
      <c r="I1509" t="s">
        <v>9949</v>
      </c>
      <c r="J1509" s="161" t="s">
        <v>19202</v>
      </c>
      <c r="K1509" t="s">
        <v>19203</v>
      </c>
      <c r="L1509" t="s">
        <v>9948</v>
      </c>
      <c r="M1509" s="161" t="s">
        <v>19202</v>
      </c>
    </row>
    <row r="1510" spans="9:13" x14ac:dyDescent="0.25">
      <c r="I1510" t="s">
        <v>16446</v>
      </c>
      <c r="J1510" s="161" t="s">
        <v>19202</v>
      </c>
      <c r="K1510" t="s">
        <v>19203</v>
      </c>
      <c r="L1510" t="s">
        <v>16445</v>
      </c>
      <c r="M1510" s="161" t="s">
        <v>19202</v>
      </c>
    </row>
    <row r="1511" spans="9:13" x14ac:dyDescent="0.25">
      <c r="I1511" t="s">
        <v>17428</v>
      </c>
      <c r="J1511" s="161" t="s">
        <v>19202</v>
      </c>
      <c r="K1511" t="s">
        <v>19203</v>
      </c>
      <c r="L1511" t="s">
        <v>17427</v>
      </c>
      <c r="M1511" s="161" t="s">
        <v>19202</v>
      </c>
    </row>
    <row r="1512" spans="9:13" x14ac:dyDescent="0.25">
      <c r="I1512" t="s">
        <v>17424</v>
      </c>
      <c r="J1512" s="161" t="s">
        <v>19202</v>
      </c>
      <c r="K1512" t="s">
        <v>19203</v>
      </c>
      <c r="L1512" t="s">
        <v>1605</v>
      </c>
      <c r="M1512" s="161" t="s">
        <v>19202</v>
      </c>
    </row>
    <row r="1513" spans="9:13" x14ac:dyDescent="0.25">
      <c r="I1513" t="s">
        <v>1571</v>
      </c>
      <c r="J1513" s="161" t="s">
        <v>19202</v>
      </c>
      <c r="K1513" t="s">
        <v>19203</v>
      </c>
      <c r="L1513" t="s">
        <v>1570</v>
      </c>
      <c r="M1513" s="161" t="s">
        <v>19202</v>
      </c>
    </row>
    <row r="1514" spans="9:13" x14ac:dyDescent="0.25">
      <c r="I1514" t="s">
        <v>17484</v>
      </c>
      <c r="J1514" s="161" t="s">
        <v>19202</v>
      </c>
      <c r="K1514" t="s">
        <v>19203</v>
      </c>
      <c r="L1514" t="s">
        <v>17483</v>
      </c>
      <c r="M1514" s="161" t="s">
        <v>19202</v>
      </c>
    </row>
    <row r="1515" spans="9:13" x14ac:dyDescent="0.25">
      <c r="I1515" t="s">
        <v>2835</v>
      </c>
      <c r="J1515" s="161" t="s">
        <v>19202</v>
      </c>
      <c r="K1515" t="s">
        <v>19203</v>
      </c>
      <c r="L1515" t="s">
        <v>2834</v>
      </c>
      <c r="M1515" s="161" t="s">
        <v>19202</v>
      </c>
    </row>
    <row r="1516" spans="9:13" x14ac:dyDescent="0.25">
      <c r="I1516" t="s">
        <v>14410</v>
      </c>
      <c r="J1516" s="161" t="s">
        <v>19202</v>
      </c>
      <c r="K1516" t="s">
        <v>19203</v>
      </c>
      <c r="L1516" t="s">
        <v>14409</v>
      </c>
      <c r="M1516" s="161" t="s">
        <v>19202</v>
      </c>
    </row>
    <row r="1517" spans="9:13" x14ac:dyDescent="0.25">
      <c r="I1517" t="s">
        <v>17294</v>
      </c>
      <c r="J1517" s="161" t="s">
        <v>19202</v>
      </c>
      <c r="K1517" t="s">
        <v>19203</v>
      </c>
      <c r="L1517" t="s">
        <v>17293</v>
      </c>
      <c r="M1517" s="161" t="s">
        <v>19202</v>
      </c>
    </row>
    <row r="1518" spans="9:13" x14ac:dyDescent="0.25">
      <c r="I1518" t="s">
        <v>2342</v>
      </c>
      <c r="J1518" s="161" t="s">
        <v>19202</v>
      </c>
      <c r="K1518" t="s">
        <v>19203</v>
      </c>
      <c r="L1518" t="s">
        <v>2341</v>
      </c>
      <c r="M1518" s="161" t="s">
        <v>19202</v>
      </c>
    </row>
    <row r="1519" spans="9:13" x14ac:dyDescent="0.25">
      <c r="I1519" t="s">
        <v>14424</v>
      </c>
      <c r="J1519" s="161" t="s">
        <v>19202</v>
      </c>
      <c r="K1519" t="s">
        <v>19203</v>
      </c>
      <c r="L1519" t="s">
        <v>4332</v>
      </c>
      <c r="M1519" s="161" t="s">
        <v>19202</v>
      </c>
    </row>
    <row r="1520" spans="9:13" x14ac:dyDescent="0.25">
      <c r="I1520" t="s">
        <v>5513</v>
      </c>
      <c r="J1520" s="161" t="s">
        <v>19202</v>
      </c>
      <c r="K1520" t="s">
        <v>19203</v>
      </c>
      <c r="L1520" t="s">
        <v>5512</v>
      </c>
      <c r="M1520" s="161" t="s">
        <v>19202</v>
      </c>
    </row>
    <row r="1521" spans="9:13" x14ac:dyDescent="0.25">
      <c r="I1521" t="s">
        <v>14339</v>
      </c>
      <c r="J1521" s="161" t="s">
        <v>19202</v>
      </c>
      <c r="K1521" t="s">
        <v>19203</v>
      </c>
      <c r="L1521" t="s">
        <v>14149</v>
      </c>
      <c r="M1521" s="161" t="s">
        <v>19202</v>
      </c>
    </row>
    <row r="1522" spans="9:13" x14ac:dyDescent="0.25">
      <c r="I1522" t="s">
        <v>14370</v>
      </c>
      <c r="J1522" s="161" t="s">
        <v>19202</v>
      </c>
      <c r="K1522" t="s">
        <v>19203</v>
      </c>
      <c r="L1522" t="s">
        <v>14369</v>
      </c>
      <c r="M1522" s="161" t="s">
        <v>19202</v>
      </c>
    </row>
    <row r="1523" spans="9:13" x14ac:dyDescent="0.25">
      <c r="I1523" t="s">
        <v>5616</v>
      </c>
      <c r="J1523" s="161" t="s">
        <v>19202</v>
      </c>
      <c r="K1523" t="s">
        <v>19203</v>
      </c>
      <c r="L1523" t="s">
        <v>5615</v>
      </c>
      <c r="M1523" s="161" t="s">
        <v>19202</v>
      </c>
    </row>
    <row r="1524" spans="9:13" x14ac:dyDescent="0.25">
      <c r="I1524" t="s">
        <v>1705</v>
      </c>
      <c r="J1524" s="161" t="s">
        <v>19202</v>
      </c>
      <c r="K1524" t="s">
        <v>19203</v>
      </c>
      <c r="L1524" t="s">
        <v>1704</v>
      </c>
      <c r="M1524" s="161" t="s">
        <v>19202</v>
      </c>
    </row>
    <row r="1525" spans="9:13" x14ac:dyDescent="0.25">
      <c r="I1525" t="s">
        <v>17882</v>
      </c>
      <c r="J1525" s="161" t="s">
        <v>19202</v>
      </c>
      <c r="K1525" t="s">
        <v>19203</v>
      </c>
      <c r="L1525" t="s">
        <v>17881</v>
      </c>
      <c r="M1525" s="161" t="s">
        <v>19202</v>
      </c>
    </row>
    <row r="1526" spans="9:13" x14ac:dyDescent="0.25">
      <c r="I1526" t="s">
        <v>17252</v>
      </c>
      <c r="J1526" s="161" t="s">
        <v>19202</v>
      </c>
      <c r="K1526" t="s">
        <v>19203</v>
      </c>
      <c r="L1526" t="s">
        <v>17251</v>
      </c>
      <c r="M1526" s="161" t="s">
        <v>19202</v>
      </c>
    </row>
    <row r="1527" spans="9:13" x14ac:dyDescent="0.25">
      <c r="I1527" t="s">
        <v>127</v>
      </c>
      <c r="J1527" s="161" t="s">
        <v>19202</v>
      </c>
      <c r="K1527" t="s">
        <v>19203</v>
      </c>
      <c r="L1527" t="s">
        <v>126</v>
      </c>
      <c r="M1527" s="161" t="s">
        <v>19202</v>
      </c>
    </row>
    <row r="1528" spans="9:13" x14ac:dyDescent="0.25">
      <c r="I1528" t="s">
        <v>19402</v>
      </c>
      <c r="J1528" s="161" t="s">
        <v>19202</v>
      </c>
      <c r="K1528" t="s">
        <v>19203</v>
      </c>
      <c r="L1528" t="s">
        <v>19403</v>
      </c>
      <c r="M1528" s="161" t="s">
        <v>19202</v>
      </c>
    </row>
    <row r="1529" spans="9:13" x14ac:dyDescent="0.25">
      <c r="I1529" t="s">
        <v>13558</v>
      </c>
      <c r="J1529" s="161" t="s">
        <v>19202</v>
      </c>
      <c r="K1529" t="s">
        <v>19203</v>
      </c>
      <c r="L1529" t="s">
        <v>13557</v>
      </c>
      <c r="M1529" s="161" t="s">
        <v>19202</v>
      </c>
    </row>
    <row r="1530" spans="9:13" x14ac:dyDescent="0.25">
      <c r="I1530" t="s">
        <v>1791</v>
      </c>
      <c r="J1530" s="161" t="s">
        <v>19202</v>
      </c>
      <c r="K1530" t="s">
        <v>19203</v>
      </c>
      <c r="L1530" t="s">
        <v>1790</v>
      </c>
      <c r="M1530" s="161" t="s">
        <v>19202</v>
      </c>
    </row>
    <row r="1531" spans="9:13" x14ac:dyDescent="0.25">
      <c r="I1531" t="s">
        <v>19404</v>
      </c>
      <c r="J1531" s="161" t="s">
        <v>19202</v>
      </c>
      <c r="K1531" t="s">
        <v>19203</v>
      </c>
      <c r="L1531" t="s">
        <v>19405</v>
      </c>
      <c r="M1531" s="161" t="s">
        <v>19202</v>
      </c>
    </row>
    <row r="1532" spans="9:13" x14ac:dyDescent="0.25">
      <c r="I1532" t="s">
        <v>16556</v>
      </c>
      <c r="J1532" s="161" t="s">
        <v>19202</v>
      </c>
      <c r="K1532" t="s">
        <v>19203</v>
      </c>
      <c r="L1532" t="s">
        <v>15719</v>
      </c>
      <c r="M1532" s="161" t="s">
        <v>19202</v>
      </c>
    </row>
    <row r="1533" spans="9:13" x14ac:dyDescent="0.25">
      <c r="I1533" t="s">
        <v>19406</v>
      </c>
      <c r="J1533" s="161" t="s">
        <v>19202</v>
      </c>
      <c r="K1533" t="s">
        <v>19203</v>
      </c>
      <c r="L1533" t="s">
        <v>19407</v>
      </c>
      <c r="M1533" s="161" t="s">
        <v>19202</v>
      </c>
    </row>
    <row r="1534" spans="9:13" x14ac:dyDescent="0.25">
      <c r="I1534" t="s">
        <v>14250</v>
      </c>
      <c r="J1534" s="161" t="s">
        <v>19202</v>
      </c>
      <c r="K1534" t="s">
        <v>19203</v>
      </c>
      <c r="L1534" t="s">
        <v>14249</v>
      </c>
      <c r="M1534" s="161" t="s">
        <v>19202</v>
      </c>
    </row>
    <row r="1535" spans="9:13" x14ac:dyDescent="0.25">
      <c r="I1535" t="s">
        <v>18118</v>
      </c>
      <c r="J1535" s="161" t="s">
        <v>19202</v>
      </c>
      <c r="K1535" t="s">
        <v>19203</v>
      </c>
      <c r="L1535" t="s">
        <v>13197</v>
      </c>
      <c r="M1535" s="161" t="s">
        <v>19202</v>
      </c>
    </row>
    <row r="1536" spans="9:13" x14ac:dyDescent="0.25">
      <c r="I1536" t="s">
        <v>19125</v>
      </c>
      <c r="J1536" s="161" t="s">
        <v>19202</v>
      </c>
      <c r="K1536" t="s">
        <v>19203</v>
      </c>
      <c r="L1536" t="s">
        <v>19127</v>
      </c>
      <c r="M1536" s="161" t="s">
        <v>19202</v>
      </c>
    </row>
    <row r="1537" spans="9:13" x14ac:dyDescent="0.25">
      <c r="I1537" t="s">
        <v>14157</v>
      </c>
      <c r="J1537" s="161" t="s">
        <v>19202</v>
      </c>
      <c r="K1537" t="s">
        <v>19203</v>
      </c>
      <c r="L1537" t="s">
        <v>14156</v>
      </c>
      <c r="M1537" s="161" t="s">
        <v>19202</v>
      </c>
    </row>
    <row r="1538" spans="9:13" x14ac:dyDescent="0.25">
      <c r="I1538" t="s">
        <v>12733</v>
      </c>
      <c r="J1538" s="161" t="s">
        <v>19202</v>
      </c>
      <c r="K1538" t="s">
        <v>19203</v>
      </c>
      <c r="L1538" t="s">
        <v>12732</v>
      </c>
      <c r="M1538" s="161" t="s">
        <v>19202</v>
      </c>
    </row>
    <row r="1539" spans="9:13" x14ac:dyDescent="0.25">
      <c r="I1539" t="s">
        <v>3473</v>
      </c>
      <c r="J1539" s="161" t="s">
        <v>19202</v>
      </c>
      <c r="K1539" t="s">
        <v>19203</v>
      </c>
      <c r="L1539" t="s">
        <v>3472</v>
      </c>
      <c r="M1539" s="161" t="s">
        <v>19202</v>
      </c>
    </row>
    <row r="1540" spans="9:13" x14ac:dyDescent="0.25">
      <c r="I1540" t="s">
        <v>933</v>
      </c>
      <c r="J1540" s="161" t="s">
        <v>19202</v>
      </c>
      <c r="K1540" t="s">
        <v>19203</v>
      </c>
      <c r="L1540" t="s">
        <v>932</v>
      </c>
      <c r="M1540" s="161" t="s">
        <v>19202</v>
      </c>
    </row>
    <row r="1541" spans="9:13" x14ac:dyDescent="0.25">
      <c r="I1541" t="s">
        <v>17982</v>
      </c>
      <c r="J1541" s="161" t="s">
        <v>19202</v>
      </c>
      <c r="K1541" t="s">
        <v>19203</v>
      </c>
      <c r="L1541" t="s">
        <v>17981</v>
      </c>
      <c r="M1541" s="161" t="s">
        <v>19202</v>
      </c>
    </row>
    <row r="1542" spans="9:13" x14ac:dyDescent="0.25">
      <c r="I1542" t="s">
        <v>12538</v>
      </c>
      <c r="J1542" s="161" t="s">
        <v>19202</v>
      </c>
      <c r="K1542" t="s">
        <v>19203</v>
      </c>
      <c r="L1542" t="s">
        <v>12537</v>
      </c>
      <c r="M1542" s="161" t="s">
        <v>19202</v>
      </c>
    </row>
    <row r="1543" spans="9:13" x14ac:dyDescent="0.25">
      <c r="I1543" t="s">
        <v>18928</v>
      </c>
      <c r="J1543" s="161" t="s">
        <v>19202</v>
      </c>
      <c r="K1543" t="s">
        <v>19203</v>
      </c>
      <c r="L1543" t="s">
        <v>13327</v>
      </c>
      <c r="M1543" s="161" t="s">
        <v>19202</v>
      </c>
    </row>
    <row r="1544" spans="9:13" x14ac:dyDescent="0.25">
      <c r="I1544" t="s">
        <v>13185</v>
      </c>
      <c r="J1544" s="161" t="s">
        <v>19202</v>
      </c>
      <c r="K1544" t="s">
        <v>19203</v>
      </c>
      <c r="L1544" t="s">
        <v>13184</v>
      </c>
      <c r="M1544" s="161" t="s">
        <v>19202</v>
      </c>
    </row>
    <row r="1545" spans="9:13" x14ac:dyDescent="0.25">
      <c r="I1545" t="s">
        <v>14163</v>
      </c>
      <c r="J1545" s="161" t="s">
        <v>19202</v>
      </c>
      <c r="K1545" t="s">
        <v>19203</v>
      </c>
      <c r="L1545" t="s">
        <v>14162</v>
      </c>
      <c r="M1545" s="161" t="s">
        <v>19202</v>
      </c>
    </row>
    <row r="1546" spans="9:13" x14ac:dyDescent="0.25">
      <c r="I1546" t="s">
        <v>1410</v>
      </c>
      <c r="J1546" s="161" t="s">
        <v>19202</v>
      </c>
      <c r="K1546" t="s">
        <v>19203</v>
      </c>
      <c r="L1546" t="s">
        <v>1409</v>
      </c>
      <c r="M1546" s="161" t="s">
        <v>19202</v>
      </c>
    </row>
    <row r="1547" spans="9:13" x14ac:dyDescent="0.25">
      <c r="I1547" t="s">
        <v>14315</v>
      </c>
      <c r="J1547" s="161" t="s">
        <v>19202</v>
      </c>
      <c r="K1547" t="s">
        <v>19203</v>
      </c>
      <c r="L1547" t="s">
        <v>14314</v>
      </c>
      <c r="M1547" s="161" t="s">
        <v>19202</v>
      </c>
    </row>
    <row r="1548" spans="9:13" x14ac:dyDescent="0.25">
      <c r="I1548" t="s">
        <v>18043</v>
      </c>
      <c r="J1548" s="161" t="s">
        <v>19202</v>
      </c>
      <c r="K1548" t="s">
        <v>19203</v>
      </c>
      <c r="L1548" t="s">
        <v>1084</v>
      </c>
      <c r="M1548" s="161" t="s">
        <v>19202</v>
      </c>
    </row>
    <row r="1549" spans="9:13" x14ac:dyDescent="0.25">
      <c r="I1549" t="s">
        <v>14210</v>
      </c>
      <c r="J1549" s="161" t="s">
        <v>19202</v>
      </c>
      <c r="K1549" t="s">
        <v>19203</v>
      </c>
      <c r="L1549" t="s">
        <v>14209</v>
      </c>
      <c r="M1549" s="161" t="s">
        <v>19202</v>
      </c>
    </row>
    <row r="1550" spans="9:13" x14ac:dyDescent="0.25">
      <c r="I1550" t="s">
        <v>1309</v>
      </c>
      <c r="J1550" s="161" t="s">
        <v>19202</v>
      </c>
      <c r="K1550" t="s">
        <v>19203</v>
      </c>
      <c r="L1550" t="s">
        <v>1308</v>
      </c>
      <c r="M1550" s="161" t="s">
        <v>19202</v>
      </c>
    </row>
    <row r="1551" spans="9:13" x14ac:dyDescent="0.25">
      <c r="I1551" t="s">
        <v>2653</v>
      </c>
      <c r="J1551" s="161" t="s">
        <v>19202</v>
      </c>
      <c r="K1551" t="s">
        <v>19203</v>
      </c>
      <c r="L1551" t="s">
        <v>2652</v>
      </c>
      <c r="M1551" s="161" t="s">
        <v>19202</v>
      </c>
    </row>
    <row r="1552" spans="9:13" x14ac:dyDescent="0.25">
      <c r="I1552" t="s">
        <v>4303</v>
      </c>
      <c r="J1552" s="161" t="s">
        <v>19202</v>
      </c>
      <c r="K1552" t="s">
        <v>19203</v>
      </c>
      <c r="L1552" t="s">
        <v>4302</v>
      </c>
      <c r="M1552" s="161" t="s">
        <v>19202</v>
      </c>
    </row>
    <row r="1553" spans="9:13" x14ac:dyDescent="0.25">
      <c r="I1553" t="s">
        <v>10120</v>
      </c>
      <c r="J1553" s="161" t="s">
        <v>19202</v>
      </c>
      <c r="K1553" t="s">
        <v>19203</v>
      </c>
      <c r="L1553" t="s">
        <v>10119</v>
      </c>
      <c r="M1553" s="161" t="s">
        <v>19202</v>
      </c>
    </row>
    <row r="1554" spans="9:13" x14ac:dyDescent="0.25">
      <c r="I1554" t="s">
        <v>927</v>
      </c>
      <c r="J1554" s="161" t="s">
        <v>19202</v>
      </c>
      <c r="K1554" t="s">
        <v>19203</v>
      </c>
      <c r="L1554" t="s">
        <v>824</v>
      </c>
      <c r="M1554" s="161" t="s">
        <v>19202</v>
      </c>
    </row>
    <row r="1555" spans="9:13" x14ac:dyDescent="0.25">
      <c r="I1555" t="s">
        <v>931</v>
      </c>
      <c r="J1555" s="161" t="s">
        <v>19202</v>
      </c>
      <c r="K1555" t="s">
        <v>19203</v>
      </c>
      <c r="L1555" t="s">
        <v>930</v>
      </c>
      <c r="M1555" s="161" t="s">
        <v>19202</v>
      </c>
    </row>
    <row r="1556" spans="9:13" x14ac:dyDescent="0.25">
      <c r="I1556" t="s">
        <v>17942</v>
      </c>
      <c r="J1556" s="161" t="s">
        <v>19202</v>
      </c>
      <c r="K1556" t="s">
        <v>19203</v>
      </c>
      <c r="L1556" t="s">
        <v>17941</v>
      </c>
      <c r="M1556" s="161" t="s">
        <v>19202</v>
      </c>
    </row>
    <row r="1557" spans="9:13" x14ac:dyDescent="0.25">
      <c r="I1557" t="s">
        <v>14376</v>
      </c>
      <c r="J1557" s="161" t="s">
        <v>19202</v>
      </c>
      <c r="K1557" t="s">
        <v>19203</v>
      </c>
      <c r="L1557" t="s">
        <v>440</v>
      </c>
      <c r="M1557" s="161" t="s">
        <v>19202</v>
      </c>
    </row>
    <row r="1558" spans="9:13" x14ac:dyDescent="0.25">
      <c r="I1558" t="s">
        <v>3635</v>
      </c>
      <c r="J1558" s="161" t="s">
        <v>19202</v>
      </c>
      <c r="K1558" t="s">
        <v>19203</v>
      </c>
      <c r="L1558" t="s">
        <v>3634</v>
      </c>
      <c r="M1558" s="161" t="s">
        <v>19202</v>
      </c>
    </row>
    <row r="1559" spans="9:13" x14ac:dyDescent="0.25">
      <c r="I1559" t="s">
        <v>1565</v>
      </c>
      <c r="J1559" s="161" t="s">
        <v>19202</v>
      </c>
      <c r="K1559" t="s">
        <v>19203</v>
      </c>
      <c r="L1559" t="s">
        <v>1564</v>
      </c>
      <c r="M1559" s="161" t="s">
        <v>19202</v>
      </c>
    </row>
    <row r="1560" spans="9:13" x14ac:dyDescent="0.25">
      <c r="I1560" t="s">
        <v>18083</v>
      </c>
      <c r="J1560" s="161" t="s">
        <v>19202</v>
      </c>
      <c r="K1560" t="s">
        <v>19203</v>
      </c>
      <c r="L1560" t="s">
        <v>934</v>
      </c>
      <c r="M1560" s="161" t="s">
        <v>19202</v>
      </c>
    </row>
    <row r="1561" spans="9:13" x14ac:dyDescent="0.25">
      <c r="I1561" t="s">
        <v>12176</v>
      </c>
      <c r="J1561" s="161" t="s">
        <v>19202</v>
      </c>
      <c r="K1561" t="s">
        <v>19203</v>
      </c>
      <c r="L1561" t="s">
        <v>12175</v>
      </c>
      <c r="M1561" s="161" t="s">
        <v>19202</v>
      </c>
    </row>
    <row r="1562" spans="9:13" x14ac:dyDescent="0.25">
      <c r="I1562" t="s">
        <v>14468</v>
      </c>
      <c r="J1562" s="161" t="s">
        <v>19202</v>
      </c>
      <c r="K1562" t="s">
        <v>19203</v>
      </c>
      <c r="L1562" t="s">
        <v>14467</v>
      </c>
      <c r="M1562" s="161" t="s">
        <v>19202</v>
      </c>
    </row>
    <row r="1563" spans="9:13" x14ac:dyDescent="0.25">
      <c r="I1563" t="s">
        <v>17332</v>
      </c>
      <c r="J1563" s="161" t="s">
        <v>19202</v>
      </c>
      <c r="K1563" t="s">
        <v>19203</v>
      </c>
      <c r="L1563" t="s">
        <v>7836</v>
      </c>
      <c r="M1563" s="161" t="s">
        <v>19202</v>
      </c>
    </row>
    <row r="1564" spans="9:13" x14ac:dyDescent="0.25">
      <c r="I1564" t="s">
        <v>14343</v>
      </c>
      <c r="J1564" s="161" t="s">
        <v>19202</v>
      </c>
      <c r="K1564" t="s">
        <v>19203</v>
      </c>
      <c r="L1564" t="s">
        <v>728</v>
      </c>
      <c r="M1564" s="161" t="s">
        <v>19202</v>
      </c>
    </row>
    <row r="1565" spans="9:13" x14ac:dyDescent="0.25">
      <c r="I1565" t="s">
        <v>14292</v>
      </c>
      <c r="J1565" s="161" t="s">
        <v>19202</v>
      </c>
      <c r="K1565" t="s">
        <v>19203</v>
      </c>
      <c r="L1565" t="s">
        <v>934</v>
      </c>
      <c r="M1565" s="161" t="s">
        <v>19202</v>
      </c>
    </row>
    <row r="1566" spans="9:13" x14ac:dyDescent="0.25">
      <c r="I1566" t="s">
        <v>8528</v>
      </c>
      <c r="J1566" s="161" t="s">
        <v>19202</v>
      </c>
      <c r="K1566" t="s">
        <v>19203</v>
      </c>
      <c r="L1566" t="s">
        <v>8527</v>
      </c>
      <c r="M1566" s="161" t="s">
        <v>19202</v>
      </c>
    </row>
    <row r="1567" spans="9:13" x14ac:dyDescent="0.25">
      <c r="I1567" t="s">
        <v>8140</v>
      </c>
      <c r="J1567" s="161" t="s">
        <v>19202</v>
      </c>
      <c r="K1567" t="s">
        <v>19203</v>
      </c>
      <c r="L1567" t="s">
        <v>8139</v>
      </c>
      <c r="M1567" s="161" t="s">
        <v>19202</v>
      </c>
    </row>
    <row r="1568" spans="9:13" x14ac:dyDescent="0.25">
      <c r="I1568" t="s">
        <v>8884</v>
      </c>
      <c r="J1568" s="161" t="s">
        <v>19202</v>
      </c>
      <c r="K1568" t="s">
        <v>19203</v>
      </c>
      <c r="L1568" t="s">
        <v>8883</v>
      </c>
      <c r="M1568" s="161" t="s">
        <v>19202</v>
      </c>
    </row>
    <row r="1569" spans="9:13" x14ac:dyDescent="0.25">
      <c r="I1569" t="s">
        <v>16193</v>
      </c>
      <c r="J1569" s="161" t="s">
        <v>19202</v>
      </c>
      <c r="K1569" t="s">
        <v>19203</v>
      </c>
      <c r="L1569" t="s">
        <v>16192</v>
      </c>
      <c r="M1569" s="161" t="s">
        <v>19202</v>
      </c>
    </row>
    <row r="1570" spans="9:13" x14ac:dyDescent="0.25">
      <c r="I1570" t="s">
        <v>14470</v>
      </c>
      <c r="J1570" s="161" t="s">
        <v>19202</v>
      </c>
      <c r="K1570" t="s">
        <v>19203</v>
      </c>
      <c r="L1570" t="s">
        <v>14469</v>
      </c>
      <c r="M1570" s="161" t="s">
        <v>19202</v>
      </c>
    </row>
    <row r="1571" spans="9:13" x14ac:dyDescent="0.25">
      <c r="I1571" t="s">
        <v>4168</v>
      </c>
      <c r="J1571" s="161" t="s">
        <v>19202</v>
      </c>
      <c r="K1571" t="s">
        <v>19203</v>
      </c>
      <c r="L1571" t="s">
        <v>4167</v>
      </c>
      <c r="M1571" s="161" t="s">
        <v>19202</v>
      </c>
    </row>
    <row r="1572" spans="9:13" x14ac:dyDescent="0.25">
      <c r="I1572" t="s">
        <v>1585</v>
      </c>
      <c r="J1572" s="161" t="s">
        <v>19202</v>
      </c>
      <c r="K1572" t="s">
        <v>19203</v>
      </c>
      <c r="L1572" t="s">
        <v>1584</v>
      </c>
      <c r="M1572" s="161" t="s">
        <v>19202</v>
      </c>
    </row>
    <row r="1573" spans="9:13" x14ac:dyDescent="0.25">
      <c r="I1573" t="s">
        <v>5084</v>
      </c>
      <c r="J1573" s="161" t="s">
        <v>19202</v>
      </c>
      <c r="K1573" t="s">
        <v>19203</v>
      </c>
      <c r="L1573" t="s">
        <v>5083</v>
      </c>
      <c r="M1573" s="161" t="s">
        <v>19202</v>
      </c>
    </row>
    <row r="1574" spans="9:13" x14ac:dyDescent="0.25">
      <c r="I1574" t="s">
        <v>12266</v>
      </c>
      <c r="J1574" s="161" t="s">
        <v>19202</v>
      </c>
      <c r="K1574" t="s">
        <v>19203</v>
      </c>
      <c r="L1574" t="s">
        <v>12265</v>
      </c>
      <c r="M1574" s="161" t="s">
        <v>19202</v>
      </c>
    </row>
    <row r="1575" spans="9:13" x14ac:dyDescent="0.25">
      <c r="I1575" t="s">
        <v>1151</v>
      </c>
      <c r="J1575" s="161" t="s">
        <v>19202</v>
      </c>
      <c r="K1575" t="s">
        <v>19203</v>
      </c>
      <c r="L1575" t="s">
        <v>1150</v>
      </c>
      <c r="M1575" s="161" t="s">
        <v>19202</v>
      </c>
    </row>
    <row r="1576" spans="9:13" x14ac:dyDescent="0.25">
      <c r="I1576" t="s">
        <v>11848</v>
      </c>
      <c r="J1576" s="161" t="s">
        <v>19202</v>
      </c>
      <c r="K1576" t="s">
        <v>19203</v>
      </c>
      <c r="L1576" t="s">
        <v>11847</v>
      </c>
      <c r="M1576" s="161" t="s">
        <v>19202</v>
      </c>
    </row>
    <row r="1577" spans="9:13" x14ac:dyDescent="0.25">
      <c r="I1577" t="s">
        <v>4711</v>
      </c>
      <c r="J1577" s="161" t="s">
        <v>19202</v>
      </c>
      <c r="K1577" t="s">
        <v>19203</v>
      </c>
      <c r="L1577" t="s">
        <v>4710</v>
      </c>
      <c r="M1577" s="161" t="s">
        <v>19202</v>
      </c>
    </row>
    <row r="1578" spans="9:13" x14ac:dyDescent="0.25">
      <c r="I1578" t="s">
        <v>17306</v>
      </c>
      <c r="J1578" s="161" t="s">
        <v>19202</v>
      </c>
      <c r="K1578" t="s">
        <v>19203</v>
      </c>
      <c r="L1578" t="s">
        <v>17305</v>
      </c>
      <c r="M1578" s="161" t="s">
        <v>19202</v>
      </c>
    </row>
    <row r="1579" spans="9:13" x14ac:dyDescent="0.25">
      <c r="I1579" t="s">
        <v>8612</v>
      </c>
      <c r="J1579" s="161" t="s">
        <v>19202</v>
      </c>
      <c r="K1579" t="s">
        <v>19203</v>
      </c>
      <c r="L1579" t="s">
        <v>8611</v>
      </c>
      <c r="M1579" s="161" t="s">
        <v>19202</v>
      </c>
    </row>
    <row r="1580" spans="9:13" x14ac:dyDescent="0.25">
      <c r="I1580" t="s">
        <v>8375</v>
      </c>
      <c r="J1580" s="161" t="s">
        <v>19202</v>
      </c>
      <c r="K1580" t="s">
        <v>19203</v>
      </c>
      <c r="L1580" t="s">
        <v>8374</v>
      </c>
      <c r="M1580" s="161" t="s">
        <v>19202</v>
      </c>
    </row>
    <row r="1581" spans="9:13" x14ac:dyDescent="0.25">
      <c r="I1581" t="s">
        <v>13458</v>
      </c>
      <c r="J1581" s="161" t="s">
        <v>19202</v>
      </c>
      <c r="K1581" t="s">
        <v>19203</v>
      </c>
      <c r="L1581" t="s">
        <v>13457</v>
      </c>
      <c r="M1581" s="161" t="s">
        <v>19202</v>
      </c>
    </row>
    <row r="1582" spans="9:13" x14ac:dyDescent="0.25">
      <c r="I1582" t="s">
        <v>13914</v>
      </c>
      <c r="J1582" s="161" t="s">
        <v>19202</v>
      </c>
      <c r="K1582" t="s">
        <v>19203</v>
      </c>
      <c r="L1582" t="s">
        <v>13913</v>
      </c>
      <c r="M1582" s="161" t="s">
        <v>19202</v>
      </c>
    </row>
    <row r="1583" spans="9:13" x14ac:dyDescent="0.25">
      <c r="I1583" t="s">
        <v>1134</v>
      </c>
      <c r="J1583" s="161" t="s">
        <v>19202</v>
      </c>
      <c r="K1583" t="s">
        <v>19203</v>
      </c>
      <c r="L1583" t="s">
        <v>1133</v>
      </c>
      <c r="M1583" s="161" t="s">
        <v>19202</v>
      </c>
    </row>
    <row r="1584" spans="9:13" x14ac:dyDescent="0.25">
      <c r="I1584" t="s">
        <v>1691</v>
      </c>
      <c r="J1584" s="161" t="s">
        <v>19202</v>
      </c>
      <c r="K1584" t="s">
        <v>19203</v>
      </c>
      <c r="L1584" t="s">
        <v>1690</v>
      </c>
      <c r="M1584" s="161" t="s">
        <v>19202</v>
      </c>
    </row>
    <row r="1585" spans="9:13" x14ac:dyDescent="0.25">
      <c r="I1585" t="s">
        <v>13346</v>
      </c>
      <c r="J1585" s="161" t="s">
        <v>19202</v>
      </c>
      <c r="K1585" t="s">
        <v>19203</v>
      </c>
      <c r="L1585" t="s">
        <v>13345</v>
      </c>
      <c r="M1585" s="161" t="s">
        <v>19202</v>
      </c>
    </row>
    <row r="1586" spans="9:13" x14ac:dyDescent="0.25">
      <c r="I1586" t="s">
        <v>19408</v>
      </c>
      <c r="J1586" s="161" t="s">
        <v>19202</v>
      </c>
      <c r="K1586" t="s">
        <v>19203</v>
      </c>
      <c r="L1586" t="s">
        <v>4052</v>
      </c>
      <c r="M1586" s="161" t="s">
        <v>19202</v>
      </c>
    </row>
    <row r="1587" spans="9:13" x14ac:dyDescent="0.25">
      <c r="I1587" t="s">
        <v>9466</v>
      </c>
      <c r="J1587" s="161" t="s">
        <v>19202</v>
      </c>
      <c r="K1587" t="s">
        <v>19203</v>
      </c>
      <c r="L1587" t="s">
        <v>9465</v>
      </c>
      <c r="M1587" s="161" t="s">
        <v>19202</v>
      </c>
    </row>
    <row r="1588" spans="9:13" x14ac:dyDescent="0.25">
      <c r="I1588" t="s">
        <v>19409</v>
      </c>
      <c r="J1588" s="161" t="s">
        <v>19202</v>
      </c>
      <c r="K1588" t="s">
        <v>19203</v>
      </c>
      <c r="L1588" t="s">
        <v>19410</v>
      </c>
      <c r="M1588" s="161" t="s">
        <v>19202</v>
      </c>
    </row>
    <row r="1589" spans="9:13" x14ac:dyDescent="0.25">
      <c r="I1589" t="s">
        <v>10617</v>
      </c>
      <c r="J1589" s="161" t="s">
        <v>19202</v>
      </c>
      <c r="K1589" t="s">
        <v>19203</v>
      </c>
      <c r="L1589" t="s">
        <v>10616</v>
      </c>
      <c r="M1589" s="161" t="s">
        <v>19202</v>
      </c>
    </row>
    <row r="1590" spans="9:13" x14ac:dyDescent="0.25">
      <c r="I1590" t="s">
        <v>17302</v>
      </c>
      <c r="J1590" s="161" t="s">
        <v>19202</v>
      </c>
      <c r="K1590" t="s">
        <v>19203</v>
      </c>
      <c r="L1590" t="s">
        <v>17301</v>
      </c>
      <c r="M1590" s="161" t="s">
        <v>19202</v>
      </c>
    </row>
    <row r="1591" spans="9:13" x14ac:dyDescent="0.25">
      <c r="I1591" t="s">
        <v>1569</v>
      </c>
      <c r="J1591" s="161" t="s">
        <v>19202</v>
      </c>
      <c r="K1591" t="s">
        <v>19203</v>
      </c>
      <c r="L1591" t="s">
        <v>1568</v>
      </c>
      <c r="M1591" s="161" t="s">
        <v>19202</v>
      </c>
    </row>
    <row r="1592" spans="9:13" x14ac:dyDescent="0.25">
      <c r="I1592" t="s">
        <v>18117</v>
      </c>
      <c r="J1592" s="161" t="s">
        <v>19202</v>
      </c>
      <c r="K1592" t="s">
        <v>19203</v>
      </c>
      <c r="L1592" t="s">
        <v>18116</v>
      </c>
      <c r="M1592" s="161" t="s">
        <v>19202</v>
      </c>
    </row>
    <row r="1593" spans="9:13" x14ac:dyDescent="0.25">
      <c r="I1593" t="s">
        <v>1209</v>
      </c>
      <c r="J1593" s="161" t="s">
        <v>19202</v>
      </c>
      <c r="K1593" t="s">
        <v>19203</v>
      </c>
      <c r="L1593" t="s">
        <v>1208</v>
      </c>
      <c r="M1593" s="161" t="s">
        <v>19202</v>
      </c>
    </row>
    <row r="1594" spans="9:13" x14ac:dyDescent="0.25">
      <c r="I1594" t="s">
        <v>14578</v>
      </c>
      <c r="J1594" s="161" t="s">
        <v>19202</v>
      </c>
      <c r="K1594" t="s">
        <v>19203</v>
      </c>
      <c r="L1594" t="s">
        <v>14577</v>
      </c>
      <c r="M1594" s="161" t="s">
        <v>19202</v>
      </c>
    </row>
    <row r="1595" spans="9:13" x14ac:dyDescent="0.25">
      <c r="I1595" t="s">
        <v>17824</v>
      </c>
      <c r="J1595" s="161" t="s">
        <v>19202</v>
      </c>
      <c r="K1595" t="s">
        <v>19203</v>
      </c>
      <c r="L1595" t="s">
        <v>17823</v>
      </c>
      <c r="M1595" s="161" t="s">
        <v>19202</v>
      </c>
    </row>
    <row r="1596" spans="9:13" x14ac:dyDescent="0.25">
      <c r="I1596" t="s">
        <v>3600</v>
      </c>
      <c r="J1596" s="161" t="s">
        <v>19202</v>
      </c>
      <c r="K1596" t="s">
        <v>19203</v>
      </c>
      <c r="L1596" t="s">
        <v>3599</v>
      </c>
      <c r="M1596" s="161" t="s">
        <v>19202</v>
      </c>
    </row>
    <row r="1597" spans="9:13" x14ac:dyDescent="0.25">
      <c r="I1597" t="s">
        <v>17767</v>
      </c>
      <c r="J1597" s="161" t="s">
        <v>19202</v>
      </c>
      <c r="K1597" t="s">
        <v>19203</v>
      </c>
      <c r="L1597" t="s">
        <v>17766</v>
      </c>
      <c r="M1597" s="161" t="s">
        <v>19202</v>
      </c>
    </row>
    <row r="1598" spans="9:13" x14ac:dyDescent="0.25">
      <c r="I1598" t="s">
        <v>432</v>
      </c>
      <c r="J1598" s="161" t="s">
        <v>19202</v>
      </c>
      <c r="K1598" t="s">
        <v>19203</v>
      </c>
      <c r="L1598" t="s">
        <v>431</v>
      </c>
      <c r="M1598" s="161" t="s">
        <v>19202</v>
      </c>
    </row>
    <row r="1599" spans="9:13" x14ac:dyDescent="0.25">
      <c r="I1599" t="s">
        <v>428</v>
      </c>
      <c r="J1599" s="161" t="s">
        <v>19202</v>
      </c>
      <c r="K1599" t="s">
        <v>19203</v>
      </c>
      <c r="L1599" t="s">
        <v>427</v>
      </c>
      <c r="M1599" s="161" t="s">
        <v>19202</v>
      </c>
    </row>
    <row r="1600" spans="9:13" x14ac:dyDescent="0.25">
      <c r="I1600" t="s">
        <v>10562</v>
      </c>
      <c r="J1600" s="161" t="s">
        <v>19202</v>
      </c>
      <c r="K1600" t="s">
        <v>19203</v>
      </c>
      <c r="L1600" t="s">
        <v>10561</v>
      </c>
      <c r="M1600" s="161" t="s">
        <v>19202</v>
      </c>
    </row>
    <row r="1601" spans="9:13" x14ac:dyDescent="0.25">
      <c r="I1601" t="s">
        <v>973</v>
      </c>
      <c r="J1601" s="161" t="s">
        <v>19202</v>
      </c>
      <c r="K1601" t="s">
        <v>19203</v>
      </c>
      <c r="L1601" t="s">
        <v>972</v>
      </c>
      <c r="M1601" s="161" t="s">
        <v>19202</v>
      </c>
    </row>
    <row r="1602" spans="9:13" x14ac:dyDescent="0.25">
      <c r="I1602" t="s">
        <v>17946</v>
      </c>
      <c r="J1602" s="161" t="s">
        <v>19202</v>
      </c>
      <c r="K1602" t="s">
        <v>19203</v>
      </c>
      <c r="L1602" t="s">
        <v>17945</v>
      </c>
      <c r="M1602" s="161" t="s">
        <v>19202</v>
      </c>
    </row>
    <row r="1603" spans="9:13" x14ac:dyDescent="0.25">
      <c r="I1603" t="s">
        <v>1950</v>
      </c>
      <c r="J1603" s="161" t="s">
        <v>19202</v>
      </c>
      <c r="K1603" t="s">
        <v>19203</v>
      </c>
      <c r="L1603" t="s">
        <v>1949</v>
      </c>
      <c r="M1603" s="161" t="s">
        <v>19202</v>
      </c>
    </row>
    <row r="1604" spans="9:13" x14ac:dyDescent="0.25">
      <c r="I1604" t="s">
        <v>8377</v>
      </c>
      <c r="J1604" s="161" t="s">
        <v>19202</v>
      </c>
      <c r="K1604" t="s">
        <v>19203</v>
      </c>
      <c r="L1604" t="s">
        <v>8376</v>
      </c>
      <c r="M1604" s="161" t="s">
        <v>19202</v>
      </c>
    </row>
    <row r="1605" spans="9:13" x14ac:dyDescent="0.25">
      <c r="I1605" t="s">
        <v>15802</v>
      </c>
      <c r="J1605" s="161" t="s">
        <v>19202</v>
      </c>
      <c r="K1605" t="s">
        <v>19203</v>
      </c>
      <c r="L1605" t="s">
        <v>15801</v>
      </c>
      <c r="M1605" s="161" t="s">
        <v>19202</v>
      </c>
    </row>
    <row r="1606" spans="9:13" x14ac:dyDescent="0.25">
      <c r="I1606" t="s">
        <v>13060</v>
      </c>
      <c r="J1606" s="161" t="s">
        <v>19202</v>
      </c>
      <c r="K1606" t="s">
        <v>19203</v>
      </c>
      <c r="L1606" t="s">
        <v>13059</v>
      </c>
      <c r="M1606" s="161" t="s">
        <v>19202</v>
      </c>
    </row>
    <row r="1607" spans="9:13" x14ac:dyDescent="0.25">
      <c r="I1607" t="s">
        <v>5731</v>
      </c>
      <c r="J1607" s="161" t="s">
        <v>19202</v>
      </c>
      <c r="K1607" t="s">
        <v>19203</v>
      </c>
      <c r="L1607" t="s">
        <v>5730</v>
      </c>
      <c r="M1607" s="161" t="s">
        <v>19202</v>
      </c>
    </row>
    <row r="1608" spans="9:13" x14ac:dyDescent="0.25">
      <c r="I1608" t="s">
        <v>5990</v>
      </c>
      <c r="J1608" s="161" t="s">
        <v>19202</v>
      </c>
      <c r="K1608" t="s">
        <v>19203</v>
      </c>
      <c r="L1608" t="s">
        <v>5989</v>
      </c>
      <c r="M1608" s="161" t="s">
        <v>19202</v>
      </c>
    </row>
    <row r="1609" spans="9:13" x14ac:dyDescent="0.25">
      <c r="I1609" t="s">
        <v>16784</v>
      </c>
      <c r="J1609" s="161" t="s">
        <v>19202</v>
      </c>
      <c r="K1609" t="s">
        <v>19203</v>
      </c>
      <c r="L1609" t="s">
        <v>16783</v>
      </c>
      <c r="M1609" s="161" t="s">
        <v>19202</v>
      </c>
    </row>
    <row r="1610" spans="9:13" x14ac:dyDescent="0.25">
      <c r="I1610" t="s">
        <v>591</v>
      </c>
      <c r="J1610" s="161" t="s">
        <v>19202</v>
      </c>
      <c r="K1610" t="s">
        <v>19203</v>
      </c>
      <c r="L1610" t="s">
        <v>590</v>
      </c>
      <c r="M1610" s="161" t="s">
        <v>19202</v>
      </c>
    </row>
    <row r="1611" spans="9:13" x14ac:dyDescent="0.25">
      <c r="I1611" t="s">
        <v>8594</v>
      </c>
      <c r="J1611" s="161" t="s">
        <v>19202</v>
      </c>
      <c r="K1611" t="s">
        <v>19203</v>
      </c>
      <c r="L1611" t="s">
        <v>8593</v>
      </c>
      <c r="M1611" s="161" t="s">
        <v>19202</v>
      </c>
    </row>
    <row r="1612" spans="9:13" x14ac:dyDescent="0.25">
      <c r="I1612" t="s">
        <v>12658</v>
      </c>
      <c r="J1612" s="161" t="s">
        <v>19202</v>
      </c>
      <c r="K1612" t="s">
        <v>19203</v>
      </c>
      <c r="L1612" t="s">
        <v>12657</v>
      </c>
      <c r="M1612" s="161" t="s">
        <v>19202</v>
      </c>
    </row>
    <row r="1613" spans="9:13" x14ac:dyDescent="0.25">
      <c r="I1613" t="s">
        <v>13432</v>
      </c>
      <c r="J1613" s="161" t="s">
        <v>19202</v>
      </c>
      <c r="K1613" t="s">
        <v>19203</v>
      </c>
      <c r="L1613" t="s">
        <v>13431</v>
      </c>
      <c r="M1613" s="161" t="s">
        <v>19202</v>
      </c>
    </row>
    <row r="1614" spans="9:13" x14ac:dyDescent="0.25">
      <c r="I1614" t="s">
        <v>14381</v>
      </c>
      <c r="J1614" s="161" t="s">
        <v>19202</v>
      </c>
      <c r="K1614" t="s">
        <v>19203</v>
      </c>
      <c r="L1614" t="s">
        <v>14380</v>
      </c>
      <c r="M1614" s="161" t="s">
        <v>19202</v>
      </c>
    </row>
    <row r="1615" spans="9:13" x14ac:dyDescent="0.25">
      <c r="I1615" t="s">
        <v>5295</v>
      </c>
      <c r="J1615" s="161" t="s">
        <v>19202</v>
      </c>
      <c r="K1615" t="s">
        <v>19203</v>
      </c>
      <c r="L1615" t="s">
        <v>5294</v>
      </c>
      <c r="M1615" s="161" t="s">
        <v>19202</v>
      </c>
    </row>
    <row r="1616" spans="9:13" x14ac:dyDescent="0.25">
      <c r="I1616" t="s">
        <v>18045</v>
      </c>
      <c r="J1616" s="161" t="s">
        <v>19202</v>
      </c>
      <c r="K1616" t="s">
        <v>19203</v>
      </c>
      <c r="L1616" t="s">
        <v>18044</v>
      </c>
      <c r="M1616" s="161" t="s">
        <v>19202</v>
      </c>
    </row>
    <row r="1617" spans="9:13" x14ac:dyDescent="0.25">
      <c r="I1617" t="s">
        <v>2877</v>
      </c>
      <c r="J1617" s="161" t="s">
        <v>19202</v>
      </c>
      <c r="K1617" t="s">
        <v>19203</v>
      </c>
      <c r="L1617" t="s">
        <v>2876</v>
      </c>
      <c r="M1617" s="161" t="s">
        <v>19202</v>
      </c>
    </row>
    <row r="1618" spans="9:13" x14ac:dyDescent="0.25">
      <c r="I1618" t="s">
        <v>17564</v>
      </c>
      <c r="J1618" s="161" t="s">
        <v>19202</v>
      </c>
      <c r="K1618" t="s">
        <v>19203</v>
      </c>
      <c r="L1618" t="s">
        <v>17563</v>
      </c>
      <c r="M1618" s="161" t="s">
        <v>19202</v>
      </c>
    </row>
    <row r="1619" spans="9:13" x14ac:dyDescent="0.25">
      <c r="I1619" t="s">
        <v>19411</v>
      </c>
      <c r="J1619" s="161" t="s">
        <v>19202</v>
      </c>
      <c r="K1619" t="s">
        <v>19203</v>
      </c>
      <c r="L1619" t="s">
        <v>1837</v>
      </c>
      <c r="M1619" s="161" t="s">
        <v>19202</v>
      </c>
    </row>
    <row r="1620" spans="9:13" x14ac:dyDescent="0.25">
      <c r="I1620" t="s">
        <v>1114</v>
      </c>
      <c r="J1620" s="161" t="s">
        <v>19202</v>
      </c>
      <c r="K1620" t="s">
        <v>19203</v>
      </c>
      <c r="L1620" t="s">
        <v>884</v>
      </c>
      <c r="M1620" s="161" t="s">
        <v>19202</v>
      </c>
    </row>
    <row r="1621" spans="9:13" x14ac:dyDescent="0.25">
      <c r="I1621" t="s">
        <v>13880</v>
      </c>
      <c r="J1621" s="161" t="s">
        <v>19202</v>
      </c>
      <c r="K1621" t="s">
        <v>19203</v>
      </c>
      <c r="L1621" t="s">
        <v>301</v>
      </c>
      <c r="M1621" s="161" t="s">
        <v>19202</v>
      </c>
    </row>
    <row r="1622" spans="9:13" x14ac:dyDescent="0.25">
      <c r="I1622" t="s">
        <v>18082</v>
      </c>
      <c r="J1622" s="161" t="s">
        <v>19202</v>
      </c>
      <c r="K1622" t="s">
        <v>19203</v>
      </c>
      <c r="L1622" t="s">
        <v>18081</v>
      </c>
      <c r="M1622" s="161" t="s">
        <v>19202</v>
      </c>
    </row>
    <row r="1623" spans="9:13" x14ac:dyDescent="0.25">
      <c r="I1623" t="s">
        <v>9916</v>
      </c>
      <c r="J1623" s="161" t="s">
        <v>19202</v>
      </c>
      <c r="K1623" t="s">
        <v>19203</v>
      </c>
      <c r="L1623" t="s">
        <v>9915</v>
      </c>
      <c r="M1623" s="161" t="s">
        <v>19202</v>
      </c>
    </row>
    <row r="1624" spans="9:13" x14ac:dyDescent="0.25">
      <c r="I1624" t="s">
        <v>19412</v>
      </c>
      <c r="J1624" s="161" t="s">
        <v>19202</v>
      </c>
      <c r="K1624" t="s">
        <v>19203</v>
      </c>
      <c r="L1624" t="s">
        <v>19413</v>
      </c>
      <c r="M1624" s="161" t="s">
        <v>19202</v>
      </c>
    </row>
    <row r="1625" spans="9:13" x14ac:dyDescent="0.25">
      <c r="I1625" t="s">
        <v>8586</v>
      </c>
      <c r="J1625" s="161" t="s">
        <v>19202</v>
      </c>
      <c r="K1625" t="s">
        <v>19203</v>
      </c>
      <c r="L1625" t="s">
        <v>8585</v>
      </c>
      <c r="M1625" s="161" t="s">
        <v>19202</v>
      </c>
    </row>
    <row r="1626" spans="9:13" x14ac:dyDescent="0.25">
      <c r="I1626" t="s">
        <v>17828</v>
      </c>
      <c r="J1626" s="161" t="s">
        <v>19202</v>
      </c>
      <c r="K1626" t="s">
        <v>19203</v>
      </c>
      <c r="L1626" t="s">
        <v>4234</v>
      </c>
      <c r="M1626" s="161" t="s">
        <v>19202</v>
      </c>
    </row>
    <row r="1627" spans="9:13" x14ac:dyDescent="0.25">
      <c r="I1627" t="s">
        <v>8271</v>
      </c>
      <c r="J1627" s="161" t="s">
        <v>19202</v>
      </c>
      <c r="K1627" t="s">
        <v>19203</v>
      </c>
      <c r="L1627" t="s">
        <v>8270</v>
      </c>
      <c r="M1627" s="161" t="s">
        <v>19202</v>
      </c>
    </row>
    <row r="1628" spans="9:13" x14ac:dyDescent="0.25">
      <c r="I1628" t="s">
        <v>17878</v>
      </c>
      <c r="J1628" s="161" t="s">
        <v>19202</v>
      </c>
      <c r="K1628" t="s">
        <v>19203</v>
      </c>
      <c r="L1628" t="s">
        <v>17877</v>
      </c>
      <c r="M1628" s="161" t="s">
        <v>19202</v>
      </c>
    </row>
    <row r="1629" spans="9:13" x14ac:dyDescent="0.25">
      <c r="I1629" t="s">
        <v>9912</v>
      </c>
      <c r="J1629" s="161" t="s">
        <v>19202</v>
      </c>
      <c r="K1629" t="s">
        <v>19203</v>
      </c>
      <c r="L1629" t="s">
        <v>9911</v>
      </c>
      <c r="M1629" s="161" t="s">
        <v>19202</v>
      </c>
    </row>
    <row r="1630" spans="9:13" x14ac:dyDescent="0.25">
      <c r="I1630" t="s">
        <v>19414</v>
      </c>
      <c r="J1630" s="161" t="s">
        <v>19202</v>
      </c>
      <c r="K1630" t="s">
        <v>19203</v>
      </c>
      <c r="L1630" t="s">
        <v>1350</v>
      </c>
      <c r="M1630" s="161" t="s">
        <v>19202</v>
      </c>
    </row>
    <row r="1631" spans="9:13" x14ac:dyDescent="0.25">
      <c r="I1631" t="s">
        <v>18909</v>
      </c>
      <c r="J1631" s="161" t="s">
        <v>19202</v>
      </c>
      <c r="K1631" t="s">
        <v>19203</v>
      </c>
      <c r="L1631" t="s">
        <v>18911</v>
      </c>
      <c r="M1631" s="161" t="s">
        <v>19202</v>
      </c>
    </row>
    <row r="1632" spans="9:13" x14ac:dyDescent="0.25">
      <c r="I1632" t="s">
        <v>14045</v>
      </c>
      <c r="J1632" s="161" t="s">
        <v>19202</v>
      </c>
      <c r="K1632" t="s">
        <v>19203</v>
      </c>
      <c r="L1632" t="s">
        <v>14044</v>
      </c>
      <c r="M1632" s="161" t="s">
        <v>19202</v>
      </c>
    </row>
    <row r="1633" spans="9:13" x14ac:dyDescent="0.25">
      <c r="I1633" t="s">
        <v>14586</v>
      </c>
      <c r="J1633" s="161" t="s">
        <v>19202</v>
      </c>
      <c r="K1633" t="s">
        <v>19203</v>
      </c>
      <c r="L1633" t="s">
        <v>14585</v>
      </c>
      <c r="M1633" s="161" t="s">
        <v>19202</v>
      </c>
    </row>
    <row r="1634" spans="9:13" x14ac:dyDescent="0.25">
      <c r="I1634" t="s">
        <v>14371</v>
      </c>
      <c r="J1634" s="161" t="s">
        <v>19202</v>
      </c>
      <c r="K1634" t="s">
        <v>19203</v>
      </c>
      <c r="L1634" t="s">
        <v>6842</v>
      </c>
      <c r="M1634" s="161" t="s">
        <v>19202</v>
      </c>
    </row>
    <row r="1635" spans="9:13" x14ac:dyDescent="0.25">
      <c r="I1635" t="s">
        <v>12794</v>
      </c>
      <c r="J1635" s="161" t="s">
        <v>19202</v>
      </c>
      <c r="K1635" t="s">
        <v>19203</v>
      </c>
      <c r="L1635" t="s">
        <v>12793</v>
      </c>
      <c r="M1635" s="161" t="s">
        <v>19202</v>
      </c>
    </row>
    <row r="1636" spans="9:13" x14ac:dyDescent="0.25">
      <c r="I1636" t="s">
        <v>13676</v>
      </c>
      <c r="J1636" s="161" t="s">
        <v>19202</v>
      </c>
      <c r="K1636" t="s">
        <v>19203</v>
      </c>
      <c r="L1636" t="s">
        <v>13675</v>
      </c>
      <c r="M1636" s="161" t="s">
        <v>19202</v>
      </c>
    </row>
    <row r="1637" spans="9:13" x14ac:dyDescent="0.25">
      <c r="I1637" t="s">
        <v>14260</v>
      </c>
      <c r="J1637" s="161" t="s">
        <v>19202</v>
      </c>
      <c r="K1637" t="s">
        <v>19203</v>
      </c>
      <c r="L1637" t="s">
        <v>14259</v>
      </c>
      <c r="M1637" s="161" t="s">
        <v>19202</v>
      </c>
    </row>
    <row r="1638" spans="9:13" x14ac:dyDescent="0.25">
      <c r="I1638" t="s">
        <v>17826</v>
      </c>
      <c r="J1638" s="161" t="s">
        <v>19202</v>
      </c>
      <c r="K1638" t="s">
        <v>19203</v>
      </c>
      <c r="L1638" t="s">
        <v>17825</v>
      </c>
      <c r="M1638" s="161" t="s">
        <v>19202</v>
      </c>
    </row>
    <row r="1639" spans="9:13" x14ac:dyDescent="0.25">
      <c r="I1639" t="s">
        <v>6664</v>
      </c>
      <c r="J1639" s="161" t="s">
        <v>19202</v>
      </c>
      <c r="K1639" t="s">
        <v>19203</v>
      </c>
      <c r="L1639" t="s">
        <v>6663</v>
      </c>
      <c r="M1639" s="161" t="s">
        <v>19202</v>
      </c>
    </row>
    <row r="1640" spans="9:13" x14ac:dyDescent="0.25">
      <c r="I1640" t="s">
        <v>4542</v>
      </c>
      <c r="J1640" s="161" t="s">
        <v>19202</v>
      </c>
      <c r="K1640" t="s">
        <v>19203</v>
      </c>
      <c r="L1640" t="s">
        <v>4541</v>
      </c>
      <c r="M1640" s="161" t="s">
        <v>19202</v>
      </c>
    </row>
    <row r="1641" spans="9:13" x14ac:dyDescent="0.25">
      <c r="I1641" t="s">
        <v>12262</v>
      </c>
      <c r="J1641" s="161" t="s">
        <v>19202</v>
      </c>
      <c r="K1641" t="s">
        <v>19203</v>
      </c>
      <c r="L1641" t="s">
        <v>12261</v>
      </c>
      <c r="M1641" s="161" t="s">
        <v>19202</v>
      </c>
    </row>
    <row r="1642" spans="9:13" x14ac:dyDescent="0.25">
      <c r="I1642" t="s">
        <v>13923</v>
      </c>
      <c r="J1642" s="161" t="s">
        <v>19202</v>
      </c>
      <c r="K1642" t="s">
        <v>19203</v>
      </c>
      <c r="L1642" t="s">
        <v>13922</v>
      </c>
      <c r="M1642" s="161" t="s">
        <v>19202</v>
      </c>
    </row>
    <row r="1643" spans="9:13" x14ac:dyDescent="0.25">
      <c r="I1643" t="s">
        <v>14257</v>
      </c>
      <c r="J1643" s="161" t="s">
        <v>19202</v>
      </c>
      <c r="K1643" t="s">
        <v>19203</v>
      </c>
      <c r="L1643" t="s">
        <v>14256</v>
      </c>
      <c r="M1643" s="161" t="s">
        <v>19202</v>
      </c>
    </row>
    <row r="1644" spans="9:13" x14ac:dyDescent="0.25">
      <c r="I1644" t="s">
        <v>18115</v>
      </c>
      <c r="J1644" s="161" t="s">
        <v>19202</v>
      </c>
      <c r="K1644" t="s">
        <v>19203</v>
      </c>
      <c r="L1644" t="s">
        <v>4292</v>
      </c>
      <c r="M1644" s="161" t="s">
        <v>19202</v>
      </c>
    </row>
    <row r="1645" spans="9:13" x14ac:dyDescent="0.25">
      <c r="I1645" t="s">
        <v>19415</v>
      </c>
      <c r="J1645" s="161" t="s">
        <v>19202</v>
      </c>
      <c r="K1645" t="s">
        <v>19203</v>
      </c>
      <c r="L1645" t="s">
        <v>14298</v>
      </c>
      <c r="M1645" s="161" t="s">
        <v>19202</v>
      </c>
    </row>
    <row r="1646" spans="9:13" x14ac:dyDescent="0.25">
      <c r="I1646" t="s">
        <v>4463</v>
      </c>
      <c r="J1646" s="161" t="s">
        <v>19202</v>
      </c>
      <c r="K1646" t="s">
        <v>19203</v>
      </c>
      <c r="L1646" t="s">
        <v>4462</v>
      </c>
      <c r="M1646" s="161" t="s">
        <v>19202</v>
      </c>
    </row>
    <row r="1647" spans="9:13" x14ac:dyDescent="0.25">
      <c r="I1647" t="s">
        <v>2139</v>
      </c>
      <c r="J1647" s="161" t="s">
        <v>19202</v>
      </c>
      <c r="K1647" t="s">
        <v>19203</v>
      </c>
      <c r="L1647" t="s">
        <v>2138</v>
      </c>
      <c r="M1647" s="161" t="s">
        <v>19202</v>
      </c>
    </row>
    <row r="1648" spans="9:13" x14ac:dyDescent="0.25">
      <c r="I1648" t="s">
        <v>1370</v>
      </c>
      <c r="J1648" s="161" t="s">
        <v>19202</v>
      </c>
      <c r="K1648" t="s">
        <v>19203</v>
      </c>
      <c r="L1648" t="s">
        <v>1369</v>
      </c>
      <c r="M1648" s="161" t="s">
        <v>19202</v>
      </c>
    </row>
    <row r="1649" spans="9:13" x14ac:dyDescent="0.25">
      <c r="I1649" t="s">
        <v>17913</v>
      </c>
      <c r="J1649" s="161" t="s">
        <v>19202</v>
      </c>
      <c r="K1649" t="s">
        <v>19203</v>
      </c>
      <c r="L1649" t="s">
        <v>17912</v>
      </c>
      <c r="M1649" s="161" t="s">
        <v>19202</v>
      </c>
    </row>
    <row r="1650" spans="9:13" x14ac:dyDescent="0.25">
      <c r="I1650" t="s">
        <v>16520</v>
      </c>
      <c r="J1650" s="161" t="s">
        <v>19202</v>
      </c>
      <c r="K1650" t="s">
        <v>19203</v>
      </c>
      <c r="L1650" t="s">
        <v>685</v>
      </c>
      <c r="M1650" s="161" t="s">
        <v>19202</v>
      </c>
    </row>
    <row r="1651" spans="9:13" x14ac:dyDescent="0.25">
      <c r="I1651" t="s">
        <v>19416</v>
      </c>
      <c r="J1651" s="161" t="s">
        <v>19202</v>
      </c>
      <c r="K1651" t="s">
        <v>19203</v>
      </c>
      <c r="L1651" t="s">
        <v>19417</v>
      </c>
      <c r="M1651" s="161" t="s">
        <v>19202</v>
      </c>
    </row>
    <row r="1652" spans="9:13" x14ac:dyDescent="0.25">
      <c r="I1652" t="s">
        <v>17768</v>
      </c>
      <c r="J1652" s="161" t="s">
        <v>19202</v>
      </c>
      <c r="K1652" t="s">
        <v>19203</v>
      </c>
      <c r="L1652" t="s">
        <v>970</v>
      </c>
      <c r="M1652" s="161" t="s">
        <v>19202</v>
      </c>
    </row>
    <row r="1653" spans="9:13" x14ac:dyDescent="0.25">
      <c r="I1653" t="s">
        <v>13809</v>
      </c>
      <c r="J1653" s="161" t="s">
        <v>19202</v>
      </c>
      <c r="K1653" t="s">
        <v>19203</v>
      </c>
      <c r="L1653" t="s">
        <v>13808</v>
      </c>
      <c r="M1653" s="161" t="s">
        <v>19202</v>
      </c>
    </row>
    <row r="1654" spans="9:13" x14ac:dyDescent="0.25">
      <c r="I1654" t="s">
        <v>13265</v>
      </c>
      <c r="J1654" s="161" t="s">
        <v>19202</v>
      </c>
      <c r="K1654" t="s">
        <v>19203</v>
      </c>
      <c r="L1654" t="s">
        <v>13264</v>
      </c>
      <c r="M1654" s="161" t="s">
        <v>19202</v>
      </c>
    </row>
    <row r="1655" spans="9:13" x14ac:dyDescent="0.25">
      <c r="I1655" t="s">
        <v>1241</v>
      </c>
      <c r="J1655" s="161" t="s">
        <v>19202</v>
      </c>
      <c r="K1655" t="s">
        <v>19203</v>
      </c>
      <c r="L1655" t="s">
        <v>1240</v>
      </c>
      <c r="M1655" s="161" t="s">
        <v>19202</v>
      </c>
    </row>
    <row r="1656" spans="9:13" x14ac:dyDescent="0.25">
      <c r="I1656" t="s">
        <v>17833</v>
      </c>
      <c r="J1656" s="161" t="s">
        <v>19202</v>
      </c>
      <c r="K1656" t="s">
        <v>19203</v>
      </c>
      <c r="L1656" t="s">
        <v>17832</v>
      </c>
      <c r="M1656" s="161" t="s">
        <v>19202</v>
      </c>
    </row>
    <row r="1657" spans="9:13" x14ac:dyDescent="0.25">
      <c r="I1657" t="s">
        <v>19418</v>
      </c>
      <c r="J1657" s="161" t="s">
        <v>19202</v>
      </c>
      <c r="K1657" t="s">
        <v>19203</v>
      </c>
      <c r="L1657" t="s">
        <v>19419</v>
      </c>
      <c r="M1657" s="161" t="s">
        <v>19202</v>
      </c>
    </row>
    <row r="1658" spans="9:13" x14ac:dyDescent="0.25">
      <c r="I1658" t="s">
        <v>19420</v>
      </c>
      <c r="J1658" s="161" t="s">
        <v>19202</v>
      </c>
      <c r="K1658" t="s">
        <v>19203</v>
      </c>
      <c r="L1658" t="s">
        <v>19421</v>
      </c>
      <c r="M1658" s="161" t="s">
        <v>19202</v>
      </c>
    </row>
    <row r="1659" spans="9:13" x14ac:dyDescent="0.25">
      <c r="I1659" t="s">
        <v>18947</v>
      </c>
      <c r="J1659" s="161" t="s">
        <v>19202</v>
      </c>
      <c r="K1659" t="s">
        <v>19203</v>
      </c>
      <c r="L1659" t="s">
        <v>18949</v>
      </c>
      <c r="M1659" s="161" t="s">
        <v>19202</v>
      </c>
    </row>
    <row r="1660" spans="9:13" x14ac:dyDescent="0.25">
      <c r="I1660" t="s">
        <v>19422</v>
      </c>
      <c r="J1660" s="161" t="s">
        <v>19202</v>
      </c>
      <c r="K1660" t="s">
        <v>19203</v>
      </c>
      <c r="L1660" t="s">
        <v>16419</v>
      </c>
      <c r="M1660" s="161" t="s">
        <v>19202</v>
      </c>
    </row>
    <row r="1661" spans="9:13" x14ac:dyDescent="0.25">
      <c r="I1661" t="s">
        <v>19423</v>
      </c>
      <c r="J1661" s="161" t="s">
        <v>19202</v>
      </c>
      <c r="K1661" t="s">
        <v>19203</v>
      </c>
      <c r="L1661" t="s">
        <v>4462</v>
      </c>
      <c r="M1661" s="161" t="s">
        <v>19202</v>
      </c>
    </row>
    <row r="1662" spans="9:13" x14ac:dyDescent="0.25">
      <c r="I1662" t="s">
        <v>19424</v>
      </c>
      <c r="J1662" s="161" t="s">
        <v>19202</v>
      </c>
      <c r="K1662" t="s">
        <v>19203</v>
      </c>
      <c r="L1662" t="s">
        <v>19425</v>
      </c>
      <c r="M1662" s="161" t="s">
        <v>19202</v>
      </c>
    </row>
    <row r="1663" spans="9:13" x14ac:dyDescent="0.25">
      <c r="I1663" t="s">
        <v>17751</v>
      </c>
      <c r="J1663" s="161" t="s">
        <v>19202</v>
      </c>
      <c r="K1663" t="s">
        <v>19203</v>
      </c>
      <c r="L1663" t="s">
        <v>17750</v>
      </c>
      <c r="M1663" s="161" t="s">
        <v>19202</v>
      </c>
    </row>
    <row r="1664" spans="9:13" x14ac:dyDescent="0.25">
      <c r="I1664" t="s">
        <v>11231</v>
      </c>
      <c r="J1664" s="161" t="s">
        <v>19202</v>
      </c>
      <c r="K1664" t="s">
        <v>19203</v>
      </c>
      <c r="L1664" t="s">
        <v>11230</v>
      </c>
      <c r="M1664" s="161" t="s">
        <v>19202</v>
      </c>
    </row>
    <row r="1665" spans="9:13" x14ac:dyDescent="0.25">
      <c r="I1665" t="s">
        <v>10377</v>
      </c>
      <c r="J1665" s="161" t="s">
        <v>19202</v>
      </c>
      <c r="K1665" t="s">
        <v>19203</v>
      </c>
      <c r="L1665" t="s">
        <v>10376</v>
      </c>
      <c r="M1665" s="161" t="s">
        <v>19202</v>
      </c>
    </row>
    <row r="1666" spans="9:13" x14ac:dyDescent="0.25">
      <c r="I1666" t="s">
        <v>5866</v>
      </c>
      <c r="J1666" s="161" t="s">
        <v>19202</v>
      </c>
      <c r="K1666" t="s">
        <v>19203</v>
      </c>
      <c r="L1666" t="s">
        <v>5865</v>
      </c>
      <c r="M1666" s="161" t="s">
        <v>19202</v>
      </c>
    </row>
    <row r="1667" spans="9:13" x14ac:dyDescent="0.25">
      <c r="I1667" t="s">
        <v>14065</v>
      </c>
      <c r="J1667" s="161" t="s">
        <v>19202</v>
      </c>
      <c r="K1667" t="s">
        <v>19203</v>
      </c>
      <c r="L1667" t="s">
        <v>14064</v>
      </c>
      <c r="M1667" s="161" t="s">
        <v>19202</v>
      </c>
    </row>
    <row r="1668" spans="9:13" x14ac:dyDescent="0.25">
      <c r="I1668" t="s">
        <v>3717</v>
      </c>
      <c r="J1668" s="161" t="s">
        <v>19202</v>
      </c>
      <c r="K1668" t="s">
        <v>19203</v>
      </c>
      <c r="L1668" t="s">
        <v>3716</v>
      </c>
      <c r="M1668" s="161" t="s">
        <v>19202</v>
      </c>
    </row>
    <row r="1669" spans="9:13" x14ac:dyDescent="0.25">
      <c r="I1669" t="s">
        <v>17890</v>
      </c>
      <c r="J1669" s="161" t="s">
        <v>19202</v>
      </c>
      <c r="K1669" t="s">
        <v>19203</v>
      </c>
      <c r="L1669" t="s">
        <v>17461</v>
      </c>
      <c r="M1669" s="161" t="s">
        <v>19202</v>
      </c>
    </row>
    <row r="1670" spans="9:13" x14ac:dyDescent="0.25">
      <c r="I1670" t="s">
        <v>12530</v>
      </c>
      <c r="J1670" s="161" t="s">
        <v>19202</v>
      </c>
      <c r="K1670" t="s">
        <v>19203</v>
      </c>
      <c r="L1670" t="s">
        <v>12529</v>
      </c>
      <c r="M1670" s="161" t="s">
        <v>19202</v>
      </c>
    </row>
    <row r="1671" spans="9:13" x14ac:dyDescent="0.25">
      <c r="I1671" t="s">
        <v>3422</v>
      </c>
      <c r="J1671" s="161" t="s">
        <v>19202</v>
      </c>
      <c r="K1671" t="s">
        <v>19203</v>
      </c>
      <c r="L1671" t="s">
        <v>3421</v>
      </c>
      <c r="M1671" s="161" t="s">
        <v>19202</v>
      </c>
    </row>
    <row r="1672" spans="9:13" x14ac:dyDescent="0.25">
      <c r="I1672" t="s">
        <v>7778</v>
      </c>
      <c r="J1672" s="161" t="s">
        <v>19202</v>
      </c>
      <c r="K1672" t="s">
        <v>19203</v>
      </c>
      <c r="L1672" t="s">
        <v>7777</v>
      </c>
      <c r="M1672" s="161" t="s">
        <v>19202</v>
      </c>
    </row>
    <row r="1673" spans="9:13" x14ac:dyDescent="0.25">
      <c r="I1673" t="s">
        <v>6050</v>
      </c>
      <c r="J1673" s="161" t="s">
        <v>19202</v>
      </c>
      <c r="K1673" t="s">
        <v>19203</v>
      </c>
      <c r="L1673" t="s">
        <v>6049</v>
      </c>
      <c r="M1673" s="161" t="s">
        <v>19202</v>
      </c>
    </row>
    <row r="1674" spans="9:13" x14ac:dyDescent="0.25">
      <c r="I1674" t="s">
        <v>1179</v>
      </c>
      <c r="J1674" s="161" t="s">
        <v>19202</v>
      </c>
      <c r="K1674" t="s">
        <v>19203</v>
      </c>
      <c r="L1674" t="s">
        <v>1178</v>
      </c>
      <c r="M1674" s="161" t="s">
        <v>19202</v>
      </c>
    </row>
    <row r="1675" spans="9:13" x14ac:dyDescent="0.25">
      <c r="I1675" t="s">
        <v>4156</v>
      </c>
      <c r="J1675" s="161" t="s">
        <v>19202</v>
      </c>
      <c r="K1675" t="s">
        <v>19203</v>
      </c>
      <c r="L1675" t="s">
        <v>4155</v>
      </c>
      <c r="M1675" s="161" t="s">
        <v>19202</v>
      </c>
    </row>
    <row r="1676" spans="9:13" x14ac:dyDescent="0.25">
      <c r="I1676" t="s">
        <v>19426</v>
      </c>
      <c r="J1676" s="161" t="s">
        <v>19202</v>
      </c>
      <c r="K1676" t="s">
        <v>19203</v>
      </c>
      <c r="L1676" t="s">
        <v>19427</v>
      </c>
      <c r="M1676" s="161" t="s">
        <v>19202</v>
      </c>
    </row>
    <row r="1677" spans="9:13" x14ac:dyDescent="0.25">
      <c r="I1677" t="s">
        <v>17451</v>
      </c>
      <c r="J1677" s="161" t="s">
        <v>19202</v>
      </c>
      <c r="K1677" t="s">
        <v>19203</v>
      </c>
      <c r="L1677" t="s">
        <v>17450</v>
      </c>
      <c r="M1677" s="161" t="s">
        <v>19202</v>
      </c>
    </row>
    <row r="1678" spans="9:13" x14ac:dyDescent="0.25">
      <c r="I1678" t="s">
        <v>17278</v>
      </c>
      <c r="J1678" s="161" t="s">
        <v>19202</v>
      </c>
      <c r="K1678" t="s">
        <v>19203</v>
      </c>
      <c r="L1678" t="s">
        <v>6918</v>
      </c>
      <c r="M1678" s="161" t="s">
        <v>19202</v>
      </c>
    </row>
    <row r="1679" spans="9:13" x14ac:dyDescent="0.25">
      <c r="I1679" t="s">
        <v>9817</v>
      </c>
      <c r="J1679" s="161" t="s">
        <v>19202</v>
      </c>
      <c r="K1679" t="s">
        <v>19203</v>
      </c>
      <c r="L1679" t="s">
        <v>9816</v>
      </c>
      <c r="M1679" s="161" t="s">
        <v>19202</v>
      </c>
    </row>
    <row r="1680" spans="9:13" x14ac:dyDescent="0.25">
      <c r="I1680" t="s">
        <v>11850</v>
      </c>
      <c r="J1680" s="161" t="s">
        <v>19202</v>
      </c>
      <c r="K1680" t="s">
        <v>19203</v>
      </c>
      <c r="L1680" t="s">
        <v>11849</v>
      </c>
      <c r="M1680" s="161" t="s">
        <v>19202</v>
      </c>
    </row>
    <row r="1681" spans="9:13" x14ac:dyDescent="0.25">
      <c r="I1681" t="s">
        <v>15723</v>
      </c>
      <c r="J1681" s="161" t="s">
        <v>19202</v>
      </c>
      <c r="K1681" t="s">
        <v>19203</v>
      </c>
      <c r="L1681" t="s">
        <v>15722</v>
      </c>
      <c r="M1681" s="161" t="s">
        <v>19202</v>
      </c>
    </row>
    <row r="1682" spans="9:13" x14ac:dyDescent="0.25">
      <c r="I1682" t="s">
        <v>17421</v>
      </c>
      <c r="J1682" s="161" t="s">
        <v>19202</v>
      </c>
      <c r="K1682" t="s">
        <v>19203</v>
      </c>
      <c r="L1682" t="s">
        <v>17420</v>
      </c>
      <c r="M1682" s="161" t="s">
        <v>19202</v>
      </c>
    </row>
    <row r="1683" spans="9:13" x14ac:dyDescent="0.25">
      <c r="I1683" t="s">
        <v>12138</v>
      </c>
      <c r="J1683" s="161" t="s">
        <v>19202</v>
      </c>
      <c r="K1683" t="s">
        <v>19203</v>
      </c>
      <c r="L1683" t="s">
        <v>12137</v>
      </c>
      <c r="M1683" s="161" t="s">
        <v>19202</v>
      </c>
    </row>
    <row r="1684" spans="9:13" x14ac:dyDescent="0.25">
      <c r="I1684" t="s">
        <v>16911</v>
      </c>
      <c r="J1684" s="161" t="s">
        <v>19202</v>
      </c>
      <c r="K1684" t="s">
        <v>19203</v>
      </c>
      <c r="L1684" t="s">
        <v>16910</v>
      </c>
      <c r="M1684" s="161" t="s">
        <v>19202</v>
      </c>
    </row>
    <row r="1685" spans="9:13" x14ac:dyDescent="0.25">
      <c r="I1685" t="s">
        <v>17567</v>
      </c>
      <c r="J1685" s="161" t="s">
        <v>19202</v>
      </c>
      <c r="K1685" t="s">
        <v>19203</v>
      </c>
      <c r="L1685" t="s">
        <v>17566</v>
      </c>
      <c r="M1685" s="161" t="s">
        <v>19202</v>
      </c>
    </row>
    <row r="1686" spans="9:13" x14ac:dyDescent="0.25">
      <c r="I1686" t="s">
        <v>13566</v>
      </c>
      <c r="J1686" s="161" t="s">
        <v>19202</v>
      </c>
      <c r="K1686" t="s">
        <v>19203</v>
      </c>
      <c r="L1686" t="s">
        <v>13565</v>
      </c>
      <c r="M1686" s="161" t="s">
        <v>19202</v>
      </c>
    </row>
    <row r="1687" spans="9:13" x14ac:dyDescent="0.25">
      <c r="I1687" t="s">
        <v>19428</v>
      </c>
      <c r="J1687" s="161" t="s">
        <v>19202</v>
      </c>
      <c r="K1687" t="s">
        <v>19203</v>
      </c>
      <c r="L1687" t="s">
        <v>3934</v>
      </c>
      <c r="M1687" s="161" t="s">
        <v>19202</v>
      </c>
    </row>
    <row r="1688" spans="9:13" x14ac:dyDescent="0.25">
      <c r="I1688" t="s">
        <v>2055</v>
      </c>
      <c r="J1688" s="161" t="s">
        <v>19202</v>
      </c>
      <c r="K1688" t="s">
        <v>19203</v>
      </c>
      <c r="L1688" t="s">
        <v>2054</v>
      </c>
      <c r="M1688" s="161" t="s">
        <v>19202</v>
      </c>
    </row>
    <row r="1689" spans="9:13" x14ac:dyDescent="0.25">
      <c r="I1689" t="s">
        <v>5041</v>
      </c>
      <c r="J1689" s="161" t="s">
        <v>19202</v>
      </c>
      <c r="K1689" t="s">
        <v>19203</v>
      </c>
      <c r="L1689" t="s">
        <v>5040</v>
      </c>
      <c r="M1689" s="161" t="s">
        <v>19202</v>
      </c>
    </row>
    <row r="1690" spans="9:13" x14ac:dyDescent="0.25">
      <c r="I1690" t="s">
        <v>12663</v>
      </c>
      <c r="J1690" s="161" t="s">
        <v>19202</v>
      </c>
      <c r="K1690" t="s">
        <v>19203</v>
      </c>
      <c r="L1690" t="s">
        <v>4847</v>
      </c>
      <c r="M1690" s="161" t="s">
        <v>19202</v>
      </c>
    </row>
    <row r="1691" spans="9:13" x14ac:dyDescent="0.25">
      <c r="I1691" t="s">
        <v>19429</v>
      </c>
      <c r="J1691" s="161" t="s">
        <v>19202</v>
      </c>
      <c r="K1691" t="s">
        <v>19203</v>
      </c>
      <c r="L1691" t="s">
        <v>19430</v>
      </c>
      <c r="M1691" s="161" t="s">
        <v>19202</v>
      </c>
    </row>
    <row r="1692" spans="9:13" x14ac:dyDescent="0.25">
      <c r="I1692" t="s">
        <v>4817</v>
      </c>
      <c r="J1692" s="161" t="s">
        <v>19202</v>
      </c>
      <c r="K1692" t="s">
        <v>19203</v>
      </c>
      <c r="L1692" t="s">
        <v>4816</v>
      </c>
      <c r="M1692" s="161" t="s">
        <v>19202</v>
      </c>
    </row>
    <row r="1693" spans="9:13" x14ac:dyDescent="0.25">
      <c r="I1693" t="s">
        <v>1560</v>
      </c>
      <c r="J1693" s="161" t="s">
        <v>19202</v>
      </c>
      <c r="K1693" t="s">
        <v>19203</v>
      </c>
      <c r="L1693" t="s">
        <v>1559</v>
      </c>
      <c r="M1693" s="161" t="s">
        <v>19202</v>
      </c>
    </row>
    <row r="1694" spans="9:13" x14ac:dyDescent="0.25">
      <c r="I1694" t="s">
        <v>2136</v>
      </c>
      <c r="J1694" s="161" t="s">
        <v>19202</v>
      </c>
      <c r="K1694" t="s">
        <v>19203</v>
      </c>
      <c r="L1694" t="s">
        <v>2135</v>
      </c>
      <c r="M1694" s="161" t="s">
        <v>19202</v>
      </c>
    </row>
    <row r="1695" spans="9:13" x14ac:dyDescent="0.25">
      <c r="I1695" t="s">
        <v>17383</v>
      </c>
      <c r="J1695" s="161" t="s">
        <v>19202</v>
      </c>
      <c r="K1695" t="s">
        <v>19203</v>
      </c>
      <c r="L1695" t="s">
        <v>17382</v>
      </c>
      <c r="M1695" s="161" t="s">
        <v>19202</v>
      </c>
    </row>
    <row r="1696" spans="9:13" x14ac:dyDescent="0.25">
      <c r="I1696" t="s">
        <v>18075</v>
      </c>
      <c r="J1696" s="161" t="s">
        <v>19202</v>
      </c>
      <c r="K1696" t="s">
        <v>19203</v>
      </c>
      <c r="L1696" t="s">
        <v>2700</v>
      </c>
      <c r="M1696" s="161" t="s">
        <v>19202</v>
      </c>
    </row>
    <row r="1697" spans="9:13" x14ac:dyDescent="0.25">
      <c r="I1697" t="s">
        <v>13065</v>
      </c>
      <c r="J1697" s="161" t="s">
        <v>19202</v>
      </c>
      <c r="K1697" t="s">
        <v>19203</v>
      </c>
      <c r="L1697" t="s">
        <v>13064</v>
      </c>
      <c r="M1697" s="161" t="s">
        <v>19202</v>
      </c>
    </row>
    <row r="1698" spans="9:13" x14ac:dyDescent="0.25">
      <c r="I1698" t="s">
        <v>16894</v>
      </c>
      <c r="J1698" s="161" t="s">
        <v>19202</v>
      </c>
      <c r="K1698" t="s">
        <v>19203</v>
      </c>
      <c r="L1698" t="s">
        <v>16893</v>
      </c>
      <c r="M1698" s="161" t="s">
        <v>19202</v>
      </c>
    </row>
    <row r="1699" spans="9:13" x14ac:dyDescent="0.25">
      <c r="I1699" t="s">
        <v>19431</v>
      </c>
      <c r="J1699" s="161" t="s">
        <v>19202</v>
      </c>
      <c r="K1699" t="s">
        <v>19203</v>
      </c>
      <c r="L1699" t="s">
        <v>19432</v>
      </c>
      <c r="M1699" s="161" t="s">
        <v>19202</v>
      </c>
    </row>
    <row r="1700" spans="9:13" x14ac:dyDescent="0.25">
      <c r="I1700" t="s">
        <v>12822</v>
      </c>
      <c r="J1700" s="161" t="s">
        <v>19202</v>
      </c>
      <c r="K1700" t="s">
        <v>19203</v>
      </c>
      <c r="L1700" t="s">
        <v>12821</v>
      </c>
      <c r="M1700" s="161" t="s">
        <v>19202</v>
      </c>
    </row>
    <row r="1701" spans="9:13" x14ac:dyDescent="0.25">
      <c r="I1701" t="s">
        <v>15322</v>
      </c>
      <c r="J1701" s="161" t="s">
        <v>19202</v>
      </c>
      <c r="K1701" t="s">
        <v>19203</v>
      </c>
      <c r="L1701" t="s">
        <v>15321</v>
      </c>
      <c r="M1701" s="161" t="s">
        <v>19202</v>
      </c>
    </row>
    <row r="1702" spans="9:13" x14ac:dyDescent="0.25">
      <c r="I1702" t="s">
        <v>12140</v>
      </c>
      <c r="J1702" s="161" t="s">
        <v>19202</v>
      </c>
      <c r="K1702" t="s">
        <v>19203</v>
      </c>
      <c r="L1702" t="s">
        <v>12139</v>
      </c>
      <c r="M1702" s="161" t="s">
        <v>19202</v>
      </c>
    </row>
    <row r="1703" spans="9:13" x14ac:dyDescent="0.25">
      <c r="I1703" t="s">
        <v>12638</v>
      </c>
      <c r="J1703" s="161" t="s">
        <v>19202</v>
      </c>
      <c r="K1703" t="s">
        <v>19203</v>
      </c>
      <c r="L1703" t="s">
        <v>12637</v>
      </c>
      <c r="M1703" s="161" t="s">
        <v>19202</v>
      </c>
    </row>
    <row r="1704" spans="9:13" x14ac:dyDescent="0.25">
      <c r="I1704" t="s">
        <v>1038</v>
      </c>
      <c r="J1704" s="161" t="s">
        <v>19202</v>
      </c>
      <c r="K1704" t="s">
        <v>19203</v>
      </c>
      <c r="L1704" t="s">
        <v>1037</v>
      </c>
      <c r="M1704" s="161" t="s">
        <v>19202</v>
      </c>
    </row>
    <row r="1705" spans="9:13" x14ac:dyDescent="0.25">
      <c r="I1705" t="s">
        <v>14741</v>
      </c>
      <c r="J1705" s="161" t="s">
        <v>19202</v>
      </c>
      <c r="K1705" t="s">
        <v>19203</v>
      </c>
      <c r="L1705" t="s">
        <v>14740</v>
      </c>
      <c r="M1705" s="161" t="s">
        <v>19202</v>
      </c>
    </row>
    <row r="1706" spans="9:13" x14ac:dyDescent="0.25">
      <c r="I1706" t="s">
        <v>6660</v>
      </c>
      <c r="J1706" s="161" t="s">
        <v>19202</v>
      </c>
      <c r="K1706" t="s">
        <v>19203</v>
      </c>
      <c r="L1706" t="s">
        <v>6652</v>
      </c>
      <c r="M1706" s="161" t="s">
        <v>19202</v>
      </c>
    </row>
    <row r="1707" spans="9:13" x14ac:dyDescent="0.25">
      <c r="I1707" t="s">
        <v>13877</v>
      </c>
      <c r="J1707" s="161" t="s">
        <v>19202</v>
      </c>
      <c r="K1707" t="s">
        <v>19203</v>
      </c>
      <c r="L1707" t="s">
        <v>13876</v>
      </c>
      <c r="M1707" s="161" t="s">
        <v>19202</v>
      </c>
    </row>
    <row r="1708" spans="9:13" x14ac:dyDescent="0.25">
      <c r="I1708" t="s">
        <v>12820</v>
      </c>
      <c r="J1708" s="161" t="s">
        <v>19202</v>
      </c>
      <c r="K1708" t="s">
        <v>19203</v>
      </c>
      <c r="L1708" t="s">
        <v>12819</v>
      </c>
      <c r="M1708" s="161" t="s">
        <v>19202</v>
      </c>
    </row>
    <row r="1709" spans="9:13" x14ac:dyDescent="0.25">
      <c r="I1709" t="s">
        <v>7344</v>
      </c>
      <c r="J1709" s="161" t="s">
        <v>19202</v>
      </c>
      <c r="K1709" t="s">
        <v>19203</v>
      </c>
      <c r="L1709" t="s">
        <v>7343</v>
      </c>
      <c r="M1709" s="161" t="s">
        <v>19202</v>
      </c>
    </row>
    <row r="1710" spans="9:13" x14ac:dyDescent="0.25">
      <c r="I1710" t="s">
        <v>16082</v>
      </c>
      <c r="J1710" s="161" t="s">
        <v>19202</v>
      </c>
      <c r="K1710" t="s">
        <v>19203</v>
      </c>
      <c r="L1710" t="s">
        <v>16081</v>
      </c>
      <c r="M1710" s="161" t="s">
        <v>19202</v>
      </c>
    </row>
    <row r="1711" spans="9:13" x14ac:dyDescent="0.25">
      <c r="I1711" t="s">
        <v>16279</v>
      </c>
      <c r="J1711" s="161" t="s">
        <v>19202</v>
      </c>
      <c r="K1711" t="s">
        <v>19203</v>
      </c>
      <c r="L1711" t="s">
        <v>16278</v>
      </c>
      <c r="M1711" s="161" t="s">
        <v>19202</v>
      </c>
    </row>
    <row r="1712" spans="9:13" x14ac:dyDescent="0.25">
      <c r="I1712" t="s">
        <v>4127</v>
      </c>
      <c r="J1712" s="161" t="s">
        <v>19202</v>
      </c>
      <c r="K1712" t="s">
        <v>19203</v>
      </c>
      <c r="L1712" t="s">
        <v>4126</v>
      </c>
      <c r="M1712" s="161" t="s">
        <v>19202</v>
      </c>
    </row>
    <row r="1713" spans="9:13" x14ac:dyDescent="0.25">
      <c r="I1713" t="s">
        <v>7246</v>
      </c>
      <c r="J1713" s="161" t="s">
        <v>19202</v>
      </c>
      <c r="K1713" t="s">
        <v>19203</v>
      </c>
      <c r="L1713" t="s">
        <v>7245</v>
      </c>
      <c r="M1713" s="161" t="s">
        <v>19202</v>
      </c>
    </row>
    <row r="1714" spans="9:13" x14ac:dyDescent="0.25">
      <c r="I1714" t="s">
        <v>1612</v>
      </c>
      <c r="J1714" s="161" t="s">
        <v>19202</v>
      </c>
      <c r="K1714" t="s">
        <v>19203</v>
      </c>
      <c r="L1714" t="s">
        <v>1611</v>
      </c>
      <c r="M1714" s="161" t="s">
        <v>19202</v>
      </c>
    </row>
    <row r="1715" spans="9:13" x14ac:dyDescent="0.25">
      <c r="I1715" t="s">
        <v>13454</v>
      </c>
      <c r="J1715" s="161" t="s">
        <v>19202</v>
      </c>
      <c r="K1715" t="s">
        <v>19203</v>
      </c>
      <c r="L1715" t="s">
        <v>13453</v>
      </c>
      <c r="M1715" s="161" t="s">
        <v>19202</v>
      </c>
    </row>
    <row r="1716" spans="9:13" x14ac:dyDescent="0.25">
      <c r="I1716" t="s">
        <v>13129</v>
      </c>
      <c r="J1716" s="161" t="s">
        <v>19202</v>
      </c>
      <c r="K1716" t="s">
        <v>19203</v>
      </c>
      <c r="L1716" t="s">
        <v>12627</v>
      </c>
      <c r="M1716" s="161" t="s">
        <v>19202</v>
      </c>
    </row>
    <row r="1717" spans="9:13" x14ac:dyDescent="0.25">
      <c r="I1717" t="s">
        <v>15458</v>
      </c>
      <c r="J1717" s="161" t="s">
        <v>19202</v>
      </c>
      <c r="K1717" t="s">
        <v>19203</v>
      </c>
      <c r="L1717" t="s">
        <v>15457</v>
      </c>
      <c r="M1717" s="161" t="s">
        <v>19202</v>
      </c>
    </row>
    <row r="1718" spans="9:13" x14ac:dyDescent="0.25">
      <c r="I1718" t="s">
        <v>6131</v>
      </c>
      <c r="J1718" s="161" t="s">
        <v>19202</v>
      </c>
      <c r="K1718" t="s">
        <v>19203</v>
      </c>
      <c r="L1718" t="s">
        <v>6130</v>
      </c>
      <c r="M1718" s="161" t="s">
        <v>19202</v>
      </c>
    </row>
    <row r="1719" spans="9:13" x14ac:dyDescent="0.25">
      <c r="I1719" t="s">
        <v>19433</v>
      </c>
      <c r="J1719" s="161" t="s">
        <v>19202</v>
      </c>
      <c r="K1719" t="s">
        <v>19203</v>
      </c>
      <c r="L1719" t="s">
        <v>19434</v>
      </c>
      <c r="M1719" s="161" t="s">
        <v>19202</v>
      </c>
    </row>
    <row r="1720" spans="9:13" x14ac:dyDescent="0.25">
      <c r="I1720" t="s">
        <v>14576</v>
      </c>
      <c r="J1720" s="161" t="s">
        <v>19202</v>
      </c>
      <c r="K1720" t="s">
        <v>19203</v>
      </c>
      <c r="L1720" t="s">
        <v>14575</v>
      </c>
      <c r="M1720" s="161" t="s">
        <v>19202</v>
      </c>
    </row>
    <row r="1721" spans="9:13" x14ac:dyDescent="0.25">
      <c r="I1721" t="s">
        <v>15102</v>
      </c>
      <c r="J1721" s="161" t="s">
        <v>19202</v>
      </c>
      <c r="K1721" t="s">
        <v>19203</v>
      </c>
      <c r="L1721" t="s">
        <v>15101</v>
      </c>
      <c r="M1721" s="161" t="s">
        <v>19202</v>
      </c>
    </row>
    <row r="1722" spans="9:13" x14ac:dyDescent="0.25">
      <c r="I1722" t="s">
        <v>1304</v>
      </c>
      <c r="J1722" s="161" t="s">
        <v>19202</v>
      </c>
      <c r="K1722" t="s">
        <v>19203</v>
      </c>
      <c r="L1722" t="s">
        <v>1303</v>
      </c>
      <c r="M1722" s="161" t="s">
        <v>19202</v>
      </c>
    </row>
    <row r="1723" spans="9:13" x14ac:dyDescent="0.25">
      <c r="I1723" t="s">
        <v>7726</v>
      </c>
      <c r="J1723" s="161" t="s">
        <v>19202</v>
      </c>
      <c r="K1723" t="s">
        <v>19203</v>
      </c>
      <c r="L1723" t="s">
        <v>7725</v>
      </c>
      <c r="M1723" s="161" t="s">
        <v>19202</v>
      </c>
    </row>
    <row r="1724" spans="9:13" x14ac:dyDescent="0.25">
      <c r="I1724" t="s">
        <v>9552</v>
      </c>
      <c r="J1724" s="161" t="s">
        <v>19202</v>
      </c>
      <c r="K1724" t="s">
        <v>19203</v>
      </c>
      <c r="L1724" t="s">
        <v>9551</v>
      </c>
      <c r="M1724" s="161" t="s">
        <v>19202</v>
      </c>
    </row>
    <row r="1725" spans="9:13" x14ac:dyDescent="0.25">
      <c r="I1725" t="s">
        <v>1390</v>
      </c>
      <c r="J1725" s="161" t="s">
        <v>19202</v>
      </c>
      <c r="K1725" t="s">
        <v>19203</v>
      </c>
      <c r="L1725" t="s">
        <v>1389</v>
      </c>
      <c r="M1725" s="161" t="s">
        <v>19202</v>
      </c>
    </row>
    <row r="1726" spans="9:13" x14ac:dyDescent="0.25">
      <c r="I1726" t="s">
        <v>19435</v>
      </c>
      <c r="J1726" s="161" t="s">
        <v>19202</v>
      </c>
      <c r="K1726" t="s">
        <v>19203</v>
      </c>
      <c r="L1726" t="s">
        <v>19436</v>
      </c>
      <c r="M1726" s="161" t="s">
        <v>19202</v>
      </c>
    </row>
    <row r="1727" spans="9:13" x14ac:dyDescent="0.25">
      <c r="I1727" t="s">
        <v>11805</v>
      </c>
      <c r="J1727" s="161" t="s">
        <v>19202</v>
      </c>
      <c r="K1727" t="s">
        <v>19203</v>
      </c>
      <c r="L1727" t="s">
        <v>11804</v>
      </c>
      <c r="M1727" s="161" t="s">
        <v>19202</v>
      </c>
    </row>
    <row r="1728" spans="9:13" x14ac:dyDescent="0.25">
      <c r="I1728" t="s">
        <v>15461</v>
      </c>
      <c r="J1728" s="161" t="s">
        <v>19202</v>
      </c>
      <c r="K1728" t="s">
        <v>19203</v>
      </c>
      <c r="L1728" t="s">
        <v>15460</v>
      </c>
      <c r="M1728" s="161" t="s">
        <v>19202</v>
      </c>
    </row>
    <row r="1729" spans="9:13" x14ac:dyDescent="0.25">
      <c r="I1729" t="s">
        <v>7047</v>
      </c>
      <c r="J1729" s="161" t="s">
        <v>19202</v>
      </c>
      <c r="K1729" t="s">
        <v>19203</v>
      </c>
      <c r="L1729" t="s">
        <v>7046</v>
      </c>
      <c r="M1729" s="161" t="s">
        <v>19202</v>
      </c>
    </row>
    <row r="1730" spans="9:13" x14ac:dyDescent="0.25">
      <c r="I1730" t="s">
        <v>12111</v>
      </c>
      <c r="J1730" s="161" t="s">
        <v>19202</v>
      </c>
      <c r="K1730" t="s">
        <v>19203</v>
      </c>
      <c r="L1730" t="s">
        <v>12110</v>
      </c>
      <c r="M1730" s="161" t="s">
        <v>19202</v>
      </c>
    </row>
    <row r="1731" spans="9:13" x14ac:dyDescent="0.25">
      <c r="I1731" t="s">
        <v>1351</v>
      </c>
      <c r="J1731" s="161" t="s">
        <v>19202</v>
      </c>
      <c r="K1731" t="s">
        <v>19203</v>
      </c>
      <c r="L1731" t="s">
        <v>1350</v>
      </c>
      <c r="M1731" s="161" t="s">
        <v>19202</v>
      </c>
    </row>
    <row r="1732" spans="9:13" x14ac:dyDescent="0.25">
      <c r="I1732" t="s">
        <v>17437</v>
      </c>
      <c r="J1732" s="161" t="s">
        <v>19202</v>
      </c>
      <c r="K1732" t="s">
        <v>19203</v>
      </c>
      <c r="L1732" t="s">
        <v>1497</v>
      </c>
      <c r="M1732" s="161" t="s">
        <v>19202</v>
      </c>
    </row>
    <row r="1733" spans="9:13" x14ac:dyDescent="0.25">
      <c r="I1733" t="s">
        <v>18944</v>
      </c>
      <c r="J1733" s="161" t="s">
        <v>19202</v>
      </c>
      <c r="K1733" t="s">
        <v>19203</v>
      </c>
      <c r="L1733" t="s">
        <v>18946</v>
      </c>
      <c r="M1733" s="161" t="s">
        <v>19202</v>
      </c>
    </row>
    <row r="1734" spans="9:13" x14ac:dyDescent="0.25">
      <c r="I1734" t="s">
        <v>19437</v>
      </c>
      <c r="J1734" s="161" t="s">
        <v>19202</v>
      </c>
      <c r="K1734" t="s">
        <v>19203</v>
      </c>
      <c r="L1734" t="s">
        <v>19438</v>
      </c>
      <c r="M1734" s="161" t="s">
        <v>19202</v>
      </c>
    </row>
    <row r="1735" spans="9:13" x14ac:dyDescent="0.25">
      <c r="I1735" t="s">
        <v>12437</v>
      </c>
      <c r="J1735" s="161" t="s">
        <v>19202</v>
      </c>
      <c r="K1735" t="s">
        <v>19203</v>
      </c>
      <c r="L1735" t="s">
        <v>12436</v>
      </c>
      <c r="M1735" s="161" t="s">
        <v>19202</v>
      </c>
    </row>
    <row r="1736" spans="9:13" x14ac:dyDescent="0.25">
      <c r="I1736" t="s">
        <v>12435</v>
      </c>
      <c r="J1736" s="161" t="s">
        <v>19202</v>
      </c>
      <c r="K1736" t="s">
        <v>19203</v>
      </c>
      <c r="L1736" t="s">
        <v>12434</v>
      </c>
      <c r="M1736" s="161" t="s">
        <v>19202</v>
      </c>
    </row>
    <row r="1737" spans="9:13" x14ac:dyDescent="0.25">
      <c r="I1737" t="s">
        <v>12433</v>
      </c>
      <c r="J1737" s="161" t="s">
        <v>19202</v>
      </c>
      <c r="K1737" t="s">
        <v>19203</v>
      </c>
      <c r="L1737" t="s">
        <v>12432</v>
      </c>
      <c r="M1737" s="161" t="s">
        <v>19202</v>
      </c>
    </row>
    <row r="1738" spans="9:13" x14ac:dyDescent="0.25">
      <c r="I1738" t="s">
        <v>12370</v>
      </c>
      <c r="J1738" s="161" t="s">
        <v>19202</v>
      </c>
      <c r="K1738" t="s">
        <v>19203</v>
      </c>
      <c r="L1738" t="s">
        <v>12369</v>
      </c>
      <c r="M1738" s="161" t="s">
        <v>19202</v>
      </c>
    </row>
    <row r="1739" spans="9:13" x14ac:dyDescent="0.25">
      <c r="I1739" t="s">
        <v>11814</v>
      </c>
      <c r="J1739" s="161" t="s">
        <v>19202</v>
      </c>
      <c r="K1739" t="s">
        <v>19203</v>
      </c>
      <c r="L1739" t="s">
        <v>11813</v>
      </c>
      <c r="M1739" s="161" t="s">
        <v>19202</v>
      </c>
    </row>
    <row r="1740" spans="9:13" x14ac:dyDescent="0.25">
      <c r="I1740" t="s">
        <v>12429</v>
      </c>
      <c r="J1740" s="161" t="s">
        <v>19202</v>
      </c>
      <c r="K1740" t="s">
        <v>19203</v>
      </c>
      <c r="L1740" t="s">
        <v>12428</v>
      </c>
      <c r="M1740" s="161" t="s">
        <v>19202</v>
      </c>
    </row>
    <row r="1741" spans="9:13" x14ac:dyDescent="0.25">
      <c r="I1741" t="s">
        <v>12427</v>
      </c>
      <c r="J1741" s="161" t="s">
        <v>19202</v>
      </c>
      <c r="K1741" t="s">
        <v>19203</v>
      </c>
      <c r="L1741" t="s">
        <v>12426</v>
      </c>
      <c r="M1741" s="161" t="s">
        <v>19202</v>
      </c>
    </row>
    <row r="1742" spans="9:13" x14ac:dyDescent="0.25">
      <c r="I1742" t="s">
        <v>12425</v>
      </c>
      <c r="J1742" s="161" t="s">
        <v>19202</v>
      </c>
      <c r="K1742" t="s">
        <v>19203</v>
      </c>
      <c r="L1742" t="s">
        <v>12424</v>
      </c>
      <c r="M1742" s="161" t="s">
        <v>19202</v>
      </c>
    </row>
    <row r="1743" spans="9:13" x14ac:dyDescent="0.25">
      <c r="I1743" t="s">
        <v>12423</v>
      </c>
      <c r="J1743" s="161" t="s">
        <v>19202</v>
      </c>
      <c r="K1743" t="s">
        <v>19203</v>
      </c>
      <c r="L1743" t="s">
        <v>12422</v>
      </c>
      <c r="M1743" s="161" t="s">
        <v>19202</v>
      </c>
    </row>
    <row r="1744" spans="9:13" x14ac:dyDescent="0.25">
      <c r="I1744" t="s">
        <v>12555</v>
      </c>
      <c r="J1744" s="161" t="s">
        <v>19202</v>
      </c>
      <c r="K1744" t="s">
        <v>19203</v>
      </c>
      <c r="L1744" t="s">
        <v>12554</v>
      </c>
      <c r="M1744" s="161" t="s">
        <v>19202</v>
      </c>
    </row>
    <row r="1745" spans="9:13" x14ac:dyDescent="0.25">
      <c r="I1745" t="s">
        <v>12366</v>
      </c>
      <c r="J1745" s="161" t="s">
        <v>19202</v>
      </c>
      <c r="K1745" t="s">
        <v>19203</v>
      </c>
      <c r="L1745" t="s">
        <v>12365</v>
      </c>
      <c r="M1745" s="161" t="s">
        <v>19202</v>
      </c>
    </row>
    <row r="1746" spans="9:13" x14ac:dyDescent="0.25">
      <c r="I1746" t="s">
        <v>12553</v>
      </c>
      <c r="J1746" s="161" t="s">
        <v>19202</v>
      </c>
      <c r="K1746" t="s">
        <v>19203</v>
      </c>
      <c r="L1746" t="s">
        <v>12552</v>
      </c>
      <c r="M1746" s="161" t="s">
        <v>19202</v>
      </c>
    </row>
    <row r="1747" spans="9:13" x14ac:dyDescent="0.25">
      <c r="I1747" t="s">
        <v>12551</v>
      </c>
      <c r="J1747" s="161" t="s">
        <v>19202</v>
      </c>
      <c r="K1747" t="s">
        <v>19203</v>
      </c>
      <c r="L1747" t="s">
        <v>12550</v>
      </c>
      <c r="M1747" s="161" t="s">
        <v>19202</v>
      </c>
    </row>
    <row r="1748" spans="9:13" x14ac:dyDescent="0.25">
      <c r="I1748" t="s">
        <v>11959</v>
      </c>
      <c r="J1748" s="161" t="s">
        <v>19202</v>
      </c>
      <c r="K1748" t="s">
        <v>19203</v>
      </c>
      <c r="L1748" t="s">
        <v>11958</v>
      </c>
      <c r="M1748" s="161" t="s">
        <v>19202</v>
      </c>
    </row>
    <row r="1749" spans="9:13" x14ac:dyDescent="0.25">
      <c r="I1749" t="s">
        <v>12364</v>
      </c>
      <c r="J1749" s="161" t="s">
        <v>19202</v>
      </c>
      <c r="K1749" t="s">
        <v>19203</v>
      </c>
      <c r="L1749" t="s">
        <v>12363</v>
      </c>
      <c r="M1749" s="161" t="s">
        <v>19202</v>
      </c>
    </row>
    <row r="1750" spans="9:13" x14ac:dyDescent="0.25">
      <c r="I1750" t="s">
        <v>12549</v>
      </c>
      <c r="J1750" s="161" t="s">
        <v>19202</v>
      </c>
      <c r="K1750" t="s">
        <v>19203</v>
      </c>
      <c r="L1750" t="s">
        <v>12548</v>
      </c>
      <c r="M1750" s="161" t="s">
        <v>19202</v>
      </c>
    </row>
    <row r="1751" spans="9:13" x14ac:dyDescent="0.25">
      <c r="I1751" t="s">
        <v>3914</v>
      </c>
      <c r="J1751" s="161" t="s">
        <v>19202</v>
      </c>
      <c r="K1751" t="s">
        <v>19203</v>
      </c>
      <c r="L1751" t="s">
        <v>1554</v>
      </c>
      <c r="M1751" s="161" t="s">
        <v>19202</v>
      </c>
    </row>
    <row r="1752" spans="9:13" x14ac:dyDescent="0.25">
      <c r="I1752" t="s">
        <v>983</v>
      </c>
      <c r="J1752" s="161" t="s">
        <v>19202</v>
      </c>
      <c r="K1752" t="s">
        <v>19203</v>
      </c>
      <c r="L1752" t="s">
        <v>982</v>
      </c>
      <c r="M1752" s="161" t="s">
        <v>19202</v>
      </c>
    </row>
    <row r="1753" spans="9:13" x14ac:dyDescent="0.25">
      <c r="I1753" t="s">
        <v>4299</v>
      </c>
      <c r="J1753" s="161" t="s">
        <v>19202</v>
      </c>
      <c r="K1753" t="s">
        <v>19203</v>
      </c>
      <c r="L1753" t="s">
        <v>4298</v>
      </c>
      <c r="M1753" s="161" t="s">
        <v>19202</v>
      </c>
    </row>
    <row r="1754" spans="9:13" x14ac:dyDescent="0.25">
      <c r="I1754" t="s">
        <v>3263</v>
      </c>
      <c r="J1754" s="161" t="s">
        <v>19202</v>
      </c>
      <c r="K1754" t="s">
        <v>19203</v>
      </c>
      <c r="L1754" t="s">
        <v>3262</v>
      </c>
      <c r="M1754" s="161" t="s">
        <v>19202</v>
      </c>
    </row>
    <row r="1755" spans="9:13" x14ac:dyDescent="0.25">
      <c r="I1755" t="s">
        <v>5879</v>
      </c>
      <c r="J1755" s="161" t="s">
        <v>19202</v>
      </c>
      <c r="K1755" t="s">
        <v>19203</v>
      </c>
      <c r="L1755" t="s">
        <v>2092</v>
      </c>
      <c r="M1755" s="161" t="s">
        <v>19202</v>
      </c>
    </row>
    <row r="1756" spans="9:13" x14ac:dyDescent="0.25">
      <c r="I1756" t="s">
        <v>14281</v>
      </c>
      <c r="J1756" s="161" t="s">
        <v>19202</v>
      </c>
      <c r="K1756" t="s">
        <v>19203</v>
      </c>
      <c r="L1756" t="s">
        <v>14280</v>
      </c>
      <c r="M1756" s="161" t="s">
        <v>19202</v>
      </c>
    </row>
    <row r="1757" spans="9:13" x14ac:dyDescent="0.25">
      <c r="I1757" t="s">
        <v>4667</v>
      </c>
      <c r="J1757" s="161" t="s">
        <v>19202</v>
      </c>
      <c r="K1757" t="s">
        <v>19203</v>
      </c>
      <c r="L1757" t="s">
        <v>4666</v>
      </c>
      <c r="M1757" s="161" t="s">
        <v>19202</v>
      </c>
    </row>
    <row r="1758" spans="9:13" x14ac:dyDescent="0.25">
      <c r="I1758" t="s">
        <v>19439</v>
      </c>
      <c r="J1758" s="161" t="s">
        <v>19202</v>
      </c>
      <c r="K1758" t="s">
        <v>19203</v>
      </c>
      <c r="L1758" t="s">
        <v>19440</v>
      </c>
      <c r="M1758" s="161" t="s">
        <v>19202</v>
      </c>
    </row>
    <row r="1759" spans="9:13" x14ac:dyDescent="0.25">
      <c r="I1759" t="s">
        <v>17907</v>
      </c>
      <c r="J1759" s="161" t="s">
        <v>19202</v>
      </c>
      <c r="K1759" t="s">
        <v>19203</v>
      </c>
      <c r="L1759" t="s">
        <v>17906</v>
      </c>
      <c r="M1759" s="161" t="s">
        <v>19202</v>
      </c>
    </row>
    <row r="1760" spans="9:13" x14ac:dyDescent="0.25">
      <c r="I1760" t="s">
        <v>1507</v>
      </c>
      <c r="J1760" s="161" t="s">
        <v>19202</v>
      </c>
      <c r="K1760" t="s">
        <v>19203</v>
      </c>
      <c r="L1760" t="s">
        <v>1506</v>
      </c>
      <c r="M1760" s="161" t="s">
        <v>19202</v>
      </c>
    </row>
    <row r="1761" spans="9:13" x14ac:dyDescent="0.25">
      <c r="I1761" t="s">
        <v>19441</v>
      </c>
      <c r="J1761" s="161" t="s">
        <v>19202</v>
      </c>
      <c r="K1761" t="s">
        <v>19203</v>
      </c>
      <c r="L1761" t="s">
        <v>1690</v>
      </c>
      <c r="M1761" s="161" t="s">
        <v>19202</v>
      </c>
    </row>
    <row r="1762" spans="9:13" x14ac:dyDescent="0.25">
      <c r="I1762" t="s">
        <v>1573</v>
      </c>
      <c r="J1762" s="161" t="s">
        <v>19202</v>
      </c>
      <c r="K1762" t="s">
        <v>19203</v>
      </c>
      <c r="L1762" t="s">
        <v>1572</v>
      </c>
      <c r="M1762" s="161" t="s">
        <v>19202</v>
      </c>
    </row>
    <row r="1763" spans="9:13" x14ac:dyDescent="0.25">
      <c r="I1763" t="s">
        <v>1197</v>
      </c>
      <c r="J1763" s="161" t="s">
        <v>19202</v>
      </c>
      <c r="K1763" t="s">
        <v>19203</v>
      </c>
      <c r="L1763" t="s">
        <v>1196</v>
      </c>
      <c r="M1763" s="161" t="s">
        <v>19202</v>
      </c>
    </row>
    <row r="1764" spans="9:13" x14ac:dyDescent="0.25">
      <c r="I1764" t="s">
        <v>7529</v>
      </c>
      <c r="J1764" s="161" t="s">
        <v>19202</v>
      </c>
      <c r="K1764" t="s">
        <v>19203</v>
      </c>
      <c r="L1764" t="s">
        <v>7528</v>
      </c>
      <c r="M1764" s="161" t="s">
        <v>19202</v>
      </c>
    </row>
    <row r="1765" spans="9:13" x14ac:dyDescent="0.25">
      <c r="I1765" t="s">
        <v>3848</v>
      </c>
      <c r="J1765" s="161" t="s">
        <v>19202</v>
      </c>
      <c r="K1765" t="s">
        <v>19203</v>
      </c>
      <c r="L1765" t="s">
        <v>3847</v>
      </c>
      <c r="M1765" s="161" t="s">
        <v>19202</v>
      </c>
    </row>
    <row r="1766" spans="9:13" x14ac:dyDescent="0.25">
      <c r="I1766" t="s">
        <v>7871</v>
      </c>
      <c r="J1766" s="161" t="s">
        <v>19202</v>
      </c>
      <c r="K1766" t="s">
        <v>19203</v>
      </c>
      <c r="L1766" t="s">
        <v>7870</v>
      </c>
      <c r="M1766" s="161" t="s">
        <v>19202</v>
      </c>
    </row>
    <row r="1767" spans="9:13" x14ac:dyDescent="0.25">
      <c r="I1767" t="s">
        <v>15144</v>
      </c>
      <c r="J1767" s="161" t="s">
        <v>19202</v>
      </c>
      <c r="K1767" t="s">
        <v>19203</v>
      </c>
      <c r="L1767" t="s">
        <v>15143</v>
      </c>
      <c r="M1767" s="161" t="s">
        <v>19202</v>
      </c>
    </row>
    <row r="1768" spans="9:13" x14ac:dyDescent="0.25">
      <c r="I1768" t="s">
        <v>7308</v>
      </c>
      <c r="J1768" s="161" t="s">
        <v>19202</v>
      </c>
      <c r="K1768" t="s">
        <v>19203</v>
      </c>
      <c r="L1768" t="s">
        <v>7307</v>
      </c>
      <c r="M1768" s="161" t="s">
        <v>19202</v>
      </c>
    </row>
    <row r="1769" spans="9:13" x14ac:dyDescent="0.25">
      <c r="I1769" t="s">
        <v>12279</v>
      </c>
      <c r="J1769" s="161" t="s">
        <v>19202</v>
      </c>
      <c r="K1769" t="s">
        <v>19203</v>
      </c>
      <c r="L1769" t="s">
        <v>12278</v>
      </c>
      <c r="M1769" s="161" t="s">
        <v>19202</v>
      </c>
    </row>
    <row r="1770" spans="9:13" x14ac:dyDescent="0.25">
      <c r="I1770" t="s">
        <v>2372</v>
      </c>
      <c r="J1770" s="161" t="s">
        <v>19202</v>
      </c>
      <c r="K1770" t="s">
        <v>19203</v>
      </c>
      <c r="L1770" t="s">
        <v>2371</v>
      </c>
      <c r="M1770" s="161" t="s">
        <v>19202</v>
      </c>
    </row>
    <row r="1771" spans="9:13" x14ac:dyDescent="0.25">
      <c r="I1771" t="s">
        <v>12945</v>
      </c>
      <c r="J1771" s="161" t="s">
        <v>19202</v>
      </c>
      <c r="K1771" t="s">
        <v>19203</v>
      </c>
      <c r="L1771" t="s">
        <v>12944</v>
      </c>
      <c r="M1771" s="161" t="s">
        <v>19202</v>
      </c>
    </row>
    <row r="1772" spans="9:13" x14ac:dyDescent="0.25">
      <c r="I1772" t="s">
        <v>2833</v>
      </c>
      <c r="J1772" s="161" t="s">
        <v>19202</v>
      </c>
      <c r="K1772" t="s">
        <v>19203</v>
      </c>
      <c r="L1772" t="s">
        <v>2832</v>
      </c>
      <c r="M1772" s="161" t="s">
        <v>19202</v>
      </c>
    </row>
    <row r="1773" spans="9:13" x14ac:dyDescent="0.25">
      <c r="I1773" t="s">
        <v>3145</v>
      </c>
      <c r="J1773" s="161" t="s">
        <v>19202</v>
      </c>
      <c r="K1773" t="s">
        <v>19203</v>
      </c>
      <c r="L1773" t="s">
        <v>3144</v>
      </c>
      <c r="M1773" s="161" t="s">
        <v>19202</v>
      </c>
    </row>
    <row r="1774" spans="9:13" x14ac:dyDescent="0.25">
      <c r="I1774" t="s">
        <v>4095</v>
      </c>
      <c r="J1774" s="161" t="s">
        <v>19202</v>
      </c>
      <c r="K1774" t="s">
        <v>19203</v>
      </c>
      <c r="L1774" t="s">
        <v>4094</v>
      </c>
      <c r="M1774" s="161" t="s">
        <v>19202</v>
      </c>
    </row>
    <row r="1775" spans="9:13" x14ac:dyDescent="0.25">
      <c r="I1775" t="s">
        <v>14466</v>
      </c>
      <c r="J1775" s="161" t="s">
        <v>19202</v>
      </c>
      <c r="K1775" t="s">
        <v>19203</v>
      </c>
      <c r="L1775" t="s">
        <v>1694</v>
      </c>
      <c r="M1775" s="161" t="s">
        <v>19202</v>
      </c>
    </row>
    <row r="1776" spans="9:13" x14ac:dyDescent="0.25">
      <c r="I1776" t="s">
        <v>12891</v>
      </c>
      <c r="J1776" s="161" t="s">
        <v>19202</v>
      </c>
      <c r="K1776" t="s">
        <v>19203</v>
      </c>
      <c r="L1776" t="s">
        <v>12890</v>
      </c>
      <c r="M1776" s="161" t="s">
        <v>19202</v>
      </c>
    </row>
    <row r="1777" spans="9:13" x14ac:dyDescent="0.25">
      <c r="I1777" t="s">
        <v>13912</v>
      </c>
      <c r="J1777" s="161" t="s">
        <v>19202</v>
      </c>
      <c r="K1777" t="s">
        <v>19203</v>
      </c>
      <c r="L1777" t="s">
        <v>3681</v>
      </c>
      <c r="M1777" s="161" t="s">
        <v>19202</v>
      </c>
    </row>
    <row r="1778" spans="9:13" x14ac:dyDescent="0.25">
      <c r="I1778" t="s">
        <v>19442</v>
      </c>
      <c r="J1778" s="161" t="s">
        <v>19202</v>
      </c>
      <c r="K1778" t="s">
        <v>19203</v>
      </c>
      <c r="L1778" t="s">
        <v>19443</v>
      </c>
      <c r="M1778" s="161" t="s">
        <v>19202</v>
      </c>
    </row>
    <row r="1779" spans="9:13" x14ac:dyDescent="0.25">
      <c r="I1779" t="s">
        <v>17172</v>
      </c>
      <c r="J1779" s="161" t="s">
        <v>19202</v>
      </c>
      <c r="K1779" t="s">
        <v>19203</v>
      </c>
      <c r="L1779" t="s">
        <v>17171</v>
      </c>
      <c r="M1779" s="161" t="s">
        <v>19202</v>
      </c>
    </row>
    <row r="1780" spans="9:13" x14ac:dyDescent="0.25">
      <c r="I1780" t="s">
        <v>7306</v>
      </c>
      <c r="J1780" s="161" t="s">
        <v>19202</v>
      </c>
      <c r="K1780" t="s">
        <v>19203</v>
      </c>
      <c r="L1780" t="s">
        <v>7305</v>
      </c>
      <c r="M1780" s="161" t="s">
        <v>19202</v>
      </c>
    </row>
    <row r="1781" spans="9:13" x14ac:dyDescent="0.25">
      <c r="I1781" t="s">
        <v>1593</v>
      </c>
      <c r="J1781" s="161" t="s">
        <v>19202</v>
      </c>
      <c r="K1781" t="s">
        <v>19203</v>
      </c>
      <c r="L1781" t="s">
        <v>1592</v>
      </c>
      <c r="M1781" s="161" t="s">
        <v>19202</v>
      </c>
    </row>
    <row r="1782" spans="9:13" x14ac:dyDescent="0.25">
      <c r="I1782" t="s">
        <v>19444</v>
      </c>
      <c r="J1782" s="161" t="s">
        <v>19202</v>
      </c>
      <c r="K1782" t="s">
        <v>19203</v>
      </c>
      <c r="L1782" t="s">
        <v>19445</v>
      </c>
      <c r="M1782" s="161" t="s">
        <v>19202</v>
      </c>
    </row>
    <row r="1783" spans="9:13" x14ac:dyDescent="0.25">
      <c r="I1783" t="s">
        <v>4343</v>
      </c>
      <c r="J1783" s="161" t="s">
        <v>19202</v>
      </c>
      <c r="K1783" t="s">
        <v>19203</v>
      </c>
      <c r="L1783" t="s">
        <v>4342</v>
      </c>
      <c r="M1783" s="161" t="s">
        <v>19202</v>
      </c>
    </row>
    <row r="1784" spans="9:13" x14ac:dyDescent="0.25">
      <c r="I1784" t="s">
        <v>180</v>
      </c>
      <c r="J1784" s="161" t="s">
        <v>19202</v>
      </c>
      <c r="K1784" t="s">
        <v>19203</v>
      </c>
      <c r="L1784" t="s">
        <v>179</v>
      </c>
      <c r="M1784" s="161" t="s">
        <v>19202</v>
      </c>
    </row>
    <row r="1785" spans="9:13" x14ac:dyDescent="0.25">
      <c r="I1785" t="s">
        <v>14043</v>
      </c>
      <c r="J1785" s="161" t="s">
        <v>19202</v>
      </c>
      <c r="K1785" t="s">
        <v>19203</v>
      </c>
      <c r="L1785" t="s">
        <v>14042</v>
      </c>
      <c r="M1785" s="161" t="s">
        <v>19202</v>
      </c>
    </row>
    <row r="1786" spans="9:13" x14ac:dyDescent="0.25">
      <c r="I1786" t="s">
        <v>18000</v>
      </c>
      <c r="J1786" s="161" t="s">
        <v>19202</v>
      </c>
      <c r="K1786" t="s">
        <v>19203</v>
      </c>
      <c r="L1786" t="s">
        <v>17999</v>
      </c>
      <c r="M1786" s="161" t="s">
        <v>19202</v>
      </c>
    </row>
    <row r="1787" spans="9:13" x14ac:dyDescent="0.25">
      <c r="I1787" t="s">
        <v>2421</v>
      </c>
      <c r="J1787" s="161" t="s">
        <v>19202</v>
      </c>
      <c r="K1787" t="s">
        <v>19203</v>
      </c>
      <c r="L1787" t="s">
        <v>2420</v>
      </c>
      <c r="M1787" s="161" t="s">
        <v>19202</v>
      </c>
    </row>
    <row r="1788" spans="9:13" x14ac:dyDescent="0.25">
      <c r="I1788" t="s">
        <v>14922</v>
      </c>
      <c r="J1788" s="161" t="s">
        <v>19202</v>
      </c>
      <c r="K1788" t="s">
        <v>19203</v>
      </c>
      <c r="L1788" t="s">
        <v>14921</v>
      </c>
      <c r="M1788" s="161" t="s">
        <v>19202</v>
      </c>
    </row>
    <row r="1789" spans="9:13" x14ac:dyDescent="0.25">
      <c r="I1789" t="s">
        <v>16652</v>
      </c>
      <c r="J1789" s="161" t="s">
        <v>19202</v>
      </c>
      <c r="K1789" t="s">
        <v>19203</v>
      </c>
      <c r="L1789" t="s">
        <v>15570</v>
      </c>
      <c r="M1789" s="161" t="s">
        <v>19202</v>
      </c>
    </row>
    <row r="1790" spans="9:13" x14ac:dyDescent="0.25">
      <c r="I1790" t="s">
        <v>14589</v>
      </c>
      <c r="J1790" s="161" t="s">
        <v>19202</v>
      </c>
      <c r="K1790" t="s">
        <v>19203</v>
      </c>
      <c r="L1790" t="s">
        <v>14588</v>
      </c>
      <c r="M1790" s="161" t="s">
        <v>19202</v>
      </c>
    </row>
    <row r="1791" spans="9:13" x14ac:dyDescent="0.25">
      <c r="I1791" t="s">
        <v>12947</v>
      </c>
      <c r="J1791" s="161" t="s">
        <v>19202</v>
      </c>
      <c r="K1791" t="s">
        <v>19203</v>
      </c>
      <c r="L1791" t="s">
        <v>12946</v>
      </c>
      <c r="M1791" s="161" t="s">
        <v>19202</v>
      </c>
    </row>
    <row r="1792" spans="9:13" x14ac:dyDescent="0.25">
      <c r="I1792" t="s">
        <v>4244</v>
      </c>
      <c r="J1792" s="161" t="s">
        <v>19202</v>
      </c>
      <c r="K1792" t="s">
        <v>19203</v>
      </c>
      <c r="L1792" t="s">
        <v>4243</v>
      </c>
      <c r="M1792" s="161" t="s">
        <v>19202</v>
      </c>
    </row>
    <row r="1793" spans="9:13" x14ac:dyDescent="0.25">
      <c r="I1793" t="s">
        <v>8922</v>
      </c>
      <c r="J1793" s="161" t="s">
        <v>19202</v>
      </c>
      <c r="K1793" t="s">
        <v>19203</v>
      </c>
      <c r="L1793" t="s">
        <v>8921</v>
      </c>
      <c r="M1793" s="161" t="s">
        <v>19202</v>
      </c>
    </row>
    <row r="1794" spans="9:13" x14ac:dyDescent="0.25">
      <c r="I1794" t="s">
        <v>9012</v>
      </c>
      <c r="J1794" s="161" t="s">
        <v>19202</v>
      </c>
      <c r="K1794" t="s">
        <v>19203</v>
      </c>
      <c r="L1794" t="s">
        <v>9011</v>
      </c>
      <c r="M1794" s="161" t="s">
        <v>19202</v>
      </c>
    </row>
    <row r="1795" spans="9:13" x14ac:dyDescent="0.25">
      <c r="I1795" t="s">
        <v>17390</v>
      </c>
      <c r="J1795" s="161" t="s">
        <v>19202</v>
      </c>
      <c r="K1795" t="s">
        <v>19203</v>
      </c>
      <c r="L1795" t="s">
        <v>1354</v>
      </c>
      <c r="M1795" s="161" t="s">
        <v>19202</v>
      </c>
    </row>
    <row r="1796" spans="9:13" x14ac:dyDescent="0.25">
      <c r="I1796" t="s">
        <v>16844</v>
      </c>
      <c r="J1796" s="161" t="s">
        <v>19202</v>
      </c>
      <c r="K1796" t="s">
        <v>19203</v>
      </c>
      <c r="L1796" t="s">
        <v>16843</v>
      </c>
      <c r="M1796" s="161" t="s">
        <v>19202</v>
      </c>
    </row>
    <row r="1797" spans="9:13" x14ac:dyDescent="0.25">
      <c r="I1797" t="s">
        <v>17413</v>
      </c>
      <c r="J1797" s="161" t="s">
        <v>19202</v>
      </c>
      <c r="K1797" t="s">
        <v>19203</v>
      </c>
      <c r="L1797" t="s">
        <v>17412</v>
      </c>
      <c r="M1797" s="161" t="s">
        <v>19202</v>
      </c>
    </row>
    <row r="1798" spans="9:13" x14ac:dyDescent="0.25">
      <c r="I1798" t="s">
        <v>17885</v>
      </c>
      <c r="J1798" s="161" t="s">
        <v>19202</v>
      </c>
      <c r="K1798" t="s">
        <v>19203</v>
      </c>
      <c r="L1798" t="s">
        <v>17884</v>
      </c>
      <c r="M1798" s="161" t="s">
        <v>19202</v>
      </c>
    </row>
    <row r="1799" spans="9:13" x14ac:dyDescent="0.25">
      <c r="I1799" t="s">
        <v>14077</v>
      </c>
      <c r="J1799" s="161" t="s">
        <v>19202</v>
      </c>
      <c r="K1799" t="s">
        <v>19203</v>
      </c>
      <c r="L1799" t="s">
        <v>14076</v>
      </c>
      <c r="M1799" s="161" t="s">
        <v>19202</v>
      </c>
    </row>
    <row r="1800" spans="9:13" x14ac:dyDescent="0.25">
      <c r="I1800" t="s">
        <v>16971</v>
      </c>
      <c r="J1800" s="161" t="s">
        <v>19202</v>
      </c>
      <c r="K1800" t="s">
        <v>19203</v>
      </c>
      <c r="L1800" t="s">
        <v>16419</v>
      </c>
      <c r="M1800" s="161" t="s">
        <v>19202</v>
      </c>
    </row>
    <row r="1801" spans="9:13" x14ac:dyDescent="0.25">
      <c r="I1801" t="s">
        <v>1254</v>
      </c>
      <c r="J1801" s="161" t="s">
        <v>19202</v>
      </c>
      <c r="K1801" t="s">
        <v>19203</v>
      </c>
      <c r="L1801" t="s">
        <v>1253</v>
      </c>
      <c r="M1801" s="161" t="s">
        <v>19202</v>
      </c>
    </row>
    <row r="1802" spans="9:13" x14ac:dyDescent="0.25">
      <c r="I1802" t="s">
        <v>2489</v>
      </c>
      <c r="J1802" s="161" t="s">
        <v>19202</v>
      </c>
      <c r="K1802" t="s">
        <v>19203</v>
      </c>
      <c r="L1802" t="s">
        <v>2488</v>
      </c>
      <c r="M1802" s="161" t="s">
        <v>19202</v>
      </c>
    </row>
    <row r="1803" spans="9:13" x14ac:dyDescent="0.25">
      <c r="I1803" t="s">
        <v>11887</v>
      </c>
      <c r="J1803" s="161" t="s">
        <v>19202</v>
      </c>
      <c r="K1803" t="s">
        <v>19203</v>
      </c>
      <c r="L1803" t="s">
        <v>11886</v>
      </c>
      <c r="M1803" s="161" t="s">
        <v>19202</v>
      </c>
    </row>
    <row r="1804" spans="9:13" x14ac:dyDescent="0.25">
      <c r="I1804" t="s">
        <v>3085</v>
      </c>
      <c r="J1804" s="161" t="s">
        <v>19202</v>
      </c>
      <c r="K1804" t="s">
        <v>19203</v>
      </c>
      <c r="L1804" t="s">
        <v>3084</v>
      </c>
      <c r="M1804" s="161" t="s">
        <v>19202</v>
      </c>
    </row>
    <row r="1805" spans="9:13" x14ac:dyDescent="0.25">
      <c r="I1805" t="s">
        <v>1771</v>
      </c>
      <c r="J1805" s="161" t="s">
        <v>19202</v>
      </c>
      <c r="K1805" t="s">
        <v>19203</v>
      </c>
      <c r="L1805" t="s">
        <v>1770</v>
      </c>
      <c r="M1805" s="161" t="s">
        <v>19202</v>
      </c>
    </row>
    <row r="1806" spans="9:13" x14ac:dyDescent="0.25">
      <c r="I1806" t="s">
        <v>2286</v>
      </c>
      <c r="J1806" s="161" t="s">
        <v>19202</v>
      </c>
      <c r="K1806" t="s">
        <v>19203</v>
      </c>
      <c r="L1806" t="s">
        <v>2285</v>
      </c>
      <c r="M1806" s="161" t="s">
        <v>19202</v>
      </c>
    </row>
    <row r="1807" spans="9:13" x14ac:dyDescent="0.25">
      <c r="I1807" t="s">
        <v>7829</v>
      </c>
      <c r="J1807" s="161" t="s">
        <v>19202</v>
      </c>
      <c r="K1807" t="s">
        <v>19203</v>
      </c>
      <c r="L1807" t="s">
        <v>7828</v>
      </c>
      <c r="M1807" s="161" t="s">
        <v>19202</v>
      </c>
    </row>
    <row r="1808" spans="9:13" x14ac:dyDescent="0.25">
      <c r="I1808" t="s">
        <v>4103</v>
      </c>
      <c r="J1808" s="161" t="s">
        <v>19202</v>
      </c>
      <c r="K1808" t="s">
        <v>19203</v>
      </c>
      <c r="L1808" t="s">
        <v>4102</v>
      </c>
      <c r="M1808" s="161" t="s">
        <v>19202</v>
      </c>
    </row>
    <row r="1809" spans="9:13" x14ac:dyDescent="0.25">
      <c r="I1809" t="s">
        <v>16338</v>
      </c>
      <c r="J1809" s="161" t="s">
        <v>19202</v>
      </c>
      <c r="K1809" t="s">
        <v>19203</v>
      </c>
      <c r="L1809" t="s">
        <v>16337</v>
      </c>
      <c r="M1809" s="161" t="s">
        <v>19202</v>
      </c>
    </row>
    <row r="1810" spans="9:13" x14ac:dyDescent="0.25">
      <c r="I1810" t="s">
        <v>937</v>
      </c>
      <c r="J1810" s="161" t="s">
        <v>19202</v>
      </c>
      <c r="K1810" t="s">
        <v>19203</v>
      </c>
      <c r="L1810" t="s">
        <v>936</v>
      </c>
      <c r="M1810" s="161" t="s">
        <v>19202</v>
      </c>
    </row>
    <row r="1811" spans="9:13" x14ac:dyDescent="0.25">
      <c r="I1811" t="s">
        <v>15403</v>
      </c>
      <c r="J1811" s="161" t="s">
        <v>19202</v>
      </c>
      <c r="K1811" t="s">
        <v>19203</v>
      </c>
      <c r="L1811" t="s">
        <v>15402</v>
      </c>
      <c r="M1811" s="161" t="s">
        <v>19202</v>
      </c>
    </row>
    <row r="1812" spans="9:13" x14ac:dyDescent="0.25">
      <c r="I1812" t="s">
        <v>3469</v>
      </c>
      <c r="J1812" s="161" t="s">
        <v>19202</v>
      </c>
      <c r="K1812" t="s">
        <v>19203</v>
      </c>
      <c r="L1812" t="s">
        <v>3468</v>
      </c>
      <c r="M1812" s="161" t="s">
        <v>19202</v>
      </c>
    </row>
    <row r="1813" spans="9:13" x14ac:dyDescent="0.25">
      <c r="I1813" t="s">
        <v>17817</v>
      </c>
      <c r="J1813" s="161" t="s">
        <v>19202</v>
      </c>
      <c r="K1813" t="s">
        <v>19203</v>
      </c>
      <c r="L1813" t="s">
        <v>17816</v>
      </c>
      <c r="M1813" s="161" t="s">
        <v>19202</v>
      </c>
    </row>
    <row r="1814" spans="9:13" x14ac:dyDescent="0.25">
      <c r="I1814" t="s">
        <v>15915</v>
      </c>
      <c r="J1814" s="161" t="s">
        <v>19202</v>
      </c>
      <c r="K1814" t="s">
        <v>19203</v>
      </c>
      <c r="L1814" t="s">
        <v>15914</v>
      </c>
      <c r="M1814" s="161" t="s">
        <v>19202</v>
      </c>
    </row>
    <row r="1815" spans="9:13" x14ac:dyDescent="0.25">
      <c r="I1815" t="s">
        <v>17991</v>
      </c>
      <c r="J1815" s="161" t="s">
        <v>19202</v>
      </c>
      <c r="K1815" t="s">
        <v>19203</v>
      </c>
      <c r="L1815" t="s">
        <v>17990</v>
      </c>
      <c r="M1815" s="161" t="s">
        <v>19202</v>
      </c>
    </row>
    <row r="1816" spans="9:13" x14ac:dyDescent="0.25">
      <c r="I1816" t="s">
        <v>16976</v>
      </c>
      <c r="J1816" s="161" t="s">
        <v>19202</v>
      </c>
      <c r="K1816" t="s">
        <v>19203</v>
      </c>
      <c r="L1816" t="s">
        <v>1690</v>
      </c>
      <c r="M1816" s="161" t="s">
        <v>19202</v>
      </c>
    </row>
    <row r="1817" spans="9:13" x14ac:dyDescent="0.25">
      <c r="I1817" t="s">
        <v>15772</v>
      </c>
      <c r="J1817" s="161" t="s">
        <v>19202</v>
      </c>
      <c r="K1817" t="s">
        <v>19203</v>
      </c>
      <c r="L1817" t="s">
        <v>934</v>
      </c>
      <c r="M1817" s="161" t="s">
        <v>19202</v>
      </c>
    </row>
    <row r="1818" spans="9:13" x14ac:dyDescent="0.25">
      <c r="I1818" t="s">
        <v>15725</v>
      </c>
      <c r="J1818" s="161" t="s">
        <v>19202</v>
      </c>
      <c r="K1818" t="s">
        <v>19203</v>
      </c>
      <c r="L1818" t="s">
        <v>15724</v>
      </c>
      <c r="M1818" s="161" t="s">
        <v>19202</v>
      </c>
    </row>
    <row r="1819" spans="9:13" x14ac:dyDescent="0.25">
      <c r="I1819" t="s">
        <v>9492</v>
      </c>
      <c r="J1819" s="161" t="s">
        <v>19202</v>
      </c>
      <c r="K1819" t="s">
        <v>19203</v>
      </c>
      <c r="L1819" t="s">
        <v>9491</v>
      </c>
      <c r="M1819" s="161" t="s">
        <v>19202</v>
      </c>
    </row>
    <row r="1820" spans="9:13" x14ac:dyDescent="0.25">
      <c r="I1820" t="s">
        <v>773</v>
      </c>
      <c r="J1820" s="161" t="s">
        <v>19202</v>
      </c>
      <c r="K1820" t="s">
        <v>19203</v>
      </c>
      <c r="L1820" t="s">
        <v>772</v>
      </c>
      <c r="M1820" s="161" t="s">
        <v>19202</v>
      </c>
    </row>
    <row r="1821" spans="9:13" x14ac:dyDescent="0.25">
      <c r="I1821" t="s">
        <v>4695</v>
      </c>
      <c r="J1821" s="161" t="s">
        <v>19202</v>
      </c>
      <c r="K1821" t="s">
        <v>19203</v>
      </c>
      <c r="L1821" t="s">
        <v>4694</v>
      </c>
      <c r="M1821" s="161" t="s">
        <v>19202</v>
      </c>
    </row>
    <row r="1822" spans="9:13" x14ac:dyDescent="0.25">
      <c r="I1822" t="s">
        <v>16498</v>
      </c>
      <c r="J1822" s="161" t="s">
        <v>19202</v>
      </c>
      <c r="K1822" t="s">
        <v>19203</v>
      </c>
      <c r="L1822" t="s">
        <v>3556</v>
      </c>
      <c r="M1822" s="161" t="s">
        <v>19202</v>
      </c>
    </row>
    <row r="1823" spans="9:13" x14ac:dyDescent="0.25">
      <c r="I1823" t="s">
        <v>16154</v>
      </c>
      <c r="J1823" s="161" t="s">
        <v>19202</v>
      </c>
      <c r="K1823" t="s">
        <v>19203</v>
      </c>
      <c r="L1823" t="s">
        <v>16153</v>
      </c>
      <c r="M1823" s="161" t="s">
        <v>19202</v>
      </c>
    </row>
    <row r="1824" spans="9:13" x14ac:dyDescent="0.25">
      <c r="I1824" t="s">
        <v>19446</v>
      </c>
      <c r="J1824" s="161" t="s">
        <v>19202</v>
      </c>
      <c r="K1824" t="s">
        <v>19203</v>
      </c>
      <c r="L1824" t="s">
        <v>19447</v>
      </c>
      <c r="M1824" s="161" t="s">
        <v>19202</v>
      </c>
    </row>
    <row r="1825" spans="9:13" x14ac:dyDescent="0.25">
      <c r="I1825" t="s">
        <v>19448</v>
      </c>
      <c r="J1825" s="161" t="s">
        <v>19202</v>
      </c>
      <c r="K1825" t="s">
        <v>19203</v>
      </c>
      <c r="L1825" t="s">
        <v>19449</v>
      </c>
      <c r="M1825" s="161" t="s">
        <v>19202</v>
      </c>
    </row>
    <row r="1826" spans="9:13" x14ac:dyDescent="0.25">
      <c r="I1826" t="s">
        <v>5882</v>
      </c>
      <c r="J1826" s="161" t="s">
        <v>19202</v>
      </c>
      <c r="K1826" t="s">
        <v>19203</v>
      </c>
      <c r="L1826" t="s">
        <v>2388</v>
      </c>
      <c r="M1826" s="161" t="s">
        <v>19202</v>
      </c>
    </row>
    <row r="1827" spans="9:13" x14ac:dyDescent="0.25">
      <c r="I1827" t="s">
        <v>14083</v>
      </c>
      <c r="J1827" s="161" t="s">
        <v>19202</v>
      </c>
      <c r="K1827" t="s">
        <v>19203</v>
      </c>
      <c r="L1827" t="s">
        <v>14082</v>
      </c>
      <c r="M1827" s="161" t="s">
        <v>19202</v>
      </c>
    </row>
    <row r="1828" spans="9:13" x14ac:dyDescent="0.25">
      <c r="I1828" t="s">
        <v>14081</v>
      </c>
      <c r="J1828" s="161" t="s">
        <v>19202</v>
      </c>
      <c r="K1828" t="s">
        <v>19203</v>
      </c>
      <c r="L1828" t="s">
        <v>14080</v>
      </c>
      <c r="M1828" s="161" t="s">
        <v>19202</v>
      </c>
    </row>
    <row r="1829" spans="9:13" x14ac:dyDescent="0.25">
      <c r="I1829" t="s">
        <v>14079</v>
      </c>
      <c r="J1829" s="161" t="s">
        <v>19202</v>
      </c>
      <c r="K1829" t="s">
        <v>19203</v>
      </c>
      <c r="L1829" t="s">
        <v>14078</v>
      </c>
      <c r="M1829" s="161" t="s">
        <v>19202</v>
      </c>
    </row>
    <row r="1830" spans="9:13" x14ac:dyDescent="0.25">
      <c r="I1830" t="s">
        <v>15989</v>
      </c>
      <c r="J1830" s="161" t="s">
        <v>19202</v>
      </c>
      <c r="K1830" t="s">
        <v>19203</v>
      </c>
      <c r="L1830" t="s">
        <v>15988</v>
      </c>
      <c r="M1830" s="161" t="s">
        <v>19202</v>
      </c>
    </row>
    <row r="1831" spans="9:13" x14ac:dyDescent="0.25">
      <c r="I1831" t="s">
        <v>13671</v>
      </c>
      <c r="J1831" s="161" t="s">
        <v>19202</v>
      </c>
      <c r="K1831" t="s">
        <v>19203</v>
      </c>
      <c r="L1831" t="s">
        <v>13670</v>
      </c>
      <c r="M1831" s="161" t="s">
        <v>19202</v>
      </c>
    </row>
    <row r="1832" spans="9:13" x14ac:dyDescent="0.25">
      <c r="I1832" t="s">
        <v>1286</v>
      </c>
      <c r="J1832" s="161" t="s">
        <v>19202</v>
      </c>
      <c r="K1832" t="s">
        <v>19203</v>
      </c>
      <c r="L1832" t="s">
        <v>1285</v>
      </c>
      <c r="M1832" s="161" t="s">
        <v>19202</v>
      </c>
    </row>
    <row r="1833" spans="9:13" x14ac:dyDescent="0.25">
      <c r="I1833" t="s">
        <v>12362</v>
      </c>
      <c r="J1833" s="161" t="s">
        <v>19202</v>
      </c>
      <c r="K1833" t="s">
        <v>19203</v>
      </c>
      <c r="L1833" t="s">
        <v>12361</v>
      </c>
      <c r="M1833" s="161" t="s">
        <v>19202</v>
      </c>
    </row>
    <row r="1834" spans="9:13" x14ac:dyDescent="0.25">
      <c r="I1834" t="s">
        <v>18750</v>
      </c>
      <c r="J1834" s="161" t="s">
        <v>19202</v>
      </c>
      <c r="K1834" t="s">
        <v>19203</v>
      </c>
      <c r="L1834" t="s">
        <v>13658</v>
      </c>
      <c r="M1834" s="161" t="s">
        <v>19202</v>
      </c>
    </row>
    <row r="1835" spans="9:13" x14ac:dyDescent="0.25">
      <c r="I1835" t="s">
        <v>3394</v>
      </c>
      <c r="J1835" s="161" t="s">
        <v>19202</v>
      </c>
      <c r="K1835" t="s">
        <v>19203</v>
      </c>
      <c r="L1835" t="s">
        <v>3393</v>
      </c>
      <c r="M1835" s="161" t="s">
        <v>19202</v>
      </c>
    </row>
    <row r="1836" spans="9:13" x14ac:dyDescent="0.25">
      <c r="I1836" t="s">
        <v>15950</v>
      </c>
      <c r="J1836" s="161" t="s">
        <v>19202</v>
      </c>
      <c r="K1836" t="s">
        <v>19203</v>
      </c>
      <c r="L1836" t="s">
        <v>15949</v>
      </c>
      <c r="M1836" s="161" t="s">
        <v>19202</v>
      </c>
    </row>
    <row r="1837" spans="9:13" x14ac:dyDescent="0.25">
      <c r="I1837" t="s">
        <v>15744</v>
      </c>
      <c r="J1837" s="161" t="s">
        <v>19202</v>
      </c>
      <c r="K1837" t="s">
        <v>19203</v>
      </c>
      <c r="L1837" t="s">
        <v>15743</v>
      </c>
      <c r="M1837" s="161" t="s">
        <v>19202</v>
      </c>
    </row>
    <row r="1838" spans="9:13" x14ac:dyDescent="0.25">
      <c r="I1838" t="s">
        <v>17214</v>
      </c>
      <c r="J1838" s="161" t="s">
        <v>19202</v>
      </c>
      <c r="K1838" t="s">
        <v>19203</v>
      </c>
      <c r="L1838" t="s">
        <v>17213</v>
      </c>
      <c r="M1838" s="161" t="s">
        <v>19202</v>
      </c>
    </row>
    <row r="1839" spans="9:13" x14ac:dyDescent="0.25">
      <c r="I1839" t="s">
        <v>8142</v>
      </c>
      <c r="J1839" s="161" t="s">
        <v>19202</v>
      </c>
      <c r="K1839" t="s">
        <v>19203</v>
      </c>
      <c r="L1839" t="s">
        <v>8141</v>
      </c>
      <c r="M1839" s="161" t="s">
        <v>19202</v>
      </c>
    </row>
    <row r="1840" spans="9:13" x14ac:dyDescent="0.25">
      <c r="I1840" t="s">
        <v>19450</v>
      </c>
      <c r="J1840" s="161" t="s">
        <v>19202</v>
      </c>
      <c r="K1840" t="s">
        <v>19203</v>
      </c>
      <c r="L1840" t="s">
        <v>19451</v>
      </c>
      <c r="M1840" s="161" t="s">
        <v>19202</v>
      </c>
    </row>
    <row r="1841" spans="9:13" x14ac:dyDescent="0.25">
      <c r="I1841" t="s">
        <v>7135</v>
      </c>
      <c r="J1841" s="161" t="s">
        <v>19202</v>
      </c>
      <c r="K1841" t="s">
        <v>19203</v>
      </c>
      <c r="L1841" t="s">
        <v>7134</v>
      </c>
      <c r="M1841" s="161" t="s">
        <v>19202</v>
      </c>
    </row>
    <row r="1842" spans="9:13" x14ac:dyDescent="0.25">
      <c r="I1842" t="s">
        <v>16281</v>
      </c>
      <c r="J1842" s="161" t="s">
        <v>19202</v>
      </c>
      <c r="K1842" t="s">
        <v>19203</v>
      </c>
      <c r="L1842" t="s">
        <v>16280</v>
      </c>
      <c r="M1842" s="161" t="s">
        <v>19202</v>
      </c>
    </row>
    <row r="1843" spans="9:13" x14ac:dyDescent="0.25">
      <c r="I1843" t="s">
        <v>19452</v>
      </c>
      <c r="J1843" s="161" t="s">
        <v>19202</v>
      </c>
      <c r="K1843" t="s">
        <v>19203</v>
      </c>
      <c r="L1843" t="s">
        <v>19453</v>
      </c>
      <c r="M1843" s="161" t="s">
        <v>19202</v>
      </c>
    </row>
    <row r="1844" spans="9:13" x14ac:dyDescent="0.25">
      <c r="I1844" t="s">
        <v>1040</v>
      </c>
      <c r="J1844" s="161" t="s">
        <v>19202</v>
      </c>
      <c r="K1844" t="s">
        <v>19203</v>
      </c>
      <c r="L1844" t="s">
        <v>1039</v>
      </c>
      <c r="M1844" s="161" t="s">
        <v>19202</v>
      </c>
    </row>
    <row r="1845" spans="9:13" x14ac:dyDescent="0.25">
      <c r="I1845" t="s">
        <v>16848</v>
      </c>
      <c r="J1845" s="161" t="s">
        <v>19202</v>
      </c>
      <c r="K1845" t="s">
        <v>19203</v>
      </c>
      <c r="L1845" t="s">
        <v>16847</v>
      </c>
      <c r="M1845" s="161" t="s">
        <v>19202</v>
      </c>
    </row>
    <row r="1846" spans="9:13" x14ac:dyDescent="0.25">
      <c r="I1846" t="s">
        <v>8487</v>
      </c>
      <c r="J1846" s="161" t="s">
        <v>19202</v>
      </c>
      <c r="K1846" t="s">
        <v>19203</v>
      </c>
      <c r="L1846" t="s">
        <v>8486</v>
      </c>
      <c r="M1846" s="161" t="s">
        <v>19202</v>
      </c>
    </row>
    <row r="1847" spans="9:13" x14ac:dyDescent="0.25">
      <c r="I1847" t="s">
        <v>16608</v>
      </c>
      <c r="J1847" s="161" t="s">
        <v>19202</v>
      </c>
      <c r="K1847" t="s">
        <v>19203</v>
      </c>
      <c r="L1847" t="s">
        <v>16607</v>
      </c>
      <c r="M1847" s="161" t="s">
        <v>19202</v>
      </c>
    </row>
    <row r="1848" spans="9:13" x14ac:dyDescent="0.25">
      <c r="I1848" t="s">
        <v>19454</v>
      </c>
      <c r="J1848" s="161" t="s">
        <v>19202</v>
      </c>
      <c r="K1848" t="s">
        <v>19203</v>
      </c>
      <c r="L1848" t="s">
        <v>18119</v>
      </c>
      <c r="M1848" s="161" t="s">
        <v>19202</v>
      </c>
    </row>
    <row r="1849" spans="9:13" x14ac:dyDescent="0.25">
      <c r="I1849" t="s">
        <v>17072</v>
      </c>
      <c r="J1849" s="161" t="s">
        <v>19202</v>
      </c>
      <c r="K1849" t="s">
        <v>19203</v>
      </c>
      <c r="L1849" t="s">
        <v>1344</v>
      </c>
      <c r="M1849" s="161" t="s">
        <v>19202</v>
      </c>
    </row>
    <row r="1850" spans="9:13" x14ac:dyDescent="0.25">
      <c r="I1850" t="s">
        <v>8620</v>
      </c>
      <c r="J1850" s="161" t="s">
        <v>19202</v>
      </c>
      <c r="K1850" t="s">
        <v>19203</v>
      </c>
      <c r="L1850" t="s">
        <v>8619</v>
      </c>
      <c r="M1850" s="161" t="s">
        <v>19202</v>
      </c>
    </row>
    <row r="1851" spans="9:13" x14ac:dyDescent="0.25">
      <c r="I1851" t="s">
        <v>1942</v>
      </c>
      <c r="J1851" s="161" t="s">
        <v>19202</v>
      </c>
      <c r="K1851" t="s">
        <v>19203</v>
      </c>
      <c r="L1851" t="s">
        <v>1941</v>
      </c>
      <c r="M1851" s="161" t="s">
        <v>19202</v>
      </c>
    </row>
    <row r="1852" spans="9:13" x14ac:dyDescent="0.25">
      <c r="I1852" t="s">
        <v>19455</v>
      </c>
      <c r="J1852" s="161" t="s">
        <v>19202</v>
      </c>
      <c r="K1852" t="s">
        <v>19203</v>
      </c>
      <c r="L1852" t="s">
        <v>19456</v>
      </c>
      <c r="M1852" s="161" t="s">
        <v>19202</v>
      </c>
    </row>
    <row r="1853" spans="9:13" x14ac:dyDescent="0.25">
      <c r="I1853" t="s">
        <v>15800</v>
      </c>
      <c r="J1853" s="161" t="s">
        <v>19202</v>
      </c>
      <c r="K1853" t="s">
        <v>19203</v>
      </c>
      <c r="L1853" t="s">
        <v>1639</v>
      </c>
      <c r="M1853" s="161" t="s">
        <v>19202</v>
      </c>
    </row>
    <row r="1854" spans="9:13" x14ac:dyDescent="0.25">
      <c r="I1854" t="s">
        <v>8638</v>
      </c>
      <c r="J1854" s="161" t="s">
        <v>19202</v>
      </c>
      <c r="K1854" t="s">
        <v>19203</v>
      </c>
      <c r="L1854" t="s">
        <v>8637</v>
      </c>
      <c r="M1854" s="161" t="s">
        <v>19202</v>
      </c>
    </row>
    <row r="1855" spans="9:13" x14ac:dyDescent="0.25">
      <c r="I1855" t="s">
        <v>13544</v>
      </c>
      <c r="J1855" s="161" t="s">
        <v>19202</v>
      </c>
      <c r="K1855" t="s">
        <v>19203</v>
      </c>
      <c r="L1855" t="s">
        <v>13543</v>
      </c>
      <c r="M1855" s="161" t="s">
        <v>19202</v>
      </c>
    </row>
    <row r="1856" spans="9:13" x14ac:dyDescent="0.25">
      <c r="I1856" t="s">
        <v>13379</v>
      </c>
      <c r="J1856" s="161" t="s">
        <v>19202</v>
      </c>
      <c r="K1856" t="s">
        <v>19203</v>
      </c>
      <c r="L1856" t="s">
        <v>13378</v>
      </c>
      <c r="M1856" s="161" t="s">
        <v>19202</v>
      </c>
    </row>
    <row r="1857" spans="9:13" x14ac:dyDescent="0.25">
      <c r="I1857" t="s">
        <v>1921</v>
      </c>
      <c r="J1857" s="161" t="s">
        <v>19202</v>
      </c>
      <c r="K1857" t="s">
        <v>19203</v>
      </c>
      <c r="L1857" t="s">
        <v>1920</v>
      </c>
      <c r="M1857" s="161" t="s">
        <v>19202</v>
      </c>
    </row>
    <row r="1858" spans="9:13" x14ac:dyDescent="0.25">
      <c r="I1858" t="s">
        <v>17439</v>
      </c>
      <c r="J1858" s="161" t="s">
        <v>19202</v>
      </c>
      <c r="K1858" t="s">
        <v>19203</v>
      </c>
      <c r="L1858" t="s">
        <v>17438</v>
      </c>
      <c r="M1858" s="161" t="s">
        <v>19202</v>
      </c>
    </row>
    <row r="1859" spans="9:13" x14ac:dyDescent="0.25">
      <c r="I1859" t="s">
        <v>1169</v>
      </c>
      <c r="J1859" s="161" t="s">
        <v>19202</v>
      </c>
      <c r="K1859" t="s">
        <v>19203</v>
      </c>
      <c r="L1859" t="s">
        <v>1168</v>
      </c>
      <c r="M1859" s="161" t="s">
        <v>19202</v>
      </c>
    </row>
    <row r="1860" spans="9:13" x14ac:dyDescent="0.25">
      <c r="I1860" t="s">
        <v>19457</v>
      </c>
      <c r="J1860" s="161" t="s">
        <v>19202</v>
      </c>
      <c r="K1860" t="s">
        <v>19203</v>
      </c>
      <c r="L1860" t="s">
        <v>19458</v>
      </c>
      <c r="M1860" s="161" t="s">
        <v>19202</v>
      </c>
    </row>
    <row r="1861" spans="9:13" x14ac:dyDescent="0.25">
      <c r="I1861" t="s">
        <v>3326</v>
      </c>
      <c r="J1861" s="161" t="s">
        <v>19202</v>
      </c>
      <c r="K1861" t="s">
        <v>19203</v>
      </c>
      <c r="L1861" t="s">
        <v>3325</v>
      </c>
      <c r="M1861" s="161" t="s">
        <v>19202</v>
      </c>
    </row>
    <row r="1862" spans="9:13" x14ac:dyDescent="0.25">
      <c r="I1862" t="s">
        <v>13515</v>
      </c>
      <c r="J1862" s="161" t="s">
        <v>19202</v>
      </c>
      <c r="K1862" t="s">
        <v>19203</v>
      </c>
      <c r="L1862" t="s">
        <v>1360</v>
      </c>
      <c r="M1862" s="161" t="s">
        <v>19202</v>
      </c>
    </row>
    <row r="1863" spans="9:13" x14ac:dyDescent="0.25">
      <c r="I1863" t="s">
        <v>16188</v>
      </c>
      <c r="J1863" s="161" t="s">
        <v>19202</v>
      </c>
      <c r="K1863" t="s">
        <v>19203</v>
      </c>
      <c r="L1863" t="s">
        <v>16187</v>
      </c>
      <c r="M1863" s="161" t="s">
        <v>19202</v>
      </c>
    </row>
    <row r="1864" spans="9:13" x14ac:dyDescent="0.25">
      <c r="I1864" t="s">
        <v>4238</v>
      </c>
      <c r="J1864" s="161" t="s">
        <v>19202</v>
      </c>
      <c r="K1864" t="s">
        <v>19203</v>
      </c>
      <c r="L1864" t="s">
        <v>4237</v>
      </c>
      <c r="M1864" s="161" t="s">
        <v>19202</v>
      </c>
    </row>
    <row r="1865" spans="9:13" x14ac:dyDescent="0.25">
      <c r="I1865" t="s">
        <v>12628</v>
      </c>
      <c r="J1865" s="161" t="s">
        <v>19202</v>
      </c>
      <c r="K1865" t="s">
        <v>19203</v>
      </c>
      <c r="L1865" t="s">
        <v>12627</v>
      </c>
      <c r="M1865" s="161" t="s">
        <v>19202</v>
      </c>
    </row>
    <row r="1866" spans="9:13" x14ac:dyDescent="0.25">
      <c r="I1866" t="s">
        <v>12144</v>
      </c>
      <c r="J1866" s="161" t="s">
        <v>19202</v>
      </c>
      <c r="K1866" t="s">
        <v>19203</v>
      </c>
      <c r="L1866" t="s">
        <v>12143</v>
      </c>
      <c r="M1866" s="161" t="s">
        <v>19202</v>
      </c>
    </row>
    <row r="1867" spans="9:13" x14ac:dyDescent="0.25">
      <c r="I1867" t="s">
        <v>3213</v>
      </c>
      <c r="J1867" s="161" t="s">
        <v>19202</v>
      </c>
      <c r="K1867" t="s">
        <v>19203</v>
      </c>
      <c r="L1867" t="s">
        <v>3212</v>
      </c>
      <c r="M1867" s="161" t="s">
        <v>19202</v>
      </c>
    </row>
    <row r="1868" spans="9:13" x14ac:dyDescent="0.25">
      <c r="I1868" t="s">
        <v>2998</v>
      </c>
      <c r="J1868" s="161" t="s">
        <v>19202</v>
      </c>
      <c r="K1868" t="s">
        <v>19203</v>
      </c>
      <c r="L1868" t="s">
        <v>2997</v>
      </c>
      <c r="M1868" s="161" t="s">
        <v>19202</v>
      </c>
    </row>
    <row r="1869" spans="9:13" x14ac:dyDescent="0.25">
      <c r="I1869" t="s">
        <v>3147</v>
      </c>
      <c r="J1869" s="161" t="s">
        <v>19202</v>
      </c>
      <c r="K1869" t="s">
        <v>19203</v>
      </c>
      <c r="L1869" t="s">
        <v>3146</v>
      </c>
      <c r="M1869" s="161" t="s">
        <v>19202</v>
      </c>
    </row>
    <row r="1870" spans="9:13" x14ac:dyDescent="0.25">
      <c r="I1870" t="s">
        <v>7274</v>
      </c>
      <c r="J1870" s="161" t="s">
        <v>19202</v>
      </c>
      <c r="K1870" t="s">
        <v>19203</v>
      </c>
      <c r="L1870" t="s">
        <v>7273</v>
      </c>
      <c r="M1870" s="161" t="s">
        <v>19202</v>
      </c>
    </row>
    <row r="1871" spans="9:13" x14ac:dyDescent="0.25">
      <c r="I1871" t="s">
        <v>2986</v>
      </c>
      <c r="J1871" s="161" t="s">
        <v>19202</v>
      </c>
      <c r="K1871" t="s">
        <v>19203</v>
      </c>
      <c r="L1871" t="s">
        <v>2985</v>
      </c>
      <c r="M1871" s="161" t="s">
        <v>19202</v>
      </c>
    </row>
    <row r="1872" spans="9:13" x14ac:dyDescent="0.25">
      <c r="I1872" t="s">
        <v>3792</v>
      </c>
      <c r="J1872" s="161" t="s">
        <v>19202</v>
      </c>
      <c r="K1872" t="s">
        <v>19203</v>
      </c>
      <c r="L1872" t="s">
        <v>3791</v>
      </c>
      <c r="M1872" s="161" t="s">
        <v>19202</v>
      </c>
    </row>
    <row r="1873" spans="9:13" x14ac:dyDescent="0.25">
      <c r="I1873" t="s">
        <v>14822</v>
      </c>
      <c r="J1873" s="161" t="s">
        <v>19202</v>
      </c>
      <c r="K1873" t="s">
        <v>19203</v>
      </c>
      <c r="L1873" t="s">
        <v>14821</v>
      </c>
      <c r="M1873" s="161" t="s">
        <v>19202</v>
      </c>
    </row>
    <row r="1874" spans="9:13" x14ac:dyDescent="0.25">
      <c r="I1874" t="s">
        <v>13040</v>
      </c>
      <c r="J1874" s="161" t="s">
        <v>19202</v>
      </c>
      <c r="K1874" t="s">
        <v>19203</v>
      </c>
      <c r="L1874" t="s">
        <v>13039</v>
      </c>
      <c r="M1874" s="161" t="s">
        <v>19202</v>
      </c>
    </row>
    <row r="1875" spans="9:13" x14ac:dyDescent="0.25">
      <c r="I1875" t="s">
        <v>3006</v>
      </c>
      <c r="J1875" s="161" t="s">
        <v>19202</v>
      </c>
      <c r="K1875" t="s">
        <v>19203</v>
      </c>
      <c r="L1875" t="s">
        <v>3005</v>
      </c>
      <c r="M1875" s="161" t="s">
        <v>19202</v>
      </c>
    </row>
    <row r="1876" spans="9:13" x14ac:dyDescent="0.25">
      <c r="I1876" t="s">
        <v>12943</v>
      </c>
      <c r="J1876" s="161" t="s">
        <v>19202</v>
      </c>
      <c r="K1876" t="s">
        <v>19203</v>
      </c>
      <c r="L1876" t="s">
        <v>12942</v>
      </c>
      <c r="M1876" s="161" t="s">
        <v>19202</v>
      </c>
    </row>
    <row r="1877" spans="9:13" x14ac:dyDescent="0.25">
      <c r="I1877" t="s">
        <v>1567</v>
      </c>
      <c r="J1877" s="161" t="s">
        <v>19202</v>
      </c>
      <c r="K1877" t="s">
        <v>19203</v>
      </c>
      <c r="L1877" t="s">
        <v>1566</v>
      </c>
      <c r="M1877" s="161" t="s">
        <v>19202</v>
      </c>
    </row>
    <row r="1878" spans="9:13" x14ac:dyDescent="0.25">
      <c r="I1878" t="s">
        <v>17258</v>
      </c>
      <c r="J1878" s="161" t="s">
        <v>19202</v>
      </c>
      <c r="K1878" t="s">
        <v>19203</v>
      </c>
      <c r="L1878" t="s">
        <v>17257</v>
      </c>
      <c r="M1878" s="161" t="s">
        <v>19202</v>
      </c>
    </row>
    <row r="1879" spans="9:13" x14ac:dyDescent="0.25">
      <c r="I1879" t="s">
        <v>4581</v>
      </c>
      <c r="J1879" s="161" t="s">
        <v>19202</v>
      </c>
      <c r="K1879" t="s">
        <v>19203</v>
      </c>
      <c r="L1879" t="s">
        <v>4580</v>
      </c>
      <c r="M1879" s="161" t="s">
        <v>19202</v>
      </c>
    </row>
    <row r="1880" spans="9:13" x14ac:dyDescent="0.25">
      <c r="I1880" t="s">
        <v>13219</v>
      </c>
      <c r="J1880" s="161" t="s">
        <v>19202</v>
      </c>
      <c r="K1880" t="s">
        <v>19203</v>
      </c>
      <c r="L1880" t="s">
        <v>13218</v>
      </c>
      <c r="M1880" s="161" t="s">
        <v>19202</v>
      </c>
    </row>
    <row r="1881" spans="9:13" x14ac:dyDescent="0.25">
      <c r="I1881" t="s">
        <v>9772</v>
      </c>
      <c r="J1881" s="161" t="s">
        <v>19202</v>
      </c>
      <c r="K1881" t="s">
        <v>19203</v>
      </c>
      <c r="L1881" t="s">
        <v>9771</v>
      </c>
      <c r="M1881" s="161" t="s">
        <v>19202</v>
      </c>
    </row>
    <row r="1882" spans="9:13" x14ac:dyDescent="0.25">
      <c r="I1882" t="s">
        <v>12149</v>
      </c>
      <c r="J1882" s="161" t="s">
        <v>19202</v>
      </c>
      <c r="K1882" t="s">
        <v>19203</v>
      </c>
      <c r="L1882" t="s">
        <v>12148</v>
      </c>
      <c r="M1882" s="161" t="s">
        <v>19202</v>
      </c>
    </row>
    <row r="1883" spans="9:13" x14ac:dyDescent="0.25">
      <c r="I1883" t="s">
        <v>1604</v>
      </c>
      <c r="J1883" s="161" t="s">
        <v>19202</v>
      </c>
      <c r="K1883" t="s">
        <v>19203</v>
      </c>
      <c r="L1883" t="s">
        <v>1603</v>
      </c>
      <c r="M1883" s="161" t="s">
        <v>19202</v>
      </c>
    </row>
    <row r="1884" spans="9:13" x14ac:dyDescent="0.25">
      <c r="I1884" t="s">
        <v>2423</v>
      </c>
      <c r="J1884" s="161" t="s">
        <v>19202</v>
      </c>
      <c r="K1884" t="s">
        <v>19203</v>
      </c>
      <c r="L1884" t="s">
        <v>2422</v>
      </c>
      <c r="M1884" s="161" t="s">
        <v>19202</v>
      </c>
    </row>
    <row r="1885" spans="9:13" x14ac:dyDescent="0.25">
      <c r="I1885" t="s">
        <v>5039</v>
      </c>
      <c r="J1885" s="161" t="s">
        <v>19202</v>
      </c>
      <c r="K1885" t="s">
        <v>19203</v>
      </c>
      <c r="L1885" t="s">
        <v>4520</v>
      </c>
      <c r="M1885" s="161" t="s">
        <v>19202</v>
      </c>
    </row>
    <row r="1886" spans="9:13" x14ac:dyDescent="0.25">
      <c r="I1886" t="s">
        <v>8070</v>
      </c>
      <c r="J1886" s="161" t="s">
        <v>19202</v>
      </c>
      <c r="K1886" t="s">
        <v>19203</v>
      </c>
      <c r="L1886" t="s">
        <v>8069</v>
      </c>
      <c r="M1886" s="161" t="s">
        <v>19202</v>
      </c>
    </row>
    <row r="1887" spans="9:13" x14ac:dyDescent="0.25">
      <c r="I1887" t="s">
        <v>8082</v>
      </c>
      <c r="J1887" s="161" t="s">
        <v>19202</v>
      </c>
      <c r="K1887" t="s">
        <v>19203</v>
      </c>
      <c r="L1887" t="s">
        <v>8081</v>
      </c>
      <c r="M1887" s="161" t="s">
        <v>19202</v>
      </c>
    </row>
    <row r="1888" spans="9:13" x14ac:dyDescent="0.25">
      <c r="I1888" t="s">
        <v>19459</v>
      </c>
      <c r="J1888" s="161" t="s">
        <v>19202</v>
      </c>
      <c r="K1888" t="s">
        <v>19203</v>
      </c>
      <c r="L1888" t="s">
        <v>19460</v>
      </c>
      <c r="M1888" s="161" t="s">
        <v>19202</v>
      </c>
    </row>
    <row r="1889" spans="9:13" x14ac:dyDescent="0.25">
      <c r="I1889" t="s">
        <v>19461</v>
      </c>
      <c r="J1889" s="161" t="s">
        <v>19202</v>
      </c>
      <c r="K1889" t="s">
        <v>19203</v>
      </c>
      <c r="L1889" t="s">
        <v>4511</v>
      </c>
      <c r="M1889" s="161" t="s">
        <v>19202</v>
      </c>
    </row>
    <row r="1890" spans="9:13" x14ac:dyDescent="0.25">
      <c r="I1890" t="s">
        <v>19078</v>
      </c>
      <c r="J1890" s="161" t="s">
        <v>19202</v>
      </c>
      <c r="K1890" t="s">
        <v>19203</v>
      </c>
      <c r="L1890" t="s">
        <v>19462</v>
      </c>
      <c r="M1890" s="161" t="s">
        <v>19202</v>
      </c>
    </row>
    <row r="1891" spans="9:13" x14ac:dyDescent="0.25">
      <c r="I1891" t="s">
        <v>12368</v>
      </c>
      <c r="J1891" s="161" t="s">
        <v>19202</v>
      </c>
      <c r="K1891" t="s">
        <v>19203</v>
      </c>
      <c r="L1891" t="s">
        <v>12367</v>
      </c>
      <c r="M1891" s="161" t="s">
        <v>19202</v>
      </c>
    </row>
    <row r="1892" spans="9:13" x14ac:dyDescent="0.25">
      <c r="I1892" t="s">
        <v>5352</v>
      </c>
      <c r="J1892" s="161" t="s">
        <v>19202</v>
      </c>
      <c r="K1892" t="s">
        <v>19203</v>
      </c>
      <c r="L1892" t="s">
        <v>5351</v>
      </c>
      <c r="M1892" s="161" t="s">
        <v>19202</v>
      </c>
    </row>
    <row r="1893" spans="9:13" x14ac:dyDescent="0.25">
      <c r="I1893" t="s">
        <v>19463</v>
      </c>
      <c r="J1893" s="161" t="s">
        <v>19202</v>
      </c>
      <c r="K1893" t="s">
        <v>19203</v>
      </c>
      <c r="L1893" t="s">
        <v>17711</v>
      </c>
      <c r="M1893" s="161" t="s">
        <v>19202</v>
      </c>
    </row>
    <row r="1894" spans="9:13" x14ac:dyDescent="0.25">
      <c r="I1894" t="s">
        <v>17262</v>
      </c>
      <c r="J1894" s="161" t="s">
        <v>19202</v>
      </c>
      <c r="K1894" t="s">
        <v>19203</v>
      </c>
      <c r="L1894" t="s">
        <v>17261</v>
      </c>
      <c r="M1894" s="161" t="s">
        <v>19202</v>
      </c>
    </row>
    <row r="1895" spans="9:13" x14ac:dyDescent="0.25">
      <c r="I1895" t="s">
        <v>10733</v>
      </c>
      <c r="J1895" s="161" t="s">
        <v>19202</v>
      </c>
      <c r="K1895" t="s">
        <v>19203</v>
      </c>
      <c r="L1895" t="s">
        <v>10732</v>
      </c>
      <c r="M1895" s="161" t="s">
        <v>19202</v>
      </c>
    </row>
    <row r="1896" spans="9:13" x14ac:dyDescent="0.25">
      <c r="I1896" t="s">
        <v>1046</v>
      </c>
      <c r="J1896" s="161" t="s">
        <v>19202</v>
      </c>
      <c r="K1896" t="s">
        <v>19203</v>
      </c>
      <c r="L1896" t="s">
        <v>1045</v>
      </c>
      <c r="M1896" s="161" t="s">
        <v>19202</v>
      </c>
    </row>
    <row r="1897" spans="9:13" x14ac:dyDescent="0.25">
      <c r="I1897" t="s">
        <v>3073</v>
      </c>
      <c r="J1897" s="161" t="s">
        <v>19202</v>
      </c>
      <c r="K1897" t="s">
        <v>19203</v>
      </c>
      <c r="L1897" t="s">
        <v>3072</v>
      </c>
      <c r="M1897" s="161" t="s">
        <v>19202</v>
      </c>
    </row>
    <row r="1898" spans="9:13" x14ac:dyDescent="0.25">
      <c r="I1898" t="s">
        <v>14750</v>
      </c>
      <c r="J1898" s="161" t="s">
        <v>19202</v>
      </c>
      <c r="K1898" t="s">
        <v>19203</v>
      </c>
      <c r="L1898" t="s">
        <v>5024</v>
      </c>
      <c r="M1898" s="161" t="s">
        <v>19202</v>
      </c>
    </row>
    <row r="1899" spans="9:13" x14ac:dyDescent="0.25">
      <c r="I1899" t="s">
        <v>12256</v>
      </c>
      <c r="J1899" s="161" t="s">
        <v>19202</v>
      </c>
      <c r="K1899" t="s">
        <v>19203</v>
      </c>
      <c r="L1899" t="s">
        <v>12255</v>
      </c>
      <c r="M1899" s="161" t="s">
        <v>19202</v>
      </c>
    </row>
    <row r="1900" spans="9:13" x14ac:dyDescent="0.25">
      <c r="I1900" t="s">
        <v>12253</v>
      </c>
      <c r="J1900" s="161" t="s">
        <v>19202</v>
      </c>
      <c r="K1900" t="s">
        <v>19203</v>
      </c>
      <c r="L1900" t="s">
        <v>12252</v>
      </c>
      <c r="M1900" s="161" t="s">
        <v>19202</v>
      </c>
    </row>
    <row r="1901" spans="9:13" x14ac:dyDescent="0.25">
      <c r="I1901" t="s">
        <v>12547</v>
      </c>
      <c r="J1901" s="161" t="s">
        <v>19202</v>
      </c>
      <c r="K1901" t="s">
        <v>19203</v>
      </c>
      <c r="L1901" t="s">
        <v>12546</v>
      </c>
      <c r="M1901" s="161" t="s">
        <v>19202</v>
      </c>
    </row>
    <row r="1902" spans="9:13" x14ac:dyDescent="0.25">
      <c r="I1902" t="s">
        <v>11812</v>
      </c>
      <c r="J1902" s="161" t="s">
        <v>19202</v>
      </c>
      <c r="K1902" t="s">
        <v>19203</v>
      </c>
      <c r="L1902" t="s">
        <v>11811</v>
      </c>
      <c r="M1902" s="161" t="s">
        <v>19202</v>
      </c>
    </row>
    <row r="1903" spans="9:13" x14ac:dyDescent="0.25">
      <c r="I1903" t="s">
        <v>12359</v>
      </c>
      <c r="J1903" s="161" t="s">
        <v>19202</v>
      </c>
      <c r="K1903" t="s">
        <v>19203</v>
      </c>
      <c r="L1903" t="s">
        <v>12358</v>
      </c>
      <c r="M1903" s="161" t="s">
        <v>19202</v>
      </c>
    </row>
    <row r="1904" spans="9:13" x14ac:dyDescent="0.25">
      <c r="I1904" t="s">
        <v>12250</v>
      </c>
      <c r="J1904" s="161" t="s">
        <v>19202</v>
      </c>
      <c r="K1904" t="s">
        <v>19203</v>
      </c>
      <c r="L1904" t="s">
        <v>12249</v>
      </c>
      <c r="M1904" s="161" t="s">
        <v>19202</v>
      </c>
    </row>
    <row r="1905" spans="9:13" x14ac:dyDescent="0.25">
      <c r="I1905" t="s">
        <v>12242</v>
      </c>
      <c r="J1905" s="161" t="s">
        <v>19202</v>
      </c>
      <c r="K1905" t="s">
        <v>19203</v>
      </c>
      <c r="L1905" t="s">
        <v>4847</v>
      </c>
      <c r="M1905" s="161" t="s">
        <v>19202</v>
      </c>
    </row>
    <row r="1906" spans="9:13" x14ac:dyDescent="0.25">
      <c r="I1906" t="s">
        <v>12403</v>
      </c>
      <c r="J1906" s="161" t="s">
        <v>19202</v>
      </c>
      <c r="K1906" t="s">
        <v>19203</v>
      </c>
      <c r="L1906" t="s">
        <v>12402</v>
      </c>
      <c r="M1906" s="161" t="s">
        <v>19202</v>
      </c>
    </row>
    <row r="1907" spans="9:13" x14ac:dyDescent="0.25">
      <c r="I1907" t="s">
        <v>7445</v>
      </c>
      <c r="J1907" s="161" t="s">
        <v>19202</v>
      </c>
      <c r="K1907" t="s">
        <v>19203</v>
      </c>
      <c r="L1907" t="s">
        <v>7444</v>
      </c>
      <c r="M1907" s="161" t="s">
        <v>19202</v>
      </c>
    </row>
    <row r="1908" spans="9:13" x14ac:dyDescent="0.25">
      <c r="I1908" t="s">
        <v>9722</v>
      </c>
      <c r="J1908" s="161" t="s">
        <v>19202</v>
      </c>
      <c r="K1908" t="s">
        <v>19203</v>
      </c>
      <c r="L1908" t="s">
        <v>9721</v>
      </c>
      <c r="M1908" s="161" t="s">
        <v>19202</v>
      </c>
    </row>
    <row r="1909" spans="9:13" x14ac:dyDescent="0.25">
      <c r="I1909" t="s">
        <v>1343</v>
      </c>
      <c r="J1909" s="161" t="s">
        <v>19202</v>
      </c>
      <c r="K1909" t="s">
        <v>19203</v>
      </c>
      <c r="L1909" t="s">
        <v>1342</v>
      </c>
      <c r="M1909" s="161" t="s">
        <v>19202</v>
      </c>
    </row>
    <row r="1910" spans="9:13" x14ac:dyDescent="0.25">
      <c r="I1910" t="s">
        <v>18148</v>
      </c>
      <c r="J1910" s="161" t="s">
        <v>19202</v>
      </c>
      <c r="K1910" t="s">
        <v>19203</v>
      </c>
      <c r="L1910" t="s">
        <v>18147</v>
      </c>
      <c r="M1910" s="161" t="s">
        <v>19202</v>
      </c>
    </row>
    <row r="1911" spans="9:13" x14ac:dyDescent="0.25">
      <c r="I1911" t="s">
        <v>8008</v>
      </c>
      <c r="J1911" s="161" t="s">
        <v>19202</v>
      </c>
      <c r="K1911" t="s">
        <v>19203</v>
      </c>
      <c r="L1911" t="s">
        <v>8007</v>
      </c>
      <c r="M1911" s="161" t="s">
        <v>19202</v>
      </c>
    </row>
    <row r="1912" spans="9:13" x14ac:dyDescent="0.25">
      <c r="I1912" t="s">
        <v>13452</v>
      </c>
      <c r="J1912" s="161" t="s">
        <v>19202</v>
      </c>
      <c r="K1912" t="s">
        <v>19203</v>
      </c>
      <c r="L1912" t="s">
        <v>13451</v>
      </c>
      <c r="M1912" s="161" t="s">
        <v>19202</v>
      </c>
    </row>
    <row r="1913" spans="9:13" x14ac:dyDescent="0.25">
      <c r="I1913" t="s">
        <v>19464</v>
      </c>
      <c r="J1913" s="161" t="s">
        <v>19202</v>
      </c>
      <c r="K1913" t="s">
        <v>19203</v>
      </c>
      <c r="L1913" t="s">
        <v>19465</v>
      </c>
      <c r="M1913" s="161" t="s">
        <v>19202</v>
      </c>
    </row>
    <row r="1914" spans="9:13" x14ac:dyDescent="0.25">
      <c r="I1914" t="s">
        <v>18754</v>
      </c>
      <c r="J1914" s="161" t="s">
        <v>19202</v>
      </c>
      <c r="K1914" t="s">
        <v>19203</v>
      </c>
      <c r="L1914" t="s">
        <v>18756</v>
      </c>
      <c r="M1914" s="161" t="s">
        <v>19202</v>
      </c>
    </row>
    <row r="1915" spans="9:13" x14ac:dyDescent="0.25">
      <c r="I1915" t="s">
        <v>4455</v>
      </c>
      <c r="J1915" s="161" t="s">
        <v>19202</v>
      </c>
      <c r="K1915" t="s">
        <v>19203</v>
      </c>
      <c r="L1915" t="s">
        <v>4454</v>
      </c>
      <c r="M1915" s="161" t="s">
        <v>19202</v>
      </c>
    </row>
    <row r="1916" spans="9:13" x14ac:dyDescent="0.25">
      <c r="I1916" t="s">
        <v>1008</v>
      </c>
      <c r="J1916" s="161" t="s">
        <v>19202</v>
      </c>
      <c r="K1916" t="s">
        <v>19203</v>
      </c>
      <c r="L1916" t="s">
        <v>1007</v>
      </c>
      <c r="M1916" s="161" t="s">
        <v>19202</v>
      </c>
    </row>
    <row r="1917" spans="9:13" x14ac:dyDescent="0.25">
      <c r="I1917" t="s">
        <v>1006</v>
      </c>
      <c r="J1917" s="161" t="s">
        <v>19202</v>
      </c>
      <c r="K1917" t="s">
        <v>19203</v>
      </c>
      <c r="L1917" t="s">
        <v>1005</v>
      </c>
      <c r="M1917" s="161" t="s">
        <v>19202</v>
      </c>
    </row>
    <row r="1918" spans="9:13" x14ac:dyDescent="0.25">
      <c r="I1918" t="s">
        <v>1000</v>
      </c>
      <c r="J1918" s="161" t="s">
        <v>19202</v>
      </c>
      <c r="K1918" t="s">
        <v>19203</v>
      </c>
      <c r="L1918" t="s">
        <v>999</v>
      </c>
      <c r="M1918" s="161" t="s">
        <v>19202</v>
      </c>
    </row>
    <row r="1919" spans="9:13" x14ac:dyDescent="0.25">
      <c r="I1919" t="s">
        <v>12260</v>
      </c>
      <c r="J1919" s="161" t="s">
        <v>19202</v>
      </c>
      <c r="K1919" t="s">
        <v>19203</v>
      </c>
      <c r="L1919" t="s">
        <v>12259</v>
      </c>
      <c r="M1919" s="161" t="s">
        <v>19202</v>
      </c>
    </row>
    <row r="1920" spans="9:13" x14ac:dyDescent="0.25">
      <c r="I1920" t="s">
        <v>3360</v>
      </c>
      <c r="J1920" s="161" t="s">
        <v>19202</v>
      </c>
      <c r="K1920" t="s">
        <v>19203</v>
      </c>
      <c r="L1920" t="s">
        <v>3359</v>
      </c>
      <c r="M1920" s="161" t="s">
        <v>19202</v>
      </c>
    </row>
    <row r="1921" spans="9:13" x14ac:dyDescent="0.25">
      <c r="I1921" t="s">
        <v>5921</v>
      </c>
      <c r="J1921" s="161" t="s">
        <v>19202</v>
      </c>
      <c r="K1921" t="s">
        <v>19203</v>
      </c>
      <c r="L1921" t="s">
        <v>5920</v>
      </c>
      <c r="M1921" s="161" t="s">
        <v>19202</v>
      </c>
    </row>
    <row r="1922" spans="9:13" x14ac:dyDescent="0.25">
      <c r="I1922" t="s">
        <v>2945</v>
      </c>
      <c r="J1922" s="161" t="s">
        <v>19202</v>
      </c>
      <c r="K1922" t="s">
        <v>19203</v>
      </c>
      <c r="L1922" t="s">
        <v>2944</v>
      </c>
      <c r="M1922" s="161" t="s">
        <v>19202</v>
      </c>
    </row>
    <row r="1923" spans="9:13" x14ac:dyDescent="0.25">
      <c r="I1923" t="s">
        <v>2943</v>
      </c>
      <c r="J1923" s="161" t="s">
        <v>19202</v>
      </c>
      <c r="K1923" t="s">
        <v>19203</v>
      </c>
      <c r="L1923" t="s">
        <v>2942</v>
      </c>
      <c r="M1923" s="161" t="s">
        <v>19202</v>
      </c>
    </row>
    <row r="1924" spans="9:13" x14ac:dyDescent="0.25">
      <c r="I1924" t="s">
        <v>2937</v>
      </c>
      <c r="J1924" s="161" t="s">
        <v>19202</v>
      </c>
      <c r="K1924" t="s">
        <v>19203</v>
      </c>
      <c r="L1924" t="s">
        <v>2936</v>
      </c>
      <c r="M1924" s="161" t="s">
        <v>19202</v>
      </c>
    </row>
    <row r="1925" spans="9:13" x14ac:dyDescent="0.25">
      <c r="I1925" t="s">
        <v>7561</v>
      </c>
      <c r="J1925" s="161" t="s">
        <v>19202</v>
      </c>
      <c r="K1925" t="s">
        <v>19203</v>
      </c>
      <c r="L1925" t="s">
        <v>7560</v>
      </c>
      <c r="M1925" s="161" t="s">
        <v>19202</v>
      </c>
    </row>
    <row r="1926" spans="9:13" x14ac:dyDescent="0.25">
      <c r="I1926" t="s">
        <v>4741</v>
      </c>
      <c r="J1926" s="161" t="s">
        <v>19202</v>
      </c>
      <c r="K1926" t="s">
        <v>19203</v>
      </c>
      <c r="L1926" t="s">
        <v>4740</v>
      </c>
      <c r="M1926" s="161" t="s">
        <v>19202</v>
      </c>
    </row>
    <row r="1927" spans="9:13" x14ac:dyDescent="0.25">
      <c r="I1927" t="s">
        <v>11080</v>
      </c>
      <c r="J1927" s="161" t="s">
        <v>19202</v>
      </c>
      <c r="K1927" t="s">
        <v>19203</v>
      </c>
      <c r="L1927" t="s">
        <v>11079</v>
      </c>
      <c r="M1927" s="161" t="s">
        <v>19202</v>
      </c>
    </row>
    <row r="1928" spans="9:13" x14ac:dyDescent="0.25">
      <c r="I1928" t="s">
        <v>5118</v>
      </c>
      <c r="J1928" s="161" t="s">
        <v>19202</v>
      </c>
      <c r="K1928" t="s">
        <v>19203</v>
      </c>
      <c r="L1928" t="s">
        <v>5117</v>
      </c>
      <c r="M1928" s="161" t="s">
        <v>19202</v>
      </c>
    </row>
    <row r="1929" spans="9:13" x14ac:dyDescent="0.25">
      <c r="I1929" t="s">
        <v>11006</v>
      </c>
      <c r="J1929" s="161" t="s">
        <v>19202</v>
      </c>
      <c r="K1929" t="s">
        <v>19203</v>
      </c>
      <c r="L1929" t="s">
        <v>11005</v>
      </c>
      <c r="M1929" s="161" t="s">
        <v>19202</v>
      </c>
    </row>
    <row r="1930" spans="9:13" x14ac:dyDescent="0.25">
      <c r="I1930" t="s">
        <v>7025</v>
      </c>
      <c r="J1930" s="161" t="s">
        <v>19202</v>
      </c>
      <c r="K1930" t="s">
        <v>19203</v>
      </c>
      <c r="L1930" t="s">
        <v>7024</v>
      </c>
      <c r="M1930" s="161" t="s">
        <v>19202</v>
      </c>
    </row>
    <row r="1931" spans="9:13" x14ac:dyDescent="0.25">
      <c r="I1931" t="s">
        <v>13272</v>
      </c>
      <c r="J1931" s="161" t="s">
        <v>19202</v>
      </c>
      <c r="K1931" t="s">
        <v>19203</v>
      </c>
      <c r="L1931" t="s">
        <v>13271</v>
      </c>
      <c r="M1931" s="161" t="s">
        <v>19202</v>
      </c>
    </row>
    <row r="1932" spans="9:13" x14ac:dyDescent="0.25">
      <c r="I1932" t="s">
        <v>18002</v>
      </c>
      <c r="J1932" s="161" t="s">
        <v>19202</v>
      </c>
      <c r="K1932" t="s">
        <v>19203</v>
      </c>
      <c r="L1932" t="s">
        <v>18001</v>
      </c>
      <c r="M1932" s="161" t="s">
        <v>19202</v>
      </c>
    </row>
    <row r="1933" spans="9:13" x14ac:dyDescent="0.25">
      <c r="I1933" t="s">
        <v>5472</v>
      </c>
      <c r="J1933" s="161" t="s">
        <v>19202</v>
      </c>
      <c r="K1933" t="s">
        <v>19203</v>
      </c>
      <c r="L1933" t="s">
        <v>5471</v>
      </c>
      <c r="M1933" s="161" t="s">
        <v>19202</v>
      </c>
    </row>
    <row r="1934" spans="9:13" x14ac:dyDescent="0.25">
      <c r="I1934" t="s">
        <v>16753</v>
      </c>
      <c r="J1934" s="161" t="s">
        <v>19202</v>
      </c>
      <c r="K1934" t="s">
        <v>19203</v>
      </c>
      <c r="L1934" t="s">
        <v>16752</v>
      </c>
      <c r="M1934" s="161" t="s">
        <v>19202</v>
      </c>
    </row>
    <row r="1935" spans="9:13" x14ac:dyDescent="0.25">
      <c r="I1935" t="s">
        <v>12709</v>
      </c>
      <c r="J1935" s="161" t="s">
        <v>19202</v>
      </c>
      <c r="K1935" t="s">
        <v>19203</v>
      </c>
      <c r="L1935" t="s">
        <v>970</v>
      </c>
      <c r="M1935" s="161" t="s">
        <v>19202</v>
      </c>
    </row>
    <row r="1936" spans="9:13" x14ac:dyDescent="0.25">
      <c r="I1936" t="s">
        <v>8312</v>
      </c>
      <c r="J1936" s="161" t="s">
        <v>19202</v>
      </c>
      <c r="K1936" t="s">
        <v>19203</v>
      </c>
      <c r="L1936" t="s">
        <v>7104</v>
      </c>
      <c r="M1936" s="161" t="s">
        <v>19202</v>
      </c>
    </row>
    <row r="1937" spans="9:13" x14ac:dyDescent="0.25">
      <c r="I1937" t="s">
        <v>15877</v>
      </c>
      <c r="J1937" s="161" t="s">
        <v>19202</v>
      </c>
      <c r="K1937" t="s">
        <v>19203</v>
      </c>
      <c r="L1937" t="s">
        <v>15876</v>
      </c>
      <c r="M1937" s="161" t="s">
        <v>19202</v>
      </c>
    </row>
    <row r="1938" spans="9:13" x14ac:dyDescent="0.25">
      <c r="I1938" t="s">
        <v>4577</v>
      </c>
      <c r="J1938" s="161" t="s">
        <v>19202</v>
      </c>
      <c r="K1938" t="s">
        <v>19203</v>
      </c>
      <c r="L1938" t="s">
        <v>4576</v>
      </c>
      <c r="M1938" s="161" t="s">
        <v>19202</v>
      </c>
    </row>
    <row r="1939" spans="9:13" x14ac:dyDescent="0.25">
      <c r="I1939" t="s">
        <v>4750</v>
      </c>
      <c r="J1939" s="161" t="s">
        <v>19202</v>
      </c>
      <c r="K1939" t="s">
        <v>19203</v>
      </c>
      <c r="L1939" t="s">
        <v>4749</v>
      </c>
      <c r="M1939" s="161" t="s">
        <v>19202</v>
      </c>
    </row>
    <row r="1940" spans="9:13" x14ac:dyDescent="0.25">
      <c r="I1940" t="s">
        <v>16640</v>
      </c>
      <c r="J1940" s="161" t="s">
        <v>19202</v>
      </c>
      <c r="K1940" t="s">
        <v>19203</v>
      </c>
      <c r="L1940" t="s">
        <v>16639</v>
      </c>
      <c r="M1940" s="161" t="s">
        <v>19202</v>
      </c>
    </row>
    <row r="1941" spans="9:13" x14ac:dyDescent="0.25">
      <c r="I1941" t="s">
        <v>5537</v>
      </c>
      <c r="J1941" s="161" t="s">
        <v>19202</v>
      </c>
      <c r="K1941" t="s">
        <v>19203</v>
      </c>
      <c r="L1941" t="s">
        <v>5536</v>
      </c>
      <c r="M1941" s="161" t="s">
        <v>19202</v>
      </c>
    </row>
    <row r="1942" spans="9:13" x14ac:dyDescent="0.25">
      <c r="I1942" t="s">
        <v>7403</v>
      </c>
      <c r="J1942" s="161" t="s">
        <v>19202</v>
      </c>
      <c r="K1942" t="s">
        <v>19203</v>
      </c>
      <c r="L1942" t="s">
        <v>7402</v>
      </c>
      <c r="M1942" s="161" t="s">
        <v>19202</v>
      </c>
    </row>
    <row r="1943" spans="9:13" x14ac:dyDescent="0.25">
      <c r="I1943" t="s">
        <v>7399</v>
      </c>
      <c r="J1943" s="161" t="s">
        <v>19202</v>
      </c>
      <c r="K1943" t="s">
        <v>19203</v>
      </c>
      <c r="L1943" t="s">
        <v>7398</v>
      </c>
      <c r="M1943" s="161" t="s">
        <v>19202</v>
      </c>
    </row>
    <row r="1944" spans="9:13" x14ac:dyDescent="0.25">
      <c r="I1944" t="s">
        <v>19466</v>
      </c>
      <c r="J1944" s="161" t="s">
        <v>19202</v>
      </c>
      <c r="K1944" t="s">
        <v>19203</v>
      </c>
      <c r="L1944" t="s">
        <v>19467</v>
      </c>
      <c r="M1944" s="161" t="s">
        <v>19202</v>
      </c>
    </row>
    <row r="1945" spans="9:13" x14ac:dyDescent="0.25">
      <c r="I1945" t="s">
        <v>19468</v>
      </c>
      <c r="J1945" s="161" t="s">
        <v>19202</v>
      </c>
      <c r="K1945" t="s">
        <v>19203</v>
      </c>
      <c r="L1945" t="s">
        <v>1344</v>
      </c>
      <c r="M1945" s="161" t="s">
        <v>19202</v>
      </c>
    </row>
    <row r="1946" spans="9:13" x14ac:dyDescent="0.25">
      <c r="I1946" t="s">
        <v>4627</v>
      </c>
      <c r="J1946" s="161" t="s">
        <v>19202</v>
      </c>
      <c r="K1946" t="s">
        <v>19203</v>
      </c>
      <c r="L1946" t="s">
        <v>1278</v>
      </c>
      <c r="M1946" s="161" t="s">
        <v>19202</v>
      </c>
    </row>
    <row r="1947" spans="9:13" x14ac:dyDescent="0.25">
      <c r="I1947" t="s">
        <v>16200</v>
      </c>
      <c r="J1947" s="161" t="s">
        <v>19202</v>
      </c>
      <c r="K1947" t="s">
        <v>19203</v>
      </c>
      <c r="L1947" t="s">
        <v>16199</v>
      </c>
      <c r="M1947" s="161" t="s">
        <v>19202</v>
      </c>
    </row>
    <row r="1948" spans="9:13" x14ac:dyDescent="0.25">
      <c r="I1948" t="s">
        <v>4407</v>
      </c>
      <c r="J1948" s="161" t="s">
        <v>19202</v>
      </c>
      <c r="K1948" t="s">
        <v>19203</v>
      </c>
      <c r="L1948" t="s">
        <v>4406</v>
      </c>
      <c r="M1948" s="161" t="s">
        <v>19202</v>
      </c>
    </row>
    <row r="1949" spans="9:13" x14ac:dyDescent="0.25">
      <c r="I1949" t="s">
        <v>16960</v>
      </c>
      <c r="J1949" s="161" t="s">
        <v>19202</v>
      </c>
      <c r="K1949" t="s">
        <v>19203</v>
      </c>
      <c r="L1949" t="s">
        <v>1350</v>
      </c>
      <c r="M1949" s="161" t="s">
        <v>19202</v>
      </c>
    </row>
    <row r="1950" spans="9:13" x14ac:dyDescent="0.25">
      <c r="I1950" t="s">
        <v>12154</v>
      </c>
      <c r="J1950" s="161" t="s">
        <v>19202</v>
      </c>
      <c r="K1950" t="s">
        <v>19203</v>
      </c>
      <c r="L1950" t="s">
        <v>12153</v>
      </c>
      <c r="M1950" s="161" t="s">
        <v>19202</v>
      </c>
    </row>
    <row r="1951" spans="9:13" x14ac:dyDescent="0.25">
      <c r="I1951" t="s">
        <v>15909</v>
      </c>
      <c r="J1951" s="161" t="s">
        <v>19202</v>
      </c>
      <c r="K1951" t="s">
        <v>19203</v>
      </c>
      <c r="L1951" t="s">
        <v>15908</v>
      </c>
      <c r="M1951" s="161" t="s">
        <v>19202</v>
      </c>
    </row>
    <row r="1952" spans="9:13" x14ac:dyDescent="0.25">
      <c r="I1952" t="s">
        <v>4915</v>
      </c>
      <c r="J1952" s="161" t="s">
        <v>19202</v>
      </c>
      <c r="K1952" t="s">
        <v>19203</v>
      </c>
      <c r="L1952" t="s">
        <v>3738</v>
      </c>
      <c r="M1952" s="161" t="s">
        <v>19202</v>
      </c>
    </row>
    <row r="1953" spans="9:13" x14ac:dyDescent="0.25">
      <c r="I1953" t="s">
        <v>16982</v>
      </c>
      <c r="J1953" s="161" t="s">
        <v>19202</v>
      </c>
      <c r="K1953" t="s">
        <v>19203</v>
      </c>
      <c r="L1953" t="s">
        <v>16981</v>
      </c>
      <c r="M1953" s="161" t="s">
        <v>19202</v>
      </c>
    </row>
    <row r="1954" spans="9:13" x14ac:dyDescent="0.25">
      <c r="I1954" t="s">
        <v>16980</v>
      </c>
      <c r="J1954" s="161" t="s">
        <v>19202</v>
      </c>
      <c r="K1954" t="s">
        <v>19203</v>
      </c>
      <c r="L1954" t="s">
        <v>685</v>
      </c>
      <c r="M1954" s="161" t="s">
        <v>19202</v>
      </c>
    </row>
    <row r="1955" spans="9:13" x14ac:dyDescent="0.25">
      <c r="I1955" t="s">
        <v>15025</v>
      </c>
      <c r="J1955" s="161" t="s">
        <v>19202</v>
      </c>
      <c r="K1955" t="s">
        <v>19203</v>
      </c>
      <c r="L1955" t="s">
        <v>15024</v>
      </c>
      <c r="M1955" s="161" t="s">
        <v>19202</v>
      </c>
    </row>
    <row r="1956" spans="9:13" x14ac:dyDescent="0.25">
      <c r="I1956" t="s">
        <v>8544</v>
      </c>
      <c r="J1956" s="161" t="s">
        <v>19202</v>
      </c>
      <c r="K1956" t="s">
        <v>19203</v>
      </c>
      <c r="L1956" t="s">
        <v>8543</v>
      </c>
      <c r="M1956" s="161" t="s">
        <v>19202</v>
      </c>
    </row>
    <row r="1957" spans="9:13" x14ac:dyDescent="0.25">
      <c r="I1957" t="s">
        <v>8542</v>
      </c>
      <c r="J1957" s="161" t="s">
        <v>19202</v>
      </c>
      <c r="K1957" t="s">
        <v>19203</v>
      </c>
      <c r="L1957" t="s">
        <v>8541</v>
      </c>
      <c r="M1957" s="161" t="s">
        <v>19202</v>
      </c>
    </row>
    <row r="1958" spans="9:13" x14ac:dyDescent="0.25">
      <c r="I1958" t="s">
        <v>16603</v>
      </c>
      <c r="J1958" s="161" t="s">
        <v>19202</v>
      </c>
      <c r="K1958" t="s">
        <v>19203</v>
      </c>
      <c r="L1958" t="s">
        <v>16602</v>
      </c>
      <c r="M1958" s="161" t="s">
        <v>19202</v>
      </c>
    </row>
    <row r="1959" spans="9:13" x14ac:dyDescent="0.25">
      <c r="I1959" t="s">
        <v>17432</v>
      </c>
      <c r="J1959" s="161" t="s">
        <v>19202</v>
      </c>
      <c r="K1959" t="s">
        <v>19203</v>
      </c>
      <c r="L1959" t="s">
        <v>17431</v>
      </c>
      <c r="M1959" s="161" t="s">
        <v>19202</v>
      </c>
    </row>
    <row r="1960" spans="9:13" x14ac:dyDescent="0.25">
      <c r="I1960" t="s">
        <v>19469</v>
      </c>
      <c r="J1960" s="161" t="s">
        <v>19202</v>
      </c>
      <c r="K1960" t="s">
        <v>19203</v>
      </c>
      <c r="L1960" t="s">
        <v>19470</v>
      </c>
      <c r="M1960" s="161" t="s">
        <v>19202</v>
      </c>
    </row>
    <row r="1961" spans="9:13" x14ac:dyDescent="0.25">
      <c r="I1961" t="s">
        <v>12401</v>
      </c>
      <c r="J1961" s="161" t="s">
        <v>19202</v>
      </c>
      <c r="K1961" t="s">
        <v>19203</v>
      </c>
      <c r="L1961" t="s">
        <v>12400</v>
      </c>
      <c r="M1961" s="161" t="s">
        <v>19202</v>
      </c>
    </row>
    <row r="1962" spans="9:13" x14ac:dyDescent="0.25">
      <c r="I1962" t="s">
        <v>9774</v>
      </c>
      <c r="J1962" s="161" t="s">
        <v>19202</v>
      </c>
      <c r="K1962" t="s">
        <v>19203</v>
      </c>
      <c r="L1962" t="s">
        <v>9773</v>
      </c>
      <c r="M1962" s="161" t="s">
        <v>19202</v>
      </c>
    </row>
    <row r="1963" spans="9:13" x14ac:dyDescent="0.25">
      <c r="I1963" t="s">
        <v>19471</v>
      </c>
      <c r="J1963" s="161" t="s">
        <v>19202</v>
      </c>
      <c r="K1963" t="s">
        <v>19203</v>
      </c>
      <c r="L1963" t="s">
        <v>19472</v>
      </c>
      <c r="M1963" s="161" t="s">
        <v>19202</v>
      </c>
    </row>
    <row r="1964" spans="9:13" x14ac:dyDescent="0.25">
      <c r="I1964" t="s">
        <v>5470</v>
      </c>
      <c r="J1964" s="161" t="s">
        <v>19202</v>
      </c>
      <c r="K1964" t="s">
        <v>19203</v>
      </c>
      <c r="L1964" t="s">
        <v>5469</v>
      </c>
      <c r="M1964" s="161" t="s">
        <v>19202</v>
      </c>
    </row>
    <row r="1965" spans="9:13" x14ac:dyDescent="0.25">
      <c r="I1965" t="s">
        <v>3169</v>
      </c>
      <c r="J1965" s="161" t="s">
        <v>19202</v>
      </c>
      <c r="K1965" t="s">
        <v>19203</v>
      </c>
      <c r="L1965" t="s">
        <v>3168</v>
      </c>
      <c r="M1965" s="161" t="s">
        <v>19202</v>
      </c>
    </row>
    <row r="1966" spans="9:13" x14ac:dyDescent="0.25">
      <c r="I1966" t="s">
        <v>8251</v>
      </c>
      <c r="J1966" s="161" t="s">
        <v>19202</v>
      </c>
      <c r="K1966" t="s">
        <v>19203</v>
      </c>
      <c r="L1966" t="s">
        <v>8250</v>
      </c>
      <c r="M1966" s="161" t="s">
        <v>19202</v>
      </c>
    </row>
    <row r="1967" spans="9:13" x14ac:dyDescent="0.25">
      <c r="I1967" t="s">
        <v>13267</v>
      </c>
      <c r="J1967" s="161" t="s">
        <v>19202</v>
      </c>
      <c r="K1967" t="s">
        <v>19203</v>
      </c>
      <c r="L1967" t="s">
        <v>13266</v>
      </c>
      <c r="M1967" s="161" t="s">
        <v>19202</v>
      </c>
    </row>
    <row r="1968" spans="9:13" x14ac:dyDescent="0.25">
      <c r="I1968" t="s">
        <v>1610</v>
      </c>
      <c r="J1968" s="161" t="s">
        <v>19202</v>
      </c>
      <c r="K1968" t="s">
        <v>19203</v>
      </c>
      <c r="L1968" t="s">
        <v>1609</v>
      </c>
      <c r="M1968" s="161" t="s">
        <v>19202</v>
      </c>
    </row>
    <row r="1969" spans="9:13" x14ac:dyDescent="0.25">
      <c r="I1969" t="s">
        <v>1416</v>
      </c>
      <c r="J1969" s="161" t="s">
        <v>19202</v>
      </c>
      <c r="K1969" t="s">
        <v>19203</v>
      </c>
      <c r="L1969" t="s">
        <v>1415</v>
      </c>
      <c r="M1969" s="161" t="s">
        <v>19202</v>
      </c>
    </row>
    <row r="1970" spans="9:13" x14ac:dyDescent="0.25">
      <c r="I1970" t="s">
        <v>13554</v>
      </c>
      <c r="J1970" s="161" t="s">
        <v>19202</v>
      </c>
      <c r="K1970" t="s">
        <v>19203</v>
      </c>
      <c r="L1970" t="s">
        <v>2084</v>
      </c>
      <c r="M1970" s="161" t="s">
        <v>19202</v>
      </c>
    </row>
    <row r="1971" spans="9:13" x14ac:dyDescent="0.25">
      <c r="I1971" t="s">
        <v>12147</v>
      </c>
      <c r="J1971" s="161" t="s">
        <v>19202</v>
      </c>
      <c r="K1971" t="s">
        <v>19203</v>
      </c>
      <c r="L1971" t="s">
        <v>12146</v>
      </c>
      <c r="M1971" s="161" t="s">
        <v>19202</v>
      </c>
    </row>
    <row r="1972" spans="9:13" x14ac:dyDescent="0.25">
      <c r="I1972" t="s">
        <v>14037</v>
      </c>
      <c r="J1972" s="161" t="s">
        <v>19202</v>
      </c>
      <c r="K1972" t="s">
        <v>19203</v>
      </c>
      <c r="L1972" t="s">
        <v>14036</v>
      </c>
      <c r="M1972" s="161" t="s">
        <v>19202</v>
      </c>
    </row>
    <row r="1973" spans="9:13" x14ac:dyDescent="0.25">
      <c r="I1973" t="s">
        <v>17264</v>
      </c>
      <c r="J1973" s="161" t="s">
        <v>19202</v>
      </c>
      <c r="K1973" t="s">
        <v>19203</v>
      </c>
      <c r="L1973" t="s">
        <v>17263</v>
      </c>
      <c r="M1973" s="161" t="s">
        <v>19202</v>
      </c>
    </row>
    <row r="1974" spans="9:13" x14ac:dyDescent="0.25">
      <c r="I1974" t="s">
        <v>9858</v>
      </c>
      <c r="J1974" s="161" t="s">
        <v>19202</v>
      </c>
      <c r="K1974" t="s">
        <v>19203</v>
      </c>
      <c r="L1974" t="s">
        <v>9857</v>
      </c>
      <c r="M1974" s="161" t="s">
        <v>19202</v>
      </c>
    </row>
    <row r="1975" spans="9:13" x14ac:dyDescent="0.25">
      <c r="I1975" t="s">
        <v>6599</v>
      </c>
      <c r="J1975" s="161" t="s">
        <v>19202</v>
      </c>
      <c r="K1975" t="s">
        <v>19203</v>
      </c>
      <c r="L1975" t="s">
        <v>6598</v>
      </c>
      <c r="M1975" s="161" t="s">
        <v>19202</v>
      </c>
    </row>
    <row r="1976" spans="9:13" x14ac:dyDescent="0.25">
      <c r="I1976" t="s">
        <v>12711</v>
      </c>
      <c r="J1976" s="161" t="s">
        <v>19202</v>
      </c>
      <c r="K1976" t="s">
        <v>19203</v>
      </c>
      <c r="L1976" t="s">
        <v>12710</v>
      </c>
      <c r="M1976" s="161" t="s">
        <v>19202</v>
      </c>
    </row>
    <row r="1977" spans="9:13" x14ac:dyDescent="0.25">
      <c r="I1977" t="s">
        <v>13062</v>
      </c>
      <c r="J1977" s="161" t="s">
        <v>19202</v>
      </c>
      <c r="K1977" t="s">
        <v>19203</v>
      </c>
      <c r="L1977" t="s">
        <v>13061</v>
      </c>
      <c r="M1977" s="161" t="s">
        <v>19202</v>
      </c>
    </row>
    <row r="1978" spans="9:13" x14ac:dyDescent="0.25">
      <c r="I1978" t="s">
        <v>533</v>
      </c>
      <c r="J1978" s="161" t="s">
        <v>19202</v>
      </c>
      <c r="K1978" t="s">
        <v>19203</v>
      </c>
      <c r="L1978" t="s">
        <v>532</v>
      </c>
      <c r="M1978" s="161" t="s">
        <v>19202</v>
      </c>
    </row>
    <row r="1979" spans="9:13" x14ac:dyDescent="0.25">
      <c r="I1979" t="s">
        <v>535</v>
      </c>
      <c r="J1979" s="161" t="s">
        <v>19202</v>
      </c>
      <c r="K1979" t="s">
        <v>19203</v>
      </c>
      <c r="L1979" t="s">
        <v>534</v>
      </c>
      <c r="M1979" s="161" t="s">
        <v>19202</v>
      </c>
    </row>
    <row r="1980" spans="9:13" x14ac:dyDescent="0.25">
      <c r="I1980" t="s">
        <v>8481</v>
      </c>
      <c r="J1980" s="161" t="s">
        <v>19202</v>
      </c>
      <c r="K1980" t="s">
        <v>19203</v>
      </c>
      <c r="L1980" t="s">
        <v>8480</v>
      </c>
      <c r="M1980" s="161" t="s">
        <v>19202</v>
      </c>
    </row>
    <row r="1981" spans="9:13" x14ac:dyDescent="0.25">
      <c r="I1981" t="s">
        <v>16560</v>
      </c>
      <c r="J1981" s="161" t="s">
        <v>19202</v>
      </c>
      <c r="K1981" t="s">
        <v>19203</v>
      </c>
      <c r="L1981" t="s">
        <v>16559</v>
      </c>
      <c r="M1981" s="161" t="s">
        <v>19202</v>
      </c>
    </row>
    <row r="1982" spans="9:13" x14ac:dyDescent="0.25">
      <c r="I1982" t="s">
        <v>9776</v>
      </c>
      <c r="J1982" s="161" t="s">
        <v>19202</v>
      </c>
      <c r="K1982" t="s">
        <v>19203</v>
      </c>
      <c r="L1982" t="s">
        <v>9775</v>
      </c>
      <c r="M1982" s="161" t="s">
        <v>19202</v>
      </c>
    </row>
    <row r="1983" spans="9:13" x14ac:dyDescent="0.25">
      <c r="I1983" t="s">
        <v>19473</v>
      </c>
      <c r="J1983" s="161" t="s">
        <v>19202</v>
      </c>
      <c r="K1983" t="s">
        <v>19203</v>
      </c>
      <c r="L1983" t="s">
        <v>19474</v>
      </c>
      <c r="M1983" s="161" t="s">
        <v>19202</v>
      </c>
    </row>
    <row r="1984" spans="9:13" x14ac:dyDescent="0.25">
      <c r="I1984" t="s">
        <v>6688</v>
      </c>
      <c r="J1984" s="161" t="s">
        <v>19202</v>
      </c>
      <c r="K1984" t="s">
        <v>19203</v>
      </c>
      <c r="L1984" t="s">
        <v>6024</v>
      </c>
      <c r="M1984" s="161" t="s">
        <v>19202</v>
      </c>
    </row>
    <row r="1985" spans="9:13" x14ac:dyDescent="0.25">
      <c r="I1985" t="s">
        <v>9424</v>
      </c>
      <c r="J1985" s="161" t="s">
        <v>19202</v>
      </c>
      <c r="K1985" t="s">
        <v>19203</v>
      </c>
      <c r="L1985" t="s">
        <v>9423</v>
      </c>
      <c r="M1985" s="161" t="s">
        <v>19202</v>
      </c>
    </row>
    <row r="1986" spans="9:13" x14ac:dyDescent="0.25">
      <c r="I1986" t="s">
        <v>12887</v>
      </c>
      <c r="J1986" s="161" t="s">
        <v>19202</v>
      </c>
      <c r="K1986" t="s">
        <v>19203</v>
      </c>
      <c r="L1986" t="s">
        <v>12886</v>
      </c>
      <c r="M1986" s="161" t="s">
        <v>19202</v>
      </c>
    </row>
    <row r="1987" spans="9:13" x14ac:dyDescent="0.25">
      <c r="I1987" t="s">
        <v>13635</v>
      </c>
      <c r="J1987" s="161" t="s">
        <v>19202</v>
      </c>
      <c r="K1987" t="s">
        <v>19203</v>
      </c>
      <c r="L1987" t="s">
        <v>2085</v>
      </c>
      <c r="M1987" s="161" t="s">
        <v>19202</v>
      </c>
    </row>
    <row r="1988" spans="9:13" x14ac:dyDescent="0.25">
      <c r="I1988" t="s">
        <v>5318</v>
      </c>
      <c r="J1988" s="161" t="s">
        <v>19202</v>
      </c>
      <c r="K1988" t="s">
        <v>19203</v>
      </c>
      <c r="L1988" t="s">
        <v>5317</v>
      </c>
      <c r="M1988" s="161" t="s">
        <v>19202</v>
      </c>
    </row>
    <row r="1989" spans="9:13" x14ac:dyDescent="0.25">
      <c r="I1989" t="s">
        <v>854</v>
      </c>
      <c r="J1989" s="161" t="s">
        <v>19202</v>
      </c>
      <c r="K1989" t="s">
        <v>19203</v>
      </c>
      <c r="L1989" t="s">
        <v>853</v>
      </c>
      <c r="M1989" s="161" t="s">
        <v>19202</v>
      </c>
    </row>
    <row r="1990" spans="9:13" x14ac:dyDescent="0.25">
      <c r="I1990" t="s">
        <v>9484</v>
      </c>
      <c r="J1990" s="161" t="s">
        <v>19202</v>
      </c>
      <c r="K1990" t="s">
        <v>19203</v>
      </c>
      <c r="L1990" t="s">
        <v>9483</v>
      </c>
      <c r="M1990" s="161" t="s">
        <v>19202</v>
      </c>
    </row>
    <row r="1991" spans="9:13" x14ac:dyDescent="0.25">
      <c r="I1991" t="s">
        <v>13270</v>
      </c>
      <c r="J1991" s="161" t="s">
        <v>19202</v>
      </c>
      <c r="K1991" t="s">
        <v>19203</v>
      </c>
      <c r="L1991" t="s">
        <v>13269</v>
      </c>
      <c r="M1991" s="161" t="s">
        <v>19202</v>
      </c>
    </row>
    <row r="1992" spans="9:13" x14ac:dyDescent="0.25">
      <c r="I1992" t="s">
        <v>15496</v>
      </c>
      <c r="J1992" s="161" t="s">
        <v>19202</v>
      </c>
      <c r="K1992" t="s">
        <v>19203</v>
      </c>
      <c r="L1992" t="s">
        <v>15495</v>
      </c>
      <c r="M1992" s="161" t="s">
        <v>19202</v>
      </c>
    </row>
    <row r="1993" spans="9:13" x14ac:dyDescent="0.25">
      <c r="I1993" t="s">
        <v>7489</v>
      </c>
      <c r="J1993" s="161" t="s">
        <v>19202</v>
      </c>
      <c r="K1993" t="s">
        <v>19203</v>
      </c>
      <c r="L1993" t="s">
        <v>7488</v>
      </c>
      <c r="M1993" s="161" t="s">
        <v>19202</v>
      </c>
    </row>
    <row r="1994" spans="9:13" x14ac:dyDescent="0.25">
      <c r="I1994" t="s">
        <v>19475</v>
      </c>
      <c r="J1994" s="161" t="s">
        <v>19202</v>
      </c>
      <c r="K1994" t="s">
        <v>19203</v>
      </c>
      <c r="L1994" t="s">
        <v>19476</v>
      </c>
      <c r="M1994" s="161" t="s">
        <v>19202</v>
      </c>
    </row>
    <row r="1995" spans="9:13" x14ac:dyDescent="0.25">
      <c r="I1995" t="s">
        <v>16352</v>
      </c>
      <c r="J1995" s="161" t="s">
        <v>19202</v>
      </c>
      <c r="K1995" t="s">
        <v>19203</v>
      </c>
      <c r="L1995" t="s">
        <v>16351</v>
      </c>
      <c r="M1995" s="161" t="s">
        <v>19202</v>
      </c>
    </row>
    <row r="1996" spans="9:13" x14ac:dyDescent="0.25">
      <c r="I1996" t="s">
        <v>17868</v>
      </c>
      <c r="J1996" s="161" t="s">
        <v>19202</v>
      </c>
      <c r="K1996" t="s">
        <v>19203</v>
      </c>
      <c r="L1996" t="s">
        <v>17867</v>
      </c>
      <c r="M1996" s="161" t="s">
        <v>19202</v>
      </c>
    </row>
    <row r="1997" spans="9:13" x14ac:dyDescent="0.25">
      <c r="I1997" t="s">
        <v>7724</v>
      </c>
      <c r="J1997" s="161" t="s">
        <v>19202</v>
      </c>
      <c r="K1997" t="s">
        <v>19203</v>
      </c>
      <c r="L1997" t="s">
        <v>7723</v>
      </c>
      <c r="M1997" s="161" t="s">
        <v>19202</v>
      </c>
    </row>
    <row r="1998" spans="9:13" x14ac:dyDescent="0.25">
      <c r="I1998" t="s">
        <v>1556</v>
      </c>
      <c r="J1998" s="161" t="s">
        <v>19202</v>
      </c>
      <c r="K1998" t="s">
        <v>19203</v>
      </c>
      <c r="L1998" t="s">
        <v>1555</v>
      </c>
      <c r="M1998" s="161" t="s">
        <v>19202</v>
      </c>
    </row>
    <row r="1999" spans="9:13" x14ac:dyDescent="0.25">
      <c r="I1999" t="s">
        <v>10021</v>
      </c>
      <c r="J1999" s="161" t="s">
        <v>19202</v>
      </c>
      <c r="K1999" t="s">
        <v>19203</v>
      </c>
      <c r="L1999" t="s">
        <v>10020</v>
      </c>
      <c r="M1999" s="161" t="s">
        <v>19202</v>
      </c>
    </row>
    <row r="2000" spans="9:13" x14ac:dyDescent="0.25">
      <c r="I2000" t="s">
        <v>10019</v>
      </c>
      <c r="J2000" s="161" t="s">
        <v>19202</v>
      </c>
      <c r="K2000" t="s">
        <v>19203</v>
      </c>
      <c r="L2000" t="s">
        <v>10018</v>
      </c>
      <c r="M2000" s="161" t="s">
        <v>19202</v>
      </c>
    </row>
    <row r="2001" spans="9:13" x14ac:dyDescent="0.25">
      <c r="I2001" t="s">
        <v>10017</v>
      </c>
      <c r="J2001" s="161" t="s">
        <v>19202</v>
      </c>
      <c r="K2001" t="s">
        <v>19203</v>
      </c>
      <c r="L2001" t="s">
        <v>10016</v>
      </c>
      <c r="M2001" s="161" t="s">
        <v>19202</v>
      </c>
    </row>
    <row r="2002" spans="9:13" x14ac:dyDescent="0.25">
      <c r="I2002" t="s">
        <v>3680</v>
      </c>
      <c r="J2002" s="161" t="s">
        <v>19202</v>
      </c>
      <c r="K2002" t="s">
        <v>19203</v>
      </c>
      <c r="L2002" t="s">
        <v>3679</v>
      </c>
      <c r="M2002" s="161" t="s">
        <v>19202</v>
      </c>
    </row>
    <row r="2003" spans="9:13" x14ac:dyDescent="0.25">
      <c r="I2003" t="s">
        <v>8324</v>
      </c>
      <c r="J2003" s="161" t="s">
        <v>19202</v>
      </c>
      <c r="K2003" t="s">
        <v>19203</v>
      </c>
      <c r="L2003" t="s">
        <v>8323</v>
      </c>
      <c r="M2003" s="161" t="s">
        <v>19202</v>
      </c>
    </row>
    <row r="2004" spans="9:13" x14ac:dyDescent="0.25">
      <c r="I2004" t="s">
        <v>17268</v>
      </c>
      <c r="J2004" s="161" t="s">
        <v>19202</v>
      </c>
      <c r="K2004" t="s">
        <v>19203</v>
      </c>
      <c r="L2004" t="s">
        <v>17267</v>
      </c>
      <c r="M2004" s="161" t="s">
        <v>19202</v>
      </c>
    </row>
    <row r="2005" spans="9:13" x14ac:dyDescent="0.25">
      <c r="I2005" t="s">
        <v>7123</v>
      </c>
      <c r="J2005" s="161" t="s">
        <v>19202</v>
      </c>
      <c r="K2005" t="s">
        <v>19203</v>
      </c>
      <c r="L2005" t="s">
        <v>7122</v>
      </c>
      <c r="M2005" s="161" t="s">
        <v>19202</v>
      </c>
    </row>
    <row r="2006" spans="9:13" x14ac:dyDescent="0.25">
      <c r="I2006" t="s">
        <v>16429</v>
      </c>
      <c r="J2006" s="161" t="s">
        <v>19202</v>
      </c>
      <c r="K2006" t="s">
        <v>19203</v>
      </c>
      <c r="L2006" t="s">
        <v>16428</v>
      </c>
      <c r="M2006" s="161" t="s">
        <v>19202</v>
      </c>
    </row>
    <row r="2007" spans="9:13" x14ac:dyDescent="0.25">
      <c r="I2007" t="s">
        <v>17080</v>
      </c>
      <c r="J2007" s="161" t="s">
        <v>19202</v>
      </c>
      <c r="K2007" t="s">
        <v>19203</v>
      </c>
      <c r="L2007" t="s">
        <v>1690</v>
      </c>
      <c r="M2007" s="161" t="s">
        <v>19202</v>
      </c>
    </row>
    <row r="2008" spans="9:13" x14ac:dyDescent="0.25">
      <c r="I2008" t="s">
        <v>16024</v>
      </c>
      <c r="J2008" s="161" t="s">
        <v>19202</v>
      </c>
      <c r="K2008" t="s">
        <v>19203</v>
      </c>
      <c r="L2008" t="s">
        <v>4369</v>
      </c>
      <c r="M2008" s="161" t="s">
        <v>19202</v>
      </c>
    </row>
    <row r="2009" spans="9:13" x14ac:dyDescent="0.25">
      <c r="I2009" t="s">
        <v>15305</v>
      </c>
      <c r="J2009" s="161" t="s">
        <v>19202</v>
      </c>
      <c r="K2009" t="s">
        <v>19203</v>
      </c>
      <c r="L2009" t="s">
        <v>1350</v>
      </c>
      <c r="M2009" s="161" t="s">
        <v>19202</v>
      </c>
    </row>
    <row r="2010" spans="9:13" x14ac:dyDescent="0.25">
      <c r="I2010" t="s">
        <v>3340</v>
      </c>
      <c r="J2010" s="161" t="s">
        <v>19202</v>
      </c>
      <c r="K2010" t="s">
        <v>19203</v>
      </c>
      <c r="L2010" t="s">
        <v>3339</v>
      </c>
      <c r="M2010" s="161" t="s">
        <v>19202</v>
      </c>
    </row>
    <row r="2011" spans="9:13" x14ac:dyDescent="0.25">
      <c r="I2011" t="s">
        <v>5130</v>
      </c>
      <c r="J2011" s="161" t="s">
        <v>19202</v>
      </c>
      <c r="K2011" t="s">
        <v>19203</v>
      </c>
      <c r="L2011" t="s">
        <v>5129</v>
      </c>
      <c r="M2011" s="161" t="s">
        <v>19202</v>
      </c>
    </row>
    <row r="2012" spans="9:13" x14ac:dyDescent="0.25">
      <c r="I2012" t="s">
        <v>1124</v>
      </c>
      <c r="J2012" s="161" t="s">
        <v>19202</v>
      </c>
      <c r="K2012" t="s">
        <v>19203</v>
      </c>
      <c r="L2012" t="s">
        <v>1123</v>
      </c>
      <c r="M2012" s="161" t="s">
        <v>19202</v>
      </c>
    </row>
    <row r="2013" spans="9:13" x14ac:dyDescent="0.25">
      <c r="I2013" t="s">
        <v>16835</v>
      </c>
      <c r="J2013" s="161" t="s">
        <v>19202</v>
      </c>
      <c r="K2013" t="s">
        <v>19203</v>
      </c>
      <c r="L2013" t="s">
        <v>16834</v>
      </c>
      <c r="M2013" s="161" t="s">
        <v>19202</v>
      </c>
    </row>
    <row r="2014" spans="9:13" x14ac:dyDescent="0.25">
      <c r="I2014" t="s">
        <v>16390</v>
      </c>
      <c r="J2014" s="161" t="s">
        <v>19202</v>
      </c>
      <c r="K2014" t="s">
        <v>19203</v>
      </c>
      <c r="L2014" t="s">
        <v>16389</v>
      </c>
      <c r="M2014" s="161" t="s">
        <v>19202</v>
      </c>
    </row>
    <row r="2015" spans="9:13" x14ac:dyDescent="0.25">
      <c r="I2015" t="s">
        <v>13215</v>
      </c>
      <c r="J2015" s="161" t="s">
        <v>19202</v>
      </c>
      <c r="K2015" t="s">
        <v>19203</v>
      </c>
      <c r="L2015" t="s">
        <v>2084</v>
      </c>
      <c r="M2015" s="161" t="s">
        <v>19202</v>
      </c>
    </row>
    <row r="2016" spans="9:13" x14ac:dyDescent="0.25">
      <c r="I2016" t="s">
        <v>18136</v>
      </c>
      <c r="J2016" s="161" t="s">
        <v>19202</v>
      </c>
      <c r="K2016" t="s">
        <v>19203</v>
      </c>
      <c r="L2016" t="s">
        <v>1690</v>
      </c>
      <c r="M2016" s="161" t="s">
        <v>19202</v>
      </c>
    </row>
    <row r="2017" spans="9:13" x14ac:dyDescent="0.25">
      <c r="I2017" t="s">
        <v>5539</v>
      </c>
      <c r="J2017" s="161" t="s">
        <v>19202</v>
      </c>
      <c r="K2017" t="s">
        <v>19203</v>
      </c>
      <c r="L2017" t="s">
        <v>5538</v>
      </c>
      <c r="M2017" s="161" t="s">
        <v>19202</v>
      </c>
    </row>
    <row r="2018" spans="9:13" x14ac:dyDescent="0.25">
      <c r="I2018" t="s">
        <v>17901</v>
      </c>
      <c r="J2018" s="161" t="s">
        <v>19202</v>
      </c>
      <c r="K2018" t="s">
        <v>19203</v>
      </c>
      <c r="L2018" t="s">
        <v>17900</v>
      </c>
      <c r="M2018" s="161" t="s">
        <v>19202</v>
      </c>
    </row>
    <row r="2019" spans="9:13" x14ac:dyDescent="0.25">
      <c r="I2019" t="s">
        <v>16775</v>
      </c>
      <c r="J2019" s="161" t="s">
        <v>19202</v>
      </c>
      <c r="K2019" t="s">
        <v>19203</v>
      </c>
      <c r="L2019" t="s">
        <v>1156</v>
      </c>
      <c r="M2019" s="161" t="s">
        <v>19202</v>
      </c>
    </row>
    <row r="2020" spans="9:13" x14ac:dyDescent="0.25">
      <c r="I2020" t="s">
        <v>14704</v>
      </c>
      <c r="J2020" s="161" t="s">
        <v>19202</v>
      </c>
      <c r="K2020" t="s">
        <v>19203</v>
      </c>
      <c r="L2020" t="s">
        <v>5024</v>
      </c>
      <c r="M2020" s="161" t="s">
        <v>19202</v>
      </c>
    </row>
    <row r="2021" spans="9:13" x14ac:dyDescent="0.25">
      <c r="I2021" t="s">
        <v>10986</v>
      </c>
      <c r="J2021" s="161" t="s">
        <v>19202</v>
      </c>
      <c r="K2021" t="s">
        <v>19203</v>
      </c>
      <c r="L2021" t="s">
        <v>19477</v>
      </c>
      <c r="M2021" s="161" t="s">
        <v>19202</v>
      </c>
    </row>
    <row r="2022" spans="9:13" x14ac:dyDescent="0.25">
      <c r="I2022" t="s">
        <v>1657</v>
      </c>
      <c r="J2022" s="161" t="s">
        <v>19202</v>
      </c>
      <c r="K2022" t="s">
        <v>19203</v>
      </c>
      <c r="L2022" t="s">
        <v>1656</v>
      </c>
      <c r="M2022" s="161" t="s">
        <v>19202</v>
      </c>
    </row>
    <row r="2023" spans="9:13" x14ac:dyDescent="0.25">
      <c r="I2023" t="s">
        <v>17062</v>
      </c>
      <c r="J2023" s="161" t="s">
        <v>19202</v>
      </c>
      <c r="K2023" t="s">
        <v>19203</v>
      </c>
      <c r="L2023" t="s">
        <v>17061</v>
      </c>
      <c r="M2023" s="161" t="s">
        <v>19202</v>
      </c>
    </row>
    <row r="2024" spans="9:13" x14ac:dyDescent="0.25">
      <c r="I2024" t="s">
        <v>2546</v>
      </c>
      <c r="J2024" s="161" t="s">
        <v>19202</v>
      </c>
      <c r="K2024" t="s">
        <v>19203</v>
      </c>
      <c r="L2024" t="s">
        <v>2545</v>
      </c>
      <c r="M2024" s="161" t="s">
        <v>19202</v>
      </c>
    </row>
    <row r="2025" spans="9:13" x14ac:dyDescent="0.25">
      <c r="I2025" t="s">
        <v>10751</v>
      </c>
      <c r="J2025" s="161" t="s">
        <v>19202</v>
      </c>
      <c r="K2025" t="s">
        <v>19203</v>
      </c>
      <c r="L2025" t="s">
        <v>10750</v>
      </c>
      <c r="M2025" s="161" t="s">
        <v>19202</v>
      </c>
    </row>
    <row r="2026" spans="9:13" x14ac:dyDescent="0.25">
      <c r="I2026" t="s">
        <v>15964</v>
      </c>
      <c r="J2026" s="161" t="s">
        <v>19202</v>
      </c>
      <c r="K2026" t="s">
        <v>19203</v>
      </c>
      <c r="L2026" t="s">
        <v>15963</v>
      </c>
      <c r="M2026" s="161" t="s">
        <v>19202</v>
      </c>
    </row>
    <row r="2027" spans="9:13" x14ac:dyDescent="0.25">
      <c r="I2027" t="s">
        <v>893</v>
      </c>
      <c r="J2027" s="161" t="s">
        <v>19202</v>
      </c>
      <c r="K2027" t="s">
        <v>19203</v>
      </c>
      <c r="L2027" t="s">
        <v>892</v>
      </c>
      <c r="M2027" s="161" t="s">
        <v>19202</v>
      </c>
    </row>
    <row r="2028" spans="9:13" x14ac:dyDescent="0.25">
      <c r="I2028" t="s">
        <v>2517</v>
      </c>
      <c r="J2028" s="161" t="s">
        <v>19202</v>
      </c>
      <c r="K2028" t="s">
        <v>19203</v>
      </c>
      <c r="L2028" t="s">
        <v>2516</v>
      </c>
      <c r="M2028" s="161" t="s">
        <v>19202</v>
      </c>
    </row>
    <row r="2029" spans="9:13" x14ac:dyDescent="0.25">
      <c r="I2029" t="s">
        <v>10704</v>
      </c>
      <c r="J2029" s="161" t="s">
        <v>19202</v>
      </c>
      <c r="K2029" t="s">
        <v>19203</v>
      </c>
      <c r="L2029" t="s">
        <v>10703</v>
      </c>
      <c r="M2029" s="161" t="s">
        <v>19202</v>
      </c>
    </row>
    <row r="2030" spans="9:13" x14ac:dyDescent="0.25">
      <c r="I2030" t="s">
        <v>6107</v>
      </c>
      <c r="J2030" s="161" t="s">
        <v>19202</v>
      </c>
      <c r="K2030" t="s">
        <v>19203</v>
      </c>
      <c r="L2030" t="s">
        <v>6106</v>
      </c>
      <c r="M2030" s="161" t="s">
        <v>19202</v>
      </c>
    </row>
    <row r="2031" spans="9:13" x14ac:dyDescent="0.25">
      <c r="I2031" t="s">
        <v>6105</v>
      </c>
      <c r="J2031" s="161" t="s">
        <v>19202</v>
      </c>
      <c r="K2031" t="s">
        <v>19203</v>
      </c>
      <c r="L2031" t="s">
        <v>6104</v>
      </c>
      <c r="M2031" s="161" t="s">
        <v>19202</v>
      </c>
    </row>
    <row r="2032" spans="9:13" x14ac:dyDescent="0.25">
      <c r="I2032" t="s">
        <v>10494</v>
      </c>
      <c r="J2032" s="161" t="s">
        <v>19202</v>
      </c>
      <c r="K2032" t="s">
        <v>19203</v>
      </c>
      <c r="L2032" t="s">
        <v>10493</v>
      </c>
      <c r="M2032" s="161" t="s">
        <v>19202</v>
      </c>
    </row>
    <row r="2033" spans="9:13" x14ac:dyDescent="0.25">
      <c r="I2033" t="s">
        <v>10492</v>
      </c>
      <c r="J2033" s="161" t="s">
        <v>19202</v>
      </c>
      <c r="K2033" t="s">
        <v>19203</v>
      </c>
      <c r="L2033" t="s">
        <v>10491</v>
      </c>
      <c r="M2033" s="161" t="s">
        <v>19202</v>
      </c>
    </row>
    <row r="2034" spans="9:13" x14ac:dyDescent="0.25">
      <c r="I2034" t="s">
        <v>3463</v>
      </c>
      <c r="J2034" s="161" t="s">
        <v>19202</v>
      </c>
      <c r="K2034" t="s">
        <v>19203</v>
      </c>
      <c r="L2034" t="s">
        <v>685</v>
      </c>
      <c r="M2034" s="161" t="s">
        <v>19202</v>
      </c>
    </row>
    <row r="2035" spans="9:13" x14ac:dyDescent="0.25">
      <c r="I2035" t="s">
        <v>13964</v>
      </c>
      <c r="J2035" s="161" t="s">
        <v>19202</v>
      </c>
      <c r="K2035" t="s">
        <v>19203</v>
      </c>
      <c r="L2035" t="s">
        <v>13963</v>
      </c>
      <c r="M2035" s="161" t="s">
        <v>19202</v>
      </c>
    </row>
    <row r="2036" spans="9:13" x14ac:dyDescent="0.25">
      <c r="I2036" t="s">
        <v>8800</v>
      </c>
      <c r="J2036" s="161" t="s">
        <v>19202</v>
      </c>
      <c r="K2036" t="s">
        <v>19203</v>
      </c>
      <c r="L2036" t="s">
        <v>8799</v>
      </c>
      <c r="M2036" s="161" t="s">
        <v>19202</v>
      </c>
    </row>
    <row r="2037" spans="9:13" x14ac:dyDescent="0.25">
      <c r="I2037" t="s">
        <v>9910</v>
      </c>
      <c r="J2037" s="161" t="s">
        <v>19202</v>
      </c>
      <c r="K2037" t="s">
        <v>19203</v>
      </c>
      <c r="L2037" t="s">
        <v>9909</v>
      </c>
      <c r="M2037" s="161" t="s">
        <v>19202</v>
      </c>
    </row>
    <row r="2038" spans="9:13" x14ac:dyDescent="0.25">
      <c r="I2038" t="s">
        <v>3913</v>
      </c>
      <c r="J2038" s="161" t="s">
        <v>19202</v>
      </c>
      <c r="K2038" t="s">
        <v>19203</v>
      </c>
      <c r="L2038" t="s">
        <v>3896</v>
      </c>
      <c r="M2038" s="161" t="s">
        <v>19202</v>
      </c>
    </row>
    <row r="2039" spans="9:13" x14ac:dyDescent="0.25">
      <c r="I2039" t="s">
        <v>10387</v>
      </c>
      <c r="J2039" s="161" t="s">
        <v>19202</v>
      </c>
      <c r="K2039" t="s">
        <v>19203</v>
      </c>
      <c r="L2039" t="s">
        <v>10386</v>
      </c>
      <c r="M2039" s="161" t="s">
        <v>19202</v>
      </c>
    </row>
    <row r="2040" spans="9:13" x14ac:dyDescent="0.25">
      <c r="I2040" t="s">
        <v>10552</v>
      </c>
      <c r="J2040" s="161" t="s">
        <v>19202</v>
      </c>
      <c r="K2040" t="s">
        <v>19203</v>
      </c>
      <c r="L2040" t="s">
        <v>3564</v>
      </c>
      <c r="M2040" s="161" t="s">
        <v>19202</v>
      </c>
    </row>
    <row r="2041" spans="9:13" x14ac:dyDescent="0.25">
      <c r="I2041" t="s">
        <v>19478</v>
      </c>
      <c r="J2041" s="161" t="s">
        <v>19202</v>
      </c>
      <c r="K2041" t="s">
        <v>19203</v>
      </c>
      <c r="L2041" t="s">
        <v>19479</v>
      </c>
      <c r="M2041" s="161" t="s">
        <v>19202</v>
      </c>
    </row>
    <row r="2042" spans="9:13" x14ac:dyDescent="0.25">
      <c r="I2042" t="s">
        <v>16986</v>
      </c>
      <c r="J2042" s="161" t="s">
        <v>19202</v>
      </c>
      <c r="K2042" t="s">
        <v>19203</v>
      </c>
      <c r="L2042" t="s">
        <v>16985</v>
      </c>
      <c r="M2042" s="161" t="s">
        <v>19202</v>
      </c>
    </row>
    <row r="2043" spans="9:13" x14ac:dyDescent="0.25">
      <c r="I2043" t="s">
        <v>19480</v>
      </c>
      <c r="J2043" s="161" t="s">
        <v>19202</v>
      </c>
      <c r="K2043" t="s">
        <v>19203</v>
      </c>
      <c r="L2043" t="s">
        <v>19481</v>
      </c>
      <c r="M2043" s="161" t="s">
        <v>19202</v>
      </c>
    </row>
    <row r="2044" spans="9:13" x14ac:dyDescent="0.25">
      <c r="I2044" t="s">
        <v>3631</v>
      </c>
      <c r="J2044" s="161" t="s">
        <v>19202</v>
      </c>
      <c r="K2044" t="s">
        <v>19203</v>
      </c>
      <c r="L2044" t="s">
        <v>3630</v>
      </c>
      <c r="M2044" s="161" t="s">
        <v>19202</v>
      </c>
    </row>
    <row r="2045" spans="9:13" x14ac:dyDescent="0.25">
      <c r="I2045" t="s">
        <v>15579</v>
      </c>
      <c r="J2045" s="161" t="s">
        <v>19202</v>
      </c>
      <c r="K2045" t="s">
        <v>19203</v>
      </c>
      <c r="L2045" t="s">
        <v>538</v>
      </c>
      <c r="M2045" s="161" t="s">
        <v>19202</v>
      </c>
    </row>
    <row r="2046" spans="9:13" x14ac:dyDescent="0.25">
      <c r="I2046" t="s">
        <v>7487</v>
      </c>
      <c r="J2046" s="161" t="s">
        <v>19202</v>
      </c>
      <c r="K2046" t="s">
        <v>19203</v>
      </c>
      <c r="L2046" t="s">
        <v>7486</v>
      </c>
      <c r="M2046" s="161" t="s">
        <v>19202</v>
      </c>
    </row>
    <row r="2047" spans="9:13" x14ac:dyDescent="0.25">
      <c r="I2047" t="s">
        <v>13063</v>
      </c>
      <c r="J2047" s="161" t="s">
        <v>19202</v>
      </c>
      <c r="K2047" t="s">
        <v>19203</v>
      </c>
      <c r="L2047" t="s">
        <v>1736</v>
      </c>
      <c r="M2047" s="161" t="s">
        <v>19202</v>
      </c>
    </row>
    <row r="2048" spans="9:13" x14ac:dyDescent="0.25">
      <c r="I2048" t="s">
        <v>15533</v>
      </c>
      <c r="J2048" s="161" t="s">
        <v>19202</v>
      </c>
      <c r="K2048" t="s">
        <v>19203</v>
      </c>
      <c r="L2048" t="s">
        <v>181</v>
      </c>
      <c r="M2048" s="161" t="s">
        <v>19202</v>
      </c>
    </row>
    <row r="2049" spans="9:13" x14ac:dyDescent="0.25">
      <c r="I2049" t="s">
        <v>16109</v>
      </c>
      <c r="J2049" s="161" t="s">
        <v>19202</v>
      </c>
      <c r="K2049" t="s">
        <v>19203</v>
      </c>
      <c r="L2049" t="s">
        <v>16108</v>
      </c>
      <c r="M2049" s="161" t="s">
        <v>19202</v>
      </c>
    </row>
    <row r="2050" spans="9:13" x14ac:dyDescent="0.25">
      <c r="I2050" t="s">
        <v>3265</v>
      </c>
      <c r="J2050" s="161" t="s">
        <v>19202</v>
      </c>
      <c r="K2050" t="s">
        <v>19203</v>
      </c>
      <c r="L2050" t="s">
        <v>3264</v>
      </c>
      <c r="M2050" s="161" t="s">
        <v>19202</v>
      </c>
    </row>
    <row r="2051" spans="9:13" x14ac:dyDescent="0.25">
      <c r="I2051" t="s">
        <v>7819</v>
      </c>
      <c r="J2051" s="161" t="s">
        <v>19202</v>
      </c>
      <c r="K2051" t="s">
        <v>19203</v>
      </c>
      <c r="L2051" t="s">
        <v>7818</v>
      </c>
      <c r="M2051" s="161" t="s">
        <v>19202</v>
      </c>
    </row>
    <row r="2052" spans="9:13" x14ac:dyDescent="0.25">
      <c r="I2052" t="s">
        <v>5509</v>
      </c>
      <c r="J2052" s="161" t="s">
        <v>19202</v>
      </c>
      <c r="K2052" t="s">
        <v>19203</v>
      </c>
      <c r="L2052" t="s">
        <v>2688</v>
      </c>
      <c r="M2052" s="161" t="s">
        <v>19202</v>
      </c>
    </row>
    <row r="2053" spans="9:13" x14ac:dyDescent="0.25">
      <c r="I2053" t="s">
        <v>334</v>
      </c>
      <c r="J2053" s="161" t="s">
        <v>19202</v>
      </c>
      <c r="K2053" t="s">
        <v>19203</v>
      </c>
      <c r="L2053" t="s">
        <v>333</v>
      </c>
      <c r="M2053" s="161" t="s">
        <v>19202</v>
      </c>
    </row>
    <row r="2054" spans="9:13" x14ac:dyDescent="0.25">
      <c r="I2054" t="s">
        <v>3644</v>
      </c>
      <c r="J2054" s="161" t="s">
        <v>19202</v>
      </c>
      <c r="K2054" t="s">
        <v>19203</v>
      </c>
      <c r="L2054" t="s">
        <v>3643</v>
      </c>
      <c r="M2054" s="161" t="s">
        <v>19202</v>
      </c>
    </row>
    <row r="2055" spans="9:13" x14ac:dyDescent="0.25">
      <c r="I2055" t="s">
        <v>4062</v>
      </c>
      <c r="J2055" s="161" t="s">
        <v>19202</v>
      </c>
      <c r="K2055" t="s">
        <v>19203</v>
      </c>
      <c r="L2055" t="s">
        <v>405</v>
      </c>
      <c r="M2055" s="161" t="s">
        <v>19202</v>
      </c>
    </row>
    <row r="2056" spans="9:13" x14ac:dyDescent="0.25">
      <c r="I2056" t="s">
        <v>3513</v>
      </c>
      <c r="J2056" s="161" t="s">
        <v>19202</v>
      </c>
      <c r="K2056" t="s">
        <v>19203</v>
      </c>
      <c r="L2056" t="s">
        <v>3512</v>
      </c>
      <c r="M2056" s="161" t="s">
        <v>19202</v>
      </c>
    </row>
    <row r="2057" spans="9:13" x14ac:dyDescent="0.25">
      <c r="I2057" t="s">
        <v>13389</v>
      </c>
      <c r="J2057" s="161" t="s">
        <v>19202</v>
      </c>
      <c r="K2057" t="s">
        <v>19203</v>
      </c>
      <c r="L2057" t="s">
        <v>13388</v>
      </c>
      <c r="M2057" s="161" t="s">
        <v>19202</v>
      </c>
    </row>
    <row r="2058" spans="9:13" x14ac:dyDescent="0.25">
      <c r="I2058" t="s">
        <v>13214</v>
      </c>
      <c r="J2058" s="161" t="s">
        <v>19202</v>
      </c>
      <c r="K2058" t="s">
        <v>19203</v>
      </c>
      <c r="L2058" t="s">
        <v>758</v>
      </c>
      <c r="M2058" s="161" t="s">
        <v>19202</v>
      </c>
    </row>
    <row r="2059" spans="9:13" x14ac:dyDescent="0.25">
      <c r="I2059" t="s">
        <v>10281</v>
      </c>
      <c r="J2059" s="161" t="s">
        <v>19202</v>
      </c>
      <c r="K2059" t="s">
        <v>19203</v>
      </c>
      <c r="L2059" t="s">
        <v>10280</v>
      </c>
      <c r="M2059" s="161" t="s">
        <v>19202</v>
      </c>
    </row>
    <row r="2060" spans="9:13" x14ac:dyDescent="0.25">
      <c r="I2060" t="s">
        <v>5036</v>
      </c>
      <c r="J2060" s="161" t="s">
        <v>19202</v>
      </c>
      <c r="K2060" t="s">
        <v>19203</v>
      </c>
      <c r="L2060" t="s">
        <v>5035</v>
      </c>
      <c r="M2060" s="161" t="s">
        <v>19202</v>
      </c>
    </row>
    <row r="2061" spans="9:13" x14ac:dyDescent="0.25">
      <c r="I2061" t="s">
        <v>12178</v>
      </c>
      <c r="J2061" s="161" t="s">
        <v>19202</v>
      </c>
      <c r="K2061" t="s">
        <v>19203</v>
      </c>
      <c r="L2061" t="s">
        <v>12177</v>
      </c>
      <c r="M2061" s="161" t="s">
        <v>19202</v>
      </c>
    </row>
    <row r="2062" spans="9:13" x14ac:dyDescent="0.25">
      <c r="I2062" t="s">
        <v>8530</v>
      </c>
      <c r="J2062" s="161" t="s">
        <v>19202</v>
      </c>
      <c r="K2062" t="s">
        <v>19203</v>
      </c>
      <c r="L2062" t="s">
        <v>8529</v>
      </c>
      <c r="M2062" s="161" t="s">
        <v>19202</v>
      </c>
    </row>
    <row r="2063" spans="9:13" x14ac:dyDescent="0.25">
      <c r="I2063" t="s">
        <v>8146</v>
      </c>
      <c r="J2063" s="161" t="s">
        <v>19202</v>
      </c>
      <c r="K2063" t="s">
        <v>19203</v>
      </c>
      <c r="L2063" t="s">
        <v>8145</v>
      </c>
      <c r="M2063" s="161" t="s">
        <v>19202</v>
      </c>
    </row>
    <row r="2064" spans="9:13" x14ac:dyDescent="0.25">
      <c r="I2064" t="s">
        <v>8676</v>
      </c>
      <c r="J2064" s="161" t="s">
        <v>19202</v>
      </c>
      <c r="K2064" t="s">
        <v>19203</v>
      </c>
      <c r="L2064" t="s">
        <v>8675</v>
      </c>
      <c r="M2064" s="161" t="s">
        <v>19202</v>
      </c>
    </row>
    <row r="2065" spans="9:13" x14ac:dyDescent="0.25">
      <c r="I2065" t="s">
        <v>10452</v>
      </c>
      <c r="J2065" s="161" t="s">
        <v>19202</v>
      </c>
      <c r="K2065" t="s">
        <v>19203</v>
      </c>
      <c r="L2065" t="s">
        <v>10451</v>
      </c>
      <c r="M2065" s="161" t="s">
        <v>19202</v>
      </c>
    </row>
    <row r="2066" spans="9:13" x14ac:dyDescent="0.25">
      <c r="I2066" t="s">
        <v>14057</v>
      </c>
      <c r="J2066" s="161" t="s">
        <v>19202</v>
      </c>
      <c r="K2066" t="s">
        <v>19203</v>
      </c>
      <c r="L2066" t="s">
        <v>14056</v>
      </c>
      <c r="M2066" s="161" t="s">
        <v>19202</v>
      </c>
    </row>
    <row r="2067" spans="9:13" x14ac:dyDescent="0.25">
      <c r="I2067" t="s">
        <v>19482</v>
      </c>
      <c r="J2067" s="161" t="s">
        <v>19202</v>
      </c>
      <c r="K2067" t="s">
        <v>19203</v>
      </c>
      <c r="L2067" t="s">
        <v>19483</v>
      </c>
      <c r="M2067" s="161" t="s">
        <v>19202</v>
      </c>
    </row>
    <row r="2068" spans="9:13" x14ac:dyDescent="0.25">
      <c r="I2068" t="s">
        <v>16391</v>
      </c>
      <c r="J2068" s="161" t="s">
        <v>19202</v>
      </c>
      <c r="K2068" t="s">
        <v>19203</v>
      </c>
      <c r="L2068" t="s">
        <v>1690</v>
      </c>
      <c r="M2068" s="161" t="s">
        <v>19202</v>
      </c>
    </row>
    <row r="2069" spans="9:13" x14ac:dyDescent="0.25">
      <c r="I2069" t="s">
        <v>8225</v>
      </c>
      <c r="J2069" s="161" t="s">
        <v>19202</v>
      </c>
      <c r="K2069" t="s">
        <v>19203</v>
      </c>
      <c r="L2069" t="s">
        <v>8224</v>
      </c>
      <c r="M2069" s="161" t="s">
        <v>19202</v>
      </c>
    </row>
    <row r="2070" spans="9:13" x14ac:dyDescent="0.25">
      <c r="I2070" t="s">
        <v>19484</v>
      </c>
      <c r="J2070" s="161" t="s">
        <v>19202</v>
      </c>
      <c r="K2070" t="s">
        <v>19203</v>
      </c>
      <c r="L2070" t="s">
        <v>19485</v>
      </c>
      <c r="M2070" s="161" t="s">
        <v>19202</v>
      </c>
    </row>
    <row r="2071" spans="9:13" x14ac:dyDescent="0.25">
      <c r="I2071" t="s">
        <v>11993</v>
      </c>
      <c r="J2071" s="161" t="s">
        <v>19202</v>
      </c>
      <c r="K2071" t="s">
        <v>19203</v>
      </c>
      <c r="L2071" t="s">
        <v>11992</v>
      </c>
      <c r="M2071" s="161" t="s">
        <v>19202</v>
      </c>
    </row>
    <row r="2072" spans="9:13" x14ac:dyDescent="0.25">
      <c r="I2072" t="s">
        <v>9802</v>
      </c>
      <c r="J2072" s="161" t="s">
        <v>19202</v>
      </c>
      <c r="K2072" t="s">
        <v>19203</v>
      </c>
      <c r="L2072" t="s">
        <v>9801</v>
      </c>
      <c r="M2072" s="161" t="s">
        <v>19202</v>
      </c>
    </row>
    <row r="2073" spans="9:13" x14ac:dyDescent="0.25">
      <c r="I2073" t="s">
        <v>13960</v>
      </c>
      <c r="J2073" s="161" t="s">
        <v>19202</v>
      </c>
      <c r="K2073" t="s">
        <v>19203</v>
      </c>
      <c r="L2073" t="s">
        <v>13959</v>
      </c>
      <c r="M2073" s="161" t="s">
        <v>19202</v>
      </c>
    </row>
    <row r="2074" spans="9:13" x14ac:dyDescent="0.25">
      <c r="I2074" t="s">
        <v>16398</v>
      </c>
      <c r="J2074" s="161" t="s">
        <v>19202</v>
      </c>
      <c r="K2074" t="s">
        <v>19203</v>
      </c>
      <c r="L2074" t="s">
        <v>16397</v>
      </c>
      <c r="M2074" s="161" t="s">
        <v>19202</v>
      </c>
    </row>
    <row r="2075" spans="9:13" x14ac:dyDescent="0.25">
      <c r="I2075" t="s">
        <v>4370</v>
      </c>
      <c r="J2075" s="161" t="s">
        <v>19202</v>
      </c>
      <c r="K2075" t="s">
        <v>19203</v>
      </c>
      <c r="L2075" t="s">
        <v>4369</v>
      </c>
      <c r="M2075" s="161" t="s">
        <v>19202</v>
      </c>
    </row>
    <row r="2076" spans="9:13" x14ac:dyDescent="0.25">
      <c r="I2076" t="s">
        <v>19486</v>
      </c>
      <c r="J2076" s="161" t="s">
        <v>19202</v>
      </c>
      <c r="K2076" t="s">
        <v>19203</v>
      </c>
      <c r="L2076" t="s">
        <v>19487</v>
      </c>
      <c r="M2076" s="161" t="s">
        <v>19202</v>
      </c>
    </row>
    <row r="2077" spans="9:13" x14ac:dyDescent="0.25">
      <c r="I2077" t="s">
        <v>12557</v>
      </c>
      <c r="J2077" s="161" t="s">
        <v>19202</v>
      </c>
      <c r="K2077" t="s">
        <v>19203</v>
      </c>
      <c r="L2077" t="s">
        <v>12556</v>
      </c>
      <c r="M2077" s="161" t="s">
        <v>19202</v>
      </c>
    </row>
    <row r="2078" spans="9:13" x14ac:dyDescent="0.25">
      <c r="I2078" t="s">
        <v>12500</v>
      </c>
      <c r="J2078" s="161" t="s">
        <v>19202</v>
      </c>
      <c r="K2078" t="s">
        <v>19203</v>
      </c>
      <c r="L2078" t="s">
        <v>12499</v>
      </c>
      <c r="M2078" s="161" t="s">
        <v>19202</v>
      </c>
    </row>
    <row r="2079" spans="9:13" x14ac:dyDescent="0.25">
      <c r="I2079" t="s">
        <v>12421</v>
      </c>
      <c r="J2079" s="161" t="s">
        <v>19202</v>
      </c>
      <c r="K2079" t="s">
        <v>19203</v>
      </c>
      <c r="L2079" t="s">
        <v>12420</v>
      </c>
      <c r="M2079" s="161" t="s">
        <v>19202</v>
      </c>
    </row>
    <row r="2080" spans="9:13" x14ac:dyDescent="0.25">
      <c r="I2080" t="s">
        <v>12497</v>
      </c>
      <c r="J2080" s="161" t="s">
        <v>19202</v>
      </c>
      <c r="K2080" t="s">
        <v>19203</v>
      </c>
      <c r="L2080" t="s">
        <v>12496</v>
      </c>
      <c r="M2080" s="161" t="s">
        <v>19202</v>
      </c>
    </row>
    <row r="2081" spans="9:13" x14ac:dyDescent="0.25">
      <c r="I2081" t="s">
        <v>12235</v>
      </c>
      <c r="J2081" s="161" t="s">
        <v>19202</v>
      </c>
      <c r="K2081" t="s">
        <v>19203</v>
      </c>
      <c r="L2081" t="s">
        <v>12234</v>
      </c>
      <c r="M2081" s="161" t="s">
        <v>19202</v>
      </c>
    </row>
    <row r="2082" spans="9:13" x14ac:dyDescent="0.25">
      <c r="I2082" t="s">
        <v>12544</v>
      </c>
      <c r="J2082" s="161" t="s">
        <v>19202</v>
      </c>
      <c r="K2082" t="s">
        <v>19203</v>
      </c>
      <c r="L2082" t="s">
        <v>12543</v>
      </c>
      <c r="M2082" s="161" t="s">
        <v>19202</v>
      </c>
    </row>
    <row r="2083" spans="9:13" x14ac:dyDescent="0.25">
      <c r="I2083" t="s">
        <v>12298</v>
      </c>
      <c r="J2083" s="161" t="s">
        <v>19202</v>
      </c>
      <c r="K2083" t="s">
        <v>19203</v>
      </c>
      <c r="L2083" t="s">
        <v>12297</v>
      </c>
      <c r="M2083" s="161" t="s">
        <v>19202</v>
      </c>
    </row>
    <row r="2084" spans="9:13" x14ac:dyDescent="0.25">
      <c r="I2084" t="s">
        <v>12330</v>
      </c>
      <c r="J2084" s="161" t="s">
        <v>19202</v>
      </c>
      <c r="K2084" t="s">
        <v>19203</v>
      </c>
      <c r="L2084" t="s">
        <v>12329</v>
      </c>
      <c r="M2084" s="161" t="s">
        <v>19202</v>
      </c>
    </row>
    <row r="2085" spans="9:13" x14ac:dyDescent="0.25">
      <c r="I2085" t="s">
        <v>12229</v>
      </c>
      <c r="J2085" s="161" t="s">
        <v>19202</v>
      </c>
      <c r="K2085" t="s">
        <v>19203</v>
      </c>
      <c r="L2085" t="s">
        <v>5370</v>
      </c>
      <c r="M2085" s="161" t="s">
        <v>19202</v>
      </c>
    </row>
    <row r="2086" spans="9:13" x14ac:dyDescent="0.25">
      <c r="I2086" t="s">
        <v>12292</v>
      </c>
      <c r="J2086" s="161" t="s">
        <v>19202</v>
      </c>
      <c r="K2086" t="s">
        <v>19203</v>
      </c>
      <c r="L2086" t="s">
        <v>12291</v>
      </c>
      <c r="M2086" s="161" t="s">
        <v>19202</v>
      </c>
    </row>
    <row r="2087" spans="9:13" x14ac:dyDescent="0.25">
      <c r="I2087" t="s">
        <v>12289</v>
      </c>
      <c r="J2087" s="161" t="s">
        <v>19202</v>
      </c>
      <c r="K2087" t="s">
        <v>19203</v>
      </c>
      <c r="L2087" t="s">
        <v>12288</v>
      </c>
      <c r="M2087" s="161" t="s">
        <v>19202</v>
      </c>
    </row>
    <row r="2088" spans="9:13" x14ac:dyDescent="0.25">
      <c r="I2088" t="s">
        <v>12287</v>
      </c>
      <c r="J2088" s="161" t="s">
        <v>19202</v>
      </c>
      <c r="K2088" t="s">
        <v>19203</v>
      </c>
      <c r="L2088" t="s">
        <v>12286</v>
      </c>
      <c r="M2088" s="161" t="s">
        <v>19202</v>
      </c>
    </row>
    <row r="2089" spans="9:13" x14ac:dyDescent="0.25">
      <c r="I2089" t="s">
        <v>12285</v>
      </c>
      <c r="J2089" s="161" t="s">
        <v>19202</v>
      </c>
      <c r="K2089" t="s">
        <v>19203</v>
      </c>
      <c r="L2089" t="s">
        <v>12284</v>
      </c>
      <c r="M2089" s="161" t="s">
        <v>19202</v>
      </c>
    </row>
    <row r="2090" spans="9:13" x14ac:dyDescent="0.25">
      <c r="I2090" t="s">
        <v>11807</v>
      </c>
      <c r="J2090" s="161" t="s">
        <v>19202</v>
      </c>
      <c r="K2090" t="s">
        <v>19203</v>
      </c>
      <c r="L2090" t="s">
        <v>11806</v>
      </c>
      <c r="M2090" s="161" t="s">
        <v>19202</v>
      </c>
    </row>
    <row r="2091" spans="9:13" x14ac:dyDescent="0.25">
      <c r="I2091" t="s">
        <v>12282</v>
      </c>
      <c r="J2091" s="161" t="s">
        <v>19202</v>
      </c>
      <c r="K2091" t="s">
        <v>19203</v>
      </c>
      <c r="L2091" t="s">
        <v>12281</v>
      </c>
      <c r="M2091" s="161" t="s">
        <v>19202</v>
      </c>
    </row>
    <row r="2092" spans="9:13" x14ac:dyDescent="0.25">
      <c r="I2092" t="s">
        <v>12228</v>
      </c>
      <c r="J2092" s="161" t="s">
        <v>19202</v>
      </c>
      <c r="K2092" t="s">
        <v>19203</v>
      </c>
      <c r="L2092" t="s">
        <v>12227</v>
      </c>
      <c r="M2092" s="161" t="s">
        <v>19202</v>
      </c>
    </row>
    <row r="2093" spans="9:13" x14ac:dyDescent="0.25">
      <c r="I2093" t="s">
        <v>12274</v>
      </c>
      <c r="J2093" s="161" t="s">
        <v>19202</v>
      </c>
      <c r="K2093" t="s">
        <v>19203</v>
      </c>
      <c r="L2093" t="s">
        <v>12273</v>
      </c>
      <c r="M2093" s="161" t="s">
        <v>19202</v>
      </c>
    </row>
    <row r="2094" spans="9:13" x14ac:dyDescent="0.25">
      <c r="I2094" t="s">
        <v>12079</v>
      </c>
      <c r="J2094" s="161" t="s">
        <v>19202</v>
      </c>
      <c r="K2094" t="s">
        <v>19203</v>
      </c>
      <c r="L2094" t="s">
        <v>12078</v>
      </c>
      <c r="M2094" s="161" t="s">
        <v>19202</v>
      </c>
    </row>
    <row r="2095" spans="9:13" x14ac:dyDescent="0.25">
      <c r="I2095" t="s">
        <v>12542</v>
      </c>
      <c r="J2095" s="161" t="s">
        <v>19202</v>
      </c>
      <c r="K2095" t="s">
        <v>19203</v>
      </c>
      <c r="L2095" t="s">
        <v>12541</v>
      </c>
      <c r="M2095" s="161" t="s">
        <v>19202</v>
      </c>
    </row>
    <row r="2096" spans="9:13" x14ac:dyDescent="0.25">
      <c r="I2096" t="s">
        <v>12076</v>
      </c>
      <c r="J2096" s="161" t="s">
        <v>19202</v>
      </c>
      <c r="K2096" t="s">
        <v>19203</v>
      </c>
      <c r="L2096" t="s">
        <v>12075</v>
      </c>
      <c r="M2096" s="161" t="s">
        <v>19202</v>
      </c>
    </row>
    <row r="2097" spans="9:13" x14ac:dyDescent="0.25">
      <c r="I2097" t="s">
        <v>12073</v>
      </c>
      <c r="J2097" s="161" t="s">
        <v>19202</v>
      </c>
      <c r="K2097" t="s">
        <v>19203</v>
      </c>
      <c r="L2097" t="s">
        <v>12072</v>
      </c>
      <c r="M2097" s="161" t="s">
        <v>19202</v>
      </c>
    </row>
    <row r="2098" spans="9:13" x14ac:dyDescent="0.25">
      <c r="I2098" t="s">
        <v>12184</v>
      </c>
      <c r="J2098" s="161" t="s">
        <v>19202</v>
      </c>
      <c r="K2098" t="s">
        <v>19203</v>
      </c>
      <c r="L2098" t="s">
        <v>12183</v>
      </c>
      <c r="M2098" s="161" t="s">
        <v>19202</v>
      </c>
    </row>
    <row r="2099" spans="9:13" x14ac:dyDescent="0.25">
      <c r="I2099" t="s">
        <v>12540</v>
      </c>
      <c r="J2099" s="161" t="s">
        <v>19202</v>
      </c>
      <c r="K2099" t="s">
        <v>19203</v>
      </c>
      <c r="L2099" t="s">
        <v>12539</v>
      </c>
      <c r="M2099" s="161" t="s">
        <v>19202</v>
      </c>
    </row>
    <row r="2100" spans="9:13" x14ac:dyDescent="0.25">
      <c r="I2100" t="s">
        <v>12069</v>
      </c>
      <c r="J2100" s="161" t="s">
        <v>19202</v>
      </c>
      <c r="K2100" t="s">
        <v>19203</v>
      </c>
      <c r="L2100" t="s">
        <v>12068</v>
      </c>
      <c r="M2100" s="161" t="s">
        <v>19202</v>
      </c>
    </row>
    <row r="2101" spans="9:13" x14ac:dyDescent="0.25">
      <c r="I2101" t="s">
        <v>12066</v>
      </c>
      <c r="J2101" s="161" t="s">
        <v>19202</v>
      </c>
      <c r="K2101" t="s">
        <v>19203</v>
      </c>
      <c r="L2101" t="s">
        <v>12065</v>
      </c>
      <c r="M2101" s="161" t="s">
        <v>19202</v>
      </c>
    </row>
    <row r="2102" spans="9:13" x14ac:dyDescent="0.25">
      <c r="I2102" t="s">
        <v>12064</v>
      </c>
      <c r="J2102" s="161" t="s">
        <v>19202</v>
      </c>
      <c r="K2102" t="s">
        <v>19203</v>
      </c>
      <c r="L2102" t="s">
        <v>12063</v>
      </c>
      <c r="M2102" s="161" t="s">
        <v>19202</v>
      </c>
    </row>
    <row r="2103" spans="9:13" x14ac:dyDescent="0.25">
      <c r="I2103" t="s">
        <v>12418</v>
      </c>
      <c r="J2103" s="161" t="s">
        <v>19202</v>
      </c>
      <c r="K2103" t="s">
        <v>19203</v>
      </c>
      <c r="L2103" t="s">
        <v>12417</v>
      </c>
      <c r="M2103" s="161" t="s">
        <v>19202</v>
      </c>
    </row>
    <row r="2104" spans="9:13" x14ac:dyDescent="0.25">
      <c r="I2104" t="s">
        <v>12061</v>
      </c>
      <c r="J2104" s="161" t="s">
        <v>19202</v>
      </c>
      <c r="K2104" t="s">
        <v>19203</v>
      </c>
      <c r="L2104" t="s">
        <v>12060</v>
      </c>
      <c r="M2104" s="161" t="s">
        <v>19202</v>
      </c>
    </row>
    <row r="2105" spans="9:13" x14ac:dyDescent="0.25">
      <c r="I2105" t="s">
        <v>12272</v>
      </c>
      <c r="J2105" s="161" t="s">
        <v>19202</v>
      </c>
      <c r="K2105" t="s">
        <v>19203</v>
      </c>
      <c r="L2105" t="s">
        <v>12271</v>
      </c>
      <c r="M2105" s="161" t="s">
        <v>19202</v>
      </c>
    </row>
    <row r="2106" spans="9:13" x14ac:dyDescent="0.25">
      <c r="I2106" t="s">
        <v>12269</v>
      </c>
      <c r="J2106" s="161" t="s">
        <v>19202</v>
      </c>
      <c r="K2106" t="s">
        <v>19203</v>
      </c>
      <c r="L2106" t="s">
        <v>12268</v>
      </c>
      <c r="M2106" s="161" t="s">
        <v>19202</v>
      </c>
    </row>
    <row r="2107" spans="9:13" x14ac:dyDescent="0.25">
      <c r="I2107" t="s">
        <v>12058</v>
      </c>
      <c r="J2107" s="161" t="s">
        <v>19202</v>
      </c>
      <c r="K2107" t="s">
        <v>19203</v>
      </c>
      <c r="L2107" t="s">
        <v>12057</v>
      </c>
      <c r="M2107" s="161" t="s">
        <v>19202</v>
      </c>
    </row>
    <row r="2108" spans="9:13" x14ac:dyDescent="0.25">
      <c r="I2108" t="s">
        <v>12536</v>
      </c>
      <c r="J2108" s="161" t="s">
        <v>19202</v>
      </c>
      <c r="K2108" t="s">
        <v>19203</v>
      </c>
      <c r="L2108" t="s">
        <v>12535</v>
      </c>
      <c r="M2108" s="161" t="s">
        <v>19202</v>
      </c>
    </row>
    <row r="2109" spans="9:13" x14ac:dyDescent="0.25">
      <c r="I2109" t="s">
        <v>19488</v>
      </c>
      <c r="J2109" s="161" t="s">
        <v>19202</v>
      </c>
      <c r="K2109" t="s">
        <v>19203</v>
      </c>
      <c r="L2109" t="s">
        <v>19489</v>
      </c>
      <c r="M2109" s="161" t="s">
        <v>19202</v>
      </c>
    </row>
    <row r="2110" spans="9:13" x14ac:dyDescent="0.25">
      <c r="I2110" t="s">
        <v>12534</v>
      </c>
      <c r="J2110" s="161" t="s">
        <v>19202</v>
      </c>
      <c r="K2110" t="s">
        <v>19203</v>
      </c>
      <c r="L2110" t="s">
        <v>12533</v>
      </c>
      <c r="M2110" s="161" t="s">
        <v>19202</v>
      </c>
    </row>
    <row r="2111" spans="9:13" x14ac:dyDescent="0.25">
      <c r="I2111" t="s">
        <v>12225</v>
      </c>
      <c r="J2111" s="161" t="s">
        <v>19202</v>
      </c>
      <c r="K2111" t="s">
        <v>19203</v>
      </c>
      <c r="L2111" t="s">
        <v>12224</v>
      </c>
      <c r="M2111" s="161" t="s">
        <v>19202</v>
      </c>
    </row>
    <row r="2112" spans="9:13" x14ac:dyDescent="0.25">
      <c r="I2112" t="s">
        <v>12394</v>
      </c>
      <c r="J2112" s="161" t="s">
        <v>19202</v>
      </c>
      <c r="K2112" t="s">
        <v>19203</v>
      </c>
      <c r="L2112" t="s">
        <v>12393</v>
      </c>
      <c r="M2112" s="161" t="s">
        <v>19202</v>
      </c>
    </row>
    <row r="2113" spans="9:13" x14ac:dyDescent="0.25">
      <c r="I2113" t="s">
        <v>12326</v>
      </c>
      <c r="J2113" s="161" t="s">
        <v>19202</v>
      </c>
      <c r="K2113" t="s">
        <v>19203</v>
      </c>
      <c r="L2113" t="s">
        <v>12325</v>
      </c>
      <c r="M2113" s="161" t="s">
        <v>19202</v>
      </c>
    </row>
    <row r="2114" spans="9:13" x14ac:dyDescent="0.25">
      <c r="I2114" t="s">
        <v>12103</v>
      </c>
      <c r="J2114" s="161" t="s">
        <v>19202</v>
      </c>
      <c r="K2114" t="s">
        <v>19203</v>
      </c>
      <c r="L2114" t="s">
        <v>12102</v>
      </c>
      <c r="M2114" s="161" t="s">
        <v>19202</v>
      </c>
    </row>
    <row r="2115" spans="9:13" x14ac:dyDescent="0.25">
      <c r="I2115" t="s">
        <v>19490</v>
      </c>
      <c r="J2115" s="161" t="s">
        <v>19202</v>
      </c>
      <c r="K2115" t="s">
        <v>19203</v>
      </c>
      <c r="L2115" t="s">
        <v>19491</v>
      </c>
      <c r="M2115" s="161" t="s">
        <v>19202</v>
      </c>
    </row>
    <row r="2116" spans="9:13" x14ac:dyDescent="0.25">
      <c r="I2116" t="s">
        <v>12893</v>
      </c>
      <c r="J2116" s="161" t="s">
        <v>19202</v>
      </c>
      <c r="K2116" t="s">
        <v>19203</v>
      </c>
      <c r="L2116" t="s">
        <v>12892</v>
      </c>
      <c r="M2116" s="161" t="s">
        <v>19202</v>
      </c>
    </row>
    <row r="2117" spans="9:13" x14ac:dyDescent="0.25">
      <c r="I2117" t="s">
        <v>13171</v>
      </c>
      <c r="J2117" s="161" t="s">
        <v>19202</v>
      </c>
      <c r="K2117" t="s">
        <v>19203</v>
      </c>
      <c r="L2117" t="s">
        <v>13170</v>
      </c>
      <c r="M2117" s="161" t="s">
        <v>19202</v>
      </c>
    </row>
    <row r="2118" spans="9:13" x14ac:dyDescent="0.25">
      <c r="I2118" t="s">
        <v>16546</v>
      </c>
      <c r="J2118" s="161" t="s">
        <v>19202</v>
      </c>
      <c r="K2118" t="s">
        <v>19203</v>
      </c>
      <c r="L2118" t="s">
        <v>5403</v>
      </c>
      <c r="M2118" s="161" t="s">
        <v>19202</v>
      </c>
    </row>
    <row r="2119" spans="9:13" x14ac:dyDescent="0.25">
      <c r="I2119" t="s">
        <v>10746</v>
      </c>
      <c r="J2119" s="161" t="s">
        <v>19202</v>
      </c>
      <c r="K2119" t="s">
        <v>19203</v>
      </c>
      <c r="L2119" t="s">
        <v>10745</v>
      </c>
      <c r="M2119" s="161" t="s">
        <v>19202</v>
      </c>
    </row>
    <row r="2120" spans="9:13" x14ac:dyDescent="0.25">
      <c r="I2120" t="s">
        <v>12034</v>
      </c>
      <c r="J2120" s="161" t="s">
        <v>19202</v>
      </c>
      <c r="K2120" t="s">
        <v>19203</v>
      </c>
      <c r="L2120" t="s">
        <v>12033</v>
      </c>
      <c r="M2120" s="161" t="s">
        <v>19202</v>
      </c>
    </row>
    <row r="2121" spans="9:13" x14ac:dyDescent="0.25">
      <c r="I2121" t="s">
        <v>12032</v>
      </c>
      <c r="J2121" s="161" t="s">
        <v>19202</v>
      </c>
      <c r="K2121" t="s">
        <v>19203</v>
      </c>
      <c r="L2121" t="s">
        <v>12031</v>
      </c>
      <c r="M2121" s="161" t="s">
        <v>19202</v>
      </c>
    </row>
    <row r="2122" spans="9:13" x14ac:dyDescent="0.25">
      <c r="I2122" t="s">
        <v>12030</v>
      </c>
      <c r="J2122" s="161" t="s">
        <v>19202</v>
      </c>
      <c r="K2122" t="s">
        <v>19203</v>
      </c>
      <c r="L2122" t="s">
        <v>5485</v>
      </c>
      <c r="M2122" s="161" t="s">
        <v>19202</v>
      </c>
    </row>
    <row r="2123" spans="9:13" x14ac:dyDescent="0.25">
      <c r="I2123" t="s">
        <v>12029</v>
      </c>
      <c r="J2123" s="161" t="s">
        <v>19202</v>
      </c>
      <c r="K2123" t="s">
        <v>19203</v>
      </c>
      <c r="L2123" t="s">
        <v>12028</v>
      </c>
      <c r="M2123" s="161" t="s">
        <v>19202</v>
      </c>
    </row>
    <row r="2124" spans="9:13" x14ac:dyDescent="0.25">
      <c r="I2124" t="s">
        <v>12027</v>
      </c>
      <c r="J2124" s="161" t="s">
        <v>19202</v>
      </c>
      <c r="K2124" t="s">
        <v>19203</v>
      </c>
      <c r="L2124" t="s">
        <v>12026</v>
      </c>
      <c r="M2124" s="161" t="s">
        <v>19202</v>
      </c>
    </row>
    <row r="2125" spans="9:13" x14ac:dyDescent="0.25">
      <c r="I2125" t="s">
        <v>12025</v>
      </c>
      <c r="J2125" s="161" t="s">
        <v>19202</v>
      </c>
      <c r="K2125" t="s">
        <v>19203</v>
      </c>
      <c r="L2125" t="s">
        <v>12024</v>
      </c>
      <c r="M2125" s="161" t="s">
        <v>19202</v>
      </c>
    </row>
    <row r="2126" spans="9:13" x14ac:dyDescent="0.25">
      <c r="I2126" t="s">
        <v>12023</v>
      </c>
      <c r="J2126" s="161" t="s">
        <v>19202</v>
      </c>
      <c r="K2126" t="s">
        <v>19203</v>
      </c>
      <c r="L2126" t="s">
        <v>12022</v>
      </c>
      <c r="M2126" s="161" t="s">
        <v>19202</v>
      </c>
    </row>
    <row r="2127" spans="9:13" x14ac:dyDescent="0.25">
      <c r="I2127" t="s">
        <v>12021</v>
      </c>
      <c r="J2127" s="161" t="s">
        <v>19202</v>
      </c>
      <c r="K2127" t="s">
        <v>19203</v>
      </c>
      <c r="L2127" t="s">
        <v>12020</v>
      </c>
      <c r="M2127" s="161" t="s">
        <v>19202</v>
      </c>
    </row>
    <row r="2128" spans="9:13" x14ac:dyDescent="0.25">
      <c r="I2128" t="s">
        <v>12019</v>
      </c>
      <c r="J2128" s="161" t="s">
        <v>19202</v>
      </c>
      <c r="K2128" t="s">
        <v>19203</v>
      </c>
      <c r="L2128" t="s">
        <v>12018</v>
      </c>
      <c r="M2128" s="161" t="s">
        <v>19202</v>
      </c>
    </row>
    <row r="2129" spans="9:13" x14ac:dyDescent="0.25">
      <c r="I2129" t="s">
        <v>9318</v>
      </c>
      <c r="J2129" s="161" t="s">
        <v>19202</v>
      </c>
      <c r="K2129" t="s">
        <v>19203</v>
      </c>
      <c r="L2129" t="s">
        <v>9317</v>
      </c>
      <c r="M2129" s="161" t="s">
        <v>19202</v>
      </c>
    </row>
    <row r="2130" spans="9:13" x14ac:dyDescent="0.25">
      <c r="I2130" t="s">
        <v>14069</v>
      </c>
      <c r="J2130" s="161" t="s">
        <v>19202</v>
      </c>
      <c r="K2130" t="s">
        <v>19203</v>
      </c>
      <c r="L2130" t="s">
        <v>14068</v>
      </c>
      <c r="M2130" s="161" t="s">
        <v>19202</v>
      </c>
    </row>
    <row r="2131" spans="9:13" x14ac:dyDescent="0.25">
      <c r="I2131" t="s">
        <v>19492</v>
      </c>
      <c r="J2131" s="161" t="s">
        <v>19202</v>
      </c>
      <c r="K2131" t="s">
        <v>19203</v>
      </c>
      <c r="L2131" t="s">
        <v>19493</v>
      </c>
      <c r="M2131" s="161" t="s">
        <v>19202</v>
      </c>
    </row>
    <row r="2132" spans="9:13" x14ac:dyDescent="0.25">
      <c r="I2132" t="s">
        <v>19494</v>
      </c>
      <c r="J2132" s="161" t="s">
        <v>19202</v>
      </c>
      <c r="K2132" t="s">
        <v>19203</v>
      </c>
      <c r="L2132" t="s">
        <v>19495</v>
      </c>
      <c r="M2132" s="161" t="s">
        <v>19202</v>
      </c>
    </row>
    <row r="2133" spans="9:13" x14ac:dyDescent="0.25">
      <c r="I2133" t="s">
        <v>17905</v>
      </c>
      <c r="J2133" s="161" t="s">
        <v>19202</v>
      </c>
      <c r="K2133" t="s">
        <v>19203</v>
      </c>
      <c r="L2133" t="s">
        <v>17904</v>
      </c>
      <c r="M2133" s="161" t="s">
        <v>19202</v>
      </c>
    </row>
    <row r="2134" spans="9:13" x14ac:dyDescent="0.25">
      <c r="I2134" t="s">
        <v>5515</v>
      </c>
      <c r="J2134" s="161" t="s">
        <v>19202</v>
      </c>
      <c r="K2134" t="s">
        <v>19203</v>
      </c>
      <c r="L2134" t="s">
        <v>5514</v>
      </c>
      <c r="M2134" s="161" t="s">
        <v>19202</v>
      </c>
    </row>
    <row r="2135" spans="9:13" x14ac:dyDescent="0.25">
      <c r="I2135" t="s">
        <v>1081</v>
      </c>
      <c r="J2135" s="161" t="s">
        <v>19202</v>
      </c>
      <c r="K2135" t="s">
        <v>19203</v>
      </c>
      <c r="L2135" t="s">
        <v>1080</v>
      </c>
      <c r="M2135" s="161" t="s">
        <v>19202</v>
      </c>
    </row>
    <row r="2136" spans="9:13" x14ac:dyDescent="0.25">
      <c r="I2136" t="s">
        <v>10828</v>
      </c>
      <c r="J2136" s="161" t="s">
        <v>19202</v>
      </c>
      <c r="K2136" t="s">
        <v>19203</v>
      </c>
      <c r="L2136" t="s">
        <v>10827</v>
      </c>
      <c r="M2136" s="161" t="s">
        <v>19202</v>
      </c>
    </row>
    <row r="2137" spans="9:13" x14ac:dyDescent="0.25">
      <c r="I2137" t="s">
        <v>5506</v>
      </c>
      <c r="J2137" s="161" t="s">
        <v>19202</v>
      </c>
      <c r="K2137" t="s">
        <v>19203</v>
      </c>
      <c r="L2137" t="s">
        <v>5505</v>
      </c>
      <c r="M2137" s="161" t="s">
        <v>19202</v>
      </c>
    </row>
    <row r="2138" spans="9:13" x14ac:dyDescent="0.25">
      <c r="I2138" t="s">
        <v>19496</v>
      </c>
      <c r="J2138" s="161" t="s">
        <v>19202</v>
      </c>
      <c r="K2138" t="s">
        <v>19203</v>
      </c>
      <c r="L2138" t="s">
        <v>19497</v>
      </c>
      <c r="M2138" s="161" t="s">
        <v>19202</v>
      </c>
    </row>
    <row r="2139" spans="9:13" x14ac:dyDescent="0.25">
      <c r="I2139" t="s">
        <v>4208</v>
      </c>
      <c r="J2139" s="161" t="s">
        <v>19202</v>
      </c>
      <c r="K2139" t="s">
        <v>19203</v>
      </c>
      <c r="L2139" t="s">
        <v>4207</v>
      </c>
      <c r="M2139" s="161" t="s">
        <v>19202</v>
      </c>
    </row>
    <row r="2140" spans="9:13" x14ac:dyDescent="0.25">
      <c r="I2140" t="s">
        <v>12190</v>
      </c>
      <c r="J2140" s="161" t="s">
        <v>19202</v>
      </c>
      <c r="K2140" t="s">
        <v>19203</v>
      </c>
      <c r="L2140" t="s">
        <v>12189</v>
      </c>
      <c r="M2140" s="161" t="s">
        <v>19202</v>
      </c>
    </row>
    <row r="2141" spans="9:13" x14ac:dyDescent="0.25">
      <c r="I2141" t="s">
        <v>12999</v>
      </c>
      <c r="J2141" s="161" t="s">
        <v>19202</v>
      </c>
      <c r="K2141" t="s">
        <v>19203</v>
      </c>
      <c r="L2141" t="s">
        <v>12998</v>
      </c>
      <c r="M2141" s="161" t="s">
        <v>19202</v>
      </c>
    </row>
    <row r="2142" spans="9:13" x14ac:dyDescent="0.25">
      <c r="I2142" t="s">
        <v>17271</v>
      </c>
      <c r="J2142" s="161" t="s">
        <v>19202</v>
      </c>
      <c r="K2142" t="s">
        <v>19203</v>
      </c>
      <c r="L2142" t="s">
        <v>17270</v>
      </c>
      <c r="M2142" s="161" t="s">
        <v>19202</v>
      </c>
    </row>
    <row r="2143" spans="9:13" x14ac:dyDescent="0.25">
      <c r="I2143" t="s">
        <v>17226</v>
      </c>
      <c r="J2143" s="161" t="s">
        <v>19202</v>
      </c>
      <c r="K2143" t="s">
        <v>19203</v>
      </c>
      <c r="L2143" t="s">
        <v>17225</v>
      </c>
      <c r="M2143" s="161" t="s">
        <v>19202</v>
      </c>
    </row>
    <row r="2144" spans="9:13" x14ac:dyDescent="0.25">
      <c r="I2144" t="s">
        <v>12106</v>
      </c>
      <c r="J2144" s="161" t="s">
        <v>19202</v>
      </c>
      <c r="K2144" t="s">
        <v>19203</v>
      </c>
      <c r="L2144" t="s">
        <v>12105</v>
      </c>
      <c r="M2144" s="161" t="s">
        <v>19202</v>
      </c>
    </row>
    <row r="2145" spans="9:13" x14ac:dyDescent="0.25">
      <c r="I2145" t="s">
        <v>16791</v>
      </c>
      <c r="J2145" s="161" t="s">
        <v>19202</v>
      </c>
      <c r="K2145" t="s">
        <v>19203</v>
      </c>
      <c r="L2145" t="s">
        <v>16790</v>
      </c>
      <c r="M2145" s="161" t="s">
        <v>19202</v>
      </c>
    </row>
    <row r="2146" spans="9:13" x14ac:dyDescent="0.25">
      <c r="I2146" t="s">
        <v>5466</v>
      </c>
      <c r="J2146" s="161" t="s">
        <v>19202</v>
      </c>
      <c r="K2146" t="s">
        <v>19203</v>
      </c>
      <c r="L2146" t="s">
        <v>5465</v>
      </c>
      <c r="M2146" s="161" t="s">
        <v>19202</v>
      </c>
    </row>
    <row r="2147" spans="9:13" x14ac:dyDescent="0.25">
      <c r="I2147" t="s">
        <v>5245</v>
      </c>
      <c r="J2147" s="161" t="s">
        <v>19202</v>
      </c>
      <c r="K2147" t="s">
        <v>19203</v>
      </c>
      <c r="L2147" t="s">
        <v>5244</v>
      </c>
      <c r="M2147" s="161" t="s">
        <v>19202</v>
      </c>
    </row>
    <row r="2148" spans="9:13" x14ac:dyDescent="0.25">
      <c r="I2148" t="s">
        <v>3906</v>
      </c>
      <c r="J2148" s="161" t="s">
        <v>19202</v>
      </c>
      <c r="K2148" t="s">
        <v>19203</v>
      </c>
      <c r="L2148" t="s">
        <v>3905</v>
      </c>
      <c r="M2148" s="161" t="s">
        <v>19202</v>
      </c>
    </row>
    <row r="2149" spans="9:13" x14ac:dyDescent="0.25">
      <c r="I2149" t="s">
        <v>4016</v>
      </c>
      <c r="J2149" s="161" t="s">
        <v>19202</v>
      </c>
      <c r="K2149" t="s">
        <v>19203</v>
      </c>
      <c r="L2149" t="s">
        <v>4015</v>
      </c>
      <c r="M2149" s="161" t="s">
        <v>19202</v>
      </c>
    </row>
    <row r="2150" spans="9:13" x14ac:dyDescent="0.25">
      <c r="I2150" t="s">
        <v>3790</v>
      </c>
      <c r="J2150" s="161" t="s">
        <v>19202</v>
      </c>
      <c r="K2150" t="s">
        <v>19203</v>
      </c>
      <c r="L2150" t="s">
        <v>3789</v>
      </c>
      <c r="M2150" s="161" t="s">
        <v>19202</v>
      </c>
    </row>
    <row r="2151" spans="9:13" x14ac:dyDescent="0.25">
      <c r="I2151" t="s">
        <v>3010</v>
      </c>
      <c r="J2151" s="161" t="s">
        <v>19202</v>
      </c>
      <c r="K2151" t="s">
        <v>19203</v>
      </c>
      <c r="L2151" t="s">
        <v>3009</v>
      </c>
      <c r="M2151" s="161" t="s">
        <v>19202</v>
      </c>
    </row>
    <row r="2152" spans="9:13" x14ac:dyDescent="0.25">
      <c r="I2152" t="s">
        <v>3053</v>
      </c>
      <c r="J2152" s="161" t="s">
        <v>19202</v>
      </c>
      <c r="K2152" t="s">
        <v>19203</v>
      </c>
      <c r="L2152" t="s">
        <v>3052</v>
      </c>
      <c r="M2152" s="161" t="s">
        <v>19202</v>
      </c>
    </row>
    <row r="2153" spans="9:13" x14ac:dyDescent="0.25">
      <c r="I2153" t="s">
        <v>15525</v>
      </c>
      <c r="J2153" s="161" t="s">
        <v>19202</v>
      </c>
      <c r="K2153" t="s">
        <v>19203</v>
      </c>
      <c r="L2153" t="s">
        <v>15524</v>
      </c>
      <c r="M2153" s="161" t="s">
        <v>19202</v>
      </c>
    </row>
    <row r="2154" spans="9:13" x14ac:dyDescent="0.25">
      <c r="I2154" t="s">
        <v>2350</v>
      </c>
      <c r="J2154" s="161" t="s">
        <v>19202</v>
      </c>
      <c r="K2154" t="s">
        <v>19203</v>
      </c>
      <c r="L2154" t="s">
        <v>2349</v>
      </c>
      <c r="M2154" s="161" t="s">
        <v>19202</v>
      </c>
    </row>
    <row r="2155" spans="9:13" x14ac:dyDescent="0.25">
      <c r="I2155" t="s">
        <v>14041</v>
      </c>
      <c r="J2155" s="161" t="s">
        <v>19202</v>
      </c>
      <c r="K2155" t="s">
        <v>19203</v>
      </c>
      <c r="L2155" t="s">
        <v>14040</v>
      </c>
      <c r="M2155" s="161" t="s">
        <v>19202</v>
      </c>
    </row>
    <row r="2156" spans="9:13" x14ac:dyDescent="0.25">
      <c r="I2156" t="s">
        <v>14039</v>
      </c>
      <c r="J2156" s="161" t="s">
        <v>19202</v>
      </c>
      <c r="K2156" t="s">
        <v>19203</v>
      </c>
      <c r="L2156" t="s">
        <v>14038</v>
      </c>
      <c r="M2156" s="161" t="s">
        <v>19202</v>
      </c>
    </row>
    <row r="2157" spans="9:13" x14ac:dyDescent="0.25">
      <c r="I2157" t="s">
        <v>7543</v>
      </c>
      <c r="J2157" s="161" t="s">
        <v>19202</v>
      </c>
      <c r="K2157" t="s">
        <v>19203</v>
      </c>
      <c r="L2157" t="s">
        <v>7542</v>
      </c>
      <c r="M2157" s="161" t="s">
        <v>19202</v>
      </c>
    </row>
    <row r="2158" spans="9:13" x14ac:dyDescent="0.25">
      <c r="I2158" t="s">
        <v>17894</v>
      </c>
      <c r="J2158" s="161" t="s">
        <v>19202</v>
      </c>
      <c r="K2158" t="s">
        <v>19203</v>
      </c>
      <c r="L2158" t="s">
        <v>17893</v>
      </c>
      <c r="M2158" s="161" t="s">
        <v>19202</v>
      </c>
    </row>
    <row r="2159" spans="9:13" x14ac:dyDescent="0.25">
      <c r="I2159" t="s">
        <v>10922</v>
      </c>
      <c r="J2159" s="161" t="s">
        <v>19202</v>
      </c>
      <c r="K2159" t="s">
        <v>19203</v>
      </c>
      <c r="L2159" t="s">
        <v>10921</v>
      </c>
      <c r="M2159" s="161" t="s">
        <v>19202</v>
      </c>
    </row>
    <row r="2160" spans="9:13" x14ac:dyDescent="0.25">
      <c r="I2160" t="s">
        <v>10823</v>
      </c>
      <c r="J2160" s="161" t="s">
        <v>19202</v>
      </c>
      <c r="K2160" t="s">
        <v>19203</v>
      </c>
      <c r="L2160" t="s">
        <v>10822</v>
      </c>
      <c r="M2160" s="161" t="s">
        <v>19202</v>
      </c>
    </row>
    <row r="2161" spans="9:13" x14ac:dyDescent="0.25">
      <c r="I2161" t="s">
        <v>14768</v>
      </c>
      <c r="J2161" s="161" t="s">
        <v>19202</v>
      </c>
      <c r="K2161" t="s">
        <v>19203</v>
      </c>
      <c r="L2161" t="s">
        <v>14767</v>
      </c>
      <c r="M2161" s="161" t="s">
        <v>19202</v>
      </c>
    </row>
    <row r="2162" spans="9:13" x14ac:dyDescent="0.25">
      <c r="I2162" t="s">
        <v>7479</v>
      </c>
      <c r="J2162" s="161" t="s">
        <v>19202</v>
      </c>
      <c r="K2162" t="s">
        <v>19203</v>
      </c>
      <c r="L2162" t="s">
        <v>7478</v>
      </c>
      <c r="M2162" s="161" t="s">
        <v>19202</v>
      </c>
    </row>
    <row r="2163" spans="9:13" x14ac:dyDescent="0.25">
      <c r="I2163" t="s">
        <v>12630</v>
      </c>
      <c r="J2163" s="161" t="s">
        <v>19202</v>
      </c>
      <c r="K2163" t="s">
        <v>19203</v>
      </c>
      <c r="L2163" t="s">
        <v>12629</v>
      </c>
      <c r="M2163" s="161" t="s">
        <v>19202</v>
      </c>
    </row>
    <row r="2164" spans="9:13" x14ac:dyDescent="0.25">
      <c r="I2164" t="s">
        <v>5120</v>
      </c>
      <c r="J2164" s="161" t="s">
        <v>19202</v>
      </c>
      <c r="K2164" t="s">
        <v>19203</v>
      </c>
      <c r="L2164" t="s">
        <v>5119</v>
      </c>
      <c r="M2164" s="161" t="s">
        <v>19202</v>
      </c>
    </row>
    <row r="2165" spans="9:13" x14ac:dyDescent="0.25">
      <c r="I2165" t="s">
        <v>3779</v>
      </c>
      <c r="J2165" s="161" t="s">
        <v>19202</v>
      </c>
      <c r="K2165" t="s">
        <v>19203</v>
      </c>
      <c r="L2165" t="s">
        <v>3778</v>
      </c>
      <c r="M2165" s="161" t="s">
        <v>19202</v>
      </c>
    </row>
    <row r="2166" spans="9:13" x14ac:dyDescent="0.25">
      <c r="I2166" t="s">
        <v>10681</v>
      </c>
      <c r="J2166" s="161" t="s">
        <v>19202</v>
      </c>
      <c r="K2166" t="s">
        <v>19203</v>
      </c>
      <c r="L2166" t="s">
        <v>10680</v>
      </c>
      <c r="M2166" s="161" t="s">
        <v>19202</v>
      </c>
    </row>
    <row r="2167" spans="9:13" x14ac:dyDescent="0.25">
      <c r="I2167" t="s">
        <v>10679</v>
      </c>
      <c r="J2167" s="161" t="s">
        <v>19202</v>
      </c>
      <c r="K2167" t="s">
        <v>19203</v>
      </c>
      <c r="L2167" t="s">
        <v>10678</v>
      </c>
      <c r="M2167" s="161" t="s">
        <v>19202</v>
      </c>
    </row>
    <row r="2168" spans="9:13" x14ac:dyDescent="0.25">
      <c r="I2168" t="s">
        <v>3253</v>
      </c>
      <c r="J2168" s="161" t="s">
        <v>19202</v>
      </c>
      <c r="K2168" t="s">
        <v>19203</v>
      </c>
      <c r="L2168" t="s">
        <v>3252</v>
      </c>
      <c r="M2168" s="161" t="s">
        <v>19202</v>
      </c>
    </row>
    <row r="2169" spans="9:13" x14ac:dyDescent="0.25">
      <c r="I2169" t="s">
        <v>10649</v>
      </c>
      <c r="J2169" s="161" t="s">
        <v>19202</v>
      </c>
      <c r="K2169" t="s">
        <v>19203</v>
      </c>
      <c r="L2169" t="s">
        <v>10648</v>
      </c>
      <c r="M2169" s="161" t="s">
        <v>19202</v>
      </c>
    </row>
    <row r="2170" spans="9:13" x14ac:dyDescent="0.25">
      <c r="I2170" t="s">
        <v>12052</v>
      </c>
      <c r="J2170" s="161" t="s">
        <v>19202</v>
      </c>
      <c r="K2170" t="s">
        <v>19203</v>
      </c>
      <c r="L2170" t="s">
        <v>12051</v>
      </c>
      <c r="M2170" s="161" t="s">
        <v>19202</v>
      </c>
    </row>
    <row r="2171" spans="9:13" x14ac:dyDescent="0.25">
      <c r="I2171" t="s">
        <v>12050</v>
      </c>
      <c r="J2171" s="161" t="s">
        <v>19202</v>
      </c>
      <c r="K2171" t="s">
        <v>19203</v>
      </c>
      <c r="L2171" t="s">
        <v>12049</v>
      </c>
      <c r="M2171" s="161" t="s">
        <v>19202</v>
      </c>
    </row>
    <row r="2172" spans="9:13" x14ac:dyDescent="0.25">
      <c r="I2172" t="s">
        <v>12826</v>
      </c>
      <c r="J2172" s="161" t="s">
        <v>19202</v>
      </c>
      <c r="K2172" t="s">
        <v>19203</v>
      </c>
      <c r="L2172" t="s">
        <v>12825</v>
      </c>
      <c r="M2172" s="161" t="s">
        <v>19202</v>
      </c>
    </row>
    <row r="2173" spans="9:13" x14ac:dyDescent="0.25">
      <c r="I2173" t="s">
        <v>12770</v>
      </c>
      <c r="J2173" s="161" t="s">
        <v>19202</v>
      </c>
      <c r="K2173" t="s">
        <v>19203</v>
      </c>
      <c r="L2173" t="s">
        <v>12769</v>
      </c>
      <c r="M2173" s="161" t="s">
        <v>19202</v>
      </c>
    </row>
    <row r="2174" spans="9:13" x14ac:dyDescent="0.25">
      <c r="I2174" t="s">
        <v>2344</v>
      </c>
      <c r="J2174" s="161" t="s">
        <v>19202</v>
      </c>
      <c r="K2174" t="s">
        <v>19203</v>
      </c>
      <c r="L2174" t="s">
        <v>2343</v>
      </c>
      <c r="M2174" s="161" t="s">
        <v>19202</v>
      </c>
    </row>
    <row r="2175" spans="9:13" x14ac:dyDescent="0.25">
      <c r="I2175" t="s">
        <v>14032</v>
      </c>
      <c r="J2175" s="161" t="s">
        <v>19202</v>
      </c>
      <c r="K2175" t="s">
        <v>19203</v>
      </c>
      <c r="L2175" t="s">
        <v>14031</v>
      </c>
      <c r="M2175" s="161" t="s">
        <v>19202</v>
      </c>
    </row>
    <row r="2176" spans="9:13" x14ac:dyDescent="0.25">
      <c r="I2176" t="s">
        <v>9276</v>
      </c>
      <c r="J2176" s="161" t="s">
        <v>19202</v>
      </c>
      <c r="K2176" t="s">
        <v>19203</v>
      </c>
      <c r="L2176" t="s">
        <v>9275</v>
      </c>
      <c r="M2176" s="161" t="s">
        <v>19202</v>
      </c>
    </row>
    <row r="2177" spans="9:13" x14ac:dyDescent="0.25">
      <c r="I2177" t="s">
        <v>6885</v>
      </c>
      <c r="J2177" s="161" t="s">
        <v>19202</v>
      </c>
      <c r="K2177" t="s">
        <v>19203</v>
      </c>
      <c r="L2177" t="s">
        <v>5413</v>
      </c>
      <c r="M2177" s="161" t="s">
        <v>19202</v>
      </c>
    </row>
    <row r="2178" spans="9:13" x14ac:dyDescent="0.25">
      <c r="I2178" t="s">
        <v>3557</v>
      </c>
      <c r="J2178" s="161" t="s">
        <v>19202</v>
      </c>
      <c r="K2178" t="s">
        <v>19203</v>
      </c>
      <c r="L2178" t="s">
        <v>3556</v>
      </c>
      <c r="M2178" s="161" t="s">
        <v>19202</v>
      </c>
    </row>
    <row r="2179" spans="9:13" x14ac:dyDescent="0.25">
      <c r="I2179" t="s">
        <v>19498</v>
      </c>
      <c r="J2179" s="161" t="s">
        <v>19202</v>
      </c>
      <c r="K2179" t="s">
        <v>19203</v>
      </c>
      <c r="L2179" t="s">
        <v>19499</v>
      </c>
      <c r="M2179" s="161" t="s">
        <v>19202</v>
      </c>
    </row>
    <row r="2180" spans="9:13" x14ac:dyDescent="0.25">
      <c r="I2180" t="s">
        <v>12136</v>
      </c>
      <c r="J2180" s="161" t="s">
        <v>19202</v>
      </c>
      <c r="K2180" t="s">
        <v>19203</v>
      </c>
      <c r="L2180" t="s">
        <v>12135</v>
      </c>
      <c r="M2180" s="161" t="s">
        <v>19202</v>
      </c>
    </row>
    <row r="2181" spans="9:13" x14ac:dyDescent="0.25">
      <c r="I2181" t="s">
        <v>1073</v>
      </c>
      <c r="J2181" s="161" t="s">
        <v>19202</v>
      </c>
      <c r="K2181" t="s">
        <v>19203</v>
      </c>
      <c r="L2181" t="s">
        <v>1072</v>
      </c>
      <c r="M2181" s="161" t="s">
        <v>19202</v>
      </c>
    </row>
    <row r="2182" spans="9:13" x14ac:dyDescent="0.25">
      <c r="I2182" t="s">
        <v>17077</v>
      </c>
      <c r="J2182" s="161" t="s">
        <v>19202</v>
      </c>
      <c r="K2182" t="s">
        <v>19203</v>
      </c>
      <c r="L2182" t="s">
        <v>17076</v>
      </c>
      <c r="M2182" s="161" t="s">
        <v>19202</v>
      </c>
    </row>
    <row r="2183" spans="9:13" x14ac:dyDescent="0.25">
      <c r="I2183" t="s">
        <v>18133</v>
      </c>
      <c r="J2183" s="161" t="s">
        <v>19202</v>
      </c>
      <c r="K2183" t="s">
        <v>19203</v>
      </c>
      <c r="L2183" t="s">
        <v>18132</v>
      </c>
      <c r="M2183" s="161" t="s">
        <v>19202</v>
      </c>
    </row>
    <row r="2184" spans="9:13" x14ac:dyDescent="0.25">
      <c r="I2184" t="s">
        <v>14982</v>
      </c>
      <c r="J2184" s="161" t="s">
        <v>19202</v>
      </c>
      <c r="K2184" t="s">
        <v>19203</v>
      </c>
      <c r="L2184" t="s">
        <v>2084</v>
      </c>
      <c r="M2184" s="161" t="s">
        <v>19202</v>
      </c>
    </row>
    <row r="2185" spans="9:13" x14ac:dyDescent="0.25">
      <c r="I2185" t="s">
        <v>15021</v>
      </c>
      <c r="J2185" s="161" t="s">
        <v>19202</v>
      </c>
      <c r="K2185" t="s">
        <v>19203</v>
      </c>
      <c r="L2185" t="s">
        <v>15020</v>
      </c>
      <c r="M2185" s="161" t="s">
        <v>19202</v>
      </c>
    </row>
    <row r="2186" spans="9:13" x14ac:dyDescent="0.25">
      <c r="I2186" t="s">
        <v>16704</v>
      </c>
      <c r="J2186" s="161" t="s">
        <v>19202</v>
      </c>
      <c r="K2186" t="s">
        <v>19203</v>
      </c>
      <c r="L2186" t="s">
        <v>16703</v>
      </c>
      <c r="M2186" s="161" t="s">
        <v>19202</v>
      </c>
    </row>
    <row r="2187" spans="9:13" x14ac:dyDescent="0.25">
      <c r="I2187" t="s">
        <v>10675</v>
      </c>
      <c r="J2187" s="161" t="s">
        <v>19202</v>
      </c>
      <c r="K2187" t="s">
        <v>19203</v>
      </c>
      <c r="L2187" t="s">
        <v>10674</v>
      </c>
      <c r="M2187" s="161" t="s">
        <v>19202</v>
      </c>
    </row>
    <row r="2188" spans="9:13" x14ac:dyDescent="0.25">
      <c r="I2188" t="s">
        <v>19500</v>
      </c>
      <c r="J2188" s="161" t="s">
        <v>19202</v>
      </c>
      <c r="K2188" t="s">
        <v>19203</v>
      </c>
      <c r="L2188" t="s">
        <v>19501</v>
      </c>
      <c r="M2188" s="161" t="s">
        <v>19202</v>
      </c>
    </row>
    <row r="2189" spans="9:13" x14ac:dyDescent="0.25">
      <c r="I2189" t="s">
        <v>12071</v>
      </c>
      <c r="J2189" s="161" t="s">
        <v>19202</v>
      </c>
      <c r="K2189" t="s">
        <v>19203</v>
      </c>
      <c r="L2189" t="s">
        <v>12070</v>
      </c>
      <c r="M2189" s="161" t="s">
        <v>19202</v>
      </c>
    </row>
    <row r="2190" spans="9:13" x14ac:dyDescent="0.25">
      <c r="I2190" t="s">
        <v>10476</v>
      </c>
      <c r="J2190" s="161" t="s">
        <v>19202</v>
      </c>
      <c r="K2190" t="s">
        <v>19203</v>
      </c>
      <c r="L2190" t="s">
        <v>10475</v>
      </c>
      <c r="M2190" s="161" t="s">
        <v>19202</v>
      </c>
    </row>
    <row r="2191" spans="9:13" x14ac:dyDescent="0.25">
      <c r="I2191" t="s">
        <v>12017</v>
      </c>
      <c r="J2191" s="161" t="s">
        <v>19202</v>
      </c>
      <c r="K2191" t="s">
        <v>19203</v>
      </c>
      <c r="L2191" t="s">
        <v>12016</v>
      </c>
      <c r="M2191" s="161" t="s">
        <v>19202</v>
      </c>
    </row>
    <row r="2192" spans="9:13" x14ac:dyDescent="0.25">
      <c r="I2192" t="s">
        <v>12223</v>
      </c>
      <c r="J2192" s="161" t="s">
        <v>19202</v>
      </c>
      <c r="K2192" t="s">
        <v>19203</v>
      </c>
      <c r="L2192" t="s">
        <v>12222</v>
      </c>
      <c r="M2192" s="161" t="s">
        <v>19202</v>
      </c>
    </row>
    <row r="2193" spans="9:13" x14ac:dyDescent="0.25">
      <c r="I2193" t="s">
        <v>12532</v>
      </c>
      <c r="J2193" s="161" t="s">
        <v>19202</v>
      </c>
      <c r="K2193" t="s">
        <v>19203</v>
      </c>
      <c r="L2193" t="s">
        <v>12531</v>
      </c>
      <c r="M2193" s="161" t="s">
        <v>19202</v>
      </c>
    </row>
    <row r="2194" spans="9:13" x14ac:dyDescent="0.25">
      <c r="I2194" t="s">
        <v>12526</v>
      </c>
      <c r="J2194" s="161" t="s">
        <v>19202</v>
      </c>
      <c r="K2194" t="s">
        <v>19203</v>
      </c>
      <c r="L2194" t="s">
        <v>12525</v>
      </c>
      <c r="M2194" s="161" t="s">
        <v>19202</v>
      </c>
    </row>
    <row r="2195" spans="9:13" x14ac:dyDescent="0.25">
      <c r="I2195" t="s">
        <v>1600</v>
      </c>
      <c r="J2195" s="161" t="s">
        <v>19202</v>
      </c>
      <c r="K2195" t="s">
        <v>19203</v>
      </c>
      <c r="L2195" t="s">
        <v>1599</v>
      </c>
      <c r="M2195" s="161" t="s">
        <v>19202</v>
      </c>
    </row>
    <row r="2196" spans="9:13" x14ac:dyDescent="0.25">
      <c r="I2196" t="s">
        <v>11957</v>
      </c>
      <c r="J2196" s="161" t="s">
        <v>19202</v>
      </c>
      <c r="K2196" t="s">
        <v>19203</v>
      </c>
      <c r="L2196" t="s">
        <v>11956</v>
      </c>
      <c r="M2196" s="161" t="s">
        <v>19202</v>
      </c>
    </row>
    <row r="2197" spans="9:13" x14ac:dyDescent="0.25">
      <c r="I2197" t="s">
        <v>11955</v>
      </c>
      <c r="J2197" s="161" t="s">
        <v>19202</v>
      </c>
      <c r="K2197" t="s">
        <v>19203</v>
      </c>
      <c r="L2197" t="s">
        <v>11954</v>
      </c>
      <c r="M2197" s="161" t="s">
        <v>19202</v>
      </c>
    </row>
    <row r="2198" spans="9:13" x14ac:dyDescent="0.25">
      <c r="I2198" t="s">
        <v>11891</v>
      </c>
      <c r="J2198" s="161" t="s">
        <v>19202</v>
      </c>
      <c r="K2198" t="s">
        <v>19203</v>
      </c>
      <c r="L2198" t="s">
        <v>11890</v>
      </c>
      <c r="M2198" s="161" t="s">
        <v>19202</v>
      </c>
    </row>
    <row r="2199" spans="9:13" x14ac:dyDescent="0.25">
      <c r="I2199" t="s">
        <v>11889</v>
      </c>
      <c r="J2199" s="161" t="s">
        <v>19202</v>
      </c>
      <c r="K2199" t="s">
        <v>19203</v>
      </c>
      <c r="L2199" t="s">
        <v>11888</v>
      </c>
      <c r="M2199" s="161" t="s">
        <v>19202</v>
      </c>
    </row>
    <row r="2200" spans="9:13" x14ac:dyDescent="0.25">
      <c r="I2200" t="s">
        <v>11925</v>
      </c>
      <c r="J2200" s="161" t="s">
        <v>19202</v>
      </c>
      <c r="K2200" t="s">
        <v>19203</v>
      </c>
      <c r="L2200" t="s">
        <v>11924</v>
      </c>
      <c r="M2200" s="161" t="s">
        <v>19202</v>
      </c>
    </row>
    <row r="2201" spans="9:13" x14ac:dyDescent="0.25">
      <c r="I2201" t="s">
        <v>11923</v>
      </c>
      <c r="J2201" s="161" t="s">
        <v>19202</v>
      </c>
      <c r="K2201" t="s">
        <v>19203</v>
      </c>
      <c r="L2201" t="s">
        <v>11922</v>
      </c>
      <c r="M2201" s="161" t="s">
        <v>19202</v>
      </c>
    </row>
    <row r="2202" spans="9:13" x14ac:dyDescent="0.25">
      <c r="I2202" t="s">
        <v>11953</v>
      </c>
      <c r="J2202" s="161" t="s">
        <v>19202</v>
      </c>
      <c r="K2202" t="s">
        <v>19203</v>
      </c>
      <c r="L2202" t="s">
        <v>11952</v>
      </c>
      <c r="M2202" s="161" t="s">
        <v>19202</v>
      </c>
    </row>
    <row r="2203" spans="9:13" x14ac:dyDescent="0.25">
      <c r="I2203" t="s">
        <v>11951</v>
      </c>
      <c r="J2203" s="161" t="s">
        <v>19202</v>
      </c>
      <c r="K2203" t="s">
        <v>19203</v>
      </c>
      <c r="L2203" t="s">
        <v>11950</v>
      </c>
      <c r="M2203" s="161" t="s">
        <v>19202</v>
      </c>
    </row>
    <row r="2204" spans="9:13" x14ac:dyDescent="0.25">
      <c r="I2204" t="s">
        <v>12217</v>
      </c>
      <c r="J2204" s="161" t="s">
        <v>19202</v>
      </c>
      <c r="K2204" t="s">
        <v>19203</v>
      </c>
      <c r="L2204" t="s">
        <v>12216</v>
      </c>
      <c r="M2204" s="161" t="s">
        <v>19202</v>
      </c>
    </row>
    <row r="2205" spans="9:13" x14ac:dyDescent="0.25">
      <c r="I2205" t="s">
        <v>12214</v>
      </c>
      <c r="J2205" s="161" t="s">
        <v>19202</v>
      </c>
      <c r="K2205" t="s">
        <v>19203</v>
      </c>
      <c r="L2205" t="s">
        <v>12213</v>
      </c>
      <c r="M2205" s="161" t="s">
        <v>19202</v>
      </c>
    </row>
    <row r="2206" spans="9:13" x14ac:dyDescent="0.25">
      <c r="I2206" t="s">
        <v>11949</v>
      </c>
      <c r="J2206" s="161" t="s">
        <v>19202</v>
      </c>
      <c r="K2206" t="s">
        <v>19203</v>
      </c>
      <c r="L2206" t="s">
        <v>11948</v>
      </c>
      <c r="M2206" s="161" t="s">
        <v>19202</v>
      </c>
    </row>
    <row r="2207" spans="9:13" x14ac:dyDescent="0.25">
      <c r="I2207" t="s">
        <v>15307</v>
      </c>
      <c r="J2207" s="161" t="s">
        <v>19202</v>
      </c>
      <c r="K2207" t="s">
        <v>19203</v>
      </c>
      <c r="L2207" t="s">
        <v>15306</v>
      </c>
      <c r="M2207" s="161" t="s">
        <v>19202</v>
      </c>
    </row>
    <row r="2208" spans="9:13" x14ac:dyDescent="0.25">
      <c r="I2208" t="s">
        <v>19502</v>
      </c>
      <c r="J2208" s="161" t="s">
        <v>19202</v>
      </c>
      <c r="K2208" t="s">
        <v>19203</v>
      </c>
      <c r="L2208" t="s">
        <v>19503</v>
      </c>
      <c r="M2208" s="161" t="s">
        <v>19202</v>
      </c>
    </row>
    <row r="2209" spans="9:13" x14ac:dyDescent="0.25">
      <c r="I2209" t="s">
        <v>12048</v>
      </c>
      <c r="J2209" s="161" t="s">
        <v>19202</v>
      </c>
      <c r="K2209" t="s">
        <v>19203</v>
      </c>
      <c r="L2209" t="s">
        <v>12047</v>
      </c>
      <c r="M2209" s="161" t="s">
        <v>19202</v>
      </c>
    </row>
    <row r="2210" spans="9:13" x14ac:dyDescent="0.25">
      <c r="I2210" t="s">
        <v>12490</v>
      </c>
      <c r="J2210" s="161" t="s">
        <v>19202</v>
      </c>
      <c r="K2210" t="s">
        <v>19203</v>
      </c>
      <c r="L2210" t="s">
        <v>12489</v>
      </c>
      <c r="M2210" s="161" t="s">
        <v>19202</v>
      </c>
    </row>
    <row r="2211" spans="9:13" x14ac:dyDescent="0.25">
      <c r="I2211" t="s">
        <v>12488</v>
      </c>
      <c r="J2211" s="161" t="s">
        <v>19202</v>
      </c>
      <c r="K2211" t="s">
        <v>19203</v>
      </c>
      <c r="L2211" t="s">
        <v>12487</v>
      </c>
      <c r="M2211" s="161" t="s">
        <v>19202</v>
      </c>
    </row>
    <row r="2212" spans="9:13" x14ac:dyDescent="0.25">
      <c r="I2212" t="s">
        <v>12486</v>
      </c>
      <c r="J2212" s="161" t="s">
        <v>19202</v>
      </c>
      <c r="K2212" t="s">
        <v>19203</v>
      </c>
      <c r="L2212" t="s">
        <v>12485</v>
      </c>
      <c r="M2212" s="161" t="s">
        <v>19202</v>
      </c>
    </row>
    <row r="2213" spans="9:13" x14ac:dyDescent="0.25">
      <c r="I2213" t="s">
        <v>11921</v>
      </c>
      <c r="J2213" s="161" t="s">
        <v>19202</v>
      </c>
      <c r="K2213" t="s">
        <v>19203</v>
      </c>
      <c r="L2213" t="s">
        <v>11920</v>
      </c>
      <c r="M2213" s="161" t="s">
        <v>19202</v>
      </c>
    </row>
    <row r="2214" spans="9:13" x14ac:dyDescent="0.25">
      <c r="I2214" t="s">
        <v>11803</v>
      </c>
      <c r="J2214" s="161" t="s">
        <v>19202</v>
      </c>
      <c r="K2214" t="s">
        <v>19203</v>
      </c>
      <c r="L2214" t="s">
        <v>11802</v>
      </c>
      <c r="M2214" s="161" t="s">
        <v>19202</v>
      </c>
    </row>
    <row r="2215" spans="9:13" x14ac:dyDescent="0.25">
      <c r="I2215" t="s">
        <v>12113</v>
      </c>
      <c r="J2215" s="161" t="s">
        <v>19202</v>
      </c>
      <c r="K2215" t="s">
        <v>19203</v>
      </c>
      <c r="L2215" t="s">
        <v>12112</v>
      </c>
      <c r="M2215" s="161" t="s">
        <v>19202</v>
      </c>
    </row>
    <row r="2216" spans="9:13" x14ac:dyDescent="0.25">
      <c r="I2216" t="s">
        <v>8882</v>
      </c>
      <c r="J2216" s="161" t="s">
        <v>19202</v>
      </c>
      <c r="K2216" t="s">
        <v>19203</v>
      </c>
      <c r="L2216" t="s">
        <v>8881</v>
      </c>
      <c r="M2216" s="161" t="s">
        <v>19202</v>
      </c>
    </row>
    <row r="2217" spans="9:13" x14ac:dyDescent="0.25">
      <c r="I2217" t="s">
        <v>19504</v>
      </c>
      <c r="J2217" s="161" t="s">
        <v>19202</v>
      </c>
      <c r="K2217" t="s">
        <v>19203</v>
      </c>
      <c r="L2217" t="s">
        <v>19505</v>
      </c>
      <c r="M2217" s="161" t="s">
        <v>19202</v>
      </c>
    </row>
    <row r="2218" spans="9:13" x14ac:dyDescent="0.25">
      <c r="I2218" t="s">
        <v>8490</v>
      </c>
      <c r="J2218" s="161" t="s">
        <v>19202</v>
      </c>
      <c r="K2218" t="s">
        <v>19203</v>
      </c>
      <c r="L2218" t="s">
        <v>7785</v>
      </c>
      <c r="M2218" s="161" t="s">
        <v>19202</v>
      </c>
    </row>
    <row r="2219" spans="9:13" x14ac:dyDescent="0.25">
      <c r="I2219" t="s">
        <v>10609</v>
      </c>
      <c r="J2219" s="161" t="s">
        <v>19202</v>
      </c>
      <c r="K2219" t="s">
        <v>19203</v>
      </c>
      <c r="L2219" t="s">
        <v>10608</v>
      </c>
      <c r="M2219" s="161" t="s">
        <v>19202</v>
      </c>
    </row>
    <row r="2220" spans="9:13" x14ac:dyDescent="0.25">
      <c r="I2220" t="s">
        <v>13159</v>
      </c>
      <c r="J2220" s="161" t="s">
        <v>19202</v>
      </c>
      <c r="K2220" t="s">
        <v>19203</v>
      </c>
      <c r="L2220" t="s">
        <v>13158</v>
      </c>
      <c r="M2220" s="161" t="s">
        <v>19202</v>
      </c>
    </row>
    <row r="2221" spans="9:13" x14ac:dyDescent="0.25">
      <c r="I2221" t="s">
        <v>19506</v>
      </c>
      <c r="J2221" s="161" t="s">
        <v>19202</v>
      </c>
      <c r="K2221" t="s">
        <v>19203</v>
      </c>
      <c r="L2221" t="s">
        <v>19507</v>
      </c>
      <c r="M2221" s="161" t="s">
        <v>19202</v>
      </c>
    </row>
    <row r="2222" spans="9:13" x14ac:dyDescent="0.25">
      <c r="I2222" t="s">
        <v>7825</v>
      </c>
      <c r="J2222" s="161" t="s">
        <v>19202</v>
      </c>
      <c r="K2222" t="s">
        <v>19203</v>
      </c>
      <c r="L2222" t="s">
        <v>7824</v>
      </c>
      <c r="M2222" s="161" t="s">
        <v>19202</v>
      </c>
    </row>
    <row r="2223" spans="9:13" x14ac:dyDescent="0.25">
      <c r="I2223" t="s">
        <v>7413</v>
      </c>
      <c r="J2223" s="161" t="s">
        <v>19202</v>
      </c>
      <c r="K2223" t="s">
        <v>19203</v>
      </c>
      <c r="L2223" t="s">
        <v>7412</v>
      </c>
      <c r="M2223" s="161" t="s">
        <v>19202</v>
      </c>
    </row>
    <row r="2224" spans="9:13" x14ac:dyDescent="0.25">
      <c r="I2224" t="s">
        <v>12294</v>
      </c>
      <c r="J2224" s="161" t="s">
        <v>19202</v>
      </c>
      <c r="K2224" t="s">
        <v>19203</v>
      </c>
      <c r="L2224" t="s">
        <v>12293</v>
      </c>
      <c r="M2224" s="161" t="s">
        <v>19202</v>
      </c>
    </row>
    <row r="2225" spans="9:13" x14ac:dyDescent="0.25">
      <c r="I2225" t="s">
        <v>10877</v>
      </c>
      <c r="J2225" s="161" t="s">
        <v>19202</v>
      </c>
      <c r="K2225" t="s">
        <v>19203</v>
      </c>
      <c r="L2225" t="s">
        <v>10876</v>
      </c>
      <c r="M2225" s="161" t="s">
        <v>19202</v>
      </c>
    </row>
    <row r="2226" spans="9:13" x14ac:dyDescent="0.25">
      <c r="I2226" t="s">
        <v>3545</v>
      </c>
      <c r="J2226" s="161" t="s">
        <v>19202</v>
      </c>
      <c r="K2226" t="s">
        <v>19203</v>
      </c>
      <c r="L2226" t="s">
        <v>3544</v>
      </c>
      <c r="M2226" s="161" t="s">
        <v>19202</v>
      </c>
    </row>
    <row r="2227" spans="9:13" x14ac:dyDescent="0.25">
      <c r="I2227" t="s">
        <v>6288</v>
      </c>
      <c r="J2227" s="161" t="s">
        <v>19202</v>
      </c>
      <c r="K2227" t="s">
        <v>19203</v>
      </c>
      <c r="L2227" t="s">
        <v>6287</v>
      </c>
      <c r="M2227" s="161" t="s">
        <v>19202</v>
      </c>
    </row>
    <row r="2228" spans="9:13" x14ac:dyDescent="0.25">
      <c r="I2228" t="s">
        <v>12221</v>
      </c>
      <c r="J2228" s="161" t="s">
        <v>19202</v>
      </c>
      <c r="K2228" t="s">
        <v>19203</v>
      </c>
      <c r="L2228" t="s">
        <v>12220</v>
      </c>
      <c r="M2228" s="161" t="s">
        <v>19202</v>
      </c>
    </row>
    <row r="2229" spans="9:13" x14ac:dyDescent="0.25">
      <c r="I2229" t="s">
        <v>12174</v>
      </c>
      <c r="J2229" s="161" t="s">
        <v>19202</v>
      </c>
      <c r="K2229" t="s">
        <v>19203</v>
      </c>
      <c r="L2229" t="s">
        <v>12173</v>
      </c>
      <c r="M2229" s="161" t="s">
        <v>19202</v>
      </c>
    </row>
    <row r="2230" spans="9:13" x14ac:dyDescent="0.25">
      <c r="I2230" t="s">
        <v>16500</v>
      </c>
      <c r="J2230" s="161" t="s">
        <v>19202</v>
      </c>
      <c r="K2230" t="s">
        <v>19203</v>
      </c>
      <c r="L2230" t="s">
        <v>16499</v>
      </c>
      <c r="M2230" s="161" t="s">
        <v>19202</v>
      </c>
    </row>
    <row r="2231" spans="9:13" x14ac:dyDescent="0.25">
      <c r="I2231" t="s">
        <v>1235</v>
      </c>
      <c r="J2231" s="161" t="s">
        <v>19202</v>
      </c>
      <c r="K2231" t="s">
        <v>19203</v>
      </c>
      <c r="L2231" t="s">
        <v>1234</v>
      </c>
      <c r="M2231" s="161" t="s">
        <v>19202</v>
      </c>
    </row>
    <row r="2232" spans="9:13" x14ac:dyDescent="0.25">
      <c r="I2232" t="s">
        <v>4752</v>
      </c>
      <c r="J2232" s="161" t="s">
        <v>19202</v>
      </c>
      <c r="K2232" t="s">
        <v>19203</v>
      </c>
      <c r="L2232" t="s">
        <v>4751</v>
      </c>
      <c r="M2232" s="161" t="s">
        <v>19202</v>
      </c>
    </row>
    <row r="2233" spans="9:13" x14ac:dyDescent="0.25">
      <c r="I2233" t="s">
        <v>19050</v>
      </c>
      <c r="J2233" s="161" t="s">
        <v>19202</v>
      </c>
      <c r="K2233" t="s">
        <v>19203</v>
      </c>
      <c r="L2233" t="s">
        <v>19508</v>
      </c>
      <c r="M2233" s="161" t="s">
        <v>19202</v>
      </c>
    </row>
    <row r="2234" spans="9:13" x14ac:dyDescent="0.25">
      <c r="I2234" t="s">
        <v>15323</v>
      </c>
      <c r="J2234" s="161" t="s">
        <v>19202</v>
      </c>
      <c r="K2234" t="s">
        <v>19203</v>
      </c>
      <c r="L2234" t="s">
        <v>14356</v>
      </c>
      <c r="M2234" s="161" t="s">
        <v>19202</v>
      </c>
    </row>
    <row r="2235" spans="9:13" x14ac:dyDescent="0.25">
      <c r="I2235" t="s">
        <v>15536</v>
      </c>
      <c r="J2235" s="161" t="s">
        <v>19202</v>
      </c>
      <c r="K2235" t="s">
        <v>19203</v>
      </c>
      <c r="L2235" t="s">
        <v>15535</v>
      </c>
      <c r="M2235" s="161" t="s">
        <v>19202</v>
      </c>
    </row>
    <row r="2236" spans="9:13" x14ac:dyDescent="0.25">
      <c r="I2236" t="s">
        <v>16969</v>
      </c>
      <c r="J2236" s="161" t="s">
        <v>19202</v>
      </c>
      <c r="K2236" t="s">
        <v>19203</v>
      </c>
      <c r="L2236" t="s">
        <v>610</v>
      </c>
      <c r="M2236" s="161" t="s">
        <v>19202</v>
      </c>
    </row>
    <row r="2237" spans="9:13" x14ac:dyDescent="0.25">
      <c r="I2237" t="s">
        <v>8430</v>
      </c>
      <c r="J2237" s="161" t="s">
        <v>19202</v>
      </c>
      <c r="K2237" t="s">
        <v>19203</v>
      </c>
      <c r="L2237" t="s">
        <v>8429</v>
      </c>
      <c r="M2237" s="161" t="s">
        <v>19202</v>
      </c>
    </row>
    <row r="2238" spans="9:13" x14ac:dyDescent="0.25">
      <c r="I2238" t="s">
        <v>19509</v>
      </c>
      <c r="J2238" s="161" t="s">
        <v>19202</v>
      </c>
      <c r="K2238" t="s">
        <v>19203</v>
      </c>
      <c r="L2238" t="s">
        <v>984</v>
      </c>
      <c r="M2238" s="161" t="s">
        <v>19202</v>
      </c>
    </row>
    <row r="2239" spans="9:13" x14ac:dyDescent="0.25">
      <c r="I2239" t="s">
        <v>19510</v>
      </c>
      <c r="J2239" s="161" t="s">
        <v>19202</v>
      </c>
      <c r="K2239" t="s">
        <v>19203</v>
      </c>
      <c r="L2239" t="s">
        <v>4812</v>
      </c>
      <c r="M2239" s="161" t="s">
        <v>19202</v>
      </c>
    </row>
    <row r="2240" spans="9:13" x14ac:dyDescent="0.25">
      <c r="I2240" t="s">
        <v>19511</v>
      </c>
      <c r="J2240" s="161" t="s">
        <v>19202</v>
      </c>
      <c r="K2240" t="s">
        <v>19203</v>
      </c>
      <c r="L2240" t="s">
        <v>19512</v>
      </c>
      <c r="M2240" s="161" t="s">
        <v>19202</v>
      </c>
    </row>
    <row r="2241" spans="9:13" x14ac:dyDescent="0.25">
      <c r="I2241" t="s">
        <v>1608</v>
      </c>
      <c r="J2241" s="161" t="s">
        <v>19202</v>
      </c>
      <c r="K2241" t="s">
        <v>19203</v>
      </c>
      <c r="L2241" t="s">
        <v>1607</v>
      </c>
      <c r="M2241" s="161" t="s">
        <v>19202</v>
      </c>
    </row>
    <row r="2242" spans="9:13" x14ac:dyDescent="0.25">
      <c r="I2242" t="s">
        <v>10817</v>
      </c>
      <c r="J2242" s="161" t="s">
        <v>19202</v>
      </c>
      <c r="K2242" t="s">
        <v>19203</v>
      </c>
      <c r="L2242" t="s">
        <v>10816</v>
      </c>
      <c r="M2242" s="161" t="s">
        <v>19202</v>
      </c>
    </row>
    <row r="2243" spans="9:13" x14ac:dyDescent="0.25">
      <c r="I2243" t="s">
        <v>7304</v>
      </c>
      <c r="J2243" s="161" t="s">
        <v>19202</v>
      </c>
      <c r="K2243" t="s">
        <v>19203</v>
      </c>
      <c r="L2243" t="s">
        <v>7303</v>
      </c>
      <c r="M2243" s="161" t="s">
        <v>19202</v>
      </c>
    </row>
    <row r="2244" spans="9:13" x14ac:dyDescent="0.25">
      <c r="I2244" t="s">
        <v>4231</v>
      </c>
      <c r="J2244" s="161" t="s">
        <v>19202</v>
      </c>
      <c r="K2244" t="s">
        <v>19203</v>
      </c>
      <c r="L2244" t="s">
        <v>4230</v>
      </c>
      <c r="M2244" s="161" t="s">
        <v>19202</v>
      </c>
    </row>
    <row r="2245" spans="9:13" x14ac:dyDescent="0.25">
      <c r="I2245" t="s">
        <v>12392</v>
      </c>
      <c r="J2245" s="161" t="s">
        <v>19202</v>
      </c>
      <c r="K2245" t="s">
        <v>19203</v>
      </c>
      <c r="L2245" t="s">
        <v>12391</v>
      </c>
      <c r="M2245" s="161" t="s">
        <v>19202</v>
      </c>
    </row>
    <row r="2246" spans="9:13" x14ac:dyDescent="0.25">
      <c r="I2246" t="s">
        <v>2544</v>
      </c>
      <c r="J2246" s="161" t="s">
        <v>19202</v>
      </c>
      <c r="K2246" t="s">
        <v>19203</v>
      </c>
      <c r="L2246" t="s">
        <v>2543</v>
      </c>
      <c r="M2246" s="161" t="s">
        <v>19202</v>
      </c>
    </row>
    <row r="2247" spans="9:13" x14ac:dyDescent="0.25">
      <c r="I2247" t="s">
        <v>3249</v>
      </c>
      <c r="J2247" s="161" t="s">
        <v>19202</v>
      </c>
      <c r="K2247" t="s">
        <v>19203</v>
      </c>
      <c r="L2247" t="s">
        <v>3248</v>
      </c>
      <c r="M2247" s="161" t="s">
        <v>19202</v>
      </c>
    </row>
    <row r="2248" spans="9:13" x14ac:dyDescent="0.25">
      <c r="I2248" t="s">
        <v>11146</v>
      </c>
      <c r="J2248" s="161" t="s">
        <v>19202</v>
      </c>
      <c r="K2248" t="s">
        <v>19203</v>
      </c>
      <c r="L2248" t="s">
        <v>11145</v>
      </c>
      <c r="M2248" s="161" t="s">
        <v>19202</v>
      </c>
    </row>
    <row r="2249" spans="9:13" x14ac:dyDescent="0.25">
      <c r="I2249" t="s">
        <v>13229</v>
      </c>
      <c r="J2249" s="161" t="s">
        <v>19202</v>
      </c>
      <c r="K2249" t="s">
        <v>19203</v>
      </c>
      <c r="L2249" t="s">
        <v>13228</v>
      </c>
      <c r="M2249" s="161" t="s">
        <v>19202</v>
      </c>
    </row>
    <row r="2250" spans="9:13" x14ac:dyDescent="0.25">
      <c r="I2250" t="s">
        <v>10535</v>
      </c>
      <c r="J2250" s="161" t="s">
        <v>19202</v>
      </c>
      <c r="K2250" t="s">
        <v>19203</v>
      </c>
      <c r="L2250" t="s">
        <v>10534</v>
      </c>
      <c r="M2250" s="161" t="s">
        <v>19202</v>
      </c>
    </row>
    <row r="2251" spans="9:13" x14ac:dyDescent="0.25">
      <c r="I2251" t="s">
        <v>9575</v>
      </c>
      <c r="J2251" s="161" t="s">
        <v>19202</v>
      </c>
      <c r="K2251" t="s">
        <v>19203</v>
      </c>
      <c r="L2251" t="s">
        <v>9574</v>
      </c>
      <c r="M2251" s="161" t="s">
        <v>19202</v>
      </c>
    </row>
    <row r="2252" spans="9:13" x14ac:dyDescent="0.25">
      <c r="I2252" t="s">
        <v>12869</v>
      </c>
      <c r="J2252" s="161" t="s">
        <v>19202</v>
      </c>
      <c r="K2252" t="s">
        <v>19203</v>
      </c>
      <c r="L2252" t="s">
        <v>12868</v>
      </c>
      <c r="M2252" s="161" t="s">
        <v>19202</v>
      </c>
    </row>
    <row r="2253" spans="9:13" x14ac:dyDescent="0.25">
      <c r="I2253" t="s">
        <v>13600</v>
      </c>
      <c r="J2253" s="161" t="s">
        <v>19202</v>
      </c>
      <c r="K2253" t="s">
        <v>19203</v>
      </c>
      <c r="L2253" t="s">
        <v>5883</v>
      </c>
      <c r="M2253" s="161" t="s">
        <v>19202</v>
      </c>
    </row>
    <row r="2254" spans="9:13" x14ac:dyDescent="0.25">
      <c r="I2254" t="s">
        <v>7256</v>
      </c>
      <c r="J2254" s="161" t="s">
        <v>19202</v>
      </c>
      <c r="K2254" t="s">
        <v>19203</v>
      </c>
      <c r="L2254" t="s">
        <v>7255</v>
      </c>
      <c r="M2254" s="161" t="s">
        <v>19202</v>
      </c>
    </row>
    <row r="2255" spans="9:13" x14ac:dyDescent="0.25">
      <c r="I2255" t="s">
        <v>11289</v>
      </c>
      <c r="J2255" s="161" t="s">
        <v>19202</v>
      </c>
      <c r="K2255" t="s">
        <v>19203</v>
      </c>
      <c r="L2255" t="s">
        <v>11288</v>
      </c>
      <c r="M2255" s="161" t="s">
        <v>19202</v>
      </c>
    </row>
    <row r="2256" spans="9:13" x14ac:dyDescent="0.25">
      <c r="I2256" t="s">
        <v>15676</v>
      </c>
      <c r="J2256" s="161" t="s">
        <v>19202</v>
      </c>
      <c r="K2256" t="s">
        <v>19203</v>
      </c>
      <c r="L2256" t="s">
        <v>706</v>
      </c>
      <c r="M2256" s="161" t="s">
        <v>19202</v>
      </c>
    </row>
    <row r="2257" spans="9:13" x14ac:dyDescent="0.25">
      <c r="I2257" t="s">
        <v>10857</v>
      </c>
      <c r="J2257" s="161" t="s">
        <v>19202</v>
      </c>
      <c r="K2257" t="s">
        <v>19203</v>
      </c>
      <c r="L2257" t="s">
        <v>10856</v>
      </c>
      <c r="M2257" s="161" t="s">
        <v>19202</v>
      </c>
    </row>
    <row r="2258" spans="9:13" x14ac:dyDescent="0.25">
      <c r="I2258" t="s">
        <v>692</v>
      </c>
      <c r="J2258" s="161" t="s">
        <v>19202</v>
      </c>
      <c r="K2258" t="s">
        <v>19203</v>
      </c>
      <c r="L2258" t="s">
        <v>691</v>
      </c>
      <c r="M2258" s="161" t="s">
        <v>19202</v>
      </c>
    </row>
    <row r="2259" spans="9:13" x14ac:dyDescent="0.25">
      <c r="I2259" t="s">
        <v>13363</v>
      </c>
      <c r="J2259" s="161" t="s">
        <v>19202</v>
      </c>
      <c r="K2259" t="s">
        <v>19203</v>
      </c>
      <c r="L2259" t="s">
        <v>823</v>
      </c>
      <c r="M2259" s="161" t="s">
        <v>19202</v>
      </c>
    </row>
    <row r="2260" spans="9:13" x14ac:dyDescent="0.25">
      <c r="I2260" t="s">
        <v>19513</v>
      </c>
      <c r="J2260" s="161" t="s">
        <v>19202</v>
      </c>
      <c r="K2260" t="s">
        <v>19203</v>
      </c>
      <c r="L2260" t="s">
        <v>19514</v>
      </c>
      <c r="M2260" s="161" t="s">
        <v>19202</v>
      </c>
    </row>
    <row r="2261" spans="9:13" x14ac:dyDescent="0.25">
      <c r="I2261" t="s">
        <v>14030</v>
      </c>
      <c r="J2261" s="161" t="s">
        <v>19202</v>
      </c>
      <c r="K2261" t="s">
        <v>19203</v>
      </c>
      <c r="L2261" t="s">
        <v>14029</v>
      </c>
      <c r="M2261" s="161" t="s">
        <v>19202</v>
      </c>
    </row>
    <row r="2262" spans="9:13" x14ac:dyDescent="0.25">
      <c r="I2262" t="s">
        <v>11025</v>
      </c>
      <c r="J2262" s="161" t="s">
        <v>19202</v>
      </c>
      <c r="K2262" t="s">
        <v>19203</v>
      </c>
      <c r="L2262" t="s">
        <v>11024</v>
      </c>
      <c r="M2262" s="161" t="s">
        <v>19202</v>
      </c>
    </row>
    <row r="2263" spans="9:13" x14ac:dyDescent="0.25">
      <c r="I2263" t="s">
        <v>7903</v>
      </c>
      <c r="J2263" s="161" t="s">
        <v>19202</v>
      </c>
      <c r="K2263" t="s">
        <v>19203</v>
      </c>
      <c r="L2263" t="s">
        <v>7902</v>
      </c>
      <c r="M2263" s="161" t="s">
        <v>19202</v>
      </c>
    </row>
    <row r="2264" spans="9:13" x14ac:dyDescent="0.25">
      <c r="I2264" t="s">
        <v>4439</v>
      </c>
      <c r="J2264" s="161" t="s">
        <v>19202</v>
      </c>
      <c r="K2264" t="s">
        <v>19203</v>
      </c>
      <c r="L2264" t="s">
        <v>4438</v>
      </c>
      <c r="M2264" s="161" t="s">
        <v>19202</v>
      </c>
    </row>
    <row r="2265" spans="9:13" x14ac:dyDescent="0.25">
      <c r="I2265" t="s">
        <v>16879</v>
      </c>
      <c r="J2265" s="161" t="s">
        <v>19202</v>
      </c>
      <c r="K2265" t="s">
        <v>19203</v>
      </c>
      <c r="L2265" t="s">
        <v>941</v>
      </c>
      <c r="M2265" s="161" t="s">
        <v>19202</v>
      </c>
    </row>
    <row r="2266" spans="9:13" x14ac:dyDescent="0.25">
      <c r="I2266" t="s">
        <v>14059</v>
      </c>
      <c r="J2266" s="161" t="s">
        <v>19202</v>
      </c>
      <c r="K2266" t="s">
        <v>19203</v>
      </c>
      <c r="L2266" t="s">
        <v>14058</v>
      </c>
      <c r="M2266" s="161" t="s">
        <v>19202</v>
      </c>
    </row>
    <row r="2267" spans="9:13" x14ac:dyDescent="0.25">
      <c r="I2267" t="s">
        <v>10781</v>
      </c>
      <c r="J2267" s="161" t="s">
        <v>19202</v>
      </c>
      <c r="K2267" t="s">
        <v>19203</v>
      </c>
      <c r="L2267" t="s">
        <v>10780</v>
      </c>
      <c r="M2267" s="161" t="s">
        <v>19202</v>
      </c>
    </row>
    <row r="2268" spans="9:13" x14ac:dyDescent="0.25">
      <c r="I2268" t="s">
        <v>8483</v>
      </c>
      <c r="J2268" s="161" t="s">
        <v>19202</v>
      </c>
      <c r="K2268" t="s">
        <v>19203</v>
      </c>
      <c r="L2268" t="s">
        <v>8482</v>
      </c>
      <c r="M2268" s="161" t="s">
        <v>19202</v>
      </c>
    </row>
    <row r="2269" spans="9:13" x14ac:dyDescent="0.25">
      <c r="I2269" t="s">
        <v>1368</v>
      </c>
      <c r="J2269" s="161" t="s">
        <v>19202</v>
      </c>
      <c r="K2269" t="s">
        <v>19203</v>
      </c>
      <c r="L2269" t="s">
        <v>1367</v>
      </c>
      <c r="M2269" s="161" t="s">
        <v>19202</v>
      </c>
    </row>
    <row r="2270" spans="9:13" x14ac:dyDescent="0.25">
      <c r="I2270" t="s">
        <v>3822</v>
      </c>
      <c r="J2270" s="161" t="s">
        <v>19202</v>
      </c>
      <c r="K2270" t="s">
        <v>19203</v>
      </c>
      <c r="L2270" t="s">
        <v>3821</v>
      </c>
      <c r="M2270" s="161" t="s">
        <v>19202</v>
      </c>
    </row>
    <row r="2271" spans="9:13" x14ac:dyDescent="0.25">
      <c r="I2271" t="s">
        <v>4654</v>
      </c>
      <c r="J2271" s="161" t="s">
        <v>19202</v>
      </c>
      <c r="K2271" t="s">
        <v>19203</v>
      </c>
      <c r="L2271" t="s">
        <v>4653</v>
      </c>
      <c r="M2271" s="161" t="s">
        <v>19202</v>
      </c>
    </row>
    <row r="2272" spans="9:13" x14ac:dyDescent="0.25">
      <c r="I2272" t="s">
        <v>1227</v>
      </c>
      <c r="J2272" s="161" t="s">
        <v>19202</v>
      </c>
      <c r="K2272" t="s">
        <v>19203</v>
      </c>
      <c r="L2272" t="s">
        <v>1226</v>
      </c>
      <c r="M2272" s="161" t="s">
        <v>19202</v>
      </c>
    </row>
    <row r="2273" spans="9:13" x14ac:dyDescent="0.25">
      <c r="I2273" t="s">
        <v>12232</v>
      </c>
      <c r="J2273" s="161" t="s">
        <v>19202</v>
      </c>
      <c r="K2273" t="s">
        <v>19203</v>
      </c>
      <c r="L2273" t="s">
        <v>12231</v>
      </c>
      <c r="M2273" s="161" t="s">
        <v>19202</v>
      </c>
    </row>
    <row r="2274" spans="9:13" x14ac:dyDescent="0.25">
      <c r="I2274" t="s">
        <v>12187</v>
      </c>
      <c r="J2274" s="161" t="s">
        <v>19202</v>
      </c>
      <c r="K2274" t="s">
        <v>19203</v>
      </c>
      <c r="L2274" t="s">
        <v>12186</v>
      </c>
      <c r="M2274" s="161" t="s">
        <v>19202</v>
      </c>
    </row>
    <row r="2275" spans="9:13" x14ac:dyDescent="0.25">
      <c r="I2275" t="s">
        <v>19515</v>
      </c>
      <c r="J2275" s="161" t="s">
        <v>19202</v>
      </c>
      <c r="K2275" t="s">
        <v>19203</v>
      </c>
      <c r="L2275" t="s">
        <v>19516</v>
      </c>
      <c r="M2275" s="161" t="s">
        <v>19202</v>
      </c>
    </row>
    <row r="2276" spans="9:13" x14ac:dyDescent="0.25">
      <c r="I2276" t="s">
        <v>9320</v>
      </c>
      <c r="J2276" s="161" t="s">
        <v>19202</v>
      </c>
      <c r="K2276" t="s">
        <v>19203</v>
      </c>
      <c r="L2276" t="s">
        <v>9319</v>
      </c>
      <c r="M2276" s="161" t="s">
        <v>19202</v>
      </c>
    </row>
    <row r="2277" spans="9:13" x14ac:dyDescent="0.25">
      <c r="I2277" t="s">
        <v>2939</v>
      </c>
      <c r="J2277" s="161" t="s">
        <v>19202</v>
      </c>
      <c r="K2277" t="s">
        <v>19203</v>
      </c>
      <c r="L2277" t="s">
        <v>2938</v>
      </c>
      <c r="M2277" s="161" t="s">
        <v>19202</v>
      </c>
    </row>
    <row r="2278" spans="9:13" x14ac:dyDescent="0.25">
      <c r="I2278" t="s">
        <v>9625</v>
      </c>
      <c r="J2278" s="161" t="s">
        <v>19202</v>
      </c>
      <c r="K2278" t="s">
        <v>19203</v>
      </c>
      <c r="L2278" t="s">
        <v>9624</v>
      </c>
      <c r="M2278" s="161" t="s">
        <v>19202</v>
      </c>
    </row>
    <row r="2279" spans="9:13" x14ac:dyDescent="0.25">
      <c r="I2279" t="s">
        <v>17896</v>
      </c>
      <c r="J2279" s="161" t="s">
        <v>19202</v>
      </c>
      <c r="K2279" t="s">
        <v>19203</v>
      </c>
      <c r="L2279" t="s">
        <v>17895</v>
      </c>
      <c r="M2279" s="161" t="s">
        <v>19202</v>
      </c>
    </row>
    <row r="2280" spans="9:13" x14ac:dyDescent="0.25">
      <c r="I2280" t="s">
        <v>1598</v>
      </c>
      <c r="J2280" s="161" t="s">
        <v>19202</v>
      </c>
      <c r="K2280" t="s">
        <v>19203</v>
      </c>
      <c r="L2280" t="s">
        <v>316</v>
      </c>
      <c r="M2280" s="161" t="s">
        <v>19202</v>
      </c>
    </row>
    <row r="2281" spans="9:13" x14ac:dyDescent="0.25">
      <c r="I2281" t="s">
        <v>11040</v>
      </c>
      <c r="J2281" s="161" t="s">
        <v>19202</v>
      </c>
      <c r="K2281" t="s">
        <v>19203</v>
      </c>
      <c r="L2281" t="s">
        <v>11039</v>
      </c>
      <c r="M2281" s="161" t="s">
        <v>19202</v>
      </c>
    </row>
    <row r="2282" spans="9:13" x14ac:dyDescent="0.25">
      <c r="I2282" t="s">
        <v>10422</v>
      </c>
      <c r="J2282" s="161" t="s">
        <v>19202</v>
      </c>
      <c r="K2282" t="s">
        <v>19203</v>
      </c>
      <c r="L2282" t="s">
        <v>10421</v>
      </c>
      <c r="M2282" s="161" t="s">
        <v>19202</v>
      </c>
    </row>
    <row r="2283" spans="9:13" x14ac:dyDescent="0.25">
      <c r="I2283" t="s">
        <v>12524</v>
      </c>
      <c r="J2283" s="161" t="s">
        <v>19202</v>
      </c>
      <c r="K2283" t="s">
        <v>19203</v>
      </c>
      <c r="L2283" t="s">
        <v>12523</v>
      </c>
      <c r="M2283" s="161" t="s">
        <v>19202</v>
      </c>
    </row>
    <row r="2284" spans="9:13" x14ac:dyDescent="0.25">
      <c r="I2284" t="s">
        <v>12528</v>
      </c>
      <c r="J2284" s="161" t="s">
        <v>19202</v>
      </c>
      <c r="K2284" t="s">
        <v>19203</v>
      </c>
      <c r="L2284" t="s">
        <v>12527</v>
      </c>
      <c r="M2284" s="161" t="s">
        <v>19202</v>
      </c>
    </row>
    <row r="2285" spans="9:13" x14ac:dyDescent="0.25">
      <c r="I2285" t="s">
        <v>16717</v>
      </c>
      <c r="J2285" s="161" t="s">
        <v>19202</v>
      </c>
      <c r="K2285" t="s">
        <v>19203</v>
      </c>
      <c r="L2285" t="s">
        <v>16716</v>
      </c>
      <c r="M2285" s="161" t="s">
        <v>19202</v>
      </c>
    </row>
    <row r="2286" spans="9:13" x14ac:dyDescent="0.25">
      <c r="I2286" t="s">
        <v>5373</v>
      </c>
      <c r="J2286" s="161" t="s">
        <v>19202</v>
      </c>
      <c r="K2286" t="s">
        <v>19203</v>
      </c>
      <c r="L2286" t="s">
        <v>5372</v>
      </c>
      <c r="M2286" s="161" t="s">
        <v>19202</v>
      </c>
    </row>
    <row r="2287" spans="9:13" x14ac:dyDescent="0.25">
      <c r="I2287" t="s">
        <v>13157</v>
      </c>
      <c r="J2287" s="161" t="s">
        <v>19202</v>
      </c>
      <c r="K2287" t="s">
        <v>19203</v>
      </c>
      <c r="L2287" t="s">
        <v>13156</v>
      </c>
      <c r="M2287" s="161" t="s">
        <v>19202</v>
      </c>
    </row>
    <row r="2288" spans="9:13" x14ac:dyDescent="0.25">
      <c r="I2288" t="s">
        <v>12215</v>
      </c>
      <c r="J2288" s="161" t="s">
        <v>19202</v>
      </c>
      <c r="K2288" t="s">
        <v>19203</v>
      </c>
      <c r="L2288" t="s">
        <v>11890</v>
      </c>
      <c r="M2288" s="161" t="s">
        <v>19202</v>
      </c>
    </row>
    <row r="2289" spans="9:13" x14ac:dyDescent="0.25">
      <c r="I2289" t="s">
        <v>929</v>
      </c>
      <c r="J2289" s="161" t="s">
        <v>19202</v>
      </c>
      <c r="K2289" t="s">
        <v>19203</v>
      </c>
      <c r="L2289" t="s">
        <v>928</v>
      </c>
      <c r="M2289" s="161" t="s">
        <v>19202</v>
      </c>
    </row>
    <row r="2290" spans="9:13" x14ac:dyDescent="0.25">
      <c r="I2290" t="s">
        <v>4467</v>
      </c>
      <c r="J2290" s="161" t="s">
        <v>19202</v>
      </c>
      <c r="K2290" t="s">
        <v>19203</v>
      </c>
      <c r="L2290" t="s">
        <v>4466</v>
      </c>
      <c r="M2290" s="161" t="s">
        <v>19202</v>
      </c>
    </row>
    <row r="2291" spans="9:13" x14ac:dyDescent="0.25">
      <c r="I2291" t="s">
        <v>12396</v>
      </c>
      <c r="J2291" s="161" t="s">
        <v>19202</v>
      </c>
      <c r="K2291" t="s">
        <v>19203</v>
      </c>
      <c r="L2291" t="s">
        <v>12395</v>
      </c>
      <c r="M2291" s="161" t="s">
        <v>19202</v>
      </c>
    </row>
    <row r="2292" spans="9:13" x14ac:dyDescent="0.25">
      <c r="I2292" t="s">
        <v>5314</v>
      </c>
      <c r="J2292" s="161" t="s">
        <v>19202</v>
      </c>
      <c r="K2292" t="s">
        <v>19203</v>
      </c>
      <c r="L2292" t="s">
        <v>5313</v>
      </c>
      <c r="M2292" s="161" t="s">
        <v>19202</v>
      </c>
    </row>
    <row r="2293" spans="9:13" x14ac:dyDescent="0.25">
      <c r="I2293" t="s">
        <v>15375</v>
      </c>
      <c r="J2293" s="161" t="s">
        <v>19202</v>
      </c>
      <c r="K2293" t="s">
        <v>19203</v>
      </c>
      <c r="L2293" t="s">
        <v>4060</v>
      </c>
      <c r="M2293" s="161" t="s">
        <v>19202</v>
      </c>
    </row>
    <row r="2294" spans="9:13" x14ac:dyDescent="0.25">
      <c r="I2294" t="s">
        <v>9581</v>
      </c>
      <c r="J2294" s="161" t="s">
        <v>19202</v>
      </c>
      <c r="K2294" t="s">
        <v>19203</v>
      </c>
      <c r="L2294" t="s">
        <v>9580</v>
      </c>
      <c r="M2294" s="161" t="s">
        <v>19202</v>
      </c>
    </row>
    <row r="2295" spans="9:13" x14ac:dyDescent="0.25">
      <c r="I2295" t="s">
        <v>9430</v>
      </c>
      <c r="J2295" s="161" t="s">
        <v>19202</v>
      </c>
      <c r="K2295" t="s">
        <v>19203</v>
      </c>
      <c r="L2295" t="s">
        <v>9429</v>
      </c>
      <c r="M2295" s="161" t="s">
        <v>19202</v>
      </c>
    </row>
    <row r="2296" spans="9:13" x14ac:dyDescent="0.25">
      <c r="I2296" t="s">
        <v>15970</v>
      </c>
      <c r="J2296" s="161" t="s">
        <v>19202</v>
      </c>
      <c r="K2296" t="s">
        <v>19203</v>
      </c>
      <c r="L2296" t="s">
        <v>15969</v>
      </c>
      <c r="M2296" s="161" t="s">
        <v>19202</v>
      </c>
    </row>
    <row r="2297" spans="9:13" x14ac:dyDescent="0.25">
      <c r="I2297" t="s">
        <v>12258</v>
      </c>
      <c r="J2297" s="161" t="s">
        <v>19202</v>
      </c>
      <c r="K2297" t="s">
        <v>19203</v>
      </c>
      <c r="L2297" t="s">
        <v>12257</v>
      </c>
      <c r="M2297" s="161" t="s">
        <v>19202</v>
      </c>
    </row>
    <row r="2298" spans="9:13" x14ac:dyDescent="0.25">
      <c r="I2298" t="s">
        <v>4954</v>
      </c>
      <c r="J2298" s="161" t="s">
        <v>19202</v>
      </c>
      <c r="K2298" t="s">
        <v>19203</v>
      </c>
      <c r="L2298" t="s">
        <v>4953</v>
      </c>
      <c r="M2298" s="161" t="s">
        <v>19202</v>
      </c>
    </row>
    <row r="2299" spans="9:13" x14ac:dyDescent="0.25">
      <c r="I2299" t="s">
        <v>4762</v>
      </c>
      <c r="J2299" s="161" t="s">
        <v>19202</v>
      </c>
      <c r="K2299" t="s">
        <v>19203</v>
      </c>
      <c r="L2299" t="s">
        <v>4761</v>
      </c>
      <c r="M2299" s="161" t="s">
        <v>19202</v>
      </c>
    </row>
    <row r="2300" spans="9:13" x14ac:dyDescent="0.25">
      <c r="I2300" t="s">
        <v>3760</v>
      </c>
      <c r="J2300" s="161" t="s">
        <v>19202</v>
      </c>
      <c r="K2300" t="s">
        <v>19203</v>
      </c>
      <c r="L2300" t="s">
        <v>550</v>
      </c>
      <c r="M2300" s="161" t="s">
        <v>19202</v>
      </c>
    </row>
    <row r="2301" spans="9:13" x14ac:dyDescent="0.25">
      <c r="I2301" t="s">
        <v>3759</v>
      </c>
      <c r="J2301" s="161" t="s">
        <v>19202</v>
      </c>
      <c r="K2301" t="s">
        <v>19203</v>
      </c>
      <c r="L2301" t="s">
        <v>3758</v>
      </c>
      <c r="M2301" s="161" t="s">
        <v>19202</v>
      </c>
    </row>
    <row r="2302" spans="9:13" x14ac:dyDescent="0.25">
      <c r="I2302" t="s">
        <v>12484</v>
      </c>
      <c r="J2302" s="161" t="s">
        <v>19202</v>
      </c>
      <c r="K2302" t="s">
        <v>19203</v>
      </c>
      <c r="L2302" t="s">
        <v>12483</v>
      </c>
      <c r="M2302" s="161" t="s">
        <v>19202</v>
      </c>
    </row>
    <row r="2303" spans="9:13" x14ac:dyDescent="0.25">
      <c r="I2303" t="s">
        <v>13941</v>
      </c>
      <c r="J2303" s="161" t="s">
        <v>19202</v>
      </c>
      <c r="K2303" t="s">
        <v>19203</v>
      </c>
      <c r="L2303" t="s">
        <v>13940</v>
      </c>
      <c r="M2303" s="161" t="s">
        <v>19202</v>
      </c>
    </row>
    <row r="2304" spans="9:13" x14ac:dyDescent="0.25">
      <c r="I2304" t="s">
        <v>12482</v>
      </c>
      <c r="J2304" s="161" t="s">
        <v>19202</v>
      </c>
      <c r="K2304" t="s">
        <v>19203</v>
      </c>
      <c r="L2304" t="s">
        <v>12481</v>
      </c>
      <c r="M2304" s="161" t="s">
        <v>19202</v>
      </c>
    </row>
    <row r="2305" spans="9:13" x14ac:dyDescent="0.25">
      <c r="I2305" t="s">
        <v>15671</v>
      </c>
      <c r="J2305" s="161" t="s">
        <v>19202</v>
      </c>
      <c r="K2305" t="s">
        <v>19203</v>
      </c>
      <c r="L2305" t="s">
        <v>15670</v>
      </c>
      <c r="M2305" s="161" t="s">
        <v>19202</v>
      </c>
    </row>
    <row r="2306" spans="9:13" x14ac:dyDescent="0.25">
      <c r="I2306" t="s">
        <v>17799</v>
      </c>
      <c r="J2306" s="161" t="s">
        <v>19202</v>
      </c>
      <c r="K2306" t="s">
        <v>19203</v>
      </c>
      <c r="L2306" t="s">
        <v>17798</v>
      </c>
      <c r="M2306" s="161" t="s">
        <v>19202</v>
      </c>
    </row>
    <row r="2307" spans="9:13" x14ac:dyDescent="0.25">
      <c r="I2307" t="s">
        <v>16426</v>
      </c>
      <c r="J2307" s="161" t="s">
        <v>19202</v>
      </c>
      <c r="K2307" t="s">
        <v>19203</v>
      </c>
      <c r="L2307" t="s">
        <v>1350</v>
      </c>
      <c r="M2307" s="161" t="s">
        <v>19202</v>
      </c>
    </row>
    <row r="2308" spans="9:13" x14ac:dyDescent="0.25">
      <c r="I2308" t="s">
        <v>17475</v>
      </c>
      <c r="J2308" s="161" t="s">
        <v>19202</v>
      </c>
      <c r="K2308" t="s">
        <v>19203</v>
      </c>
      <c r="L2308" t="s">
        <v>17474</v>
      </c>
      <c r="M2308" s="161" t="s">
        <v>19202</v>
      </c>
    </row>
    <row r="2309" spans="9:13" x14ac:dyDescent="0.25">
      <c r="I2309" t="s">
        <v>16838</v>
      </c>
      <c r="J2309" s="161" t="s">
        <v>19202</v>
      </c>
      <c r="K2309" t="s">
        <v>19203</v>
      </c>
      <c r="L2309" t="s">
        <v>941</v>
      </c>
      <c r="M2309" s="161" t="s">
        <v>19202</v>
      </c>
    </row>
    <row r="2310" spans="9:13" x14ac:dyDescent="0.25">
      <c r="I2310" t="s">
        <v>19517</v>
      </c>
      <c r="J2310" s="161" t="s">
        <v>19202</v>
      </c>
      <c r="K2310" t="s">
        <v>19203</v>
      </c>
      <c r="L2310" t="s">
        <v>19518</v>
      </c>
      <c r="M2310" s="161" t="s">
        <v>19202</v>
      </c>
    </row>
    <row r="2311" spans="9:13" x14ac:dyDescent="0.25">
      <c r="I2311" t="s">
        <v>4473</v>
      </c>
      <c r="J2311" s="161" t="s">
        <v>19202</v>
      </c>
      <c r="K2311" t="s">
        <v>19203</v>
      </c>
      <c r="L2311" t="s">
        <v>4472</v>
      </c>
      <c r="M2311" s="161" t="s">
        <v>19202</v>
      </c>
    </row>
    <row r="2312" spans="9:13" x14ac:dyDescent="0.25">
      <c r="I2312" t="s">
        <v>4961</v>
      </c>
      <c r="J2312" s="161" t="s">
        <v>19202</v>
      </c>
      <c r="K2312" t="s">
        <v>19203</v>
      </c>
      <c r="L2312" t="s">
        <v>3556</v>
      </c>
      <c r="M2312" s="161" t="s">
        <v>19202</v>
      </c>
    </row>
    <row r="2313" spans="9:13" x14ac:dyDescent="0.25">
      <c r="I2313" t="s">
        <v>981</v>
      </c>
      <c r="J2313" s="161" t="s">
        <v>19202</v>
      </c>
      <c r="K2313" t="s">
        <v>19203</v>
      </c>
      <c r="L2313" t="s">
        <v>980</v>
      </c>
      <c r="M2313" s="161" t="s">
        <v>19202</v>
      </c>
    </row>
    <row r="2314" spans="9:13" x14ac:dyDescent="0.25">
      <c r="I2314" t="s">
        <v>4540</v>
      </c>
      <c r="J2314" s="161" t="s">
        <v>19202</v>
      </c>
      <c r="K2314" t="s">
        <v>19203</v>
      </c>
      <c r="L2314" t="s">
        <v>4539</v>
      </c>
      <c r="M2314" s="161" t="s">
        <v>19202</v>
      </c>
    </row>
    <row r="2315" spans="9:13" x14ac:dyDescent="0.25">
      <c r="I2315" t="s">
        <v>5931</v>
      </c>
      <c r="J2315" s="161" t="s">
        <v>19202</v>
      </c>
      <c r="K2315" t="s">
        <v>19203</v>
      </c>
      <c r="L2315" t="s">
        <v>5930</v>
      </c>
      <c r="M2315" s="161" t="s">
        <v>19202</v>
      </c>
    </row>
    <row r="2316" spans="9:13" x14ac:dyDescent="0.25">
      <c r="I2316" t="s">
        <v>4960</v>
      </c>
      <c r="J2316" s="161" t="s">
        <v>19202</v>
      </c>
      <c r="K2316" t="s">
        <v>19203</v>
      </c>
      <c r="L2316" t="s">
        <v>4959</v>
      </c>
      <c r="M2316" s="161" t="s">
        <v>19202</v>
      </c>
    </row>
    <row r="2317" spans="9:13" x14ac:dyDescent="0.25">
      <c r="I2317" t="s">
        <v>10694</v>
      </c>
      <c r="J2317" s="161" t="s">
        <v>19202</v>
      </c>
      <c r="K2317" t="s">
        <v>19203</v>
      </c>
      <c r="L2317" t="s">
        <v>10693</v>
      </c>
      <c r="M2317" s="161" t="s">
        <v>19202</v>
      </c>
    </row>
    <row r="2318" spans="9:13" x14ac:dyDescent="0.25">
      <c r="I2318" t="s">
        <v>8392</v>
      </c>
      <c r="J2318" s="161" t="s">
        <v>19202</v>
      </c>
      <c r="K2318" t="s">
        <v>19203</v>
      </c>
      <c r="L2318" t="s">
        <v>8391</v>
      </c>
      <c r="M2318" s="161" t="s">
        <v>19202</v>
      </c>
    </row>
    <row r="2319" spans="9:13" x14ac:dyDescent="0.25">
      <c r="I2319" t="s">
        <v>16246</v>
      </c>
      <c r="J2319" s="161" t="s">
        <v>19202</v>
      </c>
      <c r="K2319" t="s">
        <v>19203</v>
      </c>
      <c r="L2319" t="s">
        <v>16245</v>
      </c>
      <c r="M2319" s="161" t="s">
        <v>19202</v>
      </c>
    </row>
    <row r="2320" spans="9:13" x14ac:dyDescent="0.25">
      <c r="I2320" t="s">
        <v>16513</v>
      </c>
      <c r="J2320" s="161" t="s">
        <v>19202</v>
      </c>
      <c r="K2320" t="s">
        <v>19203</v>
      </c>
      <c r="L2320" t="s">
        <v>16512</v>
      </c>
      <c r="M2320" s="161" t="s">
        <v>19202</v>
      </c>
    </row>
    <row r="2321" spans="9:13" x14ac:dyDescent="0.25">
      <c r="I2321" t="s">
        <v>15987</v>
      </c>
      <c r="J2321" s="161" t="s">
        <v>19202</v>
      </c>
      <c r="K2321" t="s">
        <v>19203</v>
      </c>
      <c r="L2321" t="s">
        <v>970</v>
      </c>
      <c r="M2321" s="161" t="s">
        <v>19202</v>
      </c>
    </row>
    <row r="2322" spans="9:13" x14ac:dyDescent="0.25">
      <c r="I2322" t="s">
        <v>4912</v>
      </c>
      <c r="J2322" s="161" t="s">
        <v>19202</v>
      </c>
      <c r="K2322" t="s">
        <v>19203</v>
      </c>
      <c r="L2322" t="s">
        <v>4911</v>
      </c>
      <c r="M2322" s="161" t="s">
        <v>19202</v>
      </c>
    </row>
    <row r="2323" spans="9:13" x14ac:dyDescent="0.25">
      <c r="I2323" t="s">
        <v>7823</v>
      </c>
      <c r="J2323" s="161" t="s">
        <v>19202</v>
      </c>
      <c r="K2323" t="s">
        <v>19203</v>
      </c>
      <c r="L2323" t="s">
        <v>7822</v>
      </c>
      <c r="M2323" s="161" t="s">
        <v>19202</v>
      </c>
    </row>
    <row r="2324" spans="9:13" x14ac:dyDescent="0.25">
      <c r="I2324" t="s">
        <v>12328</v>
      </c>
      <c r="J2324" s="161" t="s">
        <v>19202</v>
      </c>
      <c r="K2324" t="s">
        <v>19203</v>
      </c>
      <c r="L2324" t="s">
        <v>12327</v>
      </c>
      <c r="M2324" s="161" t="s">
        <v>19202</v>
      </c>
    </row>
    <row r="2325" spans="9:13" x14ac:dyDescent="0.25">
      <c r="I2325" t="s">
        <v>4248</v>
      </c>
      <c r="J2325" s="161" t="s">
        <v>19202</v>
      </c>
      <c r="K2325" t="s">
        <v>19203</v>
      </c>
      <c r="L2325" t="s">
        <v>4247</v>
      </c>
      <c r="M2325" s="161" t="s">
        <v>19202</v>
      </c>
    </row>
    <row r="2326" spans="9:13" x14ac:dyDescent="0.25">
      <c r="I2326" t="s">
        <v>6845</v>
      </c>
      <c r="J2326" s="161" t="s">
        <v>19202</v>
      </c>
      <c r="K2326" t="s">
        <v>19203</v>
      </c>
      <c r="L2326" t="s">
        <v>6844</v>
      </c>
      <c r="M2326" s="161" t="s">
        <v>19202</v>
      </c>
    </row>
    <row r="2327" spans="9:13" x14ac:dyDescent="0.25">
      <c r="I2327" t="s">
        <v>4301</v>
      </c>
      <c r="J2327" s="161" t="s">
        <v>19202</v>
      </c>
      <c r="K2327" t="s">
        <v>19203</v>
      </c>
      <c r="L2327" t="s">
        <v>4300</v>
      </c>
      <c r="M2327" s="161" t="s">
        <v>19202</v>
      </c>
    </row>
    <row r="2328" spans="9:13" x14ac:dyDescent="0.25">
      <c r="I2328" t="s">
        <v>4715</v>
      </c>
      <c r="J2328" s="161" t="s">
        <v>19202</v>
      </c>
      <c r="K2328" t="s">
        <v>19203</v>
      </c>
      <c r="L2328" t="s">
        <v>4714</v>
      </c>
      <c r="M2328" s="161" t="s">
        <v>19202</v>
      </c>
    </row>
    <row r="2329" spans="9:13" x14ac:dyDescent="0.25">
      <c r="I2329" t="s">
        <v>5136</v>
      </c>
      <c r="J2329" s="161" t="s">
        <v>19202</v>
      </c>
      <c r="K2329" t="s">
        <v>19203</v>
      </c>
      <c r="L2329" t="s">
        <v>5135</v>
      </c>
      <c r="M2329" s="161" t="s">
        <v>19202</v>
      </c>
    </row>
    <row r="2330" spans="9:13" x14ac:dyDescent="0.25">
      <c r="I2330" t="s">
        <v>4965</v>
      </c>
      <c r="J2330" s="161" t="s">
        <v>19202</v>
      </c>
      <c r="K2330" t="s">
        <v>19203</v>
      </c>
      <c r="L2330" t="s">
        <v>4964</v>
      </c>
      <c r="M2330" s="161" t="s">
        <v>19202</v>
      </c>
    </row>
    <row r="2331" spans="9:13" x14ac:dyDescent="0.25">
      <c r="I2331" t="s">
        <v>4166</v>
      </c>
      <c r="J2331" s="161" t="s">
        <v>19202</v>
      </c>
      <c r="K2331" t="s">
        <v>19203</v>
      </c>
      <c r="L2331" t="s">
        <v>4165</v>
      </c>
      <c r="M2331" s="161" t="s">
        <v>19202</v>
      </c>
    </row>
    <row r="2332" spans="9:13" x14ac:dyDescent="0.25">
      <c r="I2332" t="s">
        <v>5134</v>
      </c>
      <c r="J2332" s="161" t="s">
        <v>19202</v>
      </c>
      <c r="K2332" t="s">
        <v>19203</v>
      </c>
      <c r="L2332" t="s">
        <v>5133</v>
      </c>
      <c r="M2332" s="161" t="s">
        <v>19202</v>
      </c>
    </row>
    <row r="2333" spans="9:13" x14ac:dyDescent="0.25">
      <c r="I2333" t="s">
        <v>430</v>
      </c>
      <c r="J2333" s="161" t="s">
        <v>19202</v>
      </c>
      <c r="K2333" t="s">
        <v>19203</v>
      </c>
      <c r="L2333" t="s">
        <v>429</v>
      </c>
      <c r="M2333" s="161" t="s">
        <v>19202</v>
      </c>
    </row>
    <row r="2334" spans="9:13" x14ac:dyDescent="0.25">
      <c r="I2334" t="s">
        <v>4863</v>
      </c>
      <c r="J2334" s="161" t="s">
        <v>19202</v>
      </c>
      <c r="K2334" t="s">
        <v>19203</v>
      </c>
      <c r="L2334" t="s">
        <v>3862</v>
      </c>
      <c r="M2334" s="161" t="s">
        <v>19202</v>
      </c>
    </row>
    <row r="2335" spans="9:13" x14ac:dyDescent="0.25">
      <c r="I2335" t="s">
        <v>4862</v>
      </c>
      <c r="J2335" s="161" t="s">
        <v>19202</v>
      </c>
      <c r="K2335" t="s">
        <v>19203</v>
      </c>
      <c r="L2335" t="s">
        <v>632</v>
      </c>
      <c r="M2335" s="161" t="s">
        <v>19202</v>
      </c>
    </row>
    <row r="2336" spans="9:13" x14ac:dyDescent="0.25">
      <c r="I2336" t="s">
        <v>4861</v>
      </c>
      <c r="J2336" s="161" t="s">
        <v>19202</v>
      </c>
      <c r="K2336" t="s">
        <v>19203</v>
      </c>
      <c r="L2336" t="s">
        <v>4860</v>
      </c>
      <c r="M2336" s="161" t="s">
        <v>19202</v>
      </c>
    </row>
    <row r="2337" spans="9:13" x14ac:dyDescent="0.25">
      <c r="I2337" t="s">
        <v>4771</v>
      </c>
      <c r="J2337" s="161" t="s">
        <v>19202</v>
      </c>
      <c r="K2337" t="s">
        <v>19203</v>
      </c>
      <c r="L2337" t="s">
        <v>2085</v>
      </c>
      <c r="M2337" s="161" t="s">
        <v>19202</v>
      </c>
    </row>
    <row r="2338" spans="9:13" x14ac:dyDescent="0.25">
      <c r="I2338" t="s">
        <v>4770</v>
      </c>
      <c r="J2338" s="161" t="s">
        <v>19202</v>
      </c>
      <c r="K2338" t="s">
        <v>19203</v>
      </c>
      <c r="L2338" t="s">
        <v>1208</v>
      </c>
      <c r="M2338" s="161" t="s">
        <v>19202</v>
      </c>
    </row>
    <row r="2339" spans="9:13" x14ac:dyDescent="0.25">
      <c r="I2339" t="s">
        <v>4769</v>
      </c>
      <c r="J2339" s="161" t="s">
        <v>19202</v>
      </c>
      <c r="K2339" t="s">
        <v>19203</v>
      </c>
      <c r="L2339" t="s">
        <v>4350</v>
      </c>
      <c r="M2339" s="161" t="s">
        <v>19202</v>
      </c>
    </row>
    <row r="2340" spans="9:13" x14ac:dyDescent="0.25">
      <c r="I2340" t="s">
        <v>4963</v>
      </c>
      <c r="J2340" s="161" t="s">
        <v>19202</v>
      </c>
      <c r="K2340" t="s">
        <v>19203</v>
      </c>
      <c r="L2340" t="s">
        <v>4962</v>
      </c>
      <c r="M2340" s="161" t="s">
        <v>19202</v>
      </c>
    </row>
    <row r="2341" spans="9:13" x14ac:dyDescent="0.25">
      <c r="I2341" t="s">
        <v>4914</v>
      </c>
      <c r="J2341" s="161" t="s">
        <v>19202</v>
      </c>
      <c r="K2341" t="s">
        <v>19203</v>
      </c>
      <c r="L2341" t="s">
        <v>4913</v>
      </c>
      <c r="M2341" s="161" t="s">
        <v>19202</v>
      </c>
    </row>
    <row r="2342" spans="9:13" x14ac:dyDescent="0.25">
      <c r="I2342" t="s">
        <v>10015</v>
      </c>
      <c r="J2342" s="161" t="s">
        <v>19202</v>
      </c>
      <c r="K2342" t="s">
        <v>19203</v>
      </c>
      <c r="L2342" t="s">
        <v>10014</v>
      </c>
      <c r="M2342" s="161" t="s">
        <v>19202</v>
      </c>
    </row>
    <row r="2343" spans="9:13" x14ac:dyDescent="0.25">
      <c r="I2343" t="s">
        <v>13896</v>
      </c>
      <c r="J2343" s="161" t="s">
        <v>19202</v>
      </c>
      <c r="K2343" t="s">
        <v>19203</v>
      </c>
      <c r="L2343" t="s">
        <v>1387</v>
      </c>
      <c r="M2343" s="161" t="s">
        <v>19202</v>
      </c>
    </row>
    <row r="2344" spans="9:13" x14ac:dyDescent="0.25">
      <c r="I2344" t="s">
        <v>8014</v>
      </c>
      <c r="J2344" s="161" t="s">
        <v>19202</v>
      </c>
      <c r="K2344" t="s">
        <v>19203</v>
      </c>
      <c r="L2344" t="s">
        <v>8013</v>
      </c>
      <c r="M2344" s="161" t="s">
        <v>19202</v>
      </c>
    </row>
    <row r="2345" spans="9:13" x14ac:dyDescent="0.25">
      <c r="I2345" t="s">
        <v>9518</v>
      </c>
      <c r="J2345" s="161" t="s">
        <v>19202</v>
      </c>
      <c r="K2345" t="s">
        <v>19203</v>
      </c>
      <c r="L2345" t="s">
        <v>9517</v>
      </c>
      <c r="M2345" s="161" t="s">
        <v>19202</v>
      </c>
    </row>
    <row r="2346" spans="9:13" x14ac:dyDescent="0.25">
      <c r="I2346" t="s">
        <v>16312</v>
      </c>
      <c r="J2346" s="161" t="s">
        <v>19202</v>
      </c>
      <c r="K2346" t="s">
        <v>19203</v>
      </c>
      <c r="L2346" t="s">
        <v>1156</v>
      </c>
      <c r="M2346" s="161" t="s">
        <v>19202</v>
      </c>
    </row>
    <row r="2347" spans="9:13" x14ac:dyDescent="0.25">
      <c r="I2347" t="s">
        <v>12172</v>
      </c>
      <c r="J2347" s="161" t="s">
        <v>19202</v>
      </c>
      <c r="K2347" t="s">
        <v>19203</v>
      </c>
      <c r="L2347" t="s">
        <v>12171</v>
      </c>
      <c r="M2347" s="161" t="s">
        <v>19202</v>
      </c>
    </row>
    <row r="2348" spans="9:13" x14ac:dyDescent="0.25">
      <c r="I2348" t="s">
        <v>688</v>
      </c>
      <c r="J2348" s="161" t="s">
        <v>19202</v>
      </c>
      <c r="K2348" t="s">
        <v>19203</v>
      </c>
      <c r="L2348" t="s">
        <v>687</v>
      </c>
      <c r="M2348" s="161" t="s">
        <v>19202</v>
      </c>
    </row>
    <row r="2349" spans="9:13" x14ac:dyDescent="0.25">
      <c r="I2349" t="s">
        <v>12390</v>
      </c>
      <c r="J2349" s="161" t="s">
        <v>19202</v>
      </c>
      <c r="K2349" t="s">
        <v>19203</v>
      </c>
      <c r="L2349" t="s">
        <v>12389</v>
      </c>
      <c r="M2349" s="161" t="s">
        <v>19202</v>
      </c>
    </row>
    <row r="2350" spans="9:13" x14ac:dyDescent="0.25">
      <c r="I2350" t="s">
        <v>11243</v>
      </c>
      <c r="J2350" s="161" t="s">
        <v>19202</v>
      </c>
      <c r="K2350" t="s">
        <v>19203</v>
      </c>
      <c r="L2350" t="s">
        <v>11242</v>
      </c>
      <c r="M2350" s="161" t="s">
        <v>19202</v>
      </c>
    </row>
    <row r="2351" spans="9:13" x14ac:dyDescent="0.25">
      <c r="I2351" t="s">
        <v>11947</v>
      </c>
      <c r="J2351" s="161" t="s">
        <v>19202</v>
      </c>
      <c r="K2351" t="s">
        <v>19203</v>
      </c>
      <c r="L2351" t="s">
        <v>11946</v>
      </c>
      <c r="M2351" s="161" t="s">
        <v>19202</v>
      </c>
    </row>
    <row r="2352" spans="9:13" x14ac:dyDescent="0.25">
      <c r="I2352" t="s">
        <v>14246</v>
      </c>
      <c r="J2352" s="161" t="s">
        <v>19202</v>
      </c>
      <c r="K2352" t="s">
        <v>19203</v>
      </c>
      <c r="L2352" t="s">
        <v>1178</v>
      </c>
      <c r="M2352" s="161" t="s">
        <v>19202</v>
      </c>
    </row>
    <row r="2353" spans="9:13" x14ac:dyDescent="0.25">
      <c r="I2353" t="s">
        <v>11281</v>
      </c>
      <c r="J2353" s="161" t="s">
        <v>19202</v>
      </c>
      <c r="K2353" t="s">
        <v>19203</v>
      </c>
      <c r="L2353" t="s">
        <v>11280</v>
      </c>
      <c r="M2353" s="161" t="s">
        <v>19202</v>
      </c>
    </row>
    <row r="2354" spans="9:13" x14ac:dyDescent="0.25">
      <c r="I2354" t="s">
        <v>16610</v>
      </c>
      <c r="J2354" s="161" t="s">
        <v>19202</v>
      </c>
      <c r="K2354" t="s">
        <v>19203</v>
      </c>
      <c r="L2354" t="s">
        <v>16609</v>
      </c>
      <c r="M2354" s="161" t="s">
        <v>19202</v>
      </c>
    </row>
    <row r="2355" spans="9:13" x14ac:dyDescent="0.25">
      <c r="I2355" t="s">
        <v>19519</v>
      </c>
      <c r="J2355" s="161" t="s">
        <v>19202</v>
      </c>
      <c r="K2355" t="s">
        <v>19203</v>
      </c>
      <c r="L2355" t="s">
        <v>19520</v>
      </c>
      <c r="M2355" s="161" t="s">
        <v>19202</v>
      </c>
    </row>
    <row r="2356" spans="9:13" x14ac:dyDescent="0.25">
      <c r="I2356" t="s">
        <v>5359</v>
      </c>
      <c r="J2356" s="161" t="s">
        <v>19202</v>
      </c>
      <c r="K2356" t="s">
        <v>19203</v>
      </c>
      <c r="L2356" t="s">
        <v>5358</v>
      </c>
      <c r="M2356" s="161" t="s">
        <v>19202</v>
      </c>
    </row>
    <row r="2357" spans="9:13" x14ac:dyDescent="0.25">
      <c r="I2357" t="s">
        <v>8218</v>
      </c>
      <c r="J2357" s="161" t="s">
        <v>19202</v>
      </c>
      <c r="K2357" t="s">
        <v>19203</v>
      </c>
      <c r="L2357" t="s">
        <v>8217</v>
      </c>
      <c r="M2357" s="161" t="s">
        <v>19202</v>
      </c>
    </row>
    <row r="2358" spans="9:13" x14ac:dyDescent="0.25">
      <c r="I2358" t="s">
        <v>755</v>
      </c>
      <c r="J2358" s="161" t="s">
        <v>19202</v>
      </c>
      <c r="K2358" t="s">
        <v>19203</v>
      </c>
      <c r="L2358" t="s">
        <v>754</v>
      </c>
      <c r="M2358" s="161" t="s">
        <v>19202</v>
      </c>
    </row>
    <row r="2359" spans="9:13" x14ac:dyDescent="0.25">
      <c r="I2359" t="s">
        <v>16701</v>
      </c>
      <c r="J2359" s="161" t="s">
        <v>19202</v>
      </c>
      <c r="K2359" t="s">
        <v>19203</v>
      </c>
      <c r="L2359" t="s">
        <v>5331</v>
      </c>
      <c r="M2359" s="161" t="s">
        <v>19202</v>
      </c>
    </row>
    <row r="2360" spans="9:13" x14ac:dyDescent="0.25">
      <c r="I2360" t="s">
        <v>12013</v>
      </c>
      <c r="J2360" s="161" t="s">
        <v>19202</v>
      </c>
      <c r="K2360" t="s">
        <v>19203</v>
      </c>
      <c r="L2360" t="s">
        <v>12012</v>
      </c>
      <c r="M2360" s="161" t="s">
        <v>19202</v>
      </c>
    </row>
    <row r="2361" spans="9:13" x14ac:dyDescent="0.25">
      <c r="I2361" t="s">
        <v>16314</v>
      </c>
      <c r="J2361" s="161" t="s">
        <v>19202</v>
      </c>
      <c r="K2361" t="s">
        <v>19203</v>
      </c>
      <c r="L2361" t="s">
        <v>16313</v>
      </c>
      <c r="M2361" s="161" t="s">
        <v>19202</v>
      </c>
    </row>
    <row r="2362" spans="9:13" x14ac:dyDescent="0.25">
      <c r="I2362" t="s">
        <v>19521</v>
      </c>
      <c r="J2362" s="161" t="s">
        <v>19202</v>
      </c>
      <c r="K2362" t="s">
        <v>19203</v>
      </c>
      <c r="L2362" t="s">
        <v>19522</v>
      </c>
      <c r="M2362" s="161" t="s">
        <v>19202</v>
      </c>
    </row>
    <row r="2363" spans="9:13" x14ac:dyDescent="0.25">
      <c r="I2363" t="s">
        <v>12704</v>
      </c>
      <c r="J2363" s="161" t="s">
        <v>19202</v>
      </c>
      <c r="K2363" t="s">
        <v>19203</v>
      </c>
      <c r="L2363" t="s">
        <v>12703</v>
      </c>
      <c r="M2363" s="161" t="s">
        <v>19202</v>
      </c>
    </row>
    <row r="2364" spans="9:13" x14ac:dyDescent="0.25">
      <c r="I2364" t="s">
        <v>3946</v>
      </c>
      <c r="J2364" s="161" t="s">
        <v>19202</v>
      </c>
      <c r="K2364" t="s">
        <v>19203</v>
      </c>
      <c r="L2364" t="s">
        <v>3945</v>
      </c>
      <c r="M2364" s="161" t="s">
        <v>19202</v>
      </c>
    </row>
    <row r="2365" spans="9:13" x14ac:dyDescent="0.25">
      <c r="I2365" t="s">
        <v>3859</v>
      </c>
      <c r="J2365" s="161" t="s">
        <v>19202</v>
      </c>
      <c r="K2365" t="s">
        <v>19203</v>
      </c>
      <c r="L2365" t="s">
        <v>3858</v>
      </c>
      <c r="M2365" s="161" t="s">
        <v>19202</v>
      </c>
    </row>
    <row r="2366" spans="9:13" x14ac:dyDescent="0.25">
      <c r="I2366" t="s">
        <v>7362</v>
      </c>
      <c r="J2366" s="161" t="s">
        <v>19202</v>
      </c>
      <c r="K2366" t="s">
        <v>19203</v>
      </c>
      <c r="L2366" t="s">
        <v>7361</v>
      </c>
      <c r="M2366" s="161" t="s">
        <v>19202</v>
      </c>
    </row>
    <row r="2367" spans="9:13" x14ac:dyDescent="0.25">
      <c r="I2367" t="s">
        <v>11161</v>
      </c>
      <c r="J2367" s="161" t="s">
        <v>19202</v>
      </c>
      <c r="K2367" t="s">
        <v>19203</v>
      </c>
      <c r="L2367" t="s">
        <v>11160</v>
      </c>
      <c r="M2367" s="161" t="s">
        <v>19202</v>
      </c>
    </row>
    <row r="2368" spans="9:13" x14ac:dyDescent="0.25">
      <c r="I2368" t="s">
        <v>16106</v>
      </c>
      <c r="J2368" s="161" t="s">
        <v>19202</v>
      </c>
      <c r="K2368" t="s">
        <v>19203</v>
      </c>
      <c r="L2368" t="s">
        <v>16105</v>
      </c>
      <c r="M2368" s="161" t="s">
        <v>19202</v>
      </c>
    </row>
    <row r="2369" spans="9:13" x14ac:dyDescent="0.25">
      <c r="I2369" t="s">
        <v>14063</v>
      </c>
      <c r="J2369" s="161" t="s">
        <v>19202</v>
      </c>
      <c r="K2369" t="s">
        <v>19203</v>
      </c>
      <c r="L2369" t="s">
        <v>14062</v>
      </c>
      <c r="M2369" s="161" t="s">
        <v>19202</v>
      </c>
    </row>
    <row r="2370" spans="9:13" x14ac:dyDescent="0.25">
      <c r="I2370" t="s">
        <v>7280</v>
      </c>
      <c r="J2370" s="161" t="s">
        <v>19202</v>
      </c>
      <c r="K2370" t="s">
        <v>19203</v>
      </c>
      <c r="L2370" t="s">
        <v>7279</v>
      </c>
      <c r="M2370" s="161" t="s">
        <v>19202</v>
      </c>
    </row>
    <row r="2371" spans="9:13" x14ac:dyDescent="0.25">
      <c r="I2371" t="s">
        <v>7278</v>
      </c>
      <c r="J2371" s="161" t="s">
        <v>19202</v>
      </c>
      <c r="K2371" t="s">
        <v>19203</v>
      </c>
      <c r="L2371" t="s">
        <v>7277</v>
      </c>
      <c r="M2371" s="161" t="s">
        <v>19202</v>
      </c>
    </row>
    <row r="2372" spans="9:13" x14ac:dyDescent="0.25">
      <c r="I2372" t="s">
        <v>7222</v>
      </c>
      <c r="J2372" s="161" t="s">
        <v>19202</v>
      </c>
      <c r="K2372" t="s">
        <v>19203</v>
      </c>
      <c r="L2372" t="s">
        <v>7221</v>
      </c>
      <c r="M2372" s="161" t="s">
        <v>19202</v>
      </c>
    </row>
    <row r="2373" spans="9:13" x14ac:dyDescent="0.25">
      <c r="I2373" t="s">
        <v>10787</v>
      </c>
      <c r="J2373" s="161" t="s">
        <v>19202</v>
      </c>
      <c r="K2373" t="s">
        <v>19203</v>
      </c>
      <c r="L2373" t="s">
        <v>10786</v>
      </c>
      <c r="M2373" s="161" t="s">
        <v>19202</v>
      </c>
    </row>
    <row r="2374" spans="9:13" x14ac:dyDescent="0.25">
      <c r="I2374" t="s">
        <v>9246</v>
      </c>
      <c r="J2374" s="161" t="s">
        <v>19202</v>
      </c>
      <c r="K2374" t="s">
        <v>19203</v>
      </c>
      <c r="L2374" t="s">
        <v>9245</v>
      </c>
      <c r="M2374" s="161" t="s">
        <v>19202</v>
      </c>
    </row>
    <row r="2375" spans="9:13" x14ac:dyDescent="0.25">
      <c r="I2375" t="s">
        <v>4629</v>
      </c>
      <c r="J2375" s="161" t="s">
        <v>19202</v>
      </c>
      <c r="K2375" t="s">
        <v>19203</v>
      </c>
      <c r="L2375" t="s">
        <v>4628</v>
      </c>
      <c r="M2375" s="161" t="s">
        <v>19202</v>
      </c>
    </row>
    <row r="2376" spans="9:13" x14ac:dyDescent="0.25">
      <c r="I2376" t="s">
        <v>16350</v>
      </c>
      <c r="J2376" s="161" t="s">
        <v>19202</v>
      </c>
      <c r="K2376" t="s">
        <v>19203</v>
      </c>
      <c r="L2376" t="s">
        <v>758</v>
      </c>
      <c r="M2376" s="161" t="s">
        <v>19202</v>
      </c>
    </row>
    <row r="2377" spans="9:13" x14ac:dyDescent="0.25">
      <c r="I2377" t="s">
        <v>7503</v>
      </c>
      <c r="J2377" s="161" t="s">
        <v>19202</v>
      </c>
      <c r="K2377" t="s">
        <v>19203</v>
      </c>
      <c r="L2377" t="s">
        <v>7502</v>
      </c>
      <c r="M2377" s="161" t="s">
        <v>19202</v>
      </c>
    </row>
    <row r="2378" spans="9:13" x14ac:dyDescent="0.25">
      <c r="I2378" t="s">
        <v>2649</v>
      </c>
      <c r="J2378" s="161" t="s">
        <v>19202</v>
      </c>
      <c r="K2378" t="s">
        <v>19203</v>
      </c>
      <c r="L2378" t="s">
        <v>2648</v>
      </c>
      <c r="M2378" s="161" t="s">
        <v>19202</v>
      </c>
    </row>
    <row r="2379" spans="9:13" x14ac:dyDescent="0.25">
      <c r="I2379" t="s">
        <v>7666</v>
      </c>
      <c r="J2379" s="161" t="s">
        <v>19202</v>
      </c>
      <c r="K2379" t="s">
        <v>19203</v>
      </c>
      <c r="L2379" t="s">
        <v>7665</v>
      </c>
      <c r="M2379" s="161" t="s">
        <v>19202</v>
      </c>
    </row>
    <row r="2380" spans="9:13" x14ac:dyDescent="0.25">
      <c r="I2380" t="s">
        <v>19523</v>
      </c>
      <c r="J2380" s="161" t="s">
        <v>19202</v>
      </c>
      <c r="K2380" t="s">
        <v>19203</v>
      </c>
      <c r="L2380" t="s">
        <v>19524</v>
      </c>
      <c r="M2380" s="161" t="s">
        <v>19202</v>
      </c>
    </row>
    <row r="2381" spans="9:13" x14ac:dyDescent="0.25">
      <c r="I2381" t="s">
        <v>19525</v>
      </c>
      <c r="J2381" s="161" t="s">
        <v>19202</v>
      </c>
      <c r="K2381" t="s">
        <v>19203</v>
      </c>
      <c r="L2381" t="s">
        <v>19526</v>
      </c>
      <c r="M2381" s="161" t="s">
        <v>19202</v>
      </c>
    </row>
    <row r="2382" spans="9:13" x14ac:dyDescent="0.25">
      <c r="I2382" t="s">
        <v>5332</v>
      </c>
      <c r="J2382" s="161" t="s">
        <v>19202</v>
      </c>
      <c r="K2382" t="s">
        <v>19203</v>
      </c>
      <c r="L2382" t="s">
        <v>5331</v>
      </c>
      <c r="M2382" s="161" t="s">
        <v>19202</v>
      </c>
    </row>
    <row r="2383" spans="9:13" x14ac:dyDescent="0.25">
      <c r="I2383" t="s">
        <v>12241</v>
      </c>
      <c r="J2383" s="161" t="s">
        <v>19202</v>
      </c>
      <c r="K2383" t="s">
        <v>19203</v>
      </c>
      <c r="L2383" t="s">
        <v>12240</v>
      </c>
      <c r="M2383" s="161" t="s">
        <v>19202</v>
      </c>
    </row>
    <row r="2384" spans="9:13" x14ac:dyDescent="0.25">
      <c r="I2384" t="s">
        <v>686</v>
      </c>
      <c r="J2384" s="161" t="s">
        <v>19202</v>
      </c>
      <c r="K2384" t="s">
        <v>19203</v>
      </c>
      <c r="L2384" t="s">
        <v>685</v>
      </c>
      <c r="M2384" s="161" t="s">
        <v>19202</v>
      </c>
    </row>
    <row r="2385" spans="9:13" x14ac:dyDescent="0.25">
      <c r="I2385" t="s">
        <v>16121</v>
      </c>
      <c r="J2385" s="161" t="s">
        <v>19202</v>
      </c>
      <c r="K2385" t="s">
        <v>19203</v>
      </c>
      <c r="L2385" t="s">
        <v>16120</v>
      </c>
      <c r="M2385" s="161" t="s">
        <v>19202</v>
      </c>
    </row>
    <row r="2386" spans="9:13" x14ac:dyDescent="0.25">
      <c r="I2386" t="s">
        <v>8485</v>
      </c>
      <c r="J2386" s="161" t="s">
        <v>19202</v>
      </c>
      <c r="K2386" t="s">
        <v>19203</v>
      </c>
      <c r="L2386" t="s">
        <v>8484</v>
      </c>
      <c r="M2386" s="161" t="s">
        <v>19202</v>
      </c>
    </row>
    <row r="2387" spans="9:13" x14ac:dyDescent="0.25">
      <c r="I2387" t="s">
        <v>16433</v>
      </c>
      <c r="J2387" s="161" t="s">
        <v>19202</v>
      </c>
      <c r="K2387" t="s">
        <v>19203</v>
      </c>
      <c r="L2387" t="s">
        <v>16432</v>
      </c>
      <c r="M2387" s="161" t="s">
        <v>19202</v>
      </c>
    </row>
    <row r="2388" spans="9:13" x14ac:dyDescent="0.25">
      <c r="I2388" t="s">
        <v>9242</v>
      </c>
      <c r="J2388" s="161" t="s">
        <v>19202</v>
      </c>
      <c r="K2388" t="s">
        <v>19203</v>
      </c>
      <c r="L2388" t="s">
        <v>9241</v>
      </c>
      <c r="M2388" s="161" t="s">
        <v>19202</v>
      </c>
    </row>
    <row r="2389" spans="9:13" x14ac:dyDescent="0.25">
      <c r="I2389" t="s">
        <v>3597</v>
      </c>
      <c r="J2389" s="161" t="s">
        <v>19202</v>
      </c>
      <c r="K2389" t="s">
        <v>19203</v>
      </c>
      <c r="L2389" t="s">
        <v>3596</v>
      </c>
      <c r="M2389" s="161" t="s">
        <v>19202</v>
      </c>
    </row>
    <row r="2390" spans="9:13" x14ac:dyDescent="0.25">
      <c r="I2390" t="s">
        <v>13920</v>
      </c>
      <c r="J2390" s="161" t="s">
        <v>19202</v>
      </c>
      <c r="K2390" t="s">
        <v>19203</v>
      </c>
      <c r="L2390" t="s">
        <v>3756</v>
      </c>
      <c r="M2390" s="161" t="s">
        <v>19202</v>
      </c>
    </row>
    <row r="2391" spans="9:13" x14ac:dyDescent="0.25">
      <c r="I2391" t="s">
        <v>5534</v>
      </c>
      <c r="J2391" s="161" t="s">
        <v>19202</v>
      </c>
      <c r="K2391" t="s">
        <v>19203</v>
      </c>
      <c r="L2391" t="s">
        <v>5533</v>
      </c>
      <c r="M2391" s="161" t="s">
        <v>19202</v>
      </c>
    </row>
    <row r="2392" spans="9:13" x14ac:dyDescent="0.25">
      <c r="I2392" t="s">
        <v>4907</v>
      </c>
      <c r="J2392" s="161" t="s">
        <v>19202</v>
      </c>
      <c r="K2392" t="s">
        <v>19203</v>
      </c>
      <c r="L2392" t="s">
        <v>4906</v>
      </c>
      <c r="M2392" s="161" t="s">
        <v>19202</v>
      </c>
    </row>
    <row r="2393" spans="9:13" x14ac:dyDescent="0.25">
      <c r="I2393" t="s">
        <v>10560</v>
      </c>
      <c r="J2393" s="161" t="s">
        <v>19202</v>
      </c>
      <c r="K2393" t="s">
        <v>19203</v>
      </c>
      <c r="L2393" t="s">
        <v>10559</v>
      </c>
      <c r="M2393" s="161" t="s">
        <v>19202</v>
      </c>
    </row>
    <row r="2394" spans="9:13" x14ac:dyDescent="0.25">
      <c r="I2394" t="s">
        <v>16823</v>
      </c>
      <c r="J2394" s="161" t="s">
        <v>19202</v>
      </c>
      <c r="K2394" t="s">
        <v>19203</v>
      </c>
      <c r="L2394" t="s">
        <v>16822</v>
      </c>
      <c r="M2394" s="161" t="s">
        <v>19202</v>
      </c>
    </row>
    <row r="2395" spans="9:13" x14ac:dyDescent="0.25">
      <c r="I2395" t="s">
        <v>16349</v>
      </c>
      <c r="J2395" s="161" t="s">
        <v>19202</v>
      </c>
      <c r="K2395" t="s">
        <v>19203</v>
      </c>
      <c r="L2395" t="s">
        <v>13327</v>
      </c>
      <c r="M2395" s="161" t="s">
        <v>19202</v>
      </c>
    </row>
    <row r="2396" spans="9:13" x14ac:dyDescent="0.25">
      <c r="I2396" t="s">
        <v>18122</v>
      </c>
      <c r="J2396" s="161" t="s">
        <v>19202</v>
      </c>
      <c r="K2396" t="s">
        <v>19203</v>
      </c>
      <c r="L2396" t="s">
        <v>18121</v>
      </c>
      <c r="M2396" s="161" t="s">
        <v>19202</v>
      </c>
    </row>
    <row r="2397" spans="9:13" x14ac:dyDescent="0.25">
      <c r="I2397" t="s">
        <v>19527</v>
      </c>
      <c r="J2397" s="161" t="s">
        <v>19202</v>
      </c>
      <c r="K2397" t="s">
        <v>19203</v>
      </c>
      <c r="L2397" t="s">
        <v>19528</v>
      </c>
      <c r="M2397" s="161" t="s">
        <v>19202</v>
      </c>
    </row>
    <row r="2398" spans="9:13" x14ac:dyDescent="0.25">
      <c r="I2398" t="s">
        <v>9903</v>
      </c>
      <c r="J2398" s="161" t="s">
        <v>19202</v>
      </c>
      <c r="K2398" t="s">
        <v>19203</v>
      </c>
      <c r="L2398" t="s">
        <v>9902</v>
      </c>
      <c r="M2398" s="161" t="s">
        <v>19202</v>
      </c>
    </row>
    <row r="2399" spans="9:13" x14ac:dyDescent="0.25">
      <c r="I2399" t="s">
        <v>16561</v>
      </c>
      <c r="J2399" s="161" t="s">
        <v>19202</v>
      </c>
      <c r="K2399" t="s">
        <v>19203</v>
      </c>
      <c r="L2399" t="s">
        <v>550</v>
      </c>
      <c r="M2399" s="161" t="s">
        <v>19202</v>
      </c>
    </row>
    <row r="2400" spans="9:13" x14ac:dyDescent="0.25">
      <c r="I2400" t="s">
        <v>16558</v>
      </c>
      <c r="J2400" s="161" t="s">
        <v>19202</v>
      </c>
      <c r="K2400" t="s">
        <v>19203</v>
      </c>
      <c r="L2400" t="s">
        <v>16557</v>
      </c>
      <c r="M2400" s="161" t="s">
        <v>19202</v>
      </c>
    </row>
    <row r="2401" spans="9:13" x14ac:dyDescent="0.25">
      <c r="I2401" t="s">
        <v>9096</v>
      </c>
      <c r="J2401" s="161" t="s">
        <v>19202</v>
      </c>
      <c r="K2401" t="s">
        <v>19203</v>
      </c>
      <c r="L2401" t="s">
        <v>9095</v>
      </c>
      <c r="M2401" s="161" t="s">
        <v>19202</v>
      </c>
    </row>
    <row r="2402" spans="9:13" x14ac:dyDescent="0.25">
      <c r="I2402" t="s">
        <v>15826</v>
      </c>
      <c r="J2402" s="161" t="s">
        <v>19202</v>
      </c>
      <c r="K2402" t="s">
        <v>19203</v>
      </c>
      <c r="L2402" t="s">
        <v>15825</v>
      </c>
      <c r="M2402" s="161" t="s">
        <v>19202</v>
      </c>
    </row>
    <row r="2403" spans="9:13" x14ac:dyDescent="0.25">
      <c r="I2403" t="s">
        <v>13350</v>
      </c>
      <c r="J2403" s="161" t="s">
        <v>19202</v>
      </c>
      <c r="K2403" t="s">
        <v>19203</v>
      </c>
      <c r="L2403" t="s">
        <v>13349</v>
      </c>
      <c r="M2403" s="161" t="s">
        <v>19202</v>
      </c>
    </row>
    <row r="2404" spans="9:13" x14ac:dyDescent="0.25">
      <c r="I2404" t="s">
        <v>14766</v>
      </c>
      <c r="J2404" s="161" t="s">
        <v>19202</v>
      </c>
      <c r="K2404" t="s">
        <v>19203</v>
      </c>
      <c r="L2404" t="s">
        <v>14765</v>
      </c>
      <c r="M2404" s="161" t="s">
        <v>19202</v>
      </c>
    </row>
    <row r="2405" spans="9:13" x14ac:dyDescent="0.25">
      <c r="I2405" t="s">
        <v>13008</v>
      </c>
      <c r="J2405" s="161" t="s">
        <v>19202</v>
      </c>
      <c r="K2405" t="s">
        <v>19203</v>
      </c>
      <c r="L2405" t="s">
        <v>13007</v>
      </c>
      <c r="M2405" s="161" t="s">
        <v>19202</v>
      </c>
    </row>
    <row r="2406" spans="9:13" x14ac:dyDescent="0.25">
      <c r="I2406" t="s">
        <v>5511</v>
      </c>
      <c r="J2406" s="161" t="s">
        <v>19202</v>
      </c>
      <c r="K2406" t="s">
        <v>19203</v>
      </c>
      <c r="L2406" t="s">
        <v>5510</v>
      </c>
      <c r="M2406" s="161" t="s">
        <v>19202</v>
      </c>
    </row>
    <row r="2407" spans="9:13" x14ac:dyDescent="0.25">
      <c r="I2407" t="s">
        <v>7905</v>
      </c>
      <c r="J2407" s="161" t="s">
        <v>19202</v>
      </c>
      <c r="K2407" t="s">
        <v>19203</v>
      </c>
      <c r="L2407" t="s">
        <v>7904</v>
      </c>
      <c r="M2407" s="161" t="s">
        <v>19202</v>
      </c>
    </row>
    <row r="2408" spans="9:13" x14ac:dyDescent="0.25">
      <c r="I2408" t="s">
        <v>7621</v>
      </c>
      <c r="J2408" s="161" t="s">
        <v>19202</v>
      </c>
      <c r="K2408" t="s">
        <v>19203</v>
      </c>
      <c r="L2408" t="s">
        <v>7620</v>
      </c>
      <c r="M2408" s="161" t="s">
        <v>19202</v>
      </c>
    </row>
    <row r="2409" spans="9:13" x14ac:dyDescent="0.25">
      <c r="I2409" t="s">
        <v>13832</v>
      </c>
      <c r="J2409" s="161" t="s">
        <v>19202</v>
      </c>
      <c r="K2409" t="s">
        <v>19203</v>
      </c>
      <c r="L2409" t="s">
        <v>13831</v>
      </c>
      <c r="M2409" s="161" t="s">
        <v>19202</v>
      </c>
    </row>
    <row r="2410" spans="9:13" x14ac:dyDescent="0.25">
      <c r="I2410" t="s">
        <v>733</v>
      </c>
      <c r="J2410" s="161" t="s">
        <v>19202</v>
      </c>
      <c r="K2410" t="s">
        <v>19203</v>
      </c>
      <c r="L2410" t="s">
        <v>732</v>
      </c>
      <c r="M2410" s="161" t="s">
        <v>19202</v>
      </c>
    </row>
    <row r="2411" spans="9:13" x14ac:dyDescent="0.25">
      <c r="I2411" t="s">
        <v>6129</v>
      </c>
      <c r="J2411" s="161" t="s">
        <v>19202</v>
      </c>
      <c r="K2411" t="s">
        <v>19203</v>
      </c>
      <c r="L2411" t="s">
        <v>6128</v>
      </c>
      <c r="M2411" s="161" t="s">
        <v>19202</v>
      </c>
    </row>
    <row r="2412" spans="9:13" x14ac:dyDescent="0.25">
      <c r="I2412" t="s">
        <v>7752</v>
      </c>
      <c r="J2412" s="161" t="s">
        <v>19202</v>
      </c>
      <c r="K2412" t="s">
        <v>19203</v>
      </c>
      <c r="L2412" t="s">
        <v>7751</v>
      </c>
      <c r="M2412" s="161" t="s">
        <v>19202</v>
      </c>
    </row>
    <row r="2413" spans="9:13" x14ac:dyDescent="0.25">
      <c r="I2413" t="s">
        <v>725</v>
      </c>
      <c r="J2413" s="161" t="s">
        <v>19202</v>
      </c>
      <c r="K2413" t="s">
        <v>19203</v>
      </c>
      <c r="L2413" t="s">
        <v>724</v>
      </c>
      <c r="M2413" s="161" t="s">
        <v>19202</v>
      </c>
    </row>
    <row r="2414" spans="9:13" x14ac:dyDescent="0.25">
      <c r="I2414" t="s">
        <v>852</v>
      </c>
      <c r="J2414" s="161" t="s">
        <v>19202</v>
      </c>
      <c r="K2414" t="s">
        <v>19203</v>
      </c>
      <c r="L2414" t="s">
        <v>851</v>
      </c>
      <c r="M2414" s="161" t="s">
        <v>19202</v>
      </c>
    </row>
    <row r="2415" spans="9:13" x14ac:dyDescent="0.25">
      <c r="I2415" t="s">
        <v>850</v>
      </c>
      <c r="J2415" s="161" t="s">
        <v>19202</v>
      </c>
      <c r="K2415" t="s">
        <v>19203</v>
      </c>
      <c r="L2415" t="s">
        <v>849</v>
      </c>
      <c r="M2415" s="161" t="s">
        <v>19202</v>
      </c>
    </row>
    <row r="2416" spans="9:13" x14ac:dyDescent="0.25">
      <c r="I2416" t="s">
        <v>188</v>
      </c>
      <c r="J2416" s="161" t="s">
        <v>19202</v>
      </c>
      <c r="K2416" t="s">
        <v>19203</v>
      </c>
      <c r="L2416" t="s">
        <v>187</v>
      </c>
      <c r="M2416" s="161" t="s">
        <v>19202</v>
      </c>
    </row>
    <row r="2417" spans="9:13" x14ac:dyDescent="0.25">
      <c r="I2417" t="s">
        <v>10708</v>
      </c>
      <c r="J2417" s="161" t="s">
        <v>19202</v>
      </c>
      <c r="K2417" t="s">
        <v>19203</v>
      </c>
      <c r="L2417" t="s">
        <v>10707</v>
      </c>
      <c r="M2417" s="161" t="s">
        <v>19202</v>
      </c>
    </row>
    <row r="2418" spans="9:13" x14ac:dyDescent="0.25">
      <c r="I2418" t="s">
        <v>3589</v>
      </c>
      <c r="J2418" s="161" t="s">
        <v>19202</v>
      </c>
      <c r="K2418" t="s">
        <v>19203</v>
      </c>
      <c r="L2418" t="s">
        <v>3588</v>
      </c>
      <c r="M2418" s="161" t="s">
        <v>19202</v>
      </c>
    </row>
    <row r="2419" spans="9:13" x14ac:dyDescent="0.25">
      <c r="I2419" t="s">
        <v>843</v>
      </c>
      <c r="J2419" s="161" t="s">
        <v>19202</v>
      </c>
      <c r="K2419" t="s">
        <v>19203</v>
      </c>
      <c r="L2419" t="s">
        <v>842</v>
      </c>
      <c r="M2419" s="161" t="s">
        <v>19202</v>
      </c>
    </row>
    <row r="2420" spans="9:13" x14ac:dyDescent="0.25">
      <c r="I2420" t="s">
        <v>16455</v>
      </c>
      <c r="J2420" s="161" t="s">
        <v>19202</v>
      </c>
      <c r="K2420" t="s">
        <v>19203</v>
      </c>
      <c r="L2420" t="s">
        <v>4847</v>
      </c>
      <c r="M2420" s="161" t="s">
        <v>19202</v>
      </c>
    </row>
    <row r="2421" spans="9:13" x14ac:dyDescent="0.25">
      <c r="I2421" t="s">
        <v>16673</v>
      </c>
      <c r="J2421" s="161" t="s">
        <v>19202</v>
      </c>
      <c r="K2421" t="s">
        <v>19203</v>
      </c>
      <c r="L2421" t="s">
        <v>2436</v>
      </c>
      <c r="M2421" s="161" t="s">
        <v>19202</v>
      </c>
    </row>
    <row r="2422" spans="9:13" x14ac:dyDescent="0.25">
      <c r="I2422" t="s">
        <v>15448</v>
      </c>
      <c r="J2422" s="161" t="s">
        <v>19202</v>
      </c>
      <c r="K2422" t="s">
        <v>19203</v>
      </c>
      <c r="L2422" t="s">
        <v>15447</v>
      </c>
      <c r="M2422" s="161" t="s">
        <v>19202</v>
      </c>
    </row>
    <row r="2423" spans="9:13" x14ac:dyDescent="0.25">
      <c r="I2423" t="s">
        <v>16409</v>
      </c>
      <c r="J2423" s="161" t="s">
        <v>19202</v>
      </c>
      <c r="K2423" t="s">
        <v>19203</v>
      </c>
      <c r="L2423" t="s">
        <v>5538</v>
      </c>
      <c r="M2423" s="161" t="s">
        <v>19202</v>
      </c>
    </row>
    <row r="2424" spans="9:13" x14ac:dyDescent="0.25">
      <c r="I2424" t="s">
        <v>10498</v>
      </c>
      <c r="J2424" s="161" t="s">
        <v>19202</v>
      </c>
      <c r="K2424" t="s">
        <v>19203</v>
      </c>
      <c r="L2424" t="s">
        <v>10497</v>
      </c>
      <c r="M2424" s="161" t="s">
        <v>19202</v>
      </c>
    </row>
    <row r="2425" spans="9:13" x14ac:dyDescent="0.25">
      <c r="I2425" t="s">
        <v>15629</v>
      </c>
      <c r="J2425" s="161" t="s">
        <v>19202</v>
      </c>
      <c r="K2425" t="s">
        <v>19203</v>
      </c>
      <c r="L2425" t="s">
        <v>15628</v>
      </c>
      <c r="M2425" s="161" t="s">
        <v>19202</v>
      </c>
    </row>
    <row r="2426" spans="9:13" x14ac:dyDescent="0.25">
      <c r="I2426" t="s">
        <v>15742</v>
      </c>
      <c r="J2426" s="161" t="s">
        <v>19202</v>
      </c>
      <c r="K2426" t="s">
        <v>19203</v>
      </c>
      <c r="L2426" t="s">
        <v>970</v>
      </c>
      <c r="M2426" s="161" t="s">
        <v>19202</v>
      </c>
    </row>
    <row r="2427" spans="9:13" x14ac:dyDescent="0.25">
      <c r="I2427" t="s">
        <v>19529</v>
      </c>
      <c r="J2427" s="161" t="s">
        <v>19202</v>
      </c>
      <c r="K2427" t="s">
        <v>19203</v>
      </c>
      <c r="L2427" t="s">
        <v>19530</v>
      </c>
      <c r="M2427" s="161" t="s">
        <v>19202</v>
      </c>
    </row>
    <row r="2428" spans="9:13" x14ac:dyDescent="0.25">
      <c r="I2428" t="s">
        <v>7962</v>
      </c>
      <c r="J2428" s="161" t="s">
        <v>19202</v>
      </c>
      <c r="K2428" t="s">
        <v>19203</v>
      </c>
      <c r="L2428" t="s">
        <v>7961</v>
      </c>
      <c r="M2428" s="161" t="s">
        <v>19202</v>
      </c>
    </row>
    <row r="2429" spans="9:13" x14ac:dyDescent="0.25">
      <c r="I2429" t="s">
        <v>7435</v>
      </c>
      <c r="J2429" s="161" t="s">
        <v>19202</v>
      </c>
      <c r="K2429" t="s">
        <v>19203</v>
      </c>
      <c r="L2429" t="s">
        <v>7434</v>
      </c>
      <c r="M2429" s="161" t="s">
        <v>19202</v>
      </c>
    </row>
    <row r="2430" spans="9:13" x14ac:dyDescent="0.25">
      <c r="I2430" t="s">
        <v>19531</v>
      </c>
      <c r="J2430" s="161" t="s">
        <v>19202</v>
      </c>
      <c r="K2430" t="s">
        <v>19203</v>
      </c>
      <c r="L2430" t="s">
        <v>19532</v>
      </c>
      <c r="M2430" s="161" t="s">
        <v>19202</v>
      </c>
    </row>
    <row r="2431" spans="9:13" x14ac:dyDescent="0.25">
      <c r="I2431" t="s">
        <v>7768</v>
      </c>
      <c r="J2431" s="161" t="s">
        <v>19202</v>
      </c>
      <c r="K2431" t="s">
        <v>19203</v>
      </c>
      <c r="L2431" t="s">
        <v>7767</v>
      </c>
      <c r="M2431" s="161" t="s">
        <v>19202</v>
      </c>
    </row>
    <row r="2432" spans="9:13" x14ac:dyDescent="0.25">
      <c r="I2432" t="s">
        <v>19533</v>
      </c>
      <c r="J2432" s="161" t="s">
        <v>19202</v>
      </c>
      <c r="K2432" t="s">
        <v>19203</v>
      </c>
      <c r="L2432" t="s">
        <v>19534</v>
      </c>
      <c r="M2432" s="161" t="s">
        <v>19202</v>
      </c>
    </row>
    <row r="2433" spans="9:13" x14ac:dyDescent="0.25">
      <c r="I2433" t="s">
        <v>16248</v>
      </c>
      <c r="J2433" s="161" t="s">
        <v>19202</v>
      </c>
      <c r="K2433" t="s">
        <v>19203</v>
      </c>
      <c r="L2433" t="s">
        <v>15611</v>
      </c>
      <c r="M2433" s="161" t="s">
        <v>19202</v>
      </c>
    </row>
    <row r="2434" spans="9:13" x14ac:dyDescent="0.25">
      <c r="I2434" t="s">
        <v>9720</v>
      </c>
      <c r="J2434" s="161" t="s">
        <v>19202</v>
      </c>
      <c r="K2434" t="s">
        <v>19203</v>
      </c>
      <c r="L2434" t="s">
        <v>9719</v>
      </c>
      <c r="M2434" s="161" t="s">
        <v>19202</v>
      </c>
    </row>
    <row r="2435" spans="9:13" x14ac:dyDescent="0.25">
      <c r="I2435" t="s">
        <v>10981</v>
      </c>
      <c r="J2435" s="161" t="s">
        <v>19202</v>
      </c>
      <c r="K2435" t="s">
        <v>19203</v>
      </c>
      <c r="L2435" t="s">
        <v>10980</v>
      </c>
      <c r="M2435" s="161" t="s">
        <v>19202</v>
      </c>
    </row>
    <row r="2436" spans="9:13" x14ac:dyDescent="0.25">
      <c r="I2436" t="s">
        <v>16852</v>
      </c>
      <c r="J2436" s="161" t="s">
        <v>19202</v>
      </c>
      <c r="K2436" t="s">
        <v>19203</v>
      </c>
      <c r="L2436" t="s">
        <v>16851</v>
      </c>
      <c r="M2436" s="161" t="s">
        <v>19202</v>
      </c>
    </row>
    <row r="2437" spans="9:13" x14ac:dyDescent="0.25">
      <c r="I2437" t="s">
        <v>16797</v>
      </c>
      <c r="J2437" s="161" t="s">
        <v>19202</v>
      </c>
      <c r="K2437" t="s">
        <v>19203</v>
      </c>
      <c r="L2437" t="s">
        <v>16796</v>
      </c>
      <c r="M2437" s="161" t="s">
        <v>19202</v>
      </c>
    </row>
    <row r="2438" spans="9:13" x14ac:dyDescent="0.25">
      <c r="I2438" t="s">
        <v>16795</v>
      </c>
      <c r="J2438" s="161" t="s">
        <v>19202</v>
      </c>
      <c r="K2438" t="s">
        <v>19203</v>
      </c>
      <c r="L2438" t="s">
        <v>16794</v>
      </c>
      <c r="M2438" s="161" t="s">
        <v>19202</v>
      </c>
    </row>
    <row r="2439" spans="9:13" x14ac:dyDescent="0.25">
      <c r="I2439" t="s">
        <v>16793</v>
      </c>
      <c r="J2439" s="161" t="s">
        <v>19202</v>
      </c>
      <c r="K2439" t="s">
        <v>19203</v>
      </c>
      <c r="L2439" t="s">
        <v>16792</v>
      </c>
      <c r="M2439" s="161" t="s">
        <v>19202</v>
      </c>
    </row>
    <row r="2440" spans="9:13" x14ac:dyDescent="0.25">
      <c r="I2440" t="s">
        <v>7978</v>
      </c>
      <c r="J2440" s="161" t="s">
        <v>19202</v>
      </c>
      <c r="K2440" t="s">
        <v>19203</v>
      </c>
      <c r="L2440" t="s">
        <v>7977</v>
      </c>
      <c r="M2440" s="161" t="s">
        <v>19202</v>
      </c>
    </row>
    <row r="2441" spans="9:13" x14ac:dyDescent="0.25">
      <c r="I2441" t="s">
        <v>13616</v>
      </c>
      <c r="J2441" s="161" t="s">
        <v>19202</v>
      </c>
      <c r="K2441" t="s">
        <v>19203</v>
      </c>
      <c r="L2441" t="s">
        <v>1484</v>
      </c>
      <c r="M2441" s="161" t="s">
        <v>19202</v>
      </c>
    </row>
    <row r="2442" spans="9:13" x14ac:dyDescent="0.25">
      <c r="I2442" t="s">
        <v>505</v>
      </c>
      <c r="J2442" s="161" t="s">
        <v>19202</v>
      </c>
      <c r="K2442" t="s">
        <v>19203</v>
      </c>
      <c r="L2442" t="s">
        <v>504</v>
      </c>
      <c r="M2442" s="161" t="s">
        <v>19202</v>
      </c>
    </row>
    <row r="2443" spans="9:13" x14ac:dyDescent="0.25">
      <c r="I2443" t="s">
        <v>16677</v>
      </c>
      <c r="J2443" s="161" t="s">
        <v>19202</v>
      </c>
      <c r="K2443" t="s">
        <v>19203</v>
      </c>
      <c r="L2443" t="s">
        <v>16676</v>
      </c>
      <c r="M2443" s="161" t="s">
        <v>19202</v>
      </c>
    </row>
    <row r="2444" spans="9:13" x14ac:dyDescent="0.25">
      <c r="I2444" t="s">
        <v>19535</v>
      </c>
      <c r="J2444" s="161" t="s">
        <v>19202</v>
      </c>
      <c r="K2444" t="s">
        <v>19203</v>
      </c>
      <c r="L2444" t="s">
        <v>19536</v>
      </c>
      <c r="M2444" s="161" t="s">
        <v>19202</v>
      </c>
    </row>
    <row r="2445" spans="9:13" x14ac:dyDescent="0.25">
      <c r="I2445" t="s">
        <v>19537</v>
      </c>
      <c r="J2445" s="161" t="s">
        <v>19202</v>
      </c>
      <c r="K2445" t="s">
        <v>19203</v>
      </c>
      <c r="L2445" t="s">
        <v>19538</v>
      </c>
      <c r="M2445" s="161" t="s">
        <v>19202</v>
      </c>
    </row>
    <row r="2446" spans="9:13" x14ac:dyDescent="0.25">
      <c r="I2446" t="s">
        <v>11698</v>
      </c>
      <c r="J2446" s="161" t="s">
        <v>19202</v>
      </c>
      <c r="K2446" t="s">
        <v>19203</v>
      </c>
      <c r="L2446" t="s">
        <v>181</v>
      </c>
      <c r="M2446" s="161" t="s">
        <v>19202</v>
      </c>
    </row>
    <row r="2447" spans="9:13" x14ac:dyDescent="0.25">
      <c r="I2447" t="s">
        <v>13748</v>
      </c>
      <c r="J2447" s="161" t="s">
        <v>19202</v>
      </c>
      <c r="K2447" t="s">
        <v>19203</v>
      </c>
      <c r="L2447" t="s">
        <v>13747</v>
      </c>
      <c r="M2447" s="161" t="s">
        <v>19202</v>
      </c>
    </row>
    <row r="2448" spans="9:13" x14ac:dyDescent="0.25">
      <c r="I2448" t="s">
        <v>1522</v>
      </c>
      <c r="J2448" s="161" t="s">
        <v>19202</v>
      </c>
      <c r="K2448" t="s">
        <v>19203</v>
      </c>
      <c r="L2448" t="s">
        <v>1521</v>
      </c>
      <c r="M2448" s="161" t="s">
        <v>19202</v>
      </c>
    </row>
    <row r="2449" spans="9:13" x14ac:dyDescent="0.25">
      <c r="I2449" t="s">
        <v>16395</v>
      </c>
      <c r="J2449" s="161" t="s">
        <v>19202</v>
      </c>
      <c r="K2449" t="s">
        <v>19203</v>
      </c>
      <c r="L2449" t="s">
        <v>13332</v>
      </c>
      <c r="M2449" s="161" t="s">
        <v>19202</v>
      </c>
    </row>
    <row r="2450" spans="9:13" x14ac:dyDescent="0.25">
      <c r="I2450" t="s">
        <v>16316</v>
      </c>
      <c r="J2450" s="161" t="s">
        <v>19202</v>
      </c>
      <c r="K2450" t="s">
        <v>19203</v>
      </c>
      <c r="L2450" t="s">
        <v>6793</v>
      </c>
      <c r="M2450" s="161" t="s">
        <v>19202</v>
      </c>
    </row>
    <row r="2451" spans="9:13" x14ac:dyDescent="0.25">
      <c r="I2451" t="s">
        <v>7159</v>
      </c>
      <c r="J2451" s="161" t="s">
        <v>19202</v>
      </c>
      <c r="K2451" t="s">
        <v>19203</v>
      </c>
      <c r="L2451" t="s">
        <v>7158</v>
      </c>
      <c r="M2451" s="161" t="s">
        <v>19202</v>
      </c>
    </row>
    <row r="2452" spans="9:13" x14ac:dyDescent="0.25">
      <c r="I2452" t="s">
        <v>2455</v>
      </c>
      <c r="J2452" s="161" t="s">
        <v>19202</v>
      </c>
      <c r="K2452" t="s">
        <v>19203</v>
      </c>
      <c r="L2452" t="s">
        <v>2454</v>
      </c>
      <c r="M2452" s="161" t="s">
        <v>19202</v>
      </c>
    </row>
    <row r="2453" spans="9:13" x14ac:dyDescent="0.25">
      <c r="I2453" t="s">
        <v>11303</v>
      </c>
      <c r="J2453" s="161" t="s">
        <v>19202</v>
      </c>
      <c r="K2453" t="s">
        <v>19203</v>
      </c>
      <c r="L2453" t="s">
        <v>11302</v>
      </c>
      <c r="M2453" s="161" t="s">
        <v>19202</v>
      </c>
    </row>
    <row r="2454" spans="9:13" x14ac:dyDescent="0.25">
      <c r="I2454" t="s">
        <v>19539</v>
      </c>
      <c r="J2454" s="161" t="s">
        <v>19202</v>
      </c>
      <c r="K2454" t="s">
        <v>19203</v>
      </c>
      <c r="L2454" t="s">
        <v>19540</v>
      </c>
      <c r="M2454" s="161" t="s">
        <v>19202</v>
      </c>
    </row>
    <row r="2455" spans="9:13" x14ac:dyDescent="0.25">
      <c r="I2455" t="s">
        <v>12219</v>
      </c>
      <c r="J2455" s="161" t="s">
        <v>19202</v>
      </c>
      <c r="K2455" t="s">
        <v>19203</v>
      </c>
      <c r="L2455" t="s">
        <v>12218</v>
      </c>
      <c r="M2455" s="161" t="s">
        <v>19202</v>
      </c>
    </row>
    <row r="2456" spans="9:13" x14ac:dyDescent="0.25">
      <c r="I2456" t="s">
        <v>13744</v>
      </c>
      <c r="J2456" s="161" t="s">
        <v>19202</v>
      </c>
      <c r="K2456" t="s">
        <v>19203</v>
      </c>
      <c r="L2456" t="s">
        <v>13743</v>
      </c>
      <c r="M2456" s="161" t="s">
        <v>19202</v>
      </c>
    </row>
    <row r="2457" spans="9:13" x14ac:dyDescent="0.25">
      <c r="I2457" t="s">
        <v>9764</v>
      </c>
      <c r="J2457" s="161" t="s">
        <v>19202</v>
      </c>
      <c r="K2457" t="s">
        <v>19203</v>
      </c>
      <c r="L2457" t="s">
        <v>9763</v>
      </c>
      <c r="M2457" s="161" t="s">
        <v>19202</v>
      </c>
    </row>
    <row r="2458" spans="9:13" x14ac:dyDescent="0.25">
      <c r="I2458" t="s">
        <v>16817</v>
      </c>
      <c r="J2458" s="161" t="s">
        <v>19202</v>
      </c>
      <c r="K2458" t="s">
        <v>19203</v>
      </c>
      <c r="L2458" t="s">
        <v>19541</v>
      </c>
      <c r="M2458" s="161" t="s">
        <v>19202</v>
      </c>
    </row>
    <row r="2459" spans="9:13" x14ac:dyDescent="0.25">
      <c r="I2459" t="s">
        <v>15636</v>
      </c>
      <c r="J2459" s="161" t="s">
        <v>19202</v>
      </c>
      <c r="K2459" t="s">
        <v>19203</v>
      </c>
      <c r="L2459" t="s">
        <v>15635</v>
      </c>
      <c r="M2459" s="161" t="s">
        <v>19202</v>
      </c>
    </row>
    <row r="2460" spans="9:13" x14ac:dyDescent="0.25">
      <c r="I2460" t="s">
        <v>14633</v>
      </c>
      <c r="J2460" s="161" t="s">
        <v>19202</v>
      </c>
      <c r="K2460" t="s">
        <v>19203</v>
      </c>
      <c r="L2460" t="s">
        <v>14632</v>
      </c>
      <c r="M2460" s="161" t="s">
        <v>19202</v>
      </c>
    </row>
    <row r="2461" spans="9:13" x14ac:dyDescent="0.25">
      <c r="I2461" t="s">
        <v>7585</v>
      </c>
      <c r="J2461" s="161" t="s">
        <v>19202</v>
      </c>
      <c r="K2461" t="s">
        <v>19203</v>
      </c>
      <c r="L2461" t="s">
        <v>7584</v>
      </c>
      <c r="M2461" s="161" t="s">
        <v>19202</v>
      </c>
    </row>
    <row r="2462" spans="9:13" x14ac:dyDescent="0.25">
      <c r="I2462" t="s">
        <v>7637</v>
      </c>
      <c r="J2462" s="161" t="s">
        <v>19202</v>
      </c>
      <c r="K2462" t="s">
        <v>19203</v>
      </c>
      <c r="L2462" t="s">
        <v>7636</v>
      </c>
      <c r="M2462" s="161" t="s">
        <v>19202</v>
      </c>
    </row>
    <row r="2463" spans="9:13" x14ac:dyDescent="0.25">
      <c r="I2463" t="s">
        <v>9762</v>
      </c>
      <c r="J2463" s="161" t="s">
        <v>19202</v>
      </c>
      <c r="K2463" t="s">
        <v>19203</v>
      </c>
      <c r="L2463" t="s">
        <v>9761</v>
      </c>
      <c r="M2463" s="161" t="s">
        <v>19202</v>
      </c>
    </row>
    <row r="2464" spans="9:13" x14ac:dyDescent="0.25">
      <c r="I2464" t="s">
        <v>7401</v>
      </c>
      <c r="J2464" s="161" t="s">
        <v>19202</v>
      </c>
      <c r="K2464" t="s">
        <v>19203</v>
      </c>
      <c r="L2464" t="s">
        <v>7400</v>
      </c>
      <c r="M2464" s="161" t="s">
        <v>19202</v>
      </c>
    </row>
    <row r="2465" spans="9:13" x14ac:dyDescent="0.25">
      <c r="I2465" t="s">
        <v>3261</v>
      </c>
      <c r="J2465" s="161" t="s">
        <v>19202</v>
      </c>
      <c r="K2465" t="s">
        <v>19203</v>
      </c>
      <c r="L2465" t="s">
        <v>3260</v>
      </c>
      <c r="M2465" s="161" t="s">
        <v>19202</v>
      </c>
    </row>
    <row r="2466" spans="9:13" x14ac:dyDescent="0.25">
      <c r="I2466" t="s">
        <v>10966</v>
      </c>
      <c r="J2466" s="161" t="s">
        <v>19202</v>
      </c>
      <c r="K2466" t="s">
        <v>19203</v>
      </c>
      <c r="L2466" t="s">
        <v>10965</v>
      </c>
      <c r="M2466" s="161" t="s">
        <v>19202</v>
      </c>
    </row>
    <row r="2467" spans="9:13" x14ac:dyDescent="0.25">
      <c r="I2467" t="s">
        <v>17747</v>
      </c>
      <c r="J2467" s="161" t="s">
        <v>19202</v>
      </c>
      <c r="K2467" t="s">
        <v>19203</v>
      </c>
      <c r="L2467" t="s">
        <v>588</v>
      </c>
      <c r="M2467" s="161" t="s">
        <v>19202</v>
      </c>
    </row>
    <row r="2468" spans="9:13" x14ac:dyDescent="0.25">
      <c r="I2468" t="s">
        <v>2576</v>
      </c>
      <c r="J2468" s="161" t="s">
        <v>19202</v>
      </c>
      <c r="K2468" t="s">
        <v>19203</v>
      </c>
      <c r="L2468" t="s">
        <v>2575</v>
      </c>
      <c r="M2468" s="161" t="s">
        <v>19202</v>
      </c>
    </row>
    <row r="2469" spans="9:13" x14ac:dyDescent="0.25">
      <c r="I2469" t="s">
        <v>19542</v>
      </c>
      <c r="J2469" s="161" t="s">
        <v>19202</v>
      </c>
      <c r="K2469" t="s">
        <v>19203</v>
      </c>
      <c r="L2469" t="s">
        <v>19543</v>
      </c>
      <c r="M2469" s="161" t="s">
        <v>19202</v>
      </c>
    </row>
    <row r="2470" spans="9:13" x14ac:dyDescent="0.25">
      <c r="I2470" t="s">
        <v>19544</v>
      </c>
      <c r="J2470" s="161" t="s">
        <v>19202</v>
      </c>
      <c r="K2470" t="s">
        <v>19203</v>
      </c>
      <c r="L2470" t="s">
        <v>19545</v>
      </c>
      <c r="M2470" s="161" t="s">
        <v>19202</v>
      </c>
    </row>
    <row r="2471" spans="9:13" x14ac:dyDescent="0.25">
      <c r="I2471" t="s">
        <v>19546</v>
      </c>
      <c r="J2471" s="161" t="s">
        <v>19202</v>
      </c>
      <c r="K2471" t="s">
        <v>19203</v>
      </c>
      <c r="L2471" t="s">
        <v>19547</v>
      </c>
      <c r="M2471" s="161" t="s">
        <v>19202</v>
      </c>
    </row>
    <row r="2472" spans="9:13" x14ac:dyDescent="0.25">
      <c r="I2472" t="s">
        <v>1315</v>
      </c>
      <c r="J2472" s="161" t="s">
        <v>19202</v>
      </c>
      <c r="K2472" t="s">
        <v>19203</v>
      </c>
      <c r="L2472" t="s">
        <v>1314</v>
      </c>
      <c r="M2472" s="161" t="s">
        <v>19202</v>
      </c>
    </row>
    <row r="2473" spans="9:13" x14ac:dyDescent="0.25">
      <c r="I2473" t="s">
        <v>16715</v>
      </c>
      <c r="J2473" s="161" t="s">
        <v>19202</v>
      </c>
      <c r="K2473" t="s">
        <v>19203</v>
      </c>
      <c r="L2473" t="s">
        <v>16714</v>
      </c>
      <c r="M2473" s="161" t="s">
        <v>19202</v>
      </c>
    </row>
    <row r="2474" spans="9:13" x14ac:dyDescent="0.25">
      <c r="I2474" t="s">
        <v>17757</v>
      </c>
      <c r="J2474" s="161" t="s">
        <v>19202</v>
      </c>
      <c r="K2474" t="s">
        <v>19203</v>
      </c>
      <c r="L2474" t="s">
        <v>17756</v>
      </c>
      <c r="M2474" s="161" t="s">
        <v>19202</v>
      </c>
    </row>
    <row r="2475" spans="9:13" x14ac:dyDescent="0.25">
      <c r="I2475" t="s">
        <v>16789</v>
      </c>
      <c r="J2475" s="161" t="s">
        <v>19202</v>
      </c>
      <c r="K2475" t="s">
        <v>19203</v>
      </c>
      <c r="L2475" t="s">
        <v>3896</v>
      </c>
      <c r="M2475" s="161" t="s">
        <v>19202</v>
      </c>
    </row>
    <row r="2476" spans="9:13" x14ac:dyDescent="0.25">
      <c r="I2476" t="s">
        <v>16788</v>
      </c>
      <c r="J2476" s="161" t="s">
        <v>19202</v>
      </c>
      <c r="K2476" t="s">
        <v>19203</v>
      </c>
      <c r="L2476" t="s">
        <v>16787</v>
      </c>
      <c r="M2476" s="161" t="s">
        <v>19202</v>
      </c>
    </row>
    <row r="2477" spans="9:13" x14ac:dyDescent="0.25">
      <c r="I2477" t="s">
        <v>9410</v>
      </c>
      <c r="J2477" s="161" t="s">
        <v>19202</v>
      </c>
      <c r="K2477" t="s">
        <v>19203</v>
      </c>
      <c r="L2477" t="s">
        <v>9409</v>
      </c>
      <c r="M2477" s="161" t="s">
        <v>19202</v>
      </c>
    </row>
    <row r="2478" spans="9:13" x14ac:dyDescent="0.25">
      <c r="I2478" t="s">
        <v>16850</v>
      </c>
      <c r="J2478" s="161" t="s">
        <v>19202</v>
      </c>
      <c r="K2478" t="s">
        <v>19203</v>
      </c>
      <c r="L2478" t="s">
        <v>16849</v>
      </c>
      <c r="M2478" s="161" t="s">
        <v>19202</v>
      </c>
    </row>
    <row r="2479" spans="9:13" x14ac:dyDescent="0.25">
      <c r="I2479" t="s">
        <v>4626</v>
      </c>
      <c r="J2479" s="161" t="s">
        <v>19202</v>
      </c>
      <c r="K2479" t="s">
        <v>19203</v>
      </c>
      <c r="L2479" t="s">
        <v>4625</v>
      </c>
      <c r="M2479" s="161" t="s">
        <v>19202</v>
      </c>
    </row>
    <row r="2480" spans="9:13" x14ac:dyDescent="0.25">
      <c r="I2480" t="s">
        <v>4852</v>
      </c>
      <c r="J2480" s="161" t="s">
        <v>19202</v>
      </c>
      <c r="K2480" t="s">
        <v>19203</v>
      </c>
      <c r="L2480" t="s">
        <v>4851</v>
      </c>
      <c r="M2480" s="161" t="s">
        <v>19202</v>
      </c>
    </row>
    <row r="2481" spans="9:13" x14ac:dyDescent="0.25">
      <c r="I2481" t="s">
        <v>19548</v>
      </c>
      <c r="J2481" s="161" t="s">
        <v>19202</v>
      </c>
      <c r="K2481" t="s">
        <v>19203</v>
      </c>
      <c r="L2481" t="s">
        <v>19549</v>
      </c>
      <c r="M2481" s="161" t="s">
        <v>19202</v>
      </c>
    </row>
    <row r="2482" spans="9:13" x14ac:dyDescent="0.25">
      <c r="I2482" t="s">
        <v>18015</v>
      </c>
      <c r="J2482" s="161" t="s">
        <v>19202</v>
      </c>
      <c r="K2482" t="s">
        <v>19203</v>
      </c>
      <c r="L2482" t="s">
        <v>18014</v>
      </c>
      <c r="M2482" s="161" t="s">
        <v>19202</v>
      </c>
    </row>
    <row r="2483" spans="9:13" x14ac:dyDescent="0.25">
      <c r="I2483" t="s">
        <v>6127</v>
      </c>
      <c r="J2483" s="161" t="s">
        <v>19202</v>
      </c>
      <c r="K2483" t="s">
        <v>19203</v>
      </c>
      <c r="L2483" t="s">
        <v>6126</v>
      </c>
      <c r="M2483" s="161" t="s">
        <v>19202</v>
      </c>
    </row>
    <row r="2484" spans="9:13" x14ac:dyDescent="0.25">
      <c r="I2484" t="s">
        <v>11305</v>
      </c>
      <c r="J2484" s="161" t="s">
        <v>19202</v>
      </c>
      <c r="K2484" t="s">
        <v>19203</v>
      </c>
      <c r="L2484" t="s">
        <v>11304</v>
      </c>
      <c r="M2484" s="161" t="s">
        <v>19202</v>
      </c>
    </row>
    <row r="2485" spans="9:13" x14ac:dyDescent="0.25">
      <c r="I2485" t="s">
        <v>11241</v>
      </c>
      <c r="J2485" s="161" t="s">
        <v>19202</v>
      </c>
      <c r="K2485" t="s">
        <v>19203</v>
      </c>
      <c r="L2485" t="s">
        <v>11240</v>
      </c>
      <c r="M2485" s="161" t="s">
        <v>19202</v>
      </c>
    </row>
    <row r="2486" spans="9:13" x14ac:dyDescent="0.25">
      <c r="I2486" t="s">
        <v>10549</v>
      </c>
      <c r="J2486" s="161" t="s">
        <v>19202</v>
      </c>
      <c r="K2486" t="s">
        <v>19203</v>
      </c>
      <c r="L2486" t="s">
        <v>10548</v>
      </c>
      <c r="M2486" s="161" t="s">
        <v>19202</v>
      </c>
    </row>
    <row r="2487" spans="9:13" x14ac:dyDescent="0.25">
      <c r="I2487" t="s">
        <v>10502</v>
      </c>
      <c r="J2487" s="161" t="s">
        <v>19202</v>
      </c>
      <c r="K2487" t="s">
        <v>19203</v>
      </c>
      <c r="L2487" t="s">
        <v>10501</v>
      </c>
      <c r="M2487" s="161" t="s">
        <v>19202</v>
      </c>
    </row>
    <row r="2488" spans="9:13" x14ac:dyDescent="0.25">
      <c r="I2488" t="s">
        <v>4498</v>
      </c>
      <c r="J2488" s="161" t="s">
        <v>19202</v>
      </c>
      <c r="K2488" t="s">
        <v>19203</v>
      </c>
      <c r="L2488" t="s">
        <v>3632</v>
      </c>
      <c r="M2488" s="161" t="s">
        <v>19202</v>
      </c>
    </row>
    <row r="2489" spans="9:13" x14ac:dyDescent="0.25">
      <c r="I2489" t="s">
        <v>16675</v>
      </c>
      <c r="J2489" s="161" t="s">
        <v>19202</v>
      </c>
      <c r="K2489" t="s">
        <v>19203</v>
      </c>
      <c r="L2489" t="s">
        <v>16674</v>
      </c>
      <c r="M2489" s="161" t="s">
        <v>19202</v>
      </c>
    </row>
    <row r="2490" spans="9:13" x14ac:dyDescent="0.25">
      <c r="I2490" t="s">
        <v>2326</v>
      </c>
      <c r="J2490" s="161" t="s">
        <v>19202</v>
      </c>
      <c r="K2490" t="s">
        <v>19203</v>
      </c>
      <c r="L2490" t="s">
        <v>2325</v>
      </c>
      <c r="M2490" s="161" t="s">
        <v>19202</v>
      </c>
    </row>
    <row r="2491" spans="9:13" x14ac:dyDescent="0.25">
      <c r="I2491" t="s">
        <v>3841</v>
      </c>
      <c r="J2491" s="161" t="s">
        <v>19202</v>
      </c>
      <c r="K2491" t="s">
        <v>19203</v>
      </c>
      <c r="L2491" t="s">
        <v>3840</v>
      </c>
      <c r="M2491" s="161" t="s">
        <v>19202</v>
      </c>
    </row>
    <row r="2492" spans="9:13" x14ac:dyDescent="0.25">
      <c r="I2492" t="s">
        <v>4910</v>
      </c>
      <c r="J2492" s="161" t="s">
        <v>19202</v>
      </c>
      <c r="K2492" t="s">
        <v>19203</v>
      </c>
      <c r="L2492" t="s">
        <v>4664</v>
      </c>
      <c r="M2492" s="161" t="s">
        <v>19202</v>
      </c>
    </row>
    <row r="2493" spans="9:13" x14ac:dyDescent="0.25">
      <c r="I2493" t="s">
        <v>19550</v>
      </c>
      <c r="J2493" s="161" t="s">
        <v>19202</v>
      </c>
      <c r="K2493" t="s">
        <v>19203</v>
      </c>
      <c r="L2493" t="s">
        <v>16591</v>
      </c>
      <c r="M2493" s="161" t="s">
        <v>19202</v>
      </c>
    </row>
    <row r="2494" spans="9:13" x14ac:dyDescent="0.25">
      <c r="I2494" t="s">
        <v>9368</v>
      </c>
      <c r="J2494" s="161" t="s">
        <v>19202</v>
      </c>
      <c r="K2494" t="s">
        <v>19203</v>
      </c>
      <c r="L2494" t="s">
        <v>9367</v>
      </c>
      <c r="M2494" s="161" t="s">
        <v>19202</v>
      </c>
    </row>
    <row r="2495" spans="9:13" x14ac:dyDescent="0.25">
      <c r="I2495" t="s">
        <v>15976</v>
      </c>
      <c r="J2495" s="161" t="s">
        <v>19202</v>
      </c>
      <c r="K2495" t="s">
        <v>19203</v>
      </c>
      <c r="L2495" t="s">
        <v>1350</v>
      </c>
      <c r="M2495" s="161" t="s">
        <v>19202</v>
      </c>
    </row>
    <row r="2496" spans="9:13" x14ac:dyDescent="0.25">
      <c r="I2496" t="s">
        <v>16315</v>
      </c>
      <c r="J2496" s="161" t="s">
        <v>19202</v>
      </c>
      <c r="K2496" t="s">
        <v>19203</v>
      </c>
      <c r="L2496" t="s">
        <v>2436</v>
      </c>
      <c r="M2496" s="161" t="s">
        <v>19202</v>
      </c>
    </row>
    <row r="2497" spans="9:13" x14ac:dyDescent="0.25">
      <c r="I2497" t="s">
        <v>19551</v>
      </c>
      <c r="J2497" s="161" t="s">
        <v>19202</v>
      </c>
      <c r="K2497" t="s">
        <v>19203</v>
      </c>
      <c r="L2497" t="s">
        <v>19552</v>
      </c>
      <c r="M2497" s="161" t="s">
        <v>19202</v>
      </c>
    </row>
    <row r="2498" spans="9:13" x14ac:dyDescent="0.25">
      <c r="I2498" t="s">
        <v>8227</v>
      </c>
      <c r="J2498" s="161" t="s">
        <v>19202</v>
      </c>
      <c r="K2498" t="s">
        <v>19203</v>
      </c>
      <c r="L2498" t="s">
        <v>8226</v>
      </c>
      <c r="M2498" s="161" t="s">
        <v>19202</v>
      </c>
    </row>
    <row r="2499" spans="9:13" x14ac:dyDescent="0.25">
      <c r="I2499" t="s">
        <v>6839</v>
      </c>
      <c r="J2499" s="161" t="s">
        <v>19202</v>
      </c>
      <c r="K2499" t="s">
        <v>19203</v>
      </c>
      <c r="L2499" t="s">
        <v>6838</v>
      </c>
      <c r="M2499" s="161" t="s">
        <v>19202</v>
      </c>
    </row>
    <row r="2500" spans="9:13" x14ac:dyDescent="0.25">
      <c r="I2500" t="s">
        <v>18862</v>
      </c>
      <c r="J2500" s="161" t="s">
        <v>19202</v>
      </c>
      <c r="K2500" t="s">
        <v>19203</v>
      </c>
      <c r="L2500" t="s">
        <v>18864</v>
      </c>
      <c r="M2500" s="161" t="s">
        <v>19202</v>
      </c>
    </row>
    <row r="2501" spans="9:13" x14ac:dyDescent="0.25">
      <c r="I2501" t="s">
        <v>17880</v>
      </c>
      <c r="J2501" s="161" t="s">
        <v>19202</v>
      </c>
      <c r="K2501" t="s">
        <v>19203</v>
      </c>
      <c r="L2501" t="s">
        <v>17879</v>
      </c>
      <c r="M2501" s="161" t="s">
        <v>19202</v>
      </c>
    </row>
    <row r="2502" spans="9:13" x14ac:dyDescent="0.25">
      <c r="I2502" t="s">
        <v>19553</v>
      </c>
      <c r="J2502" s="161" t="s">
        <v>19202</v>
      </c>
      <c r="K2502" t="s">
        <v>19203</v>
      </c>
      <c r="L2502" t="s">
        <v>3630</v>
      </c>
      <c r="M2502" s="161" t="s">
        <v>19202</v>
      </c>
    </row>
    <row r="2503" spans="9:13" x14ac:dyDescent="0.25">
      <c r="I2503" t="s">
        <v>13561</v>
      </c>
      <c r="J2503" s="161" t="s">
        <v>19202</v>
      </c>
      <c r="K2503" t="s">
        <v>19203</v>
      </c>
      <c r="L2503" t="s">
        <v>13560</v>
      </c>
      <c r="M2503" s="161" t="s">
        <v>19202</v>
      </c>
    </row>
    <row r="2504" spans="9:13" x14ac:dyDescent="0.25">
      <c r="I2504" t="s">
        <v>13559</v>
      </c>
      <c r="J2504" s="161" t="s">
        <v>19202</v>
      </c>
      <c r="K2504" t="s">
        <v>19203</v>
      </c>
      <c r="L2504" t="s">
        <v>5429</v>
      </c>
      <c r="M2504" s="161" t="s">
        <v>19202</v>
      </c>
    </row>
    <row r="2505" spans="9:13" x14ac:dyDescent="0.25">
      <c r="I2505" t="s">
        <v>17240</v>
      </c>
      <c r="J2505" s="161" t="s">
        <v>19202</v>
      </c>
      <c r="K2505" t="s">
        <v>19203</v>
      </c>
      <c r="L2505" t="s">
        <v>17239</v>
      </c>
      <c r="M2505" s="161" t="s">
        <v>19202</v>
      </c>
    </row>
    <row r="2506" spans="9:13" x14ac:dyDescent="0.25">
      <c r="I2506" t="s">
        <v>19554</v>
      </c>
      <c r="J2506" s="161" t="s">
        <v>19202</v>
      </c>
      <c r="K2506" t="s">
        <v>19203</v>
      </c>
      <c r="L2506" t="s">
        <v>13125</v>
      </c>
      <c r="M2506" s="161" t="s">
        <v>19202</v>
      </c>
    </row>
    <row r="2507" spans="9:13" x14ac:dyDescent="0.25">
      <c r="I2507" t="s">
        <v>13740</v>
      </c>
      <c r="J2507" s="161" t="s">
        <v>19202</v>
      </c>
      <c r="K2507" t="s">
        <v>19203</v>
      </c>
      <c r="L2507" t="s">
        <v>13739</v>
      </c>
      <c r="M2507" s="161" t="s">
        <v>19202</v>
      </c>
    </row>
    <row r="2508" spans="9:13" x14ac:dyDescent="0.25">
      <c r="I2508" t="s">
        <v>9811</v>
      </c>
      <c r="J2508" s="161" t="s">
        <v>19202</v>
      </c>
      <c r="K2508" t="s">
        <v>19203</v>
      </c>
      <c r="L2508" t="s">
        <v>9810</v>
      </c>
      <c r="M2508" s="161" t="s">
        <v>19202</v>
      </c>
    </row>
    <row r="2509" spans="9:13" x14ac:dyDescent="0.25">
      <c r="I2509" t="s">
        <v>12322</v>
      </c>
      <c r="J2509" s="161" t="s">
        <v>19202</v>
      </c>
      <c r="K2509" t="s">
        <v>19203</v>
      </c>
      <c r="L2509" t="s">
        <v>12321</v>
      </c>
      <c r="M2509" s="161" t="s">
        <v>19202</v>
      </c>
    </row>
    <row r="2510" spans="9:13" x14ac:dyDescent="0.25">
      <c r="I2510" t="s">
        <v>10968</v>
      </c>
      <c r="J2510" s="161" t="s">
        <v>19202</v>
      </c>
      <c r="K2510" t="s">
        <v>19203</v>
      </c>
      <c r="L2510" t="s">
        <v>10967</v>
      </c>
      <c r="M2510" s="161" t="s">
        <v>19202</v>
      </c>
    </row>
    <row r="2511" spans="9:13" x14ac:dyDescent="0.25">
      <c r="I2511" t="s">
        <v>17486</v>
      </c>
      <c r="J2511" s="161" t="s">
        <v>19202</v>
      </c>
      <c r="K2511" t="s">
        <v>19203</v>
      </c>
      <c r="L2511" t="s">
        <v>17485</v>
      </c>
      <c r="M2511" s="161" t="s">
        <v>19202</v>
      </c>
    </row>
    <row r="2512" spans="9:13" x14ac:dyDescent="0.25">
      <c r="I2512" t="s">
        <v>11004</v>
      </c>
      <c r="J2512" s="161" t="s">
        <v>19202</v>
      </c>
      <c r="K2512" t="s">
        <v>19203</v>
      </c>
      <c r="L2512" t="s">
        <v>3461</v>
      </c>
      <c r="M2512" s="161" t="s">
        <v>19202</v>
      </c>
    </row>
    <row r="2513" spans="9:13" x14ac:dyDescent="0.25">
      <c r="I2513" t="s">
        <v>5535</v>
      </c>
      <c r="J2513" s="161" t="s">
        <v>19202</v>
      </c>
      <c r="K2513" t="s">
        <v>19203</v>
      </c>
      <c r="L2513" t="s">
        <v>724</v>
      </c>
      <c r="M2513" s="161" t="s">
        <v>19202</v>
      </c>
    </row>
    <row r="2514" spans="9:13" x14ac:dyDescent="0.25">
      <c r="I2514" t="s">
        <v>10283</v>
      </c>
      <c r="J2514" s="161" t="s">
        <v>19202</v>
      </c>
      <c r="K2514" t="s">
        <v>19203</v>
      </c>
      <c r="L2514" t="s">
        <v>10282</v>
      </c>
      <c r="M2514" s="161" t="s">
        <v>19202</v>
      </c>
    </row>
    <row r="2515" spans="9:13" x14ac:dyDescent="0.25">
      <c r="I2515" t="s">
        <v>5381</v>
      </c>
      <c r="J2515" s="161" t="s">
        <v>19202</v>
      </c>
      <c r="K2515" t="s">
        <v>19203</v>
      </c>
      <c r="L2515" t="s">
        <v>5345</v>
      </c>
      <c r="M2515" s="161" t="s">
        <v>19202</v>
      </c>
    </row>
    <row r="2516" spans="9:13" x14ac:dyDescent="0.25">
      <c r="I2516" t="s">
        <v>3561</v>
      </c>
      <c r="J2516" s="161" t="s">
        <v>19202</v>
      </c>
      <c r="K2516" t="s">
        <v>19203</v>
      </c>
      <c r="L2516" t="s">
        <v>3560</v>
      </c>
      <c r="M2516" s="161" t="s">
        <v>19202</v>
      </c>
    </row>
    <row r="2517" spans="9:13" x14ac:dyDescent="0.25">
      <c r="I2517" t="s">
        <v>3850</v>
      </c>
      <c r="J2517" s="161" t="s">
        <v>19202</v>
      </c>
      <c r="K2517" t="s">
        <v>19203</v>
      </c>
      <c r="L2517" t="s">
        <v>3849</v>
      </c>
      <c r="M2517" s="161" t="s">
        <v>19202</v>
      </c>
    </row>
    <row r="2518" spans="9:13" x14ac:dyDescent="0.25">
      <c r="I2518" t="s">
        <v>11008</v>
      </c>
      <c r="J2518" s="161" t="s">
        <v>19202</v>
      </c>
      <c r="K2518" t="s">
        <v>19203</v>
      </c>
      <c r="L2518" t="s">
        <v>11007</v>
      </c>
      <c r="M2518" s="161" t="s">
        <v>19202</v>
      </c>
    </row>
    <row r="2519" spans="9:13" x14ac:dyDescent="0.25">
      <c r="I2519" t="s">
        <v>4017</v>
      </c>
      <c r="J2519" s="161" t="s">
        <v>19202</v>
      </c>
      <c r="K2519" t="s">
        <v>19203</v>
      </c>
      <c r="L2519" t="s">
        <v>934</v>
      </c>
      <c r="M2519" s="161" t="s">
        <v>19202</v>
      </c>
    </row>
    <row r="2520" spans="9:13" x14ac:dyDescent="0.25">
      <c r="I2520" t="s">
        <v>7389</v>
      </c>
      <c r="J2520" s="161" t="s">
        <v>19202</v>
      </c>
      <c r="K2520" t="s">
        <v>19203</v>
      </c>
      <c r="L2520" t="s">
        <v>7388</v>
      </c>
      <c r="M2520" s="161" t="s">
        <v>19202</v>
      </c>
    </row>
    <row r="2521" spans="9:13" x14ac:dyDescent="0.25">
      <c r="I2521" t="s">
        <v>14758</v>
      </c>
      <c r="J2521" s="161" t="s">
        <v>19202</v>
      </c>
      <c r="K2521" t="s">
        <v>19203</v>
      </c>
      <c r="L2521" t="s">
        <v>14757</v>
      </c>
      <c r="M2521" s="161" t="s">
        <v>19202</v>
      </c>
    </row>
    <row r="2522" spans="9:13" x14ac:dyDescent="0.25">
      <c r="I2522" t="s">
        <v>15374</v>
      </c>
      <c r="J2522" s="161" t="s">
        <v>19202</v>
      </c>
      <c r="K2522" t="s">
        <v>19203</v>
      </c>
      <c r="L2522" t="s">
        <v>15373</v>
      </c>
      <c r="M2522" s="161" t="s">
        <v>19202</v>
      </c>
    </row>
    <row r="2523" spans="9:13" x14ac:dyDescent="0.25">
      <c r="I2523" t="s">
        <v>2621</v>
      </c>
      <c r="J2523" s="161" t="s">
        <v>19202</v>
      </c>
      <c r="K2523" t="s">
        <v>19203</v>
      </c>
      <c r="L2523" t="s">
        <v>2620</v>
      </c>
      <c r="M2523" s="161" t="s">
        <v>19202</v>
      </c>
    </row>
    <row r="2524" spans="9:13" x14ac:dyDescent="0.25">
      <c r="I2524" t="s">
        <v>2613</v>
      </c>
      <c r="J2524" s="161" t="s">
        <v>19202</v>
      </c>
      <c r="K2524" t="s">
        <v>19203</v>
      </c>
      <c r="L2524" t="s">
        <v>2612</v>
      </c>
      <c r="M2524" s="161" t="s">
        <v>19202</v>
      </c>
    </row>
    <row r="2525" spans="9:13" x14ac:dyDescent="0.25">
      <c r="I2525" t="s">
        <v>6217</v>
      </c>
      <c r="J2525" s="161" t="s">
        <v>19202</v>
      </c>
      <c r="K2525" t="s">
        <v>19203</v>
      </c>
      <c r="L2525" t="s">
        <v>6216</v>
      </c>
      <c r="M2525" s="161" t="s">
        <v>19202</v>
      </c>
    </row>
    <row r="2526" spans="9:13" x14ac:dyDescent="0.25">
      <c r="I2526" t="s">
        <v>3055</v>
      </c>
      <c r="J2526" s="161" t="s">
        <v>19202</v>
      </c>
      <c r="K2526" t="s">
        <v>19203</v>
      </c>
      <c r="L2526" t="s">
        <v>3054</v>
      </c>
      <c r="M2526" s="161" t="s">
        <v>19202</v>
      </c>
    </row>
    <row r="2527" spans="9:13" x14ac:dyDescent="0.25">
      <c r="I2527" t="s">
        <v>6211</v>
      </c>
      <c r="J2527" s="161" t="s">
        <v>19202</v>
      </c>
      <c r="K2527" t="s">
        <v>19203</v>
      </c>
      <c r="L2527" t="s">
        <v>6210</v>
      </c>
      <c r="M2527" s="161" t="s">
        <v>19202</v>
      </c>
    </row>
    <row r="2528" spans="9:13" x14ac:dyDescent="0.25">
      <c r="I2528" t="s">
        <v>3547</v>
      </c>
      <c r="J2528" s="161" t="s">
        <v>19202</v>
      </c>
      <c r="K2528" t="s">
        <v>19203</v>
      </c>
      <c r="L2528" t="s">
        <v>3546</v>
      </c>
      <c r="M2528" s="161" t="s">
        <v>19202</v>
      </c>
    </row>
    <row r="2529" spans="9:13" x14ac:dyDescent="0.25">
      <c r="I2529" t="s">
        <v>19555</v>
      </c>
      <c r="J2529" s="161" t="s">
        <v>19202</v>
      </c>
      <c r="K2529" t="s">
        <v>19203</v>
      </c>
      <c r="L2529" t="s">
        <v>19556</v>
      </c>
      <c r="M2529" s="161" t="s">
        <v>19202</v>
      </c>
    </row>
    <row r="2530" spans="9:13" x14ac:dyDescent="0.25">
      <c r="I2530" t="s">
        <v>13400</v>
      </c>
      <c r="J2530" s="161" t="s">
        <v>19202</v>
      </c>
      <c r="K2530" t="s">
        <v>19203</v>
      </c>
      <c r="L2530" t="s">
        <v>1479</v>
      </c>
      <c r="M2530" s="161" t="s">
        <v>19202</v>
      </c>
    </row>
    <row r="2531" spans="9:13" x14ac:dyDescent="0.25">
      <c r="I2531" t="s">
        <v>7672</v>
      </c>
      <c r="J2531" s="161" t="s">
        <v>19202</v>
      </c>
      <c r="K2531" t="s">
        <v>19203</v>
      </c>
      <c r="L2531" t="s">
        <v>7671</v>
      </c>
      <c r="M2531" s="161" t="s">
        <v>19202</v>
      </c>
    </row>
    <row r="2532" spans="9:13" x14ac:dyDescent="0.25">
      <c r="I2532" t="s">
        <v>15986</v>
      </c>
      <c r="J2532" s="161" t="s">
        <v>19202</v>
      </c>
      <c r="K2532" t="s">
        <v>19203</v>
      </c>
      <c r="L2532" t="s">
        <v>15985</v>
      </c>
      <c r="M2532" s="161" t="s">
        <v>19202</v>
      </c>
    </row>
    <row r="2533" spans="9:13" x14ac:dyDescent="0.25">
      <c r="I2533" t="s">
        <v>16079</v>
      </c>
      <c r="J2533" s="161" t="s">
        <v>19202</v>
      </c>
      <c r="K2533" t="s">
        <v>19203</v>
      </c>
      <c r="L2533" t="s">
        <v>16078</v>
      </c>
      <c r="M2533" s="161" t="s">
        <v>19202</v>
      </c>
    </row>
    <row r="2534" spans="9:13" x14ac:dyDescent="0.25">
      <c r="I2534" t="s">
        <v>14061</v>
      </c>
      <c r="J2534" s="161" t="s">
        <v>19202</v>
      </c>
      <c r="K2534" t="s">
        <v>19203</v>
      </c>
      <c r="L2534" t="s">
        <v>14060</v>
      </c>
      <c r="M2534" s="161" t="s">
        <v>19202</v>
      </c>
    </row>
    <row r="2535" spans="9:13" x14ac:dyDescent="0.25">
      <c r="I2535" t="s">
        <v>17082</v>
      </c>
      <c r="J2535" s="161" t="s">
        <v>19202</v>
      </c>
      <c r="K2535" t="s">
        <v>19203</v>
      </c>
      <c r="L2535" t="s">
        <v>17081</v>
      </c>
      <c r="M2535" s="161" t="s">
        <v>19202</v>
      </c>
    </row>
    <row r="2536" spans="9:13" x14ac:dyDescent="0.25">
      <c r="I2536" t="s">
        <v>4665</v>
      </c>
      <c r="J2536" s="161" t="s">
        <v>19202</v>
      </c>
      <c r="K2536" t="s">
        <v>19203</v>
      </c>
      <c r="L2536" t="s">
        <v>4664</v>
      </c>
      <c r="M2536" s="161" t="s">
        <v>19202</v>
      </c>
    </row>
    <row r="2537" spans="9:13" x14ac:dyDescent="0.25">
      <c r="I2537" t="s">
        <v>9388</v>
      </c>
      <c r="J2537" s="161" t="s">
        <v>19202</v>
      </c>
      <c r="K2537" t="s">
        <v>19203</v>
      </c>
      <c r="L2537" t="s">
        <v>9387</v>
      </c>
      <c r="M2537" s="161" t="s">
        <v>19202</v>
      </c>
    </row>
    <row r="2538" spans="9:13" x14ac:dyDescent="0.25">
      <c r="I2538" t="s">
        <v>13399</v>
      </c>
      <c r="J2538" s="161" t="s">
        <v>19202</v>
      </c>
      <c r="K2538" t="s">
        <v>19203</v>
      </c>
      <c r="L2538" t="s">
        <v>13398</v>
      </c>
      <c r="M2538" s="161" t="s">
        <v>19202</v>
      </c>
    </row>
    <row r="2539" spans="9:13" x14ac:dyDescent="0.25">
      <c r="I2539" t="s">
        <v>13397</v>
      </c>
      <c r="J2539" s="161" t="s">
        <v>19202</v>
      </c>
      <c r="K2539" t="s">
        <v>19203</v>
      </c>
      <c r="L2539" t="s">
        <v>1374</v>
      </c>
      <c r="M2539" s="161" t="s">
        <v>19202</v>
      </c>
    </row>
    <row r="2540" spans="9:13" x14ac:dyDescent="0.25">
      <c r="I2540" t="s">
        <v>13396</v>
      </c>
      <c r="J2540" s="161" t="s">
        <v>19202</v>
      </c>
      <c r="K2540" t="s">
        <v>19203</v>
      </c>
      <c r="L2540" t="s">
        <v>13395</v>
      </c>
      <c r="M2540" s="161" t="s">
        <v>19202</v>
      </c>
    </row>
    <row r="2541" spans="9:13" x14ac:dyDescent="0.25">
      <c r="I2541" t="s">
        <v>13394</v>
      </c>
      <c r="J2541" s="161" t="s">
        <v>19202</v>
      </c>
      <c r="K2541" t="s">
        <v>19203</v>
      </c>
      <c r="L2541" t="s">
        <v>13393</v>
      </c>
      <c r="M2541" s="161" t="s">
        <v>19202</v>
      </c>
    </row>
    <row r="2542" spans="9:13" x14ac:dyDescent="0.25">
      <c r="I2542" t="s">
        <v>13355</v>
      </c>
      <c r="J2542" s="161" t="s">
        <v>19202</v>
      </c>
      <c r="K2542" t="s">
        <v>19203</v>
      </c>
      <c r="L2542" t="s">
        <v>1479</v>
      </c>
      <c r="M2542" s="161" t="s">
        <v>19202</v>
      </c>
    </row>
    <row r="2543" spans="9:13" x14ac:dyDescent="0.25">
      <c r="I2543" t="s">
        <v>13352</v>
      </c>
      <c r="J2543" s="161" t="s">
        <v>19202</v>
      </c>
      <c r="K2543" t="s">
        <v>19203</v>
      </c>
      <c r="L2543" t="s">
        <v>13351</v>
      </c>
      <c r="M2543" s="161" t="s">
        <v>19202</v>
      </c>
    </row>
    <row r="2544" spans="9:13" x14ac:dyDescent="0.25">
      <c r="I2544" t="s">
        <v>13348</v>
      </c>
      <c r="J2544" s="161" t="s">
        <v>19202</v>
      </c>
      <c r="K2544" t="s">
        <v>19203</v>
      </c>
      <c r="L2544" t="s">
        <v>13224</v>
      </c>
      <c r="M2544" s="161" t="s">
        <v>19202</v>
      </c>
    </row>
    <row r="2545" spans="9:13" x14ac:dyDescent="0.25">
      <c r="I2545" t="s">
        <v>13556</v>
      </c>
      <c r="J2545" s="161" t="s">
        <v>19202</v>
      </c>
      <c r="K2545" t="s">
        <v>19203</v>
      </c>
      <c r="L2545" t="s">
        <v>13555</v>
      </c>
      <c r="M2545" s="161" t="s">
        <v>19202</v>
      </c>
    </row>
    <row r="2546" spans="9:13" x14ac:dyDescent="0.25">
      <c r="I2546" t="s">
        <v>13069</v>
      </c>
      <c r="J2546" s="161" t="s">
        <v>19202</v>
      </c>
      <c r="K2546" t="s">
        <v>19203</v>
      </c>
      <c r="L2546" t="s">
        <v>13068</v>
      </c>
      <c r="M2546" s="161" t="s">
        <v>19202</v>
      </c>
    </row>
    <row r="2547" spans="9:13" x14ac:dyDescent="0.25">
      <c r="I2547" t="s">
        <v>13347</v>
      </c>
      <c r="J2547" s="161" t="s">
        <v>19202</v>
      </c>
      <c r="K2547" t="s">
        <v>19203</v>
      </c>
      <c r="L2547" t="s">
        <v>2129</v>
      </c>
      <c r="M2547" s="161" t="s">
        <v>19202</v>
      </c>
    </row>
    <row r="2548" spans="9:13" x14ac:dyDescent="0.25">
      <c r="I2548" t="s">
        <v>13216</v>
      </c>
      <c r="J2548" s="161" t="s">
        <v>19202</v>
      </c>
      <c r="K2548" t="s">
        <v>19203</v>
      </c>
      <c r="L2548" t="s">
        <v>2436</v>
      </c>
      <c r="M2548" s="161" t="s">
        <v>19202</v>
      </c>
    </row>
    <row r="2549" spans="9:13" x14ac:dyDescent="0.25">
      <c r="I2549" t="s">
        <v>13392</v>
      </c>
      <c r="J2549" s="161" t="s">
        <v>19202</v>
      </c>
      <c r="K2549" t="s">
        <v>19203</v>
      </c>
      <c r="L2549" t="s">
        <v>13391</v>
      </c>
      <c r="M2549" s="161" t="s">
        <v>19202</v>
      </c>
    </row>
    <row r="2550" spans="9:13" x14ac:dyDescent="0.25">
      <c r="I2550" t="s">
        <v>13390</v>
      </c>
      <c r="J2550" s="161" t="s">
        <v>19202</v>
      </c>
      <c r="K2550" t="s">
        <v>19203</v>
      </c>
      <c r="L2550" t="s">
        <v>3896</v>
      </c>
      <c r="M2550" s="161" t="s">
        <v>19202</v>
      </c>
    </row>
    <row r="2551" spans="9:13" x14ac:dyDescent="0.25">
      <c r="I2551" t="s">
        <v>13387</v>
      </c>
      <c r="J2551" s="161" t="s">
        <v>19202</v>
      </c>
      <c r="K2551" t="s">
        <v>19203</v>
      </c>
      <c r="L2551" t="s">
        <v>13386</v>
      </c>
      <c r="M2551" s="161" t="s">
        <v>19202</v>
      </c>
    </row>
    <row r="2552" spans="9:13" x14ac:dyDescent="0.25">
      <c r="I2552" t="s">
        <v>13550</v>
      </c>
      <c r="J2552" s="161" t="s">
        <v>19202</v>
      </c>
      <c r="K2552" t="s">
        <v>19203</v>
      </c>
      <c r="L2552" t="s">
        <v>13549</v>
      </c>
      <c r="M2552" s="161" t="s">
        <v>19202</v>
      </c>
    </row>
    <row r="2553" spans="9:13" x14ac:dyDescent="0.25">
      <c r="I2553" t="s">
        <v>13546</v>
      </c>
      <c r="J2553" s="161" t="s">
        <v>19202</v>
      </c>
      <c r="K2553" t="s">
        <v>19203</v>
      </c>
      <c r="L2553" t="s">
        <v>13545</v>
      </c>
      <c r="M2553" s="161" t="s">
        <v>19202</v>
      </c>
    </row>
    <row r="2554" spans="9:13" x14ac:dyDescent="0.25">
      <c r="I2554" t="s">
        <v>16072</v>
      </c>
      <c r="J2554" s="161" t="s">
        <v>19202</v>
      </c>
      <c r="K2554" t="s">
        <v>19203</v>
      </c>
      <c r="L2554" t="s">
        <v>842</v>
      </c>
      <c r="M2554" s="161" t="s">
        <v>19202</v>
      </c>
    </row>
    <row r="2555" spans="9:13" x14ac:dyDescent="0.25">
      <c r="I2555" t="s">
        <v>13342</v>
      </c>
      <c r="J2555" s="161" t="s">
        <v>19202</v>
      </c>
      <c r="K2555" t="s">
        <v>19203</v>
      </c>
      <c r="L2555" t="s">
        <v>13341</v>
      </c>
      <c r="M2555" s="161" t="s">
        <v>19202</v>
      </c>
    </row>
    <row r="2556" spans="9:13" x14ac:dyDescent="0.25">
      <c r="I2556" t="s">
        <v>13381</v>
      </c>
      <c r="J2556" s="161" t="s">
        <v>19202</v>
      </c>
      <c r="K2556" t="s">
        <v>19203</v>
      </c>
      <c r="L2556" t="s">
        <v>13380</v>
      </c>
      <c r="M2556" s="161" t="s">
        <v>19202</v>
      </c>
    </row>
    <row r="2557" spans="9:13" x14ac:dyDescent="0.25">
      <c r="I2557" t="s">
        <v>13542</v>
      </c>
      <c r="J2557" s="161" t="s">
        <v>19202</v>
      </c>
      <c r="K2557" t="s">
        <v>19203</v>
      </c>
      <c r="L2557" t="s">
        <v>13541</v>
      </c>
      <c r="M2557" s="161" t="s">
        <v>19202</v>
      </c>
    </row>
    <row r="2558" spans="9:13" x14ac:dyDescent="0.25">
      <c r="I2558" t="s">
        <v>13340</v>
      </c>
      <c r="J2558" s="161" t="s">
        <v>19202</v>
      </c>
      <c r="K2558" t="s">
        <v>19203</v>
      </c>
      <c r="L2558" t="s">
        <v>13339</v>
      </c>
      <c r="M2558" s="161" t="s">
        <v>19202</v>
      </c>
    </row>
    <row r="2559" spans="9:13" x14ac:dyDescent="0.25">
      <c r="I2559" t="s">
        <v>13338</v>
      </c>
      <c r="J2559" s="161" t="s">
        <v>19202</v>
      </c>
      <c r="K2559" t="s">
        <v>19203</v>
      </c>
      <c r="L2559" t="s">
        <v>13337</v>
      </c>
      <c r="M2559" s="161" t="s">
        <v>19202</v>
      </c>
    </row>
    <row r="2560" spans="9:13" x14ac:dyDescent="0.25">
      <c r="I2560" t="s">
        <v>13183</v>
      </c>
      <c r="J2560" s="161" t="s">
        <v>19202</v>
      </c>
      <c r="K2560" t="s">
        <v>19203</v>
      </c>
      <c r="L2560" t="s">
        <v>13182</v>
      </c>
      <c r="M2560" s="161" t="s">
        <v>19202</v>
      </c>
    </row>
    <row r="2561" spans="9:13" x14ac:dyDescent="0.25">
      <c r="I2561" t="s">
        <v>13181</v>
      </c>
      <c r="J2561" s="161" t="s">
        <v>19202</v>
      </c>
      <c r="K2561" t="s">
        <v>19203</v>
      </c>
      <c r="L2561" t="s">
        <v>13180</v>
      </c>
      <c r="M2561" s="161" t="s">
        <v>19202</v>
      </c>
    </row>
    <row r="2562" spans="9:13" x14ac:dyDescent="0.25">
      <c r="I2562" t="s">
        <v>13537</v>
      </c>
      <c r="J2562" s="161" t="s">
        <v>19202</v>
      </c>
      <c r="K2562" t="s">
        <v>19203</v>
      </c>
      <c r="L2562" t="s">
        <v>13536</v>
      </c>
      <c r="M2562" s="161" t="s">
        <v>19202</v>
      </c>
    </row>
    <row r="2563" spans="9:13" x14ac:dyDescent="0.25">
      <c r="I2563" t="s">
        <v>13179</v>
      </c>
      <c r="J2563" s="161" t="s">
        <v>19202</v>
      </c>
      <c r="K2563" t="s">
        <v>19203</v>
      </c>
      <c r="L2563" t="s">
        <v>13178</v>
      </c>
      <c r="M2563" s="161" t="s">
        <v>19202</v>
      </c>
    </row>
    <row r="2564" spans="9:13" x14ac:dyDescent="0.25">
      <c r="I2564" t="s">
        <v>13177</v>
      </c>
      <c r="J2564" s="161" t="s">
        <v>19202</v>
      </c>
      <c r="K2564" t="s">
        <v>19203</v>
      </c>
      <c r="L2564" t="s">
        <v>13176</v>
      </c>
      <c r="M2564" s="161" t="s">
        <v>19202</v>
      </c>
    </row>
    <row r="2565" spans="9:13" x14ac:dyDescent="0.25">
      <c r="I2565" t="s">
        <v>13175</v>
      </c>
      <c r="J2565" s="161" t="s">
        <v>19202</v>
      </c>
      <c r="K2565" t="s">
        <v>19203</v>
      </c>
      <c r="L2565" t="s">
        <v>13174</v>
      </c>
      <c r="M2565" s="161" t="s">
        <v>19202</v>
      </c>
    </row>
    <row r="2566" spans="9:13" x14ac:dyDescent="0.25">
      <c r="I2566" t="s">
        <v>13377</v>
      </c>
      <c r="J2566" s="161" t="s">
        <v>19202</v>
      </c>
      <c r="K2566" t="s">
        <v>19203</v>
      </c>
      <c r="L2566" t="s">
        <v>13376</v>
      </c>
      <c r="M2566" s="161" t="s">
        <v>19202</v>
      </c>
    </row>
    <row r="2567" spans="9:13" x14ac:dyDescent="0.25">
      <c r="I2567" t="s">
        <v>13375</v>
      </c>
      <c r="J2567" s="161" t="s">
        <v>19202</v>
      </c>
      <c r="K2567" t="s">
        <v>19203</v>
      </c>
      <c r="L2567" t="s">
        <v>13374</v>
      </c>
      <c r="M2567" s="161" t="s">
        <v>19202</v>
      </c>
    </row>
    <row r="2568" spans="9:13" x14ac:dyDescent="0.25">
      <c r="I2568" t="s">
        <v>13373</v>
      </c>
      <c r="J2568" s="161" t="s">
        <v>19202</v>
      </c>
      <c r="K2568" t="s">
        <v>19203</v>
      </c>
      <c r="L2568" t="s">
        <v>10004</v>
      </c>
      <c r="M2568" s="161" t="s">
        <v>19202</v>
      </c>
    </row>
    <row r="2569" spans="9:13" x14ac:dyDescent="0.25">
      <c r="I2569" t="s">
        <v>13535</v>
      </c>
      <c r="J2569" s="161" t="s">
        <v>19202</v>
      </c>
      <c r="K2569" t="s">
        <v>19203</v>
      </c>
      <c r="L2569" t="s">
        <v>13534</v>
      </c>
      <c r="M2569" s="161" t="s">
        <v>19202</v>
      </c>
    </row>
    <row r="2570" spans="9:13" x14ac:dyDescent="0.25">
      <c r="I2570" t="s">
        <v>13533</v>
      </c>
      <c r="J2570" s="161" t="s">
        <v>19202</v>
      </c>
      <c r="K2570" t="s">
        <v>19203</v>
      </c>
      <c r="L2570" t="s">
        <v>13532</v>
      </c>
      <c r="M2570" s="161" t="s">
        <v>19202</v>
      </c>
    </row>
    <row r="2571" spans="9:13" x14ac:dyDescent="0.25">
      <c r="I2571" t="s">
        <v>13531</v>
      </c>
      <c r="J2571" s="161" t="s">
        <v>19202</v>
      </c>
      <c r="K2571" t="s">
        <v>19203</v>
      </c>
      <c r="L2571" t="s">
        <v>13530</v>
      </c>
      <c r="M2571" s="161" t="s">
        <v>19202</v>
      </c>
    </row>
    <row r="2572" spans="9:13" x14ac:dyDescent="0.25">
      <c r="I2572" t="s">
        <v>13123</v>
      </c>
      <c r="J2572" s="161" t="s">
        <v>19202</v>
      </c>
      <c r="K2572" t="s">
        <v>19203</v>
      </c>
      <c r="L2572" t="s">
        <v>13122</v>
      </c>
      <c r="M2572" s="161" t="s">
        <v>19202</v>
      </c>
    </row>
    <row r="2573" spans="9:13" x14ac:dyDescent="0.25">
      <c r="I2573" t="s">
        <v>13450</v>
      </c>
      <c r="J2573" s="161" t="s">
        <v>19202</v>
      </c>
      <c r="K2573" t="s">
        <v>19203</v>
      </c>
      <c r="L2573" t="s">
        <v>13449</v>
      </c>
      <c r="M2573" s="161" t="s">
        <v>19202</v>
      </c>
    </row>
    <row r="2574" spans="9:13" x14ac:dyDescent="0.25">
      <c r="I2574" t="s">
        <v>13169</v>
      </c>
      <c r="J2574" s="161" t="s">
        <v>19202</v>
      </c>
      <c r="K2574" t="s">
        <v>19203</v>
      </c>
      <c r="L2574" t="s">
        <v>13168</v>
      </c>
      <c r="M2574" s="161" t="s">
        <v>19202</v>
      </c>
    </row>
    <row r="2575" spans="9:13" x14ac:dyDescent="0.25">
      <c r="I2575" t="s">
        <v>13167</v>
      </c>
      <c r="J2575" s="161" t="s">
        <v>19202</v>
      </c>
      <c r="K2575" t="s">
        <v>19203</v>
      </c>
      <c r="L2575" t="s">
        <v>13166</v>
      </c>
      <c r="M2575" s="161" t="s">
        <v>19202</v>
      </c>
    </row>
    <row r="2576" spans="9:13" x14ac:dyDescent="0.25">
      <c r="I2576" t="s">
        <v>13121</v>
      </c>
      <c r="J2576" s="161" t="s">
        <v>19202</v>
      </c>
      <c r="K2576" t="s">
        <v>19203</v>
      </c>
      <c r="L2576" t="s">
        <v>13120</v>
      </c>
      <c r="M2576" s="161" t="s">
        <v>19202</v>
      </c>
    </row>
    <row r="2577" spans="9:13" x14ac:dyDescent="0.25">
      <c r="I2577" t="s">
        <v>13119</v>
      </c>
      <c r="J2577" s="161" t="s">
        <v>19202</v>
      </c>
      <c r="K2577" t="s">
        <v>19203</v>
      </c>
      <c r="L2577" t="s">
        <v>13118</v>
      </c>
      <c r="M2577" s="161" t="s">
        <v>19202</v>
      </c>
    </row>
    <row r="2578" spans="9:13" x14ac:dyDescent="0.25">
      <c r="I2578" t="s">
        <v>13117</v>
      </c>
      <c r="J2578" s="161" t="s">
        <v>19202</v>
      </c>
      <c r="K2578" t="s">
        <v>19203</v>
      </c>
      <c r="L2578" t="s">
        <v>13116</v>
      </c>
      <c r="M2578" s="161" t="s">
        <v>19202</v>
      </c>
    </row>
    <row r="2579" spans="9:13" x14ac:dyDescent="0.25">
      <c r="I2579" t="s">
        <v>13115</v>
      </c>
      <c r="J2579" s="161" t="s">
        <v>19202</v>
      </c>
      <c r="K2579" t="s">
        <v>19203</v>
      </c>
      <c r="L2579" t="s">
        <v>13114</v>
      </c>
      <c r="M2579" s="161" t="s">
        <v>19202</v>
      </c>
    </row>
    <row r="2580" spans="9:13" x14ac:dyDescent="0.25">
      <c r="I2580" t="s">
        <v>13113</v>
      </c>
      <c r="J2580" s="161" t="s">
        <v>19202</v>
      </c>
      <c r="K2580" t="s">
        <v>19203</v>
      </c>
      <c r="L2580" t="s">
        <v>13112</v>
      </c>
      <c r="M2580" s="161" t="s">
        <v>19202</v>
      </c>
    </row>
    <row r="2581" spans="9:13" x14ac:dyDescent="0.25">
      <c r="I2581" t="s">
        <v>19557</v>
      </c>
      <c r="J2581" s="161" t="s">
        <v>19202</v>
      </c>
      <c r="K2581" t="s">
        <v>19203</v>
      </c>
      <c r="L2581" t="s">
        <v>19558</v>
      </c>
      <c r="M2581" s="161" t="s">
        <v>19202</v>
      </c>
    </row>
    <row r="2582" spans="9:13" x14ac:dyDescent="0.25">
      <c r="I2582" t="s">
        <v>3428</v>
      </c>
      <c r="J2582" s="161" t="s">
        <v>19202</v>
      </c>
      <c r="K2582" t="s">
        <v>19203</v>
      </c>
      <c r="L2582" t="s">
        <v>3427</v>
      </c>
      <c r="M2582" s="161" t="s">
        <v>19202</v>
      </c>
    </row>
    <row r="2583" spans="9:13" x14ac:dyDescent="0.25">
      <c r="I2583" t="s">
        <v>15226</v>
      </c>
      <c r="J2583" s="161" t="s">
        <v>19202</v>
      </c>
      <c r="K2583" t="s">
        <v>19203</v>
      </c>
      <c r="L2583" t="s">
        <v>15225</v>
      </c>
      <c r="M2583" s="161" t="s">
        <v>19202</v>
      </c>
    </row>
    <row r="2584" spans="9:13" x14ac:dyDescent="0.25">
      <c r="I2584" t="s">
        <v>13742</v>
      </c>
      <c r="J2584" s="161" t="s">
        <v>19202</v>
      </c>
      <c r="K2584" t="s">
        <v>19203</v>
      </c>
      <c r="L2584" t="s">
        <v>13741</v>
      </c>
      <c r="M2584" s="161" t="s">
        <v>19202</v>
      </c>
    </row>
    <row r="2585" spans="9:13" x14ac:dyDescent="0.25">
      <c r="I2585" t="s">
        <v>4545</v>
      </c>
      <c r="J2585" s="161" t="s">
        <v>19202</v>
      </c>
      <c r="K2585" t="s">
        <v>19203</v>
      </c>
      <c r="L2585" t="s">
        <v>4544</v>
      </c>
      <c r="M2585" s="161" t="s">
        <v>19202</v>
      </c>
    </row>
    <row r="2586" spans="9:13" x14ac:dyDescent="0.25">
      <c r="I2586" t="s">
        <v>4476</v>
      </c>
      <c r="J2586" s="161" t="s">
        <v>19202</v>
      </c>
      <c r="K2586" t="s">
        <v>19203</v>
      </c>
      <c r="L2586" t="s">
        <v>4475</v>
      </c>
      <c r="M2586" s="161" t="s">
        <v>19202</v>
      </c>
    </row>
    <row r="2587" spans="9:13" x14ac:dyDescent="0.25">
      <c r="I2587" t="s">
        <v>9908</v>
      </c>
      <c r="J2587" s="161" t="s">
        <v>19202</v>
      </c>
      <c r="K2587" t="s">
        <v>19203</v>
      </c>
      <c r="L2587" t="s">
        <v>9907</v>
      </c>
      <c r="M2587" s="161" t="s">
        <v>19202</v>
      </c>
    </row>
    <row r="2588" spans="9:13" x14ac:dyDescent="0.25">
      <c r="I2588" t="s">
        <v>9906</v>
      </c>
      <c r="J2588" s="161" t="s">
        <v>19202</v>
      </c>
      <c r="K2588" t="s">
        <v>19203</v>
      </c>
      <c r="L2588" t="s">
        <v>9797</v>
      </c>
      <c r="M2588" s="161" t="s">
        <v>19202</v>
      </c>
    </row>
    <row r="2589" spans="9:13" x14ac:dyDescent="0.25">
      <c r="I2589" t="s">
        <v>9905</v>
      </c>
      <c r="J2589" s="161" t="s">
        <v>19202</v>
      </c>
      <c r="K2589" t="s">
        <v>19203</v>
      </c>
      <c r="L2589" t="s">
        <v>9904</v>
      </c>
      <c r="M2589" s="161" t="s">
        <v>19202</v>
      </c>
    </row>
    <row r="2590" spans="9:13" x14ac:dyDescent="0.25">
      <c r="I2590" t="s">
        <v>4333</v>
      </c>
      <c r="J2590" s="161" t="s">
        <v>19202</v>
      </c>
      <c r="K2590" t="s">
        <v>19203</v>
      </c>
      <c r="L2590" t="s">
        <v>4332</v>
      </c>
      <c r="M2590" s="161" t="s">
        <v>19202</v>
      </c>
    </row>
    <row r="2591" spans="9:13" x14ac:dyDescent="0.25">
      <c r="I2591" t="s">
        <v>11127</v>
      </c>
      <c r="J2591" s="161" t="s">
        <v>19202</v>
      </c>
      <c r="K2591" t="s">
        <v>19203</v>
      </c>
      <c r="L2591" t="s">
        <v>11126</v>
      </c>
      <c r="M2591" s="161" t="s">
        <v>19202</v>
      </c>
    </row>
    <row r="2592" spans="9:13" x14ac:dyDescent="0.25">
      <c r="I2592" t="s">
        <v>13746</v>
      </c>
      <c r="J2592" s="161" t="s">
        <v>19202</v>
      </c>
      <c r="K2592" t="s">
        <v>19203</v>
      </c>
      <c r="L2592" t="s">
        <v>13745</v>
      </c>
      <c r="M2592" s="161" t="s">
        <v>19202</v>
      </c>
    </row>
    <row r="2593" spans="9:13" x14ac:dyDescent="0.25">
      <c r="I2593" t="s">
        <v>13736</v>
      </c>
      <c r="J2593" s="161" t="s">
        <v>19202</v>
      </c>
      <c r="K2593" t="s">
        <v>19203</v>
      </c>
      <c r="L2593" t="s">
        <v>13735</v>
      </c>
      <c r="M2593" s="161" t="s">
        <v>19202</v>
      </c>
    </row>
    <row r="2594" spans="9:13" x14ac:dyDescent="0.25">
      <c r="I2594" t="s">
        <v>1412</v>
      </c>
      <c r="J2594" s="161" t="s">
        <v>19202</v>
      </c>
      <c r="K2594" t="s">
        <v>19203</v>
      </c>
      <c r="L2594" t="s">
        <v>1411</v>
      </c>
      <c r="M2594" s="161" t="s">
        <v>19202</v>
      </c>
    </row>
    <row r="2595" spans="9:13" x14ac:dyDescent="0.25">
      <c r="I2595" t="s">
        <v>19559</v>
      </c>
      <c r="J2595" s="161" t="s">
        <v>19202</v>
      </c>
      <c r="K2595" t="s">
        <v>19203</v>
      </c>
      <c r="L2595" t="s">
        <v>19560</v>
      </c>
      <c r="M2595" s="161" t="s">
        <v>19202</v>
      </c>
    </row>
    <row r="2596" spans="9:13" x14ac:dyDescent="0.25">
      <c r="I2596" t="s">
        <v>19561</v>
      </c>
      <c r="J2596" s="161" t="s">
        <v>19202</v>
      </c>
      <c r="K2596" t="s">
        <v>19203</v>
      </c>
      <c r="L2596" t="s">
        <v>6262</v>
      </c>
      <c r="M2596" s="161" t="s">
        <v>19202</v>
      </c>
    </row>
    <row r="2597" spans="9:13" x14ac:dyDescent="0.25">
      <c r="I2597" t="s">
        <v>13862</v>
      </c>
      <c r="J2597" s="161" t="s">
        <v>19202</v>
      </c>
      <c r="K2597" t="s">
        <v>19203</v>
      </c>
      <c r="L2597" t="s">
        <v>970</v>
      </c>
      <c r="M2597" s="161" t="s">
        <v>19202</v>
      </c>
    </row>
    <row r="2598" spans="9:13" x14ac:dyDescent="0.25">
      <c r="I2598" t="s">
        <v>19562</v>
      </c>
      <c r="J2598" s="161" t="s">
        <v>19202</v>
      </c>
      <c r="K2598" t="s">
        <v>19203</v>
      </c>
      <c r="L2598" t="s">
        <v>19563</v>
      </c>
      <c r="M2598" s="161" t="s">
        <v>19202</v>
      </c>
    </row>
    <row r="2599" spans="9:13" x14ac:dyDescent="0.25">
      <c r="I2599" t="s">
        <v>2615</v>
      </c>
      <c r="J2599" s="161" t="s">
        <v>19202</v>
      </c>
      <c r="K2599" t="s">
        <v>19203</v>
      </c>
      <c r="L2599" t="s">
        <v>2614</v>
      </c>
      <c r="M2599" s="161" t="s">
        <v>19202</v>
      </c>
    </row>
    <row r="2600" spans="9:13" x14ac:dyDescent="0.25">
      <c r="I2600" t="s">
        <v>3460</v>
      </c>
      <c r="J2600" s="161" t="s">
        <v>19202</v>
      </c>
      <c r="K2600" t="s">
        <v>19203</v>
      </c>
      <c r="L2600" t="s">
        <v>3459</v>
      </c>
      <c r="M2600" s="161" t="s">
        <v>19202</v>
      </c>
    </row>
    <row r="2601" spans="9:13" x14ac:dyDescent="0.25">
      <c r="I2601" t="s">
        <v>2011</v>
      </c>
      <c r="J2601" s="161" t="s">
        <v>19202</v>
      </c>
      <c r="K2601" t="s">
        <v>19203</v>
      </c>
      <c r="L2601" t="s">
        <v>2010</v>
      </c>
      <c r="M2601" s="161" t="s">
        <v>19202</v>
      </c>
    </row>
    <row r="2602" spans="9:13" x14ac:dyDescent="0.25">
      <c r="I2602" t="s">
        <v>7061</v>
      </c>
      <c r="J2602" s="161" t="s">
        <v>19202</v>
      </c>
      <c r="K2602" t="s">
        <v>19203</v>
      </c>
      <c r="L2602" t="s">
        <v>7060</v>
      </c>
      <c r="M2602" s="161" t="s">
        <v>19202</v>
      </c>
    </row>
    <row r="2603" spans="9:13" x14ac:dyDescent="0.25">
      <c r="I2603" t="s">
        <v>8371</v>
      </c>
      <c r="J2603" s="161" t="s">
        <v>19202</v>
      </c>
      <c r="K2603" t="s">
        <v>19203</v>
      </c>
      <c r="L2603" t="s">
        <v>8370</v>
      </c>
      <c r="M2603" s="161" t="s">
        <v>19202</v>
      </c>
    </row>
    <row r="2604" spans="9:13" x14ac:dyDescent="0.25">
      <c r="I2604" t="s">
        <v>11165</v>
      </c>
      <c r="J2604" s="161" t="s">
        <v>19202</v>
      </c>
      <c r="K2604" t="s">
        <v>19203</v>
      </c>
      <c r="L2604" t="s">
        <v>11164</v>
      </c>
      <c r="M2604" s="161" t="s">
        <v>19202</v>
      </c>
    </row>
    <row r="2605" spans="9:13" x14ac:dyDescent="0.25">
      <c r="I2605" t="s">
        <v>4990</v>
      </c>
      <c r="J2605" s="161" t="s">
        <v>19202</v>
      </c>
      <c r="K2605" t="s">
        <v>19203</v>
      </c>
      <c r="L2605" t="s">
        <v>4989</v>
      </c>
      <c r="M2605" s="161" t="s">
        <v>19202</v>
      </c>
    </row>
    <row r="2606" spans="9:13" x14ac:dyDescent="0.25">
      <c r="I2606" t="s">
        <v>4049</v>
      </c>
      <c r="J2606" s="161" t="s">
        <v>19202</v>
      </c>
      <c r="K2606" t="s">
        <v>19203</v>
      </c>
      <c r="L2606" t="s">
        <v>4048</v>
      </c>
      <c r="M2606" s="161" t="s">
        <v>19202</v>
      </c>
    </row>
    <row r="2607" spans="9:13" x14ac:dyDescent="0.25">
      <c r="I2607" t="s">
        <v>6209</v>
      </c>
      <c r="J2607" s="161" t="s">
        <v>19202</v>
      </c>
      <c r="K2607" t="s">
        <v>19203</v>
      </c>
      <c r="L2607" t="s">
        <v>6208</v>
      </c>
      <c r="M2607" s="161" t="s">
        <v>19202</v>
      </c>
    </row>
    <row r="2608" spans="9:13" x14ac:dyDescent="0.25">
      <c r="I2608" t="s">
        <v>15207</v>
      </c>
      <c r="J2608" s="161" t="s">
        <v>19202</v>
      </c>
      <c r="K2608" t="s">
        <v>19203</v>
      </c>
      <c r="L2608" t="s">
        <v>15206</v>
      </c>
      <c r="M2608" s="161" t="s">
        <v>19202</v>
      </c>
    </row>
    <row r="2609" spans="9:13" x14ac:dyDescent="0.25">
      <c r="I2609" t="s">
        <v>6207</v>
      </c>
      <c r="J2609" s="161" t="s">
        <v>19202</v>
      </c>
      <c r="K2609" t="s">
        <v>19203</v>
      </c>
      <c r="L2609" t="s">
        <v>6206</v>
      </c>
      <c r="M2609" s="161" t="s">
        <v>19202</v>
      </c>
    </row>
    <row r="2610" spans="9:13" x14ac:dyDescent="0.25">
      <c r="I2610" t="s">
        <v>6205</v>
      </c>
      <c r="J2610" s="161" t="s">
        <v>19202</v>
      </c>
      <c r="K2610" t="s">
        <v>19203</v>
      </c>
      <c r="L2610" t="s">
        <v>6204</v>
      </c>
      <c r="M2610" s="161" t="s">
        <v>19202</v>
      </c>
    </row>
    <row r="2611" spans="9:13" x14ac:dyDescent="0.25">
      <c r="I2611" t="s">
        <v>3931</v>
      </c>
      <c r="J2611" s="161" t="s">
        <v>19202</v>
      </c>
      <c r="K2611" t="s">
        <v>19203</v>
      </c>
      <c r="L2611" t="s">
        <v>3930</v>
      </c>
      <c r="M2611" s="161" t="s">
        <v>19202</v>
      </c>
    </row>
    <row r="2612" spans="9:13" x14ac:dyDescent="0.25">
      <c r="I2612" t="s">
        <v>10962</v>
      </c>
      <c r="J2612" s="161" t="s">
        <v>19202</v>
      </c>
      <c r="K2612" t="s">
        <v>19203</v>
      </c>
      <c r="L2612" t="s">
        <v>10961</v>
      </c>
      <c r="M2612" s="161" t="s">
        <v>19202</v>
      </c>
    </row>
    <row r="2613" spans="9:13" x14ac:dyDescent="0.25">
      <c r="I2613" t="s">
        <v>9090</v>
      </c>
      <c r="J2613" s="161" t="s">
        <v>19202</v>
      </c>
      <c r="K2613" t="s">
        <v>19203</v>
      </c>
      <c r="L2613" t="s">
        <v>9089</v>
      </c>
      <c r="M2613" s="161" t="s">
        <v>19202</v>
      </c>
    </row>
    <row r="2614" spans="9:13" x14ac:dyDescent="0.25">
      <c r="I2614" t="s">
        <v>10537</v>
      </c>
      <c r="J2614" s="161" t="s">
        <v>19202</v>
      </c>
      <c r="K2614" t="s">
        <v>19203</v>
      </c>
      <c r="L2614" t="s">
        <v>10536</v>
      </c>
      <c r="M2614" s="161" t="s">
        <v>19202</v>
      </c>
    </row>
    <row r="2615" spans="9:13" x14ac:dyDescent="0.25">
      <c r="I2615" t="s">
        <v>2536</v>
      </c>
      <c r="J2615" s="161" t="s">
        <v>19202</v>
      </c>
      <c r="K2615" t="s">
        <v>19203</v>
      </c>
      <c r="L2615" t="s">
        <v>2535</v>
      </c>
      <c r="M2615" s="161" t="s">
        <v>19202</v>
      </c>
    </row>
    <row r="2616" spans="9:13" x14ac:dyDescent="0.25">
      <c r="I2616" t="s">
        <v>717</v>
      </c>
      <c r="J2616" s="161" t="s">
        <v>19202</v>
      </c>
      <c r="K2616" t="s">
        <v>19203</v>
      </c>
      <c r="L2616" t="s">
        <v>716</v>
      </c>
      <c r="M2616" s="161" t="s">
        <v>19202</v>
      </c>
    </row>
    <row r="2617" spans="9:13" x14ac:dyDescent="0.25">
      <c r="I2617" t="s">
        <v>6203</v>
      </c>
      <c r="J2617" s="161" t="s">
        <v>19202</v>
      </c>
      <c r="K2617" t="s">
        <v>19203</v>
      </c>
      <c r="L2617" t="s">
        <v>6202</v>
      </c>
      <c r="M2617" s="161" t="s">
        <v>19202</v>
      </c>
    </row>
    <row r="2618" spans="9:13" x14ac:dyDescent="0.25">
      <c r="I2618" t="s">
        <v>7429</v>
      </c>
      <c r="J2618" s="161" t="s">
        <v>19202</v>
      </c>
      <c r="K2618" t="s">
        <v>19203</v>
      </c>
      <c r="L2618" t="s">
        <v>7428</v>
      </c>
      <c r="M2618" s="161" t="s">
        <v>19202</v>
      </c>
    </row>
    <row r="2619" spans="9:13" x14ac:dyDescent="0.25">
      <c r="I2619" t="s">
        <v>6201</v>
      </c>
      <c r="J2619" s="161" t="s">
        <v>19202</v>
      </c>
      <c r="K2619" t="s">
        <v>19203</v>
      </c>
      <c r="L2619" t="s">
        <v>6200</v>
      </c>
      <c r="M2619" s="161" t="s">
        <v>19202</v>
      </c>
    </row>
    <row r="2620" spans="9:13" x14ac:dyDescent="0.25">
      <c r="I2620" t="s">
        <v>11225</v>
      </c>
      <c r="J2620" s="161" t="s">
        <v>19202</v>
      </c>
      <c r="K2620" t="s">
        <v>19203</v>
      </c>
      <c r="L2620" t="s">
        <v>11224</v>
      </c>
      <c r="M2620" s="161" t="s">
        <v>19202</v>
      </c>
    </row>
    <row r="2621" spans="9:13" x14ac:dyDescent="0.25">
      <c r="I2621" t="s">
        <v>15140</v>
      </c>
      <c r="J2621" s="161" t="s">
        <v>19202</v>
      </c>
      <c r="K2621" t="s">
        <v>19203</v>
      </c>
      <c r="L2621" t="s">
        <v>15139</v>
      </c>
      <c r="M2621" s="161" t="s">
        <v>19202</v>
      </c>
    </row>
    <row r="2622" spans="9:13" x14ac:dyDescent="0.25">
      <c r="I2622" t="s">
        <v>15133</v>
      </c>
      <c r="J2622" s="161" t="s">
        <v>19202</v>
      </c>
      <c r="K2622" t="s">
        <v>19203</v>
      </c>
      <c r="L2622" t="s">
        <v>15132</v>
      </c>
      <c r="M2622" s="161" t="s">
        <v>19202</v>
      </c>
    </row>
    <row r="2623" spans="9:13" x14ac:dyDescent="0.25">
      <c r="I2623" t="s">
        <v>6644</v>
      </c>
      <c r="J2623" s="161" t="s">
        <v>19202</v>
      </c>
      <c r="K2623" t="s">
        <v>19203</v>
      </c>
      <c r="L2623" t="s">
        <v>6643</v>
      </c>
      <c r="M2623" s="161" t="s">
        <v>19202</v>
      </c>
    </row>
    <row r="2624" spans="9:13" x14ac:dyDescent="0.25">
      <c r="I2624" t="s">
        <v>10496</v>
      </c>
      <c r="J2624" s="161" t="s">
        <v>19202</v>
      </c>
      <c r="K2624" t="s">
        <v>19203</v>
      </c>
      <c r="L2624" t="s">
        <v>10495</v>
      </c>
      <c r="M2624" s="161" t="s">
        <v>19202</v>
      </c>
    </row>
    <row r="2625" spans="9:13" x14ac:dyDescent="0.25">
      <c r="I2625" t="s">
        <v>3467</v>
      </c>
      <c r="J2625" s="161" t="s">
        <v>19202</v>
      </c>
      <c r="K2625" t="s">
        <v>19203</v>
      </c>
      <c r="L2625" t="s">
        <v>3466</v>
      </c>
      <c r="M2625" s="161" t="s">
        <v>19202</v>
      </c>
    </row>
    <row r="2626" spans="9:13" x14ac:dyDescent="0.25">
      <c r="I2626" t="s">
        <v>3465</v>
      </c>
      <c r="J2626" s="161" t="s">
        <v>19202</v>
      </c>
      <c r="K2626" t="s">
        <v>19203</v>
      </c>
      <c r="L2626" t="s">
        <v>3464</v>
      </c>
      <c r="M2626" s="161" t="s">
        <v>19202</v>
      </c>
    </row>
    <row r="2627" spans="9:13" x14ac:dyDescent="0.25">
      <c r="I2627" t="s">
        <v>3456</v>
      </c>
      <c r="J2627" s="161" t="s">
        <v>19202</v>
      </c>
      <c r="K2627" t="s">
        <v>19203</v>
      </c>
      <c r="L2627" t="s">
        <v>3455</v>
      </c>
      <c r="M2627" s="161" t="s">
        <v>19202</v>
      </c>
    </row>
    <row r="2628" spans="9:13" x14ac:dyDescent="0.25">
      <c r="I2628" t="s">
        <v>14055</v>
      </c>
      <c r="J2628" s="161" t="s">
        <v>19202</v>
      </c>
      <c r="K2628" t="s">
        <v>19203</v>
      </c>
      <c r="L2628" t="s">
        <v>14054</v>
      </c>
      <c r="M2628" s="161" t="s">
        <v>19202</v>
      </c>
    </row>
    <row r="2629" spans="9:13" x14ac:dyDescent="0.25">
      <c r="I2629" t="s">
        <v>7411</v>
      </c>
      <c r="J2629" s="161" t="s">
        <v>19202</v>
      </c>
      <c r="K2629" t="s">
        <v>19203</v>
      </c>
      <c r="L2629" t="s">
        <v>7410</v>
      </c>
      <c r="M2629" s="161" t="s">
        <v>19202</v>
      </c>
    </row>
    <row r="2630" spans="9:13" x14ac:dyDescent="0.25">
      <c r="I2630" t="s">
        <v>19564</v>
      </c>
      <c r="J2630" s="161" t="s">
        <v>19202</v>
      </c>
      <c r="K2630" t="s">
        <v>19203</v>
      </c>
      <c r="L2630" t="s">
        <v>19565</v>
      </c>
      <c r="M2630" s="161" t="s">
        <v>19202</v>
      </c>
    </row>
    <row r="2631" spans="9:13" x14ac:dyDescent="0.25">
      <c r="I2631" t="s">
        <v>5468</v>
      </c>
      <c r="J2631" s="161" t="s">
        <v>19202</v>
      </c>
      <c r="K2631" t="s">
        <v>19203</v>
      </c>
      <c r="L2631" t="s">
        <v>5467</v>
      </c>
      <c r="M2631" s="161" t="s">
        <v>19202</v>
      </c>
    </row>
    <row r="2632" spans="9:13" x14ac:dyDescent="0.25">
      <c r="I2632" t="s">
        <v>5440</v>
      </c>
      <c r="J2632" s="161" t="s">
        <v>19202</v>
      </c>
      <c r="K2632" t="s">
        <v>19203</v>
      </c>
      <c r="L2632" t="s">
        <v>5439</v>
      </c>
      <c r="M2632" s="161" t="s">
        <v>19202</v>
      </c>
    </row>
    <row r="2633" spans="9:13" x14ac:dyDescent="0.25">
      <c r="I2633" t="s">
        <v>5541</v>
      </c>
      <c r="J2633" s="161" t="s">
        <v>19202</v>
      </c>
      <c r="K2633" t="s">
        <v>19203</v>
      </c>
      <c r="L2633" t="s">
        <v>5540</v>
      </c>
      <c r="M2633" s="161" t="s">
        <v>19202</v>
      </c>
    </row>
    <row r="2634" spans="9:13" x14ac:dyDescent="0.25">
      <c r="I2634" t="s">
        <v>5508</v>
      </c>
      <c r="J2634" s="161" t="s">
        <v>19202</v>
      </c>
      <c r="K2634" t="s">
        <v>19203</v>
      </c>
      <c r="L2634" t="s">
        <v>5507</v>
      </c>
      <c r="M2634" s="161" t="s">
        <v>19202</v>
      </c>
    </row>
    <row r="2635" spans="9:13" x14ac:dyDescent="0.25">
      <c r="I2635" t="s">
        <v>5502</v>
      </c>
      <c r="J2635" s="161" t="s">
        <v>19202</v>
      </c>
      <c r="K2635" t="s">
        <v>19203</v>
      </c>
      <c r="L2635" t="s">
        <v>5501</v>
      </c>
      <c r="M2635" s="161" t="s">
        <v>19202</v>
      </c>
    </row>
    <row r="2636" spans="9:13" x14ac:dyDescent="0.25">
      <c r="I2636" t="s">
        <v>5438</v>
      </c>
      <c r="J2636" s="161" t="s">
        <v>19202</v>
      </c>
      <c r="K2636" t="s">
        <v>19203</v>
      </c>
      <c r="L2636" t="s">
        <v>5437</v>
      </c>
      <c r="M2636" s="161" t="s">
        <v>19202</v>
      </c>
    </row>
    <row r="2637" spans="9:13" x14ac:dyDescent="0.25">
      <c r="I2637" t="s">
        <v>5500</v>
      </c>
      <c r="J2637" s="161" t="s">
        <v>19202</v>
      </c>
      <c r="K2637" t="s">
        <v>19203</v>
      </c>
      <c r="L2637" t="s">
        <v>5499</v>
      </c>
      <c r="M2637" s="161" t="s">
        <v>19202</v>
      </c>
    </row>
    <row r="2638" spans="9:13" x14ac:dyDescent="0.25">
      <c r="I2638" t="s">
        <v>5436</v>
      </c>
      <c r="J2638" s="161" t="s">
        <v>19202</v>
      </c>
      <c r="K2638" t="s">
        <v>19203</v>
      </c>
      <c r="L2638" t="s">
        <v>5435</v>
      </c>
      <c r="M2638" s="161" t="s">
        <v>19202</v>
      </c>
    </row>
    <row r="2639" spans="9:13" x14ac:dyDescent="0.25">
      <c r="I2639" t="s">
        <v>5464</v>
      </c>
      <c r="J2639" s="161" t="s">
        <v>19202</v>
      </c>
      <c r="K2639" t="s">
        <v>19203</v>
      </c>
      <c r="L2639" t="s">
        <v>5463</v>
      </c>
      <c r="M2639" s="161" t="s">
        <v>19202</v>
      </c>
    </row>
    <row r="2640" spans="9:13" x14ac:dyDescent="0.25">
      <c r="I2640" t="s">
        <v>5191</v>
      </c>
      <c r="J2640" s="161" t="s">
        <v>19202</v>
      </c>
      <c r="K2640" t="s">
        <v>19203</v>
      </c>
      <c r="L2640" t="s">
        <v>5190</v>
      </c>
      <c r="M2640" s="161" t="s">
        <v>19202</v>
      </c>
    </row>
    <row r="2641" spans="9:13" x14ac:dyDescent="0.25">
      <c r="I2641" t="s">
        <v>14137</v>
      </c>
      <c r="J2641" s="161" t="s">
        <v>19202</v>
      </c>
      <c r="K2641" t="s">
        <v>19203</v>
      </c>
      <c r="L2641" t="s">
        <v>542</v>
      </c>
      <c r="M2641" s="161" t="s">
        <v>19202</v>
      </c>
    </row>
    <row r="2642" spans="9:13" x14ac:dyDescent="0.25">
      <c r="I2642" t="s">
        <v>17739</v>
      </c>
      <c r="J2642" s="161" t="s">
        <v>19202</v>
      </c>
      <c r="K2642" t="s">
        <v>19203</v>
      </c>
      <c r="L2642" t="s">
        <v>3949</v>
      </c>
      <c r="M2642" s="161" t="s">
        <v>19202</v>
      </c>
    </row>
    <row r="2643" spans="9:13" x14ac:dyDescent="0.25">
      <c r="I2643" t="s">
        <v>3201</v>
      </c>
      <c r="J2643" s="161" t="s">
        <v>19202</v>
      </c>
      <c r="K2643" t="s">
        <v>19203</v>
      </c>
      <c r="L2643" t="s">
        <v>3200</v>
      </c>
      <c r="M2643" s="161" t="s">
        <v>19202</v>
      </c>
    </row>
    <row r="2644" spans="9:13" x14ac:dyDescent="0.25">
      <c r="I2644" t="s">
        <v>19566</v>
      </c>
      <c r="J2644" s="161" t="s">
        <v>19202</v>
      </c>
      <c r="K2644" t="s">
        <v>19203</v>
      </c>
      <c r="L2644" t="s">
        <v>19567</v>
      </c>
      <c r="M2644" s="161" t="s">
        <v>19202</v>
      </c>
    </row>
    <row r="2645" spans="9:13" x14ac:dyDescent="0.25">
      <c r="I2645" t="s">
        <v>9770</v>
      </c>
      <c r="J2645" s="161" t="s">
        <v>19202</v>
      </c>
      <c r="K2645" t="s">
        <v>19203</v>
      </c>
      <c r="L2645" t="s">
        <v>9769</v>
      </c>
      <c r="M2645" s="161" t="s">
        <v>19202</v>
      </c>
    </row>
    <row r="2646" spans="9:13" x14ac:dyDescent="0.25">
      <c r="I2646" t="s">
        <v>1071</v>
      </c>
      <c r="J2646" s="161" t="s">
        <v>19202</v>
      </c>
      <c r="K2646" t="s">
        <v>19203</v>
      </c>
      <c r="L2646" t="s">
        <v>1070</v>
      </c>
      <c r="M2646" s="161" t="s">
        <v>19202</v>
      </c>
    </row>
    <row r="2647" spans="9:13" x14ac:dyDescent="0.25">
      <c r="I2647" t="s">
        <v>13734</v>
      </c>
      <c r="J2647" s="161" t="s">
        <v>19202</v>
      </c>
      <c r="K2647" t="s">
        <v>19203</v>
      </c>
      <c r="L2647" t="s">
        <v>475</v>
      </c>
      <c r="M2647" s="161" t="s">
        <v>19202</v>
      </c>
    </row>
    <row r="2648" spans="9:13" x14ac:dyDescent="0.25">
      <c r="I2648" t="s">
        <v>19568</v>
      </c>
      <c r="J2648" s="161" t="s">
        <v>19202</v>
      </c>
      <c r="K2648" t="s">
        <v>19203</v>
      </c>
      <c r="L2648" t="s">
        <v>19569</v>
      </c>
      <c r="M2648" s="161" t="s">
        <v>19202</v>
      </c>
    </row>
    <row r="2649" spans="9:13" x14ac:dyDescent="0.25">
      <c r="I2649" t="s">
        <v>6823</v>
      </c>
      <c r="J2649" s="161" t="s">
        <v>19202</v>
      </c>
      <c r="K2649" t="s">
        <v>19203</v>
      </c>
      <c r="L2649" t="s">
        <v>842</v>
      </c>
      <c r="M2649" s="161" t="s">
        <v>19202</v>
      </c>
    </row>
    <row r="2650" spans="9:13" x14ac:dyDescent="0.25">
      <c r="I2650" t="s">
        <v>4021</v>
      </c>
      <c r="J2650" s="161" t="s">
        <v>19202</v>
      </c>
      <c r="K2650" t="s">
        <v>19203</v>
      </c>
      <c r="L2650" t="s">
        <v>4020</v>
      </c>
      <c r="M2650" s="161" t="s">
        <v>19202</v>
      </c>
    </row>
    <row r="2651" spans="9:13" x14ac:dyDescent="0.25">
      <c r="I2651" t="s">
        <v>5959</v>
      </c>
      <c r="J2651" s="161" t="s">
        <v>19202</v>
      </c>
      <c r="K2651" t="s">
        <v>19203</v>
      </c>
      <c r="L2651" t="s">
        <v>5958</v>
      </c>
      <c r="M2651" s="161" t="s">
        <v>19202</v>
      </c>
    </row>
    <row r="2652" spans="9:13" x14ac:dyDescent="0.25">
      <c r="I2652" t="s">
        <v>19570</v>
      </c>
      <c r="J2652" s="161" t="s">
        <v>19202</v>
      </c>
      <c r="K2652" t="s">
        <v>19203</v>
      </c>
      <c r="L2652" t="s">
        <v>19571</v>
      </c>
      <c r="M2652" s="161" t="s">
        <v>19202</v>
      </c>
    </row>
    <row r="2653" spans="9:13" x14ac:dyDescent="0.25">
      <c r="I2653" t="s">
        <v>11229</v>
      </c>
      <c r="J2653" s="161" t="s">
        <v>19202</v>
      </c>
      <c r="K2653" t="s">
        <v>19203</v>
      </c>
      <c r="L2653" t="s">
        <v>11228</v>
      </c>
      <c r="M2653" s="161" t="s">
        <v>19202</v>
      </c>
    </row>
    <row r="2654" spans="9:13" x14ac:dyDescent="0.25">
      <c r="I2654" t="s">
        <v>10815</v>
      </c>
      <c r="J2654" s="161" t="s">
        <v>19202</v>
      </c>
      <c r="K2654" t="s">
        <v>19203</v>
      </c>
      <c r="L2654" t="s">
        <v>4765</v>
      </c>
      <c r="M2654" s="161" t="s">
        <v>19202</v>
      </c>
    </row>
    <row r="2655" spans="9:13" x14ac:dyDescent="0.25">
      <c r="I2655" t="s">
        <v>13312</v>
      </c>
      <c r="J2655" s="161" t="s">
        <v>19202</v>
      </c>
      <c r="K2655" t="s">
        <v>19203</v>
      </c>
      <c r="L2655" t="s">
        <v>4847</v>
      </c>
      <c r="M2655" s="161" t="s">
        <v>19202</v>
      </c>
    </row>
    <row r="2656" spans="9:13" x14ac:dyDescent="0.25">
      <c r="I2656" t="s">
        <v>13311</v>
      </c>
      <c r="J2656" s="161" t="s">
        <v>19202</v>
      </c>
      <c r="K2656" t="s">
        <v>19203</v>
      </c>
      <c r="L2656" t="s">
        <v>13310</v>
      </c>
      <c r="M2656" s="161" t="s">
        <v>19202</v>
      </c>
    </row>
    <row r="2657" spans="9:13" x14ac:dyDescent="0.25">
      <c r="I2657" t="s">
        <v>2929</v>
      </c>
      <c r="J2657" s="161" t="s">
        <v>19202</v>
      </c>
      <c r="K2657" t="s">
        <v>19203</v>
      </c>
      <c r="L2657" t="s">
        <v>2928</v>
      </c>
      <c r="M2657" s="161" t="s">
        <v>19202</v>
      </c>
    </row>
    <row r="2658" spans="9:13" x14ac:dyDescent="0.25">
      <c r="I2658" t="s">
        <v>17042</v>
      </c>
      <c r="J2658" s="161" t="s">
        <v>19202</v>
      </c>
      <c r="K2658" t="s">
        <v>19203</v>
      </c>
      <c r="L2658" t="s">
        <v>17041</v>
      </c>
      <c r="M2658" s="161" t="s">
        <v>19202</v>
      </c>
    </row>
    <row r="2659" spans="9:13" x14ac:dyDescent="0.25">
      <c r="I2659" t="s">
        <v>9244</v>
      </c>
      <c r="J2659" s="161" t="s">
        <v>19202</v>
      </c>
      <c r="K2659" t="s">
        <v>19203</v>
      </c>
      <c r="L2659" t="s">
        <v>9243</v>
      </c>
      <c r="M2659" s="161" t="s">
        <v>19202</v>
      </c>
    </row>
    <row r="2660" spans="9:13" x14ac:dyDescent="0.25">
      <c r="I2660" t="s">
        <v>8924</v>
      </c>
      <c r="J2660" s="161" t="s">
        <v>19202</v>
      </c>
      <c r="K2660" t="s">
        <v>19203</v>
      </c>
      <c r="L2660" t="s">
        <v>8923</v>
      </c>
      <c r="M2660" s="161" t="s">
        <v>19202</v>
      </c>
    </row>
    <row r="2661" spans="9:13" x14ac:dyDescent="0.25">
      <c r="I2661" t="s">
        <v>4680</v>
      </c>
      <c r="J2661" s="161" t="s">
        <v>19202</v>
      </c>
      <c r="K2661" t="s">
        <v>19203</v>
      </c>
      <c r="L2661" t="s">
        <v>4679</v>
      </c>
      <c r="M2661" s="161" t="s">
        <v>19202</v>
      </c>
    </row>
    <row r="2662" spans="9:13" x14ac:dyDescent="0.25">
      <c r="I2662" t="s">
        <v>9208</v>
      </c>
      <c r="J2662" s="161" t="s">
        <v>19202</v>
      </c>
      <c r="K2662" t="s">
        <v>19203</v>
      </c>
      <c r="L2662" t="s">
        <v>9207</v>
      </c>
      <c r="M2662" s="161" t="s">
        <v>19202</v>
      </c>
    </row>
    <row r="2663" spans="9:13" x14ac:dyDescent="0.25">
      <c r="I2663" t="s">
        <v>9583</v>
      </c>
      <c r="J2663" s="161" t="s">
        <v>19202</v>
      </c>
      <c r="K2663" t="s">
        <v>19203</v>
      </c>
      <c r="L2663" t="s">
        <v>9582</v>
      </c>
      <c r="M2663" s="161" t="s">
        <v>19202</v>
      </c>
    </row>
    <row r="2664" spans="9:13" x14ac:dyDescent="0.25">
      <c r="I2664" t="s">
        <v>16751</v>
      </c>
      <c r="J2664" s="161" t="s">
        <v>19202</v>
      </c>
      <c r="K2664" t="s">
        <v>19203</v>
      </c>
      <c r="L2664" t="s">
        <v>16750</v>
      </c>
      <c r="M2664" s="161" t="s">
        <v>19202</v>
      </c>
    </row>
    <row r="2665" spans="9:13" x14ac:dyDescent="0.25">
      <c r="I2665" t="s">
        <v>9468</v>
      </c>
      <c r="J2665" s="161" t="s">
        <v>19202</v>
      </c>
      <c r="K2665" t="s">
        <v>19203</v>
      </c>
      <c r="L2665" t="s">
        <v>9467</v>
      </c>
      <c r="M2665" s="161" t="s">
        <v>19202</v>
      </c>
    </row>
    <row r="2666" spans="9:13" x14ac:dyDescent="0.25">
      <c r="I2666" t="s">
        <v>15684</v>
      </c>
      <c r="J2666" s="161" t="s">
        <v>19202</v>
      </c>
      <c r="K2666" t="s">
        <v>19203</v>
      </c>
      <c r="L2666" t="s">
        <v>405</v>
      </c>
      <c r="M2666" s="161" t="s">
        <v>19202</v>
      </c>
    </row>
    <row r="2667" spans="9:13" x14ac:dyDescent="0.25">
      <c r="I2667" t="s">
        <v>3089</v>
      </c>
      <c r="J2667" s="161" t="s">
        <v>19202</v>
      </c>
      <c r="K2667" t="s">
        <v>19203</v>
      </c>
      <c r="L2667" t="s">
        <v>3088</v>
      </c>
      <c r="M2667" s="161" t="s">
        <v>19202</v>
      </c>
    </row>
    <row r="2668" spans="9:13" x14ac:dyDescent="0.25">
      <c r="I2668" t="s">
        <v>13303</v>
      </c>
      <c r="J2668" s="161" t="s">
        <v>19202</v>
      </c>
      <c r="K2668" t="s">
        <v>19203</v>
      </c>
      <c r="L2668" t="s">
        <v>13302</v>
      </c>
      <c r="M2668" s="161" t="s">
        <v>19202</v>
      </c>
    </row>
    <row r="2669" spans="9:13" x14ac:dyDescent="0.25">
      <c r="I2669" t="s">
        <v>7966</v>
      </c>
      <c r="J2669" s="161" t="s">
        <v>19202</v>
      </c>
      <c r="K2669" t="s">
        <v>19203</v>
      </c>
      <c r="L2669" t="s">
        <v>7965</v>
      </c>
      <c r="M2669" s="161" t="s">
        <v>19202</v>
      </c>
    </row>
    <row r="2670" spans="9:13" x14ac:dyDescent="0.25">
      <c r="I2670" t="s">
        <v>4206</v>
      </c>
      <c r="J2670" s="161" t="s">
        <v>19202</v>
      </c>
      <c r="K2670" t="s">
        <v>19203</v>
      </c>
      <c r="L2670" t="s">
        <v>4205</v>
      </c>
      <c r="M2670" s="161" t="s">
        <v>19202</v>
      </c>
    </row>
    <row r="2671" spans="9:13" x14ac:dyDescent="0.25">
      <c r="I2671" t="s">
        <v>7714</v>
      </c>
      <c r="J2671" s="161" t="s">
        <v>19202</v>
      </c>
      <c r="K2671" t="s">
        <v>19203</v>
      </c>
      <c r="L2671" t="s">
        <v>7713</v>
      </c>
      <c r="M2671" s="161" t="s">
        <v>19202</v>
      </c>
    </row>
    <row r="2672" spans="9:13" x14ac:dyDescent="0.25">
      <c r="I2672" t="s">
        <v>14067</v>
      </c>
      <c r="J2672" s="161" t="s">
        <v>19202</v>
      </c>
      <c r="K2672" t="s">
        <v>19203</v>
      </c>
      <c r="L2672" t="s">
        <v>14066</v>
      </c>
      <c r="M2672" s="161" t="s">
        <v>19202</v>
      </c>
    </row>
    <row r="2673" spans="9:13" x14ac:dyDescent="0.25">
      <c r="I2673" t="s">
        <v>11523</v>
      </c>
      <c r="J2673" s="161" t="s">
        <v>19202</v>
      </c>
      <c r="K2673" t="s">
        <v>19203</v>
      </c>
      <c r="L2673" t="s">
        <v>11522</v>
      </c>
      <c r="M2673" s="161" t="s">
        <v>19202</v>
      </c>
    </row>
    <row r="2674" spans="9:13" x14ac:dyDescent="0.25">
      <c r="I2674" t="s">
        <v>16519</v>
      </c>
      <c r="J2674" s="161" t="s">
        <v>19202</v>
      </c>
      <c r="K2674" t="s">
        <v>19203</v>
      </c>
      <c r="L2674" t="s">
        <v>16518</v>
      </c>
      <c r="M2674" s="161" t="s">
        <v>19202</v>
      </c>
    </row>
    <row r="2675" spans="9:13" x14ac:dyDescent="0.25">
      <c r="I2675" t="s">
        <v>19572</v>
      </c>
      <c r="J2675" s="161" t="s">
        <v>19202</v>
      </c>
      <c r="K2675" t="s">
        <v>19203</v>
      </c>
      <c r="L2675" t="s">
        <v>6522</v>
      </c>
      <c r="M2675" s="161" t="s">
        <v>19202</v>
      </c>
    </row>
    <row r="2676" spans="9:13" x14ac:dyDescent="0.25">
      <c r="I2676" t="s">
        <v>2957</v>
      </c>
      <c r="J2676" s="161" t="s">
        <v>19202</v>
      </c>
      <c r="K2676" t="s">
        <v>19203</v>
      </c>
      <c r="L2676" t="s">
        <v>2956</v>
      </c>
      <c r="M2676" s="161" t="s">
        <v>19202</v>
      </c>
    </row>
    <row r="2677" spans="9:13" x14ac:dyDescent="0.25">
      <c r="I2677" t="s">
        <v>10759</v>
      </c>
      <c r="J2677" s="161" t="s">
        <v>19202</v>
      </c>
      <c r="K2677" t="s">
        <v>19203</v>
      </c>
      <c r="L2677" t="s">
        <v>10758</v>
      </c>
      <c r="M2677" s="161" t="s">
        <v>19202</v>
      </c>
    </row>
    <row r="2678" spans="9:13" x14ac:dyDescent="0.25">
      <c r="I2678" t="s">
        <v>10858</v>
      </c>
      <c r="J2678" s="161" t="s">
        <v>19202</v>
      </c>
      <c r="K2678" t="s">
        <v>19203</v>
      </c>
      <c r="L2678" t="s">
        <v>1837</v>
      </c>
      <c r="M2678" s="161" t="s">
        <v>19202</v>
      </c>
    </row>
    <row r="2679" spans="9:13" x14ac:dyDescent="0.25">
      <c r="I2679" t="s">
        <v>7117</v>
      </c>
      <c r="J2679" s="161" t="s">
        <v>19202</v>
      </c>
      <c r="K2679" t="s">
        <v>19203</v>
      </c>
      <c r="L2679" t="s">
        <v>7116</v>
      </c>
      <c r="M2679" s="161" t="s">
        <v>19202</v>
      </c>
    </row>
    <row r="2680" spans="9:13" x14ac:dyDescent="0.25">
      <c r="I2680" t="s">
        <v>690</v>
      </c>
      <c r="J2680" s="161" t="s">
        <v>19202</v>
      </c>
      <c r="K2680" t="s">
        <v>19203</v>
      </c>
      <c r="L2680" t="s">
        <v>689</v>
      </c>
      <c r="M2680" s="161" t="s">
        <v>19202</v>
      </c>
    </row>
    <row r="2681" spans="9:13" x14ac:dyDescent="0.25">
      <c r="I2681" t="s">
        <v>16912</v>
      </c>
      <c r="J2681" s="161" t="s">
        <v>19202</v>
      </c>
      <c r="K2681" t="s">
        <v>19203</v>
      </c>
      <c r="L2681" t="s">
        <v>10680</v>
      </c>
      <c r="M2681" s="161" t="s">
        <v>19202</v>
      </c>
    </row>
    <row r="2682" spans="9:13" x14ac:dyDescent="0.25">
      <c r="I2682" t="s">
        <v>13672</v>
      </c>
      <c r="J2682" s="161" t="s">
        <v>19202</v>
      </c>
      <c r="K2682" t="s">
        <v>19203</v>
      </c>
      <c r="L2682" t="s">
        <v>3778</v>
      </c>
      <c r="M2682" s="161" t="s">
        <v>19202</v>
      </c>
    </row>
    <row r="2683" spans="9:13" x14ac:dyDescent="0.25">
      <c r="I2683" t="s">
        <v>13666</v>
      </c>
      <c r="J2683" s="161" t="s">
        <v>19202</v>
      </c>
      <c r="K2683" t="s">
        <v>19203</v>
      </c>
      <c r="L2683" t="s">
        <v>13665</v>
      </c>
      <c r="M2683" s="161" t="s">
        <v>19202</v>
      </c>
    </row>
    <row r="2684" spans="9:13" x14ac:dyDescent="0.25">
      <c r="I2684" t="s">
        <v>13664</v>
      </c>
      <c r="J2684" s="161" t="s">
        <v>19202</v>
      </c>
      <c r="K2684" t="s">
        <v>19203</v>
      </c>
      <c r="L2684" t="s">
        <v>13663</v>
      </c>
      <c r="M2684" s="161" t="s">
        <v>19202</v>
      </c>
    </row>
    <row r="2685" spans="9:13" x14ac:dyDescent="0.25">
      <c r="I2685" t="s">
        <v>13662</v>
      </c>
      <c r="J2685" s="161" t="s">
        <v>19202</v>
      </c>
      <c r="K2685" t="s">
        <v>19203</v>
      </c>
      <c r="L2685" t="s">
        <v>13661</v>
      </c>
      <c r="M2685" s="161" t="s">
        <v>19202</v>
      </c>
    </row>
    <row r="2686" spans="9:13" x14ac:dyDescent="0.25">
      <c r="I2686" t="s">
        <v>13660</v>
      </c>
      <c r="J2686" s="161" t="s">
        <v>19202</v>
      </c>
      <c r="K2686" t="s">
        <v>19203</v>
      </c>
      <c r="L2686" t="s">
        <v>440</v>
      </c>
      <c r="M2686" s="161" t="s">
        <v>19202</v>
      </c>
    </row>
    <row r="2687" spans="9:13" x14ac:dyDescent="0.25">
      <c r="I2687" t="s">
        <v>13659</v>
      </c>
      <c r="J2687" s="161" t="s">
        <v>19202</v>
      </c>
      <c r="K2687" t="s">
        <v>19203</v>
      </c>
      <c r="L2687" t="s">
        <v>13658</v>
      </c>
      <c r="M2687" s="161" t="s">
        <v>19202</v>
      </c>
    </row>
    <row r="2688" spans="9:13" x14ac:dyDescent="0.25">
      <c r="I2688" t="s">
        <v>13657</v>
      </c>
      <c r="J2688" s="161" t="s">
        <v>19202</v>
      </c>
      <c r="K2688" t="s">
        <v>19203</v>
      </c>
      <c r="L2688" t="s">
        <v>4838</v>
      </c>
      <c r="M2688" s="161" t="s">
        <v>19202</v>
      </c>
    </row>
    <row r="2689" spans="9:13" x14ac:dyDescent="0.25">
      <c r="I2689" t="s">
        <v>13656</v>
      </c>
      <c r="J2689" s="161" t="s">
        <v>19202</v>
      </c>
      <c r="K2689" t="s">
        <v>19203</v>
      </c>
      <c r="L2689" t="s">
        <v>13655</v>
      </c>
      <c r="M2689" s="161" t="s">
        <v>19202</v>
      </c>
    </row>
    <row r="2690" spans="9:13" x14ac:dyDescent="0.25">
      <c r="I2690" t="s">
        <v>13654</v>
      </c>
      <c r="J2690" s="161" t="s">
        <v>19202</v>
      </c>
      <c r="K2690" t="s">
        <v>19203</v>
      </c>
      <c r="L2690" t="s">
        <v>13653</v>
      </c>
      <c r="M2690" s="161" t="s">
        <v>19202</v>
      </c>
    </row>
    <row r="2691" spans="9:13" x14ac:dyDescent="0.25">
      <c r="I2691" t="s">
        <v>10319</v>
      </c>
      <c r="J2691" s="161" t="s">
        <v>19202</v>
      </c>
      <c r="K2691" t="s">
        <v>19203</v>
      </c>
      <c r="L2691" t="s">
        <v>10318</v>
      </c>
      <c r="M2691" s="161" t="s">
        <v>19202</v>
      </c>
    </row>
    <row r="2692" spans="9:13" x14ac:dyDescent="0.25">
      <c r="I2692" t="s">
        <v>2597</v>
      </c>
      <c r="J2692" s="161" t="s">
        <v>19202</v>
      </c>
      <c r="K2692" t="s">
        <v>19203</v>
      </c>
      <c r="L2692" t="s">
        <v>2596</v>
      </c>
      <c r="M2692" s="161" t="s">
        <v>19202</v>
      </c>
    </row>
    <row r="2693" spans="9:13" x14ac:dyDescent="0.25">
      <c r="I2693" t="s">
        <v>5745</v>
      </c>
      <c r="J2693" s="161" t="s">
        <v>19202</v>
      </c>
      <c r="K2693" t="s">
        <v>19203</v>
      </c>
      <c r="L2693" t="s">
        <v>5744</v>
      </c>
      <c r="M2693" s="161" t="s">
        <v>19202</v>
      </c>
    </row>
    <row r="2694" spans="9:13" x14ac:dyDescent="0.25">
      <c r="I2694" t="s">
        <v>5878</v>
      </c>
      <c r="J2694" s="161" t="s">
        <v>19202</v>
      </c>
      <c r="K2694" t="s">
        <v>19203</v>
      </c>
      <c r="L2694" t="s">
        <v>5877</v>
      </c>
      <c r="M2694" s="161" t="s">
        <v>19202</v>
      </c>
    </row>
    <row r="2695" spans="9:13" x14ac:dyDescent="0.25">
      <c r="I2695" t="s">
        <v>5872</v>
      </c>
      <c r="J2695" s="161" t="s">
        <v>19202</v>
      </c>
      <c r="K2695" t="s">
        <v>19203</v>
      </c>
      <c r="L2695" t="s">
        <v>5871</v>
      </c>
      <c r="M2695" s="161" t="s">
        <v>19202</v>
      </c>
    </row>
    <row r="2696" spans="9:13" x14ac:dyDescent="0.25">
      <c r="I2696" t="s">
        <v>19573</v>
      </c>
      <c r="J2696" s="161" t="s">
        <v>19202</v>
      </c>
      <c r="K2696" t="s">
        <v>19203</v>
      </c>
      <c r="L2696" t="s">
        <v>19574</v>
      </c>
      <c r="M2696" s="161" t="s">
        <v>19202</v>
      </c>
    </row>
    <row r="2697" spans="9:13" x14ac:dyDescent="0.25">
      <c r="I2697" t="s">
        <v>19575</v>
      </c>
      <c r="J2697" s="161" t="s">
        <v>19202</v>
      </c>
      <c r="K2697" t="s">
        <v>19203</v>
      </c>
      <c r="L2697" t="s">
        <v>14356</v>
      </c>
      <c r="M2697" s="161" t="s">
        <v>19202</v>
      </c>
    </row>
    <row r="2698" spans="9:13" x14ac:dyDescent="0.25">
      <c r="I2698" t="s">
        <v>17216</v>
      </c>
      <c r="J2698" s="161" t="s">
        <v>19202</v>
      </c>
      <c r="K2698" t="s">
        <v>19203</v>
      </c>
      <c r="L2698" t="s">
        <v>17215</v>
      </c>
      <c r="M2698" s="161" t="s">
        <v>19202</v>
      </c>
    </row>
    <row r="2699" spans="9:13" x14ac:dyDescent="0.25">
      <c r="I2699" t="s">
        <v>4209</v>
      </c>
      <c r="J2699" s="161" t="s">
        <v>19202</v>
      </c>
      <c r="K2699" t="s">
        <v>19203</v>
      </c>
      <c r="L2699" t="s">
        <v>3949</v>
      </c>
      <c r="M2699" s="161" t="s">
        <v>19202</v>
      </c>
    </row>
    <row r="2700" spans="9:13" x14ac:dyDescent="0.25">
      <c r="I2700" t="s">
        <v>8844</v>
      </c>
      <c r="J2700" s="161" t="s">
        <v>19202</v>
      </c>
      <c r="K2700" t="s">
        <v>19203</v>
      </c>
      <c r="L2700" t="s">
        <v>8843</v>
      </c>
      <c r="M2700" s="161" t="s">
        <v>19202</v>
      </c>
    </row>
    <row r="2701" spans="9:13" x14ac:dyDescent="0.25">
      <c r="I2701" t="s">
        <v>3471</v>
      </c>
      <c r="J2701" s="161" t="s">
        <v>19202</v>
      </c>
      <c r="K2701" t="s">
        <v>19203</v>
      </c>
      <c r="L2701" t="s">
        <v>3470</v>
      </c>
      <c r="M2701" s="161" t="s">
        <v>19202</v>
      </c>
    </row>
    <row r="2702" spans="9:13" x14ac:dyDescent="0.25">
      <c r="I2702" t="s">
        <v>11200</v>
      </c>
      <c r="J2702" s="161" t="s">
        <v>19202</v>
      </c>
      <c r="K2702" t="s">
        <v>19203</v>
      </c>
      <c r="L2702" t="s">
        <v>11199</v>
      </c>
      <c r="M2702" s="161" t="s">
        <v>19202</v>
      </c>
    </row>
    <row r="2703" spans="9:13" x14ac:dyDescent="0.25">
      <c r="I2703" t="s">
        <v>19576</v>
      </c>
      <c r="J2703" s="161" t="s">
        <v>19202</v>
      </c>
      <c r="K2703" t="s">
        <v>19203</v>
      </c>
      <c r="L2703" t="s">
        <v>19577</v>
      </c>
      <c r="M2703" s="161" t="s">
        <v>19202</v>
      </c>
    </row>
    <row r="2704" spans="9:13" x14ac:dyDescent="0.25">
      <c r="I2704" t="s">
        <v>19578</v>
      </c>
      <c r="J2704" s="161" t="s">
        <v>19202</v>
      </c>
      <c r="K2704" t="s">
        <v>19203</v>
      </c>
      <c r="L2704" t="s">
        <v>19579</v>
      </c>
      <c r="M2704" s="161" t="s">
        <v>19202</v>
      </c>
    </row>
    <row r="2705" spans="9:13" x14ac:dyDescent="0.25">
      <c r="I2705" t="s">
        <v>10775</v>
      </c>
      <c r="J2705" s="161" t="s">
        <v>19202</v>
      </c>
      <c r="K2705" t="s">
        <v>19203</v>
      </c>
      <c r="L2705" t="s">
        <v>10774</v>
      </c>
      <c r="M2705" s="161" t="s">
        <v>19202</v>
      </c>
    </row>
    <row r="2706" spans="9:13" x14ac:dyDescent="0.25">
      <c r="I2706" t="s">
        <v>13448</v>
      </c>
      <c r="J2706" s="161" t="s">
        <v>19202</v>
      </c>
      <c r="K2706" t="s">
        <v>19203</v>
      </c>
      <c r="L2706" t="s">
        <v>13447</v>
      </c>
      <c r="M2706" s="161" t="s">
        <v>19202</v>
      </c>
    </row>
    <row r="2707" spans="9:13" x14ac:dyDescent="0.25">
      <c r="I2707" t="s">
        <v>11251</v>
      </c>
      <c r="J2707" s="161" t="s">
        <v>19202</v>
      </c>
      <c r="K2707" t="s">
        <v>19203</v>
      </c>
      <c r="L2707" t="s">
        <v>10874</v>
      </c>
      <c r="M2707" s="161" t="s">
        <v>19202</v>
      </c>
    </row>
    <row r="2708" spans="9:13" x14ac:dyDescent="0.25">
      <c r="I2708" t="s">
        <v>6632</v>
      </c>
      <c r="J2708" s="161" t="s">
        <v>19202</v>
      </c>
      <c r="K2708" t="s">
        <v>19203</v>
      </c>
      <c r="L2708" t="s">
        <v>6631</v>
      </c>
      <c r="M2708" s="161" t="s">
        <v>19202</v>
      </c>
    </row>
    <row r="2709" spans="9:13" x14ac:dyDescent="0.25">
      <c r="I2709" t="s">
        <v>7364</v>
      </c>
      <c r="J2709" s="161" t="s">
        <v>19202</v>
      </c>
      <c r="K2709" t="s">
        <v>19203</v>
      </c>
      <c r="L2709" t="s">
        <v>7363</v>
      </c>
      <c r="M2709" s="161" t="s">
        <v>19202</v>
      </c>
    </row>
    <row r="2710" spans="9:13" x14ac:dyDescent="0.25">
      <c r="I2710" t="s">
        <v>16415</v>
      </c>
      <c r="J2710" s="161" t="s">
        <v>19202</v>
      </c>
      <c r="K2710" t="s">
        <v>19203</v>
      </c>
      <c r="L2710" t="s">
        <v>1350</v>
      </c>
      <c r="M2710" s="161" t="s">
        <v>19202</v>
      </c>
    </row>
    <row r="2711" spans="9:13" x14ac:dyDescent="0.25">
      <c r="I2711" t="s">
        <v>15336</v>
      </c>
      <c r="J2711" s="161" t="s">
        <v>19202</v>
      </c>
      <c r="K2711" t="s">
        <v>19203</v>
      </c>
      <c r="L2711" t="s">
        <v>15335</v>
      </c>
      <c r="M2711" s="161" t="s">
        <v>19202</v>
      </c>
    </row>
    <row r="2712" spans="9:13" x14ac:dyDescent="0.25">
      <c r="I2712" t="s">
        <v>15903</v>
      </c>
      <c r="J2712" s="161" t="s">
        <v>19202</v>
      </c>
      <c r="K2712" t="s">
        <v>19203</v>
      </c>
      <c r="L2712" t="s">
        <v>934</v>
      </c>
      <c r="M2712" s="161" t="s">
        <v>19202</v>
      </c>
    </row>
    <row r="2713" spans="9:13" x14ac:dyDescent="0.25">
      <c r="I2713" t="s">
        <v>8261</v>
      </c>
      <c r="J2713" s="161" t="s">
        <v>19202</v>
      </c>
      <c r="K2713" t="s">
        <v>19203</v>
      </c>
      <c r="L2713" t="s">
        <v>8260</v>
      </c>
      <c r="M2713" s="161" t="s">
        <v>19202</v>
      </c>
    </row>
    <row r="2714" spans="9:13" x14ac:dyDescent="0.25">
      <c r="I2714" t="s">
        <v>2619</v>
      </c>
      <c r="J2714" s="161" t="s">
        <v>19202</v>
      </c>
      <c r="K2714" t="s">
        <v>19203</v>
      </c>
      <c r="L2714" t="s">
        <v>2618</v>
      </c>
      <c r="M2714" s="161" t="s">
        <v>19202</v>
      </c>
    </row>
    <row r="2715" spans="9:13" x14ac:dyDescent="0.25">
      <c r="I2715" t="s">
        <v>10146</v>
      </c>
      <c r="J2715" s="161" t="s">
        <v>19202</v>
      </c>
      <c r="K2715" t="s">
        <v>19203</v>
      </c>
      <c r="L2715" t="s">
        <v>10145</v>
      </c>
      <c r="M2715" s="161" t="s">
        <v>19202</v>
      </c>
    </row>
    <row r="2716" spans="9:13" x14ac:dyDescent="0.25">
      <c r="I2716" t="s">
        <v>10631</v>
      </c>
      <c r="J2716" s="161" t="s">
        <v>19202</v>
      </c>
      <c r="K2716" t="s">
        <v>19203</v>
      </c>
      <c r="L2716" t="s">
        <v>10630</v>
      </c>
      <c r="M2716" s="161" t="s">
        <v>19202</v>
      </c>
    </row>
    <row r="2717" spans="9:13" x14ac:dyDescent="0.25">
      <c r="I2717" t="s">
        <v>2607</v>
      </c>
      <c r="J2717" s="161" t="s">
        <v>19202</v>
      </c>
      <c r="K2717" t="s">
        <v>19203</v>
      </c>
      <c r="L2717" t="s">
        <v>2606</v>
      </c>
      <c r="M2717" s="161" t="s">
        <v>19202</v>
      </c>
    </row>
    <row r="2718" spans="9:13" x14ac:dyDescent="0.25">
      <c r="I2718" t="s">
        <v>15665</v>
      </c>
      <c r="J2718" s="161" t="s">
        <v>19202</v>
      </c>
      <c r="K2718" t="s">
        <v>19203</v>
      </c>
      <c r="L2718" t="s">
        <v>15664</v>
      </c>
      <c r="M2718" s="161" t="s">
        <v>19202</v>
      </c>
    </row>
    <row r="2719" spans="9:13" x14ac:dyDescent="0.25">
      <c r="I2719" t="s">
        <v>1334</v>
      </c>
      <c r="J2719" s="161" t="s">
        <v>19202</v>
      </c>
      <c r="K2719" t="s">
        <v>19203</v>
      </c>
      <c r="L2719" t="s">
        <v>405</v>
      </c>
      <c r="M2719" s="161" t="s">
        <v>19202</v>
      </c>
    </row>
    <row r="2720" spans="9:13" x14ac:dyDescent="0.25">
      <c r="I2720" t="s">
        <v>3458</v>
      </c>
      <c r="J2720" s="161" t="s">
        <v>19202</v>
      </c>
      <c r="K2720" t="s">
        <v>19203</v>
      </c>
      <c r="L2720" t="s">
        <v>3457</v>
      </c>
      <c r="M2720" s="161" t="s">
        <v>19202</v>
      </c>
    </row>
    <row r="2721" spans="9:13" x14ac:dyDescent="0.25">
      <c r="I2721" t="s">
        <v>18112</v>
      </c>
      <c r="J2721" s="161" t="s">
        <v>19202</v>
      </c>
      <c r="K2721" t="s">
        <v>19203</v>
      </c>
      <c r="L2721" t="s">
        <v>18111</v>
      </c>
      <c r="M2721" s="161" t="s">
        <v>19202</v>
      </c>
    </row>
    <row r="2722" spans="9:13" x14ac:dyDescent="0.25">
      <c r="I2722" t="s">
        <v>12320</v>
      </c>
      <c r="J2722" s="161" t="s">
        <v>19202</v>
      </c>
      <c r="K2722" t="s">
        <v>19203</v>
      </c>
      <c r="L2722" t="s">
        <v>12319</v>
      </c>
      <c r="M2722" s="161" t="s">
        <v>19202</v>
      </c>
    </row>
    <row r="2723" spans="9:13" x14ac:dyDescent="0.25">
      <c r="I2723" t="s">
        <v>19580</v>
      </c>
      <c r="J2723" s="161" t="s">
        <v>19202</v>
      </c>
      <c r="K2723" t="s">
        <v>19203</v>
      </c>
      <c r="L2723" t="s">
        <v>13234</v>
      </c>
      <c r="M2723" s="161" t="s">
        <v>19202</v>
      </c>
    </row>
    <row r="2724" spans="9:13" x14ac:dyDescent="0.25">
      <c r="I2724" t="s">
        <v>14365</v>
      </c>
      <c r="J2724" s="161" t="s">
        <v>19202</v>
      </c>
      <c r="K2724" t="s">
        <v>19203</v>
      </c>
      <c r="L2724" t="s">
        <v>14364</v>
      </c>
      <c r="M2724" s="161" t="s">
        <v>19202</v>
      </c>
    </row>
    <row r="2725" spans="9:13" x14ac:dyDescent="0.25">
      <c r="I2725" t="s">
        <v>1947</v>
      </c>
      <c r="J2725" s="161" t="s">
        <v>19202</v>
      </c>
      <c r="K2725" t="s">
        <v>19203</v>
      </c>
      <c r="L2725" t="s">
        <v>1946</v>
      </c>
      <c r="M2725" s="161" t="s">
        <v>19202</v>
      </c>
    </row>
    <row r="2726" spans="9:13" x14ac:dyDescent="0.25">
      <c r="I2726" t="s">
        <v>10584</v>
      </c>
      <c r="J2726" s="161" t="s">
        <v>19202</v>
      </c>
      <c r="K2726" t="s">
        <v>19203</v>
      </c>
      <c r="L2726" t="s">
        <v>10583</v>
      </c>
      <c r="M2726" s="161" t="s">
        <v>19202</v>
      </c>
    </row>
    <row r="2727" spans="9:13" x14ac:dyDescent="0.25">
      <c r="I2727" t="s">
        <v>6659</v>
      </c>
      <c r="J2727" s="161" t="s">
        <v>19202</v>
      </c>
      <c r="K2727" t="s">
        <v>19203</v>
      </c>
      <c r="L2727" t="s">
        <v>6658</v>
      </c>
      <c r="M2727" s="161" t="s">
        <v>19202</v>
      </c>
    </row>
    <row r="2728" spans="9:13" x14ac:dyDescent="0.25">
      <c r="I2728" t="s">
        <v>13863</v>
      </c>
      <c r="J2728" s="161" t="s">
        <v>19202</v>
      </c>
      <c r="K2728" t="s">
        <v>19203</v>
      </c>
      <c r="L2728" t="s">
        <v>228</v>
      </c>
      <c r="M2728" s="161" t="s">
        <v>19202</v>
      </c>
    </row>
    <row r="2729" spans="9:13" x14ac:dyDescent="0.25">
      <c r="I2729" t="s">
        <v>13861</v>
      </c>
      <c r="J2729" s="161" t="s">
        <v>19202</v>
      </c>
      <c r="K2729" t="s">
        <v>19203</v>
      </c>
      <c r="L2729" t="s">
        <v>13860</v>
      </c>
      <c r="M2729" s="161" t="s">
        <v>19202</v>
      </c>
    </row>
    <row r="2730" spans="9:13" x14ac:dyDescent="0.25">
      <c r="I2730" t="s">
        <v>13857</v>
      </c>
      <c r="J2730" s="161" t="s">
        <v>19202</v>
      </c>
      <c r="K2730" t="s">
        <v>19203</v>
      </c>
      <c r="L2730" t="s">
        <v>660</v>
      </c>
      <c r="M2730" s="161" t="s">
        <v>19202</v>
      </c>
    </row>
    <row r="2731" spans="9:13" x14ac:dyDescent="0.25">
      <c r="I2731" t="s">
        <v>18591</v>
      </c>
      <c r="J2731" s="161" t="s">
        <v>19202</v>
      </c>
      <c r="K2731" t="s">
        <v>19203</v>
      </c>
      <c r="L2731" t="s">
        <v>18593</v>
      </c>
      <c r="M2731" s="161" t="s">
        <v>19202</v>
      </c>
    </row>
    <row r="2732" spans="9:13" x14ac:dyDescent="0.25">
      <c r="I2732" t="s">
        <v>1558</v>
      </c>
      <c r="J2732" s="161" t="s">
        <v>19202</v>
      </c>
      <c r="K2732" t="s">
        <v>19203</v>
      </c>
      <c r="L2732" t="s">
        <v>1557</v>
      </c>
      <c r="M2732" s="161" t="s">
        <v>19202</v>
      </c>
    </row>
    <row r="2733" spans="9:13" x14ac:dyDescent="0.25">
      <c r="I2733" t="s">
        <v>14075</v>
      </c>
      <c r="J2733" s="161" t="s">
        <v>19202</v>
      </c>
      <c r="K2733" t="s">
        <v>19203</v>
      </c>
      <c r="L2733" t="s">
        <v>14074</v>
      </c>
      <c r="M2733" s="161" t="s">
        <v>19202</v>
      </c>
    </row>
    <row r="2734" spans="9:13" x14ac:dyDescent="0.25">
      <c r="I2734" t="s">
        <v>2254</v>
      </c>
      <c r="J2734" s="161" t="s">
        <v>19202</v>
      </c>
      <c r="K2734" t="s">
        <v>19203</v>
      </c>
      <c r="L2734" t="s">
        <v>2253</v>
      </c>
      <c r="M2734" s="161" t="s">
        <v>19202</v>
      </c>
    </row>
    <row r="2735" spans="9:13" x14ac:dyDescent="0.25">
      <c r="I2735" t="s">
        <v>12170</v>
      </c>
      <c r="J2735" s="161" t="s">
        <v>19202</v>
      </c>
      <c r="K2735" t="s">
        <v>19203</v>
      </c>
      <c r="L2735" t="s">
        <v>12169</v>
      </c>
      <c r="M2735" s="161" t="s">
        <v>19202</v>
      </c>
    </row>
    <row r="2736" spans="9:13" x14ac:dyDescent="0.25">
      <c r="I2736" t="s">
        <v>11919</v>
      </c>
      <c r="J2736" s="161" t="s">
        <v>19202</v>
      </c>
      <c r="K2736" t="s">
        <v>19203</v>
      </c>
      <c r="L2736" t="s">
        <v>11918</v>
      </c>
      <c r="M2736" s="161" t="s">
        <v>19202</v>
      </c>
    </row>
    <row r="2737" spans="9:13" x14ac:dyDescent="0.25">
      <c r="I2737" t="s">
        <v>5032</v>
      </c>
      <c r="J2737" s="161" t="s">
        <v>19202</v>
      </c>
      <c r="K2737" t="s">
        <v>19203</v>
      </c>
      <c r="L2737" t="s">
        <v>832</v>
      </c>
      <c r="M2737" s="161" t="s">
        <v>19202</v>
      </c>
    </row>
    <row r="2738" spans="9:13" x14ac:dyDescent="0.25">
      <c r="I2738" t="s">
        <v>4633</v>
      </c>
      <c r="J2738" s="161" t="s">
        <v>19202</v>
      </c>
      <c r="K2738" t="s">
        <v>19203</v>
      </c>
      <c r="L2738" t="s">
        <v>4632</v>
      </c>
      <c r="M2738" s="161" t="s">
        <v>19202</v>
      </c>
    </row>
    <row r="2739" spans="9:13" x14ac:dyDescent="0.25">
      <c r="I2739" t="s">
        <v>5031</v>
      </c>
      <c r="J2739" s="161" t="s">
        <v>19202</v>
      </c>
      <c r="K2739" t="s">
        <v>19203</v>
      </c>
      <c r="L2739" t="s">
        <v>5030</v>
      </c>
      <c r="M2739" s="161" t="s">
        <v>19202</v>
      </c>
    </row>
    <row r="2740" spans="9:13" x14ac:dyDescent="0.25">
      <c r="I2740" t="s">
        <v>5029</v>
      </c>
      <c r="J2740" s="161" t="s">
        <v>19202</v>
      </c>
      <c r="K2740" t="s">
        <v>19203</v>
      </c>
      <c r="L2740" t="s">
        <v>5028</v>
      </c>
      <c r="M2740" s="161" t="s">
        <v>19202</v>
      </c>
    </row>
    <row r="2741" spans="9:13" x14ac:dyDescent="0.25">
      <c r="I2741" t="s">
        <v>5132</v>
      </c>
      <c r="J2741" s="161" t="s">
        <v>19202</v>
      </c>
      <c r="K2741" t="s">
        <v>19203</v>
      </c>
      <c r="L2741" t="s">
        <v>5131</v>
      </c>
      <c r="M2741" s="161" t="s">
        <v>19202</v>
      </c>
    </row>
    <row r="2742" spans="9:13" x14ac:dyDescent="0.25">
      <c r="I2742" t="s">
        <v>4589</v>
      </c>
      <c r="J2742" s="161" t="s">
        <v>19202</v>
      </c>
      <c r="K2742" t="s">
        <v>19203</v>
      </c>
      <c r="L2742" t="s">
        <v>4588</v>
      </c>
      <c r="M2742" s="161" t="s">
        <v>19202</v>
      </c>
    </row>
    <row r="2743" spans="9:13" x14ac:dyDescent="0.25">
      <c r="I2743" t="s">
        <v>4857</v>
      </c>
      <c r="J2743" s="161" t="s">
        <v>19202</v>
      </c>
      <c r="K2743" t="s">
        <v>19203</v>
      </c>
      <c r="L2743" t="s">
        <v>1405</v>
      </c>
      <c r="M2743" s="161" t="s">
        <v>19202</v>
      </c>
    </row>
    <row r="2744" spans="9:13" x14ac:dyDescent="0.25">
      <c r="I2744" t="s">
        <v>4505</v>
      </c>
      <c r="J2744" s="161" t="s">
        <v>19202</v>
      </c>
      <c r="K2744" t="s">
        <v>19203</v>
      </c>
      <c r="L2744" t="s">
        <v>4504</v>
      </c>
      <c r="M2744" s="161" t="s">
        <v>19202</v>
      </c>
    </row>
    <row r="2745" spans="9:13" x14ac:dyDescent="0.25">
      <c r="I2745" t="s">
        <v>5027</v>
      </c>
      <c r="J2745" s="161" t="s">
        <v>19202</v>
      </c>
      <c r="K2745" t="s">
        <v>19203</v>
      </c>
      <c r="L2745" t="s">
        <v>5026</v>
      </c>
      <c r="M2745" s="161" t="s">
        <v>19202</v>
      </c>
    </row>
    <row r="2746" spans="9:13" x14ac:dyDescent="0.25">
      <c r="I2746" t="s">
        <v>5025</v>
      </c>
      <c r="J2746" s="161" t="s">
        <v>19202</v>
      </c>
      <c r="K2746" t="s">
        <v>19203</v>
      </c>
      <c r="L2746" t="s">
        <v>5024</v>
      </c>
      <c r="M2746" s="161" t="s">
        <v>19202</v>
      </c>
    </row>
    <row r="2747" spans="9:13" x14ac:dyDescent="0.25">
      <c r="I2747" t="s">
        <v>4709</v>
      </c>
      <c r="J2747" s="161" t="s">
        <v>19202</v>
      </c>
      <c r="K2747" t="s">
        <v>19203</v>
      </c>
      <c r="L2747" t="s">
        <v>4708</v>
      </c>
      <c r="M2747" s="161" t="s">
        <v>19202</v>
      </c>
    </row>
    <row r="2748" spans="9:13" x14ac:dyDescent="0.25">
      <c r="I2748" t="s">
        <v>4958</v>
      </c>
      <c r="J2748" s="161" t="s">
        <v>19202</v>
      </c>
      <c r="K2748" t="s">
        <v>19203</v>
      </c>
      <c r="L2748" t="s">
        <v>4957</v>
      </c>
      <c r="M2748" s="161" t="s">
        <v>19202</v>
      </c>
    </row>
    <row r="2749" spans="9:13" x14ac:dyDescent="0.25">
      <c r="I2749" t="s">
        <v>5082</v>
      </c>
      <c r="J2749" s="161" t="s">
        <v>19202</v>
      </c>
      <c r="K2749" t="s">
        <v>19203</v>
      </c>
      <c r="L2749" t="s">
        <v>405</v>
      </c>
      <c r="M2749" s="161" t="s">
        <v>19202</v>
      </c>
    </row>
    <row r="2750" spans="9:13" x14ac:dyDescent="0.25">
      <c r="I2750" t="s">
        <v>4474</v>
      </c>
      <c r="J2750" s="161" t="s">
        <v>19202</v>
      </c>
      <c r="K2750" t="s">
        <v>19203</v>
      </c>
      <c r="L2750" t="s">
        <v>3949</v>
      </c>
      <c r="M2750" s="161" t="s">
        <v>19202</v>
      </c>
    </row>
    <row r="2751" spans="9:13" x14ac:dyDescent="0.25">
      <c r="I2751" t="s">
        <v>5021</v>
      </c>
      <c r="J2751" s="161" t="s">
        <v>19202</v>
      </c>
      <c r="K2751" t="s">
        <v>19203</v>
      </c>
      <c r="L2751" t="s">
        <v>5020</v>
      </c>
      <c r="M2751" s="161" t="s">
        <v>19202</v>
      </c>
    </row>
    <row r="2752" spans="9:13" x14ac:dyDescent="0.25">
      <c r="I2752" t="s">
        <v>5019</v>
      </c>
      <c r="J2752" s="161" t="s">
        <v>19202</v>
      </c>
      <c r="K2752" t="s">
        <v>19203</v>
      </c>
      <c r="L2752" t="s">
        <v>5018</v>
      </c>
      <c r="M2752" s="161" t="s">
        <v>19202</v>
      </c>
    </row>
    <row r="2753" spans="9:13" x14ac:dyDescent="0.25">
      <c r="I2753" t="s">
        <v>4813</v>
      </c>
      <c r="J2753" s="161" t="s">
        <v>19202</v>
      </c>
      <c r="K2753" t="s">
        <v>19203</v>
      </c>
      <c r="L2753" t="s">
        <v>4812</v>
      </c>
      <c r="M2753" s="161" t="s">
        <v>19202</v>
      </c>
    </row>
    <row r="2754" spans="9:13" x14ac:dyDescent="0.25">
      <c r="I2754" t="s">
        <v>4421</v>
      </c>
      <c r="J2754" s="161" t="s">
        <v>19202</v>
      </c>
      <c r="K2754" t="s">
        <v>19203</v>
      </c>
      <c r="L2754" t="s">
        <v>4420</v>
      </c>
      <c r="M2754" s="161" t="s">
        <v>19202</v>
      </c>
    </row>
    <row r="2755" spans="9:13" x14ac:dyDescent="0.25">
      <c r="I2755" t="s">
        <v>4419</v>
      </c>
      <c r="J2755" s="161" t="s">
        <v>19202</v>
      </c>
      <c r="K2755" t="s">
        <v>19203</v>
      </c>
      <c r="L2755" t="s">
        <v>934</v>
      </c>
      <c r="M2755" s="161" t="s">
        <v>19202</v>
      </c>
    </row>
    <row r="2756" spans="9:13" x14ac:dyDescent="0.25">
      <c r="I2756" t="s">
        <v>3912</v>
      </c>
      <c r="J2756" s="161" t="s">
        <v>19202</v>
      </c>
      <c r="K2756" t="s">
        <v>19203</v>
      </c>
      <c r="L2756" t="s">
        <v>3911</v>
      </c>
      <c r="M2756" s="161" t="s">
        <v>19202</v>
      </c>
    </row>
    <row r="2757" spans="9:13" x14ac:dyDescent="0.25">
      <c r="I2757" t="s">
        <v>4416</v>
      </c>
      <c r="J2757" s="161" t="s">
        <v>19202</v>
      </c>
      <c r="K2757" t="s">
        <v>19203</v>
      </c>
      <c r="L2757" t="s">
        <v>4415</v>
      </c>
      <c r="M2757" s="161" t="s">
        <v>19202</v>
      </c>
    </row>
    <row r="2758" spans="9:13" x14ac:dyDescent="0.25">
      <c r="I2758" t="s">
        <v>4414</v>
      </c>
      <c r="J2758" s="161" t="s">
        <v>19202</v>
      </c>
      <c r="K2758" t="s">
        <v>19203</v>
      </c>
      <c r="L2758" t="s">
        <v>4413</v>
      </c>
      <c r="M2758" s="161" t="s">
        <v>19202</v>
      </c>
    </row>
    <row r="2759" spans="9:13" x14ac:dyDescent="0.25">
      <c r="I2759" t="s">
        <v>4811</v>
      </c>
      <c r="J2759" s="161" t="s">
        <v>19202</v>
      </c>
      <c r="K2759" t="s">
        <v>19203</v>
      </c>
      <c r="L2759" t="s">
        <v>4810</v>
      </c>
      <c r="M2759" s="161" t="s">
        <v>19202</v>
      </c>
    </row>
    <row r="2760" spans="9:13" x14ac:dyDescent="0.25">
      <c r="I2760" t="s">
        <v>4412</v>
      </c>
      <c r="J2760" s="161" t="s">
        <v>19202</v>
      </c>
      <c r="K2760" t="s">
        <v>19203</v>
      </c>
      <c r="L2760" t="s">
        <v>4411</v>
      </c>
      <c r="M2760" s="161" t="s">
        <v>19202</v>
      </c>
    </row>
    <row r="2761" spans="9:13" x14ac:dyDescent="0.25">
      <c r="I2761" t="s">
        <v>4587</v>
      </c>
      <c r="J2761" s="161" t="s">
        <v>19202</v>
      </c>
      <c r="K2761" t="s">
        <v>19203</v>
      </c>
      <c r="L2761" t="s">
        <v>4586</v>
      </c>
      <c r="M2761" s="161" t="s">
        <v>19202</v>
      </c>
    </row>
    <row r="2762" spans="9:13" x14ac:dyDescent="0.25">
      <c r="I2762" t="s">
        <v>19581</v>
      </c>
      <c r="J2762" s="161" t="s">
        <v>19202</v>
      </c>
      <c r="K2762" t="s">
        <v>19203</v>
      </c>
      <c r="L2762" t="s">
        <v>19582</v>
      </c>
      <c r="M2762" s="161" t="s">
        <v>19202</v>
      </c>
    </row>
    <row r="2763" spans="9:13" x14ac:dyDescent="0.25">
      <c r="I2763" t="s">
        <v>15683</v>
      </c>
      <c r="J2763" s="161" t="s">
        <v>19202</v>
      </c>
      <c r="K2763" t="s">
        <v>19203</v>
      </c>
      <c r="L2763" t="s">
        <v>15570</v>
      </c>
      <c r="M2763" s="161" t="s">
        <v>19202</v>
      </c>
    </row>
    <row r="2764" spans="9:13" x14ac:dyDescent="0.25">
      <c r="I2764" t="s">
        <v>6549</v>
      </c>
      <c r="J2764" s="161" t="s">
        <v>19202</v>
      </c>
      <c r="K2764" t="s">
        <v>19203</v>
      </c>
      <c r="L2764" t="s">
        <v>6024</v>
      </c>
      <c r="M2764" s="161" t="s">
        <v>19202</v>
      </c>
    </row>
    <row r="2765" spans="9:13" x14ac:dyDescent="0.25">
      <c r="I2765" t="s">
        <v>10007</v>
      </c>
      <c r="J2765" s="161" t="s">
        <v>19202</v>
      </c>
      <c r="K2765" t="s">
        <v>19203</v>
      </c>
      <c r="L2765" t="s">
        <v>10006</v>
      </c>
      <c r="M2765" s="161" t="s">
        <v>19202</v>
      </c>
    </row>
    <row r="2766" spans="9:13" x14ac:dyDescent="0.25">
      <c r="I2766" t="s">
        <v>1547</v>
      </c>
      <c r="J2766" s="161" t="s">
        <v>19202</v>
      </c>
      <c r="K2766" t="s">
        <v>19203</v>
      </c>
      <c r="L2766" t="s">
        <v>1546</v>
      </c>
      <c r="M2766" s="161" t="s">
        <v>19202</v>
      </c>
    </row>
    <row r="2767" spans="9:13" x14ac:dyDescent="0.25">
      <c r="I2767" t="s">
        <v>9637</v>
      </c>
      <c r="J2767" s="161" t="s">
        <v>19202</v>
      </c>
      <c r="K2767" t="s">
        <v>19203</v>
      </c>
      <c r="L2767" t="s">
        <v>9636</v>
      </c>
      <c r="M2767" s="161" t="s">
        <v>19202</v>
      </c>
    </row>
    <row r="2768" spans="9:13" x14ac:dyDescent="0.25">
      <c r="I2768" t="s">
        <v>178</v>
      </c>
      <c r="J2768" s="161" t="s">
        <v>19202</v>
      </c>
      <c r="K2768" t="s">
        <v>19203</v>
      </c>
      <c r="L2768" t="s">
        <v>177</v>
      </c>
      <c r="M2768" s="161" t="s">
        <v>19202</v>
      </c>
    </row>
    <row r="2769" spans="9:13" x14ac:dyDescent="0.25">
      <c r="I2769" t="s">
        <v>3141</v>
      </c>
      <c r="J2769" s="161" t="s">
        <v>19202</v>
      </c>
      <c r="K2769" t="s">
        <v>19203</v>
      </c>
      <c r="L2769" t="s">
        <v>3140</v>
      </c>
      <c r="M2769" s="161" t="s">
        <v>19202</v>
      </c>
    </row>
    <row r="2770" spans="9:13" x14ac:dyDescent="0.25">
      <c r="I2770" t="s">
        <v>3773</v>
      </c>
      <c r="J2770" s="161" t="s">
        <v>19202</v>
      </c>
      <c r="K2770" t="s">
        <v>19203</v>
      </c>
      <c r="L2770" t="s">
        <v>2618</v>
      </c>
      <c r="M2770" s="161" t="s">
        <v>19202</v>
      </c>
    </row>
    <row r="2771" spans="9:13" x14ac:dyDescent="0.25">
      <c r="I2771" t="s">
        <v>10757</v>
      </c>
      <c r="J2771" s="161" t="s">
        <v>19202</v>
      </c>
      <c r="K2771" t="s">
        <v>19203</v>
      </c>
      <c r="L2771" t="s">
        <v>10756</v>
      </c>
      <c r="M2771" s="161" t="s">
        <v>19202</v>
      </c>
    </row>
    <row r="2772" spans="9:13" x14ac:dyDescent="0.25">
      <c r="I2772" t="s">
        <v>13644</v>
      </c>
      <c r="J2772" s="161" t="s">
        <v>19202</v>
      </c>
      <c r="K2772" t="s">
        <v>19203</v>
      </c>
      <c r="L2772" t="s">
        <v>13643</v>
      </c>
      <c r="M2772" s="161" t="s">
        <v>19202</v>
      </c>
    </row>
    <row r="2773" spans="9:13" x14ac:dyDescent="0.25">
      <c r="I2773" t="s">
        <v>3985</v>
      </c>
      <c r="J2773" s="161" t="s">
        <v>19202</v>
      </c>
      <c r="K2773" t="s">
        <v>19203</v>
      </c>
      <c r="L2773" t="s">
        <v>3984</v>
      </c>
      <c r="M2773" s="161" t="s">
        <v>19202</v>
      </c>
    </row>
    <row r="2774" spans="9:13" x14ac:dyDescent="0.25">
      <c r="I2774" t="s">
        <v>10545</v>
      </c>
      <c r="J2774" s="161" t="s">
        <v>19202</v>
      </c>
      <c r="K2774" t="s">
        <v>19203</v>
      </c>
      <c r="L2774" t="s">
        <v>10544</v>
      </c>
      <c r="M2774" s="161" t="s">
        <v>19202</v>
      </c>
    </row>
    <row r="2775" spans="9:13" x14ac:dyDescent="0.25">
      <c r="I2775" t="s">
        <v>2334</v>
      </c>
      <c r="J2775" s="161" t="s">
        <v>19202</v>
      </c>
      <c r="K2775" t="s">
        <v>19203</v>
      </c>
      <c r="L2775" t="s">
        <v>2333</v>
      </c>
      <c r="M2775" s="161" t="s">
        <v>19202</v>
      </c>
    </row>
    <row r="2776" spans="9:13" x14ac:dyDescent="0.25">
      <c r="I2776" t="s">
        <v>9270</v>
      </c>
      <c r="J2776" s="161" t="s">
        <v>19202</v>
      </c>
      <c r="K2776" t="s">
        <v>19203</v>
      </c>
      <c r="L2776" t="s">
        <v>9269</v>
      </c>
      <c r="M2776" s="161" t="s">
        <v>19202</v>
      </c>
    </row>
    <row r="2777" spans="9:13" x14ac:dyDescent="0.25">
      <c r="I2777" t="s">
        <v>8588</v>
      </c>
      <c r="J2777" s="161" t="s">
        <v>19202</v>
      </c>
      <c r="K2777" t="s">
        <v>19203</v>
      </c>
      <c r="L2777" t="s">
        <v>8587</v>
      </c>
      <c r="M2777" s="161" t="s">
        <v>19202</v>
      </c>
    </row>
    <row r="2778" spans="9:13" x14ac:dyDescent="0.25">
      <c r="I2778" t="s">
        <v>5402</v>
      </c>
      <c r="J2778" s="161" t="s">
        <v>19202</v>
      </c>
      <c r="K2778" t="s">
        <v>19203</v>
      </c>
      <c r="L2778" t="s">
        <v>5401</v>
      </c>
      <c r="M2778" s="161" t="s">
        <v>19202</v>
      </c>
    </row>
    <row r="2779" spans="9:13" x14ac:dyDescent="0.25">
      <c r="I2779" t="s">
        <v>15523</v>
      </c>
      <c r="J2779" s="161" t="s">
        <v>19202</v>
      </c>
      <c r="K2779" t="s">
        <v>19203</v>
      </c>
      <c r="L2779" t="s">
        <v>15522</v>
      </c>
      <c r="M2779" s="161" t="s">
        <v>19202</v>
      </c>
    </row>
    <row r="2780" spans="9:13" x14ac:dyDescent="0.25">
      <c r="I2780" t="s">
        <v>5834</v>
      </c>
      <c r="J2780" s="161" t="s">
        <v>19202</v>
      </c>
      <c r="K2780" t="s">
        <v>19203</v>
      </c>
      <c r="L2780" t="s">
        <v>5833</v>
      </c>
      <c r="M2780" s="161" t="s">
        <v>19202</v>
      </c>
    </row>
    <row r="2781" spans="9:13" x14ac:dyDescent="0.25">
      <c r="I2781" t="s">
        <v>6060</v>
      </c>
      <c r="J2781" s="161" t="s">
        <v>19202</v>
      </c>
      <c r="K2781" t="s">
        <v>19203</v>
      </c>
      <c r="L2781" t="s">
        <v>6059</v>
      </c>
      <c r="M2781" s="161" t="s">
        <v>19202</v>
      </c>
    </row>
    <row r="2782" spans="9:13" x14ac:dyDescent="0.25">
      <c r="I2782" t="s">
        <v>4256</v>
      </c>
      <c r="J2782" s="161" t="s">
        <v>19202</v>
      </c>
      <c r="K2782" t="s">
        <v>19203</v>
      </c>
      <c r="L2782" t="s">
        <v>4255</v>
      </c>
      <c r="M2782" s="161" t="s">
        <v>19202</v>
      </c>
    </row>
    <row r="2783" spans="9:13" x14ac:dyDescent="0.25">
      <c r="I2783" t="s">
        <v>9428</v>
      </c>
      <c r="J2783" s="161" t="s">
        <v>19202</v>
      </c>
      <c r="K2783" t="s">
        <v>19203</v>
      </c>
      <c r="L2783" t="s">
        <v>9427</v>
      </c>
      <c r="M2783" s="161" t="s">
        <v>19202</v>
      </c>
    </row>
    <row r="2784" spans="9:13" x14ac:dyDescent="0.25">
      <c r="I2784" t="s">
        <v>5015</v>
      </c>
      <c r="J2784" s="161" t="s">
        <v>19202</v>
      </c>
      <c r="K2784" t="s">
        <v>19203</v>
      </c>
      <c r="L2784" t="s">
        <v>5014</v>
      </c>
      <c r="M2784" s="161" t="s">
        <v>19202</v>
      </c>
    </row>
    <row r="2785" spans="9:13" x14ac:dyDescent="0.25">
      <c r="I2785" t="s">
        <v>16507</v>
      </c>
      <c r="J2785" s="161" t="s">
        <v>19202</v>
      </c>
      <c r="K2785" t="s">
        <v>19203</v>
      </c>
      <c r="L2785" t="s">
        <v>16506</v>
      </c>
      <c r="M2785" s="161" t="s">
        <v>19202</v>
      </c>
    </row>
    <row r="2786" spans="9:13" x14ac:dyDescent="0.25">
      <c r="I2786" t="s">
        <v>16115</v>
      </c>
      <c r="J2786" s="161" t="s">
        <v>19202</v>
      </c>
      <c r="K2786" t="s">
        <v>19203</v>
      </c>
      <c r="L2786" t="s">
        <v>16114</v>
      </c>
      <c r="M2786" s="161" t="s">
        <v>19202</v>
      </c>
    </row>
    <row r="2787" spans="9:13" x14ac:dyDescent="0.25">
      <c r="I2787" t="s">
        <v>13111</v>
      </c>
      <c r="J2787" s="161" t="s">
        <v>19202</v>
      </c>
      <c r="K2787" t="s">
        <v>19203</v>
      </c>
      <c r="L2787" t="s">
        <v>13110</v>
      </c>
      <c r="M2787" s="161" t="s">
        <v>19202</v>
      </c>
    </row>
    <row r="2788" spans="9:13" x14ac:dyDescent="0.25">
      <c r="I2788" t="s">
        <v>13336</v>
      </c>
      <c r="J2788" s="161" t="s">
        <v>19202</v>
      </c>
      <c r="K2788" t="s">
        <v>19203</v>
      </c>
      <c r="L2788" t="s">
        <v>13335</v>
      </c>
      <c r="M2788" s="161" t="s">
        <v>19202</v>
      </c>
    </row>
    <row r="2789" spans="9:13" x14ac:dyDescent="0.25">
      <c r="I2789" t="s">
        <v>13529</v>
      </c>
      <c r="J2789" s="161" t="s">
        <v>19202</v>
      </c>
      <c r="K2789" t="s">
        <v>19203</v>
      </c>
      <c r="L2789" t="s">
        <v>13528</v>
      </c>
      <c r="M2789" s="161" t="s">
        <v>19202</v>
      </c>
    </row>
    <row r="2790" spans="9:13" x14ac:dyDescent="0.25">
      <c r="I2790" t="s">
        <v>13213</v>
      </c>
      <c r="J2790" s="161" t="s">
        <v>19202</v>
      </c>
      <c r="K2790" t="s">
        <v>19203</v>
      </c>
      <c r="L2790" t="s">
        <v>13212</v>
      </c>
      <c r="M2790" s="161" t="s">
        <v>19202</v>
      </c>
    </row>
    <row r="2791" spans="9:13" x14ac:dyDescent="0.25">
      <c r="I2791" t="s">
        <v>13058</v>
      </c>
      <c r="J2791" s="161" t="s">
        <v>19202</v>
      </c>
      <c r="K2791" t="s">
        <v>19203</v>
      </c>
      <c r="L2791" t="s">
        <v>13057</v>
      </c>
      <c r="M2791" s="161" t="s">
        <v>19202</v>
      </c>
    </row>
    <row r="2792" spans="9:13" x14ac:dyDescent="0.25">
      <c r="I2792" t="s">
        <v>13056</v>
      </c>
      <c r="J2792" s="161" t="s">
        <v>19202</v>
      </c>
      <c r="K2792" t="s">
        <v>19203</v>
      </c>
      <c r="L2792" t="s">
        <v>13055</v>
      </c>
      <c r="M2792" s="161" t="s">
        <v>19202</v>
      </c>
    </row>
    <row r="2793" spans="9:13" x14ac:dyDescent="0.25">
      <c r="I2793" t="s">
        <v>13054</v>
      </c>
      <c r="J2793" s="161" t="s">
        <v>19202</v>
      </c>
      <c r="K2793" t="s">
        <v>19203</v>
      </c>
      <c r="L2793" t="s">
        <v>13053</v>
      </c>
      <c r="M2793" s="161" t="s">
        <v>19202</v>
      </c>
    </row>
    <row r="2794" spans="9:13" x14ac:dyDescent="0.25">
      <c r="I2794" t="s">
        <v>13109</v>
      </c>
      <c r="J2794" s="161" t="s">
        <v>19202</v>
      </c>
      <c r="K2794" t="s">
        <v>19203</v>
      </c>
      <c r="L2794" t="s">
        <v>13108</v>
      </c>
      <c r="M2794" s="161" t="s">
        <v>19202</v>
      </c>
    </row>
    <row r="2795" spans="9:13" x14ac:dyDescent="0.25">
      <c r="I2795" t="s">
        <v>13052</v>
      </c>
      <c r="J2795" s="161" t="s">
        <v>19202</v>
      </c>
      <c r="K2795" t="s">
        <v>19203</v>
      </c>
      <c r="L2795" t="s">
        <v>13051</v>
      </c>
      <c r="M2795" s="161" t="s">
        <v>19202</v>
      </c>
    </row>
    <row r="2796" spans="9:13" x14ac:dyDescent="0.25">
      <c r="I2796" t="s">
        <v>13527</v>
      </c>
      <c r="J2796" s="161" t="s">
        <v>19202</v>
      </c>
      <c r="K2796" t="s">
        <v>19203</v>
      </c>
      <c r="L2796" t="s">
        <v>13526</v>
      </c>
      <c r="M2796" s="161" t="s">
        <v>19202</v>
      </c>
    </row>
    <row r="2797" spans="9:13" x14ac:dyDescent="0.25">
      <c r="I2797" t="s">
        <v>13296</v>
      </c>
      <c r="J2797" s="161" t="s">
        <v>19202</v>
      </c>
      <c r="K2797" t="s">
        <v>19203</v>
      </c>
      <c r="L2797" t="s">
        <v>2016</v>
      </c>
      <c r="M2797" s="161" t="s">
        <v>19202</v>
      </c>
    </row>
    <row r="2798" spans="9:13" x14ac:dyDescent="0.25">
      <c r="I2798" t="s">
        <v>13525</v>
      </c>
      <c r="J2798" s="161" t="s">
        <v>19202</v>
      </c>
      <c r="K2798" t="s">
        <v>19203</v>
      </c>
      <c r="L2798" t="s">
        <v>13524</v>
      </c>
      <c r="M2798" s="161" t="s">
        <v>19202</v>
      </c>
    </row>
    <row r="2799" spans="9:13" x14ac:dyDescent="0.25">
      <c r="I2799" t="s">
        <v>13372</v>
      </c>
      <c r="J2799" s="161" t="s">
        <v>19202</v>
      </c>
      <c r="K2799" t="s">
        <v>19203</v>
      </c>
      <c r="L2799" t="s">
        <v>13371</v>
      </c>
      <c r="M2799" s="161" t="s">
        <v>19202</v>
      </c>
    </row>
    <row r="2800" spans="9:13" x14ac:dyDescent="0.25">
      <c r="I2800" t="s">
        <v>13163</v>
      </c>
      <c r="J2800" s="161" t="s">
        <v>19202</v>
      </c>
      <c r="K2800" t="s">
        <v>19203</v>
      </c>
      <c r="L2800" t="s">
        <v>13162</v>
      </c>
      <c r="M2800" s="161" t="s">
        <v>19202</v>
      </c>
    </row>
    <row r="2801" spans="9:13" x14ac:dyDescent="0.25">
      <c r="I2801" t="s">
        <v>13211</v>
      </c>
      <c r="J2801" s="161" t="s">
        <v>19202</v>
      </c>
      <c r="K2801" t="s">
        <v>19203</v>
      </c>
      <c r="L2801" t="s">
        <v>13210</v>
      </c>
      <c r="M2801" s="161" t="s">
        <v>19202</v>
      </c>
    </row>
    <row r="2802" spans="9:13" x14ac:dyDescent="0.25">
      <c r="I2802" t="s">
        <v>13209</v>
      </c>
      <c r="J2802" s="161" t="s">
        <v>19202</v>
      </c>
      <c r="K2802" t="s">
        <v>19203</v>
      </c>
      <c r="L2802" t="s">
        <v>13208</v>
      </c>
      <c r="M2802" s="161" t="s">
        <v>19202</v>
      </c>
    </row>
    <row r="2803" spans="9:13" x14ac:dyDescent="0.25">
      <c r="I2803" t="s">
        <v>13444</v>
      </c>
      <c r="J2803" s="161" t="s">
        <v>19202</v>
      </c>
      <c r="K2803" t="s">
        <v>19203</v>
      </c>
      <c r="L2803" t="s">
        <v>13443</v>
      </c>
      <c r="M2803" s="161" t="s">
        <v>19202</v>
      </c>
    </row>
    <row r="2804" spans="9:13" x14ac:dyDescent="0.25">
      <c r="I2804" t="s">
        <v>13107</v>
      </c>
      <c r="J2804" s="161" t="s">
        <v>19202</v>
      </c>
      <c r="K2804" t="s">
        <v>19203</v>
      </c>
      <c r="L2804" t="s">
        <v>13106</v>
      </c>
      <c r="M2804" s="161" t="s">
        <v>19202</v>
      </c>
    </row>
    <row r="2805" spans="9:13" x14ac:dyDescent="0.25">
      <c r="I2805" t="s">
        <v>13370</v>
      </c>
      <c r="J2805" s="161" t="s">
        <v>19202</v>
      </c>
      <c r="K2805" t="s">
        <v>19203</v>
      </c>
      <c r="L2805" t="s">
        <v>13369</v>
      </c>
      <c r="M2805" s="161" t="s">
        <v>19202</v>
      </c>
    </row>
    <row r="2806" spans="9:13" x14ac:dyDescent="0.25">
      <c r="I2806" t="s">
        <v>13050</v>
      </c>
      <c r="J2806" s="161" t="s">
        <v>19202</v>
      </c>
      <c r="K2806" t="s">
        <v>19203</v>
      </c>
      <c r="L2806" t="s">
        <v>13049</v>
      </c>
      <c r="M2806" s="161" t="s">
        <v>19202</v>
      </c>
    </row>
    <row r="2807" spans="9:13" x14ac:dyDescent="0.25">
      <c r="I2807" t="s">
        <v>13245</v>
      </c>
      <c r="J2807" s="161" t="s">
        <v>19202</v>
      </c>
      <c r="K2807" t="s">
        <v>19203</v>
      </c>
      <c r="L2807" t="s">
        <v>13244</v>
      </c>
      <c r="M2807" s="161" t="s">
        <v>19202</v>
      </c>
    </row>
    <row r="2808" spans="9:13" x14ac:dyDescent="0.25">
      <c r="I2808" t="s">
        <v>13048</v>
      </c>
      <c r="J2808" s="161" t="s">
        <v>19202</v>
      </c>
      <c r="K2808" t="s">
        <v>19203</v>
      </c>
      <c r="L2808" t="s">
        <v>13047</v>
      </c>
      <c r="M2808" s="161" t="s">
        <v>19202</v>
      </c>
    </row>
    <row r="2809" spans="9:13" x14ac:dyDescent="0.25">
      <c r="I2809" t="s">
        <v>13044</v>
      </c>
      <c r="J2809" s="161" t="s">
        <v>19202</v>
      </c>
      <c r="K2809" t="s">
        <v>19203</v>
      </c>
      <c r="L2809" t="s">
        <v>13043</v>
      </c>
      <c r="M2809" s="161" t="s">
        <v>19202</v>
      </c>
    </row>
    <row r="2810" spans="9:13" x14ac:dyDescent="0.25">
      <c r="I2810" t="s">
        <v>12742</v>
      </c>
      <c r="J2810" s="161" t="s">
        <v>19202</v>
      </c>
      <c r="K2810" t="s">
        <v>19203</v>
      </c>
      <c r="L2810" t="s">
        <v>12741</v>
      </c>
      <c r="M2810" s="161" t="s">
        <v>19202</v>
      </c>
    </row>
    <row r="2811" spans="9:13" x14ac:dyDescent="0.25">
      <c r="I2811" t="s">
        <v>13521</v>
      </c>
      <c r="J2811" s="161" t="s">
        <v>19202</v>
      </c>
      <c r="K2811" t="s">
        <v>19203</v>
      </c>
      <c r="L2811" t="s">
        <v>13520</v>
      </c>
      <c r="M2811" s="161" t="s">
        <v>19202</v>
      </c>
    </row>
    <row r="2812" spans="9:13" x14ac:dyDescent="0.25">
      <c r="I2812" t="s">
        <v>13105</v>
      </c>
      <c r="J2812" s="161" t="s">
        <v>19202</v>
      </c>
      <c r="K2812" t="s">
        <v>19203</v>
      </c>
      <c r="L2812" t="s">
        <v>13104</v>
      </c>
      <c r="M2812" s="161" t="s">
        <v>19202</v>
      </c>
    </row>
    <row r="2813" spans="9:13" x14ac:dyDescent="0.25">
      <c r="I2813" t="s">
        <v>13333</v>
      </c>
      <c r="J2813" s="161" t="s">
        <v>19202</v>
      </c>
      <c r="K2813" t="s">
        <v>19203</v>
      </c>
      <c r="L2813" t="s">
        <v>13332</v>
      </c>
      <c r="M2813" s="161" t="s">
        <v>19202</v>
      </c>
    </row>
    <row r="2814" spans="9:13" x14ac:dyDescent="0.25">
      <c r="I2814" t="s">
        <v>13331</v>
      </c>
      <c r="J2814" s="161" t="s">
        <v>19202</v>
      </c>
      <c r="K2814" t="s">
        <v>19203</v>
      </c>
      <c r="L2814" t="s">
        <v>13330</v>
      </c>
      <c r="M2814" s="161" t="s">
        <v>19202</v>
      </c>
    </row>
    <row r="2815" spans="9:13" x14ac:dyDescent="0.25">
      <c r="I2815" t="s">
        <v>13161</v>
      </c>
      <c r="J2815" s="161" t="s">
        <v>19202</v>
      </c>
      <c r="K2815" t="s">
        <v>19203</v>
      </c>
      <c r="L2815" t="s">
        <v>13160</v>
      </c>
      <c r="M2815" s="161" t="s">
        <v>19202</v>
      </c>
    </row>
    <row r="2816" spans="9:13" x14ac:dyDescent="0.25">
      <c r="I2816" t="s">
        <v>13519</v>
      </c>
      <c r="J2816" s="161" t="s">
        <v>19202</v>
      </c>
      <c r="K2816" t="s">
        <v>19203</v>
      </c>
      <c r="L2816" t="s">
        <v>13518</v>
      </c>
      <c r="M2816" s="161" t="s">
        <v>19202</v>
      </c>
    </row>
    <row r="2817" spans="9:13" x14ac:dyDescent="0.25">
      <c r="I2817" t="s">
        <v>13103</v>
      </c>
      <c r="J2817" s="161" t="s">
        <v>19202</v>
      </c>
      <c r="K2817" t="s">
        <v>19203</v>
      </c>
      <c r="L2817" t="s">
        <v>13102</v>
      </c>
      <c r="M2817" s="161" t="s">
        <v>19202</v>
      </c>
    </row>
    <row r="2818" spans="9:13" x14ac:dyDescent="0.25">
      <c r="I2818" t="s">
        <v>13101</v>
      </c>
      <c r="J2818" s="161" t="s">
        <v>19202</v>
      </c>
      <c r="K2818" t="s">
        <v>19203</v>
      </c>
      <c r="L2818" t="s">
        <v>13100</v>
      </c>
      <c r="M2818" s="161" t="s">
        <v>19202</v>
      </c>
    </row>
    <row r="2819" spans="9:13" x14ac:dyDescent="0.25">
      <c r="I2819" t="s">
        <v>12983</v>
      </c>
      <c r="J2819" s="161" t="s">
        <v>19202</v>
      </c>
      <c r="K2819" t="s">
        <v>19203</v>
      </c>
      <c r="L2819" t="s">
        <v>12982</v>
      </c>
      <c r="M2819" s="161" t="s">
        <v>19202</v>
      </c>
    </row>
    <row r="2820" spans="9:13" x14ac:dyDescent="0.25">
      <c r="I2820" t="s">
        <v>13966</v>
      </c>
      <c r="J2820" s="161" t="s">
        <v>19202</v>
      </c>
      <c r="K2820" t="s">
        <v>19203</v>
      </c>
      <c r="L2820" t="s">
        <v>13965</v>
      </c>
      <c r="M2820" s="161" t="s">
        <v>19202</v>
      </c>
    </row>
    <row r="2821" spans="9:13" x14ac:dyDescent="0.25">
      <c r="I2821" t="s">
        <v>11163</v>
      </c>
      <c r="J2821" s="161" t="s">
        <v>19202</v>
      </c>
      <c r="K2821" t="s">
        <v>19203</v>
      </c>
      <c r="L2821" t="s">
        <v>11162</v>
      </c>
      <c r="M2821" s="161" t="s">
        <v>19202</v>
      </c>
    </row>
    <row r="2822" spans="9:13" x14ac:dyDescent="0.25">
      <c r="I2822" t="s">
        <v>10883</v>
      </c>
      <c r="J2822" s="161" t="s">
        <v>19202</v>
      </c>
      <c r="K2822" t="s">
        <v>19203</v>
      </c>
      <c r="L2822" t="s">
        <v>10882</v>
      </c>
      <c r="M2822" s="161" t="s">
        <v>19202</v>
      </c>
    </row>
    <row r="2823" spans="9:13" x14ac:dyDescent="0.25">
      <c r="I2823" t="s">
        <v>10881</v>
      </c>
      <c r="J2823" s="161" t="s">
        <v>19202</v>
      </c>
      <c r="K2823" t="s">
        <v>19203</v>
      </c>
      <c r="L2823" t="s">
        <v>10880</v>
      </c>
      <c r="M2823" s="161" t="s">
        <v>19202</v>
      </c>
    </row>
    <row r="2824" spans="9:13" x14ac:dyDescent="0.25">
      <c r="I2824" t="s">
        <v>19583</v>
      </c>
      <c r="J2824" s="161" t="s">
        <v>19202</v>
      </c>
      <c r="K2824" t="s">
        <v>19203</v>
      </c>
      <c r="L2824" t="s">
        <v>19584</v>
      </c>
      <c r="M2824" s="161" t="s">
        <v>19202</v>
      </c>
    </row>
    <row r="2825" spans="9:13" x14ac:dyDescent="0.25">
      <c r="I2825" t="s">
        <v>12011</v>
      </c>
      <c r="J2825" s="161" t="s">
        <v>19202</v>
      </c>
      <c r="K2825" t="s">
        <v>19203</v>
      </c>
      <c r="L2825" t="s">
        <v>12010</v>
      </c>
      <c r="M2825" s="161" t="s">
        <v>19202</v>
      </c>
    </row>
    <row r="2826" spans="9:13" x14ac:dyDescent="0.25">
      <c r="I2826" t="s">
        <v>12009</v>
      </c>
      <c r="J2826" s="161" t="s">
        <v>19202</v>
      </c>
      <c r="K2826" t="s">
        <v>19203</v>
      </c>
      <c r="L2826" t="s">
        <v>12008</v>
      </c>
      <c r="M2826" s="161" t="s">
        <v>19202</v>
      </c>
    </row>
    <row r="2827" spans="9:13" x14ac:dyDescent="0.25">
      <c r="I2827" t="s">
        <v>19585</v>
      </c>
      <c r="J2827" s="161" t="s">
        <v>19202</v>
      </c>
      <c r="K2827" t="s">
        <v>19203</v>
      </c>
      <c r="L2827" t="s">
        <v>13831</v>
      </c>
      <c r="M2827" s="161" t="s">
        <v>19202</v>
      </c>
    </row>
    <row r="2828" spans="9:13" x14ac:dyDescent="0.25">
      <c r="I2828" t="s">
        <v>16916</v>
      </c>
      <c r="J2828" s="161" t="s">
        <v>19202</v>
      </c>
      <c r="K2828" t="s">
        <v>19203</v>
      </c>
      <c r="L2828" t="s">
        <v>16915</v>
      </c>
      <c r="M2828" s="161" t="s">
        <v>19202</v>
      </c>
    </row>
    <row r="2829" spans="9:13" x14ac:dyDescent="0.25">
      <c r="I2829" t="s">
        <v>16549</v>
      </c>
      <c r="J2829" s="161" t="s">
        <v>19202</v>
      </c>
      <c r="K2829" t="s">
        <v>19203</v>
      </c>
      <c r="L2829" t="s">
        <v>1306</v>
      </c>
      <c r="M2829" s="161" t="s">
        <v>19202</v>
      </c>
    </row>
    <row r="2830" spans="9:13" x14ac:dyDescent="0.25">
      <c r="I2830" t="s">
        <v>13274</v>
      </c>
      <c r="J2830" s="161" t="s">
        <v>19202</v>
      </c>
      <c r="K2830" t="s">
        <v>19203</v>
      </c>
      <c r="L2830" t="s">
        <v>13273</v>
      </c>
      <c r="M2830" s="161" t="s">
        <v>19202</v>
      </c>
    </row>
    <row r="2831" spans="9:13" x14ac:dyDescent="0.25">
      <c r="I2831" t="s">
        <v>13268</v>
      </c>
      <c r="J2831" s="161" t="s">
        <v>19202</v>
      </c>
      <c r="K2831" t="s">
        <v>19203</v>
      </c>
      <c r="L2831" t="s">
        <v>2618</v>
      </c>
      <c r="M2831" s="161" t="s">
        <v>19202</v>
      </c>
    </row>
    <row r="2832" spans="9:13" x14ac:dyDescent="0.25">
      <c r="I2832" t="s">
        <v>13313</v>
      </c>
      <c r="J2832" s="161" t="s">
        <v>19202</v>
      </c>
      <c r="K2832" t="s">
        <v>19203</v>
      </c>
      <c r="L2832" t="s">
        <v>1639</v>
      </c>
      <c r="M2832" s="161" t="s">
        <v>19202</v>
      </c>
    </row>
    <row r="2833" spans="9:13" x14ac:dyDescent="0.25">
      <c r="I2833" t="s">
        <v>13309</v>
      </c>
      <c r="J2833" s="161" t="s">
        <v>19202</v>
      </c>
      <c r="K2833" t="s">
        <v>19203</v>
      </c>
      <c r="L2833" t="s">
        <v>13308</v>
      </c>
      <c r="M2833" s="161" t="s">
        <v>19202</v>
      </c>
    </row>
    <row r="2834" spans="9:13" x14ac:dyDescent="0.25">
      <c r="I2834" t="s">
        <v>13307</v>
      </c>
      <c r="J2834" s="161" t="s">
        <v>19202</v>
      </c>
      <c r="K2834" t="s">
        <v>19203</v>
      </c>
      <c r="L2834" t="s">
        <v>181</v>
      </c>
      <c r="M2834" s="161" t="s">
        <v>19202</v>
      </c>
    </row>
    <row r="2835" spans="9:13" x14ac:dyDescent="0.25">
      <c r="I2835" t="s">
        <v>13263</v>
      </c>
      <c r="J2835" s="161" t="s">
        <v>19202</v>
      </c>
      <c r="K2835" t="s">
        <v>19203</v>
      </c>
      <c r="L2835" t="s">
        <v>13262</v>
      </c>
      <c r="M2835" s="161" t="s">
        <v>19202</v>
      </c>
    </row>
    <row r="2836" spans="9:13" x14ac:dyDescent="0.25">
      <c r="I2836" t="s">
        <v>13261</v>
      </c>
      <c r="J2836" s="161" t="s">
        <v>19202</v>
      </c>
      <c r="K2836" t="s">
        <v>19203</v>
      </c>
      <c r="L2836" t="s">
        <v>13260</v>
      </c>
      <c r="M2836" s="161" t="s">
        <v>19202</v>
      </c>
    </row>
    <row r="2837" spans="9:13" x14ac:dyDescent="0.25">
      <c r="I2837" t="s">
        <v>13259</v>
      </c>
      <c r="J2837" s="161" t="s">
        <v>19202</v>
      </c>
      <c r="K2837" t="s">
        <v>19203</v>
      </c>
      <c r="L2837" t="s">
        <v>13258</v>
      </c>
      <c r="M2837" s="161" t="s">
        <v>19202</v>
      </c>
    </row>
    <row r="2838" spans="9:13" x14ac:dyDescent="0.25">
      <c r="I2838" t="s">
        <v>13257</v>
      </c>
      <c r="J2838" s="161" t="s">
        <v>19202</v>
      </c>
      <c r="K2838" t="s">
        <v>19203</v>
      </c>
      <c r="L2838" t="s">
        <v>13256</v>
      </c>
      <c r="M2838" s="161" t="s">
        <v>19202</v>
      </c>
    </row>
    <row r="2839" spans="9:13" x14ac:dyDescent="0.25">
      <c r="I2839" t="s">
        <v>13306</v>
      </c>
      <c r="J2839" s="161" t="s">
        <v>19202</v>
      </c>
      <c r="K2839" t="s">
        <v>19203</v>
      </c>
      <c r="L2839" t="s">
        <v>13283</v>
      </c>
      <c r="M2839" s="161" t="s">
        <v>19202</v>
      </c>
    </row>
    <row r="2840" spans="9:13" x14ac:dyDescent="0.25">
      <c r="I2840" t="s">
        <v>13255</v>
      </c>
      <c r="J2840" s="161" t="s">
        <v>19202</v>
      </c>
      <c r="K2840" t="s">
        <v>19203</v>
      </c>
      <c r="L2840" t="s">
        <v>13254</v>
      </c>
      <c r="M2840" s="161" t="s">
        <v>19202</v>
      </c>
    </row>
    <row r="2841" spans="9:13" x14ac:dyDescent="0.25">
      <c r="I2841" t="s">
        <v>19586</v>
      </c>
      <c r="J2841" s="161" t="s">
        <v>19202</v>
      </c>
      <c r="K2841" t="s">
        <v>19203</v>
      </c>
      <c r="L2841" t="s">
        <v>19587</v>
      </c>
      <c r="M2841" s="161" t="s">
        <v>19202</v>
      </c>
    </row>
    <row r="2842" spans="9:13" x14ac:dyDescent="0.25">
      <c r="I2842" t="s">
        <v>19588</v>
      </c>
      <c r="J2842" s="161" t="s">
        <v>19202</v>
      </c>
      <c r="K2842" t="s">
        <v>19203</v>
      </c>
      <c r="L2842" t="s">
        <v>19589</v>
      </c>
      <c r="M2842" s="161" t="s">
        <v>19202</v>
      </c>
    </row>
    <row r="2843" spans="9:13" x14ac:dyDescent="0.25">
      <c r="I2843" t="s">
        <v>4200</v>
      </c>
      <c r="J2843" s="161" t="s">
        <v>19202</v>
      </c>
      <c r="K2843" t="s">
        <v>19203</v>
      </c>
      <c r="L2843" t="s">
        <v>4199</v>
      </c>
      <c r="M2843" s="161" t="s">
        <v>19202</v>
      </c>
    </row>
    <row r="2844" spans="9:13" x14ac:dyDescent="0.25">
      <c r="I2844" t="s">
        <v>4418</v>
      </c>
      <c r="J2844" s="161" t="s">
        <v>19202</v>
      </c>
      <c r="K2844" t="s">
        <v>19203</v>
      </c>
      <c r="L2844" t="s">
        <v>4417</v>
      </c>
      <c r="M2844" s="161" t="s">
        <v>19202</v>
      </c>
    </row>
    <row r="2845" spans="9:13" x14ac:dyDescent="0.25">
      <c r="I2845" t="s">
        <v>5017</v>
      </c>
      <c r="J2845" s="161" t="s">
        <v>19202</v>
      </c>
      <c r="K2845" t="s">
        <v>19203</v>
      </c>
      <c r="L2845" t="s">
        <v>5016</v>
      </c>
      <c r="M2845" s="161" t="s">
        <v>19202</v>
      </c>
    </row>
    <row r="2846" spans="9:13" x14ac:dyDescent="0.25">
      <c r="I2846" t="s">
        <v>19590</v>
      </c>
      <c r="J2846" s="161" t="s">
        <v>19202</v>
      </c>
      <c r="K2846" t="s">
        <v>19203</v>
      </c>
      <c r="L2846" t="s">
        <v>19591</v>
      </c>
      <c r="M2846" s="161" t="s">
        <v>19202</v>
      </c>
    </row>
    <row r="2847" spans="9:13" x14ac:dyDescent="0.25">
      <c r="I2847" t="s">
        <v>6142</v>
      </c>
      <c r="J2847" s="161" t="s">
        <v>19202</v>
      </c>
      <c r="K2847" t="s">
        <v>19203</v>
      </c>
      <c r="L2847" t="s">
        <v>6141</v>
      </c>
      <c r="M2847" s="161" t="s">
        <v>19202</v>
      </c>
    </row>
    <row r="2848" spans="9:13" x14ac:dyDescent="0.25">
      <c r="I2848" t="s">
        <v>13859</v>
      </c>
      <c r="J2848" s="161" t="s">
        <v>19202</v>
      </c>
      <c r="K2848" t="s">
        <v>19203</v>
      </c>
      <c r="L2848" t="s">
        <v>13858</v>
      </c>
      <c r="M2848" s="161" t="s">
        <v>19202</v>
      </c>
    </row>
    <row r="2849" spans="9:13" x14ac:dyDescent="0.25">
      <c r="I2849" t="s">
        <v>4663</v>
      </c>
      <c r="J2849" s="161" t="s">
        <v>19202</v>
      </c>
      <c r="K2849" t="s">
        <v>19203</v>
      </c>
      <c r="L2849" t="s">
        <v>4662</v>
      </c>
      <c r="M2849" s="161" t="s">
        <v>19202</v>
      </c>
    </row>
    <row r="2850" spans="9:13" x14ac:dyDescent="0.25">
      <c r="I2850" t="s">
        <v>16394</v>
      </c>
      <c r="J2850" s="161" t="s">
        <v>19202</v>
      </c>
      <c r="K2850" t="s">
        <v>19203</v>
      </c>
      <c r="L2850" t="s">
        <v>16393</v>
      </c>
      <c r="M2850" s="161" t="s">
        <v>19202</v>
      </c>
    </row>
    <row r="2851" spans="9:13" x14ac:dyDescent="0.25">
      <c r="I2851" t="s">
        <v>881</v>
      </c>
      <c r="J2851" s="161" t="s">
        <v>19202</v>
      </c>
      <c r="K2851" t="s">
        <v>19203</v>
      </c>
      <c r="L2851" t="s">
        <v>440</v>
      </c>
      <c r="M2851" s="161" t="s">
        <v>19202</v>
      </c>
    </row>
    <row r="2852" spans="9:13" x14ac:dyDescent="0.25">
      <c r="I2852" t="s">
        <v>17348</v>
      </c>
      <c r="J2852" s="161" t="s">
        <v>19202</v>
      </c>
      <c r="K2852" t="s">
        <v>19203</v>
      </c>
      <c r="L2852" t="s">
        <v>3510</v>
      </c>
      <c r="M2852" s="161" t="s">
        <v>19202</v>
      </c>
    </row>
    <row r="2853" spans="9:13" x14ac:dyDescent="0.25">
      <c r="I2853" t="s">
        <v>3314</v>
      </c>
      <c r="J2853" s="161" t="s">
        <v>19202</v>
      </c>
      <c r="K2853" t="s">
        <v>19203</v>
      </c>
      <c r="L2853" t="s">
        <v>3313</v>
      </c>
      <c r="M2853" s="161" t="s">
        <v>19202</v>
      </c>
    </row>
    <row r="2854" spans="9:13" x14ac:dyDescent="0.25">
      <c r="I2854" t="s">
        <v>9138</v>
      </c>
      <c r="J2854" s="161" t="s">
        <v>19202</v>
      </c>
      <c r="K2854" t="s">
        <v>19203</v>
      </c>
      <c r="L2854" t="s">
        <v>9137</v>
      </c>
      <c r="M2854" s="161" t="s">
        <v>19202</v>
      </c>
    </row>
    <row r="2855" spans="9:13" x14ac:dyDescent="0.25">
      <c r="I2855" t="s">
        <v>17765</v>
      </c>
      <c r="J2855" s="161" t="s">
        <v>19202</v>
      </c>
      <c r="K2855" t="s">
        <v>19203</v>
      </c>
      <c r="L2855" t="s">
        <v>17764</v>
      </c>
      <c r="M2855" s="161" t="s">
        <v>19202</v>
      </c>
    </row>
    <row r="2856" spans="9:13" x14ac:dyDescent="0.25">
      <c r="I2856" t="s">
        <v>16984</v>
      </c>
      <c r="J2856" s="161" t="s">
        <v>19202</v>
      </c>
      <c r="K2856" t="s">
        <v>19203</v>
      </c>
      <c r="L2856" t="s">
        <v>16983</v>
      </c>
      <c r="M2856" s="161" t="s">
        <v>19202</v>
      </c>
    </row>
    <row r="2857" spans="9:13" x14ac:dyDescent="0.25">
      <c r="I2857" t="s">
        <v>16979</v>
      </c>
      <c r="J2857" s="161" t="s">
        <v>19202</v>
      </c>
      <c r="K2857" t="s">
        <v>19203</v>
      </c>
      <c r="L2857" t="s">
        <v>758</v>
      </c>
      <c r="M2857" s="161" t="s">
        <v>19202</v>
      </c>
    </row>
    <row r="2858" spans="9:13" x14ac:dyDescent="0.25">
      <c r="I2858" t="s">
        <v>15108</v>
      </c>
      <c r="J2858" s="161" t="s">
        <v>19202</v>
      </c>
      <c r="K2858" t="s">
        <v>19203</v>
      </c>
      <c r="L2858" t="s">
        <v>15107</v>
      </c>
      <c r="M2858" s="161" t="s">
        <v>19202</v>
      </c>
    </row>
    <row r="2859" spans="9:13" x14ac:dyDescent="0.25">
      <c r="I2859" t="s">
        <v>16977</v>
      </c>
      <c r="J2859" s="161" t="s">
        <v>19202</v>
      </c>
      <c r="K2859" t="s">
        <v>19203</v>
      </c>
      <c r="L2859" t="s">
        <v>16422</v>
      </c>
      <c r="M2859" s="161" t="s">
        <v>19202</v>
      </c>
    </row>
    <row r="2860" spans="9:13" x14ac:dyDescent="0.25">
      <c r="I2860" t="s">
        <v>16975</v>
      </c>
      <c r="J2860" s="161" t="s">
        <v>19202</v>
      </c>
      <c r="K2860" t="s">
        <v>19203</v>
      </c>
      <c r="L2860" t="s">
        <v>16974</v>
      </c>
      <c r="M2860" s="161" t="s">
        <v>19202</v>
      </c>
    </row>
    <row r="2861" spans="9:13" x14ac:dyDescent="0.25">
      <c r="I2861" t="s">
        <v>1591</v>
      </c>
      <c r="J2861" s="161" t="s">
        <v>19202</v>
      </c>
      <c r="K2861" t="s">
        <v>19203</v>
      </c>
      <c r="L2861" t="s">
        <v>1590</v>
      </c>
      <c r="M2861" s="161" t="s">
        <v>19202</v>
      </c>
    </row>
    <row r="2862" spans="9:13" x14ac:dyDescent="0.25">
      <c r="I2862" t="s">
        <v>9854</v>
      </c>
      <c r="J2862" s="161" t="s">
        <v>19202</v>
      </c>
      <c r="K2862" t="s">
        <v>19203</v>
      </c>
      <c r="L2862" t="s">
        <v>9853</v>
      </c>
      <c r="M2862" s="161" t="s">
        <v>19202</v>
      </c>
    </row>
    <row r="2863" spans="9:13" x14ac:dyDescent="0.25">
      <c r="I2863" t="s">
        <v>4093</v>
      </c>
      <c r="J2863" s="161" t="s">
        <v>19202</v>
      </c>
      <c r="K2863" t="s">
        <v>19203</v>
      </c>
      <c r="L2863" t="s">
        <v>4092</v>
      </c>
      <c r="M2863" s="161" t="s">
        <v>19202</v>
      </c>
    </row>
    <row r="2864" spans="9:13" x14ac:dyDescent="0.25">
      <c r="I2864" t="s">
        <v>13733</v>
      </c>
      <c r="J2864" s="161" t="s">
        <v>19202</v>
      </c>
      <c r="K2864" t="s">
        <v>19203</v>
      </c>
      <c r="L2864" t="s">
        <v>128</v>
      </c>
      <c r="M2864" s="161" t="s">
        <v>19202</v>
      </c>
    </row>
    <row r="2865" spans="9:13" x14ac:dyDescent="0.25">
      <c r="I2865" t="s">
        <v>1336</v>
      </c>
      <c r="J2865" s="161" t="s">
        <v>19202</v>
      </c>
      <c r="K2865" t="s">
        <v>19203</v>
      </c>
      <c r="L2865" t="s">
        <v>1335</v>
      </c>
      <c r="M2865" s="161" t="s">
        <v>19202</v>
      </c>
    </row>
    <row r="2866" spans="9:13" x14ac:dyDescent="0.25">
      <c r="I2866" t="s">
        <v>8309</v>
      </c>
      <c r="J2866" s="161" t="s">
        <v>19202</v>
      </c>
      <c r="K2866" t="s">
        <v>19203</v>
      </c>
      <c r="L2866" t="s">
        <v>8308</v>
      </c>
      <c r="M2866" s="161" t="s">
        <v>19202</v>
      </c>
    </row>
    <row r="2867" spans="9:13" x14ac:dyDescent="0.25">
      <c r="I2867" t="s">
        <v>15836</v>
      </c>
      <c r="J2867" s="161" t="s">
        <v>19202</v>
      </c>
      <c r="K2867" t="s">
        <v>19203</v>
      </c>
      <c r="L2867" t="s">
        <v>15835</v>
      </c>
      <c r="M2867" s="161" t="s">
        <v>19202</v>
      </c>
    </row>
    <row r="2868" spans="9:13" x14ac:dyDescent="0.25">
      <c r="I2868" t="s">
        <v>4057</v>
      </c>
      <c r="J2868" s="161" t="s">
        <v>19202</v>
      </c>
      <c r="K2868" t="s">
        <v>19203</v>
      </c>
      <c r="L2868" t="s">
        <v>4056</v>
      </c>
      <c r="M2868" s="161" t="s">
        <v>19202</v>
      </c>
    </row>
    <row r="2869" spans="9:13" x14ac:dyDescent="0.25">
      <c r="I2869" t="s">
        <v>15941</v>
      </c>
      <c r="J2869" s="161" t="s">
        <v>19202</v>
      </c>
      <c r="K2869" t="s">
        <v>19203</v>
      </c>
      <c r="L2869" t="s">
        <v>14831</v>
      </c>
      <c r="M2869" s="161" t="s">
        <v>19202</v>
      </c>
    </row>
    <row r="2870" spans="9:13" x14ac:dyDescent="0.25">
      <c r="I2870" t="s">
        <v>12959</v>
      </c>
      <c r="J2870" s="161" t="s">
        <v>19202</v>
      </c>
      <c r="K2870" t="s">
        <v>19203</v>
      </c>
      <c r="L2870" t="s">
        <v>12958</v>
      </c>
      <c r="M2870" s="161" t="s">
        <v>19202</v>
      </c>
    </row>
    <row r="2871" spans="9:13" x14ac:dyDescent="0.25">
      <c r="I2871" t="s">
        <v>4235</v>
      </c>
      <c r="J2871" s="161" t="s">
        <v>19202</v>
      </c>
      <c r="K2871" t="s">
        <v>19203</v>
      </c>
      <c r="L2871" t="s">
        <v>4234</v>
      </c>
      <c r="M2871" s="161" t="s">
        <v>19202</v>
      </c>
    </row>
    <row r="2872" spans="9:13" x14ac:dyDescent="0.25">
      <c r="I2872" t="s">
        <v>12708</v>
      </c>
      <c r="J2872" s="161" t="s">
        <v>19202</v>
      </c>
      <c r="K2872" t="s">
        <v>19203</v>
      </c>
      <c r="L2872" t="s">
        <v>12707</v>
      </c>
      <c r="M2872" s="161" t="s">
        <v>19202</v>
      </c>
    </row>
    <row r="2873" spans="9:13" x14ac:dyDescent="0.25">
      <c r="I2873" t="s">
        <v>9963</v>
      </c>
      <c r="J2873" s="161" t="s">
        <v>19202</v>
      </c>
      <c r="K2873" t="s">
        <v>19203</v>
      </c>
      <c r="L2873" t="s">
        <v>9962</v>
      </c>
      <c r="M2873" s="161" t="s">
        <v>19202</v>
      </c>
    </row>
    <row r="2874" spans="9:13" x14ac:dyDescent="0.25">
      <c r="I2874" t="s">
        <v>13738</v>
      </c>
      <c r="J2874" s="161" t="s">
        <v>19202</v>
      </c>
      <c r="K2874" t="s">
        <v>19203</v>
      </c>
      <c r="L2874" t="s">
        <v>13737</v>
      </c>
      <c r="M2874" s="161" t="s">
        <v>19202</v>
      </c>
    </row>
    <row r="2875" spans="9:13" x14ac:dyDescent="0.25">
      <c r="I2875" t="s">
        <v>19592</v>
      </c>
      <c r="J2875" s="161" t="s">
        <v>19202</v>
      </c>
      <c r="K2875" t="s">
        <v>19203</v>
      </c>
      <c r="L2875" t="s">
        <v>19593</v>
      </c>
      <c r="M2875" s="161" t="s">
        <v>19202</v>
      </c>
    </row>
    <row r="2876" spans="9:13" x14ac:dyDescent="0.25">
      <c r="I2876" t="s">
        <v>11209</v>
      </c>
      <c r="J2876" s="161" t="s">
        <v>19202</v>
      </c>
      <c r="K2876" t="s">
        <v>19203</v>
      </c>
      <c r="L2876" t="s">
        <v>11208</v>
      </c>
      <c r="M2876" s="161" t="s">
        <v>19202</v>
      </c>
    </row>
    <row r="2877" spans="9:13" x14ac:dyDescent="0.25">
      <c r="I2877" t="s">
        <v>19594</v>
      </c>
      <c r="J2877" s="161" t="s">
        <v>19202</v>
      </c>
      <c r="K2877" t="s">
        <v>19203</v>
      </c>
      <c r="L2877" t="s">
        <v>932</v>
      </c>
      <c r="M2877" s="161" t="s">
        <v>19202</v>
      </c>
    </row>
    <row r="2878" spans="9:13" x14ac:dyDescent="0.25">
      <c r="I2878" t="s">
        <v>13856</v>
      </c>
      <c r="J2878" s="161" t="s">
        <v>19202</v>
      </c>
      <c r="K2878" t="s">
        <v>19203</v>
      </c>
      <c r="L2878" t="s">
        <v>676</v>
      </c>
      <c r="M2878" s="161" t="s">
        <v>19202</v>
      </c>
    </row>
    <row r="2879" spans="9:13" x14ac:dyDescent="0.25">
      <c r="I2879" t="s">
        <v>9619</v>
      </c>
      <c r="J2879" s="161" t="s">
        <v>19202</v>
      </c>
      <c r="K2879" t="s">
        <v>19203</v>
      </c>
      <c r="L2879" t="s">
        <v>9618</v>
      </c>
      <c r="M2879" s="161" t="s">
        <v>19202</v>
      </c>
    </row>
    <row r="2880" spans="9:13" x14ac:dyDescent="0.25">
      <c r="I2880" t="s">
        <v>4574</v>
      </c>
      <c r="J2880" s="161" t="s">
        <v>19202</v>
      </c>
      <c r="K2880" t="s">
        <v>19203</v>
      </c>
      <c r="L2880" t="s">
        <v>4573</v>
      </c>
      <c r="M2880" s="161" t="s">
        <v>19202</v>
      </c>
    </row>
    <row r="2881" spans="9:13" x14ac:dyDescent="0.25">
      <c r="I2881" t="s">
        <v>1330</v>
      </c>
      <c r="J2881" s="161" t="s">
        <v>19202</v>
      </c>
      <c r="K2881" t="s">
        <v>19203</v>
      </c>
      <c r="L2881" t="s">
        <v>1329</v>
      </c>
      <c r="M2881" s="161" t="s">
        <v>19202</v>
      </c>
    </row>
    <row r="2882" spans="9:13" x14ac:dyDescent="0.25">
      <c r="I2882" t="s">
        <v>19595</v>
      </c>
      <c r="J2882" s="161" t="s">
        <v>19202</v>
      </c>
      <c r="K2882" t="s">
        <v>19203</v>
      </c>
      <c r="L2882" t="s">
        <v>19596</v>
      </c>
      <c r="M2882" s="161" t="s">
        <v>19202</v>
      </c>
    </row>
    <row r="2883" spans="9:13" x14ac:dyDescent="0.25">
      <c r="I2883" t="s">
        <v>13951</v>
      </c>
      <c r="J2883" s="161" t="s">
        <v>19202</v>
      </c>
      <c r="K2883" t="s">
        <v>19203</v>
      </c>
      <c r="L2883" t="s">
        <v>13950</v>
      </c>
      <c r="M2883" s="161" t="s">
        <v>19202</v>
      </c>
    </row>
    <row r="2884" spans="9:13" x14ac:dyDescent="0.25">
      <c r="I2884" t="s">
        <v>13949</v>
      </c>
      <c r="J2884" s="161" t="s">
        <v>19202</v>
      </c>
      <c r="K2884" t="s">
        <v>19203</v>
      </c>
      <c r="L2884" t="s">
        <v>13948</v>
      </c>
      <c r="M2884" s="161" t="s">
        <v>19202</v>
      </c>
    </row>
    <row r="2885" spans="9:13" x14ac:dyDescent="0.25">
      <c r="I2885" t="s">
        <v>1581</v>
      </c>
      <c r="J2885" s="161" t="s">
        <v>19202</v>
      </c>
      <c r="K2885" t="s">
        <v>19203</v>
      </c>
      <c r="L2885" t="s">
        <v>1580</v>
      </c>
      <c r="M2885" s="161" t="s">
        <v>19202</v>
      </c>
    </row>
    <row r="2886" spans="9:13" x14ac:dyDescent="0.25">
      <c r="I2886" t="s">
        <v>15277</v>
      </c>
      <c r="J2886" s="161" t="s">
        <v>19202</v>
      </c>
      <c r="K2886" t="s">
        <v>19203</v>
      </c>
      <c r="L2886" t="s">
        <v>15276</v>
      </c>
      <c r="M2886" s="161" t="s">
        <v>19202</v>
      </c>
    </row>
    <row r="2887" spans="9:13" x14ac:dyDescent="0.25">
      <c r="I2887" t="s">
        <v>926</v>
      </c>
      <c r="J2887" s="161" t="s">
        <v>19202</v>
      </c>
      <c r="K2887" t="s">
        <v>19203</v>
      </c>
      <c r="L2887" t="s">
        <v>925</v>
      </c>
      <c r="M2887" s="161" t="s">
        <v>19202</v>
      </c>
    </row>
    <row r="2888" spans="9:13" x14ac:dyDescent="0.25">
      <c r="I2888" t="s">
        <v>4039</v>
      </c>
      <c r="J2888" s="161" t="s">
        <v>19202</v>
      </c>
      <c r="K2888" t="s">
        <v>19203</v>
      </c>
      <c r="L2888" t="s">
        <v>4038</v>
      </c>
      <c r="M2888" s="161" t="s">
        <v>19202</v>
      </c>
    </row>
    <row r="2889" spans="9:13" x14ac:dyDescent="0.25">
      <c r="I2889" t="s">
        <v>7881</v>
      </c>
      <c r="J2889" s="161" t="s">
        <v>19202</v>
      </c>
      <c r="K2889" t="s">
        <v>19203</v>
      </c>
      <c r="L2889" t="s">
        <v>7880</v>
      </c>
      <c r="M2889" s="161" t="s">
        <v>19202</v>
      </c>
    </row>
    <row r="2890" spans="9:13" x14ac:dyDescent="0.25">
      <c r="I2890" t="s">
        <v>13953</v>
      </c>
      <c r="J2890" s="161" t="s">
        <v>19202</v>
      </c>
      <c r="K2890" t="s">
        <v>19203</v>
      </c>
      <c r="L2890" t="s">
        <v>13952</v>
      </c>
      <c r="M2890" s="161" t="s">
        <v>19202</v>
      </c>
    </row>
    <row r="2891" spans="9:13" x14ac:dyDescent="0.25">
      <c r="I2891" t="s">
        <v>5288</v>
      </c>
      <c r="J2891" s="161" t="s">
        <v>19202</v>
      </c>
      <c r="K2891" t="s">
        <v>19203</v>
      </c>
      <c r="L2891" t="s">
        <v>5287</v>
      </c>
      <c r="M2891" s="161" t="s">
        <v>19202</v>
      </c>
    </row>
    <row r="2892" spans="9:13" x14ac:dyDescent="0.25">
      <c r="I2892" t="s">
        <v>16018</v>
      </c>
      <c r="J2892" s="161" t="s">
        <v>19202</v>
      </c>
      <c r="K2892" t="s">
        <v>19203</v>
      </c>
      <c r="L2892" t="s">
        <v>16017</v>
      </c>
      <c r="M2892" s="161" t="s">
        <v>19202</v>
      </c>
    </row>
    <row r="2893" spans="9:13" x14ac:dyDescent="0.25">
      <c r="I2893" t="s">
        <v>9987</v>
      </c>
      <c r="J2893" s="161" t="s">
        <v>19202</v>
      </c>
      <c r="K2893" t="s">
        <v>19203</v>
      </c>
      <c r="L2893" t="s">
        <v>9986</v>
      </c>
      <c r="M2893" s="161" t="s">
        <v>19202</v>
      </c>
    </row>
    <row r="2894" spans="9:13" x14ac:dyDescent="0.25">
      <c r="I2894" t="s">
        <v>19597</v>
      </c>
      <c r="J2894" s="161" t="s">
        <v>19202</v>
      </c>
      <c r="K2894" t="s">
        <v>19203</v>
      </c>
      <c r="L2894" t="s">
        <v>19598</v>
      </c>
      <c r="M2894" s="161" t="s">
        <v>19202</v>
      </c>
    </row>
    <row r="2895" spans="9:13" x14ac:dyDescent="0.25">
      <c r="I2895" t="s">
        <v>19599</v>
      </c>
      <c r="J2895" s="161" t="s">
        <v>19202</v>
      </c>
      <c r="K2895" t="s">
        <v>19203</v>
      </c>
      <c r="L2895" t="s">
        <v>6789</v>
      </c>
      <c r="M2895" s="161" t="s">
        <v>19202</v>
      </c>
    </row>
    <row r="2896" spans="9:13" x14ac:dyDescent="0.25">
      <c r="I2896" t="s">
        <v>19600</v>
      </c>
      <c r="J2896" s="161" t="s">
        <v>19202</v>
      </c>
      <c r="K2896" t="s">
        <v>19203</v>
      </c>
      <c r="L2896" t="s">
        <v>19601</v>
      </c>
      <c r="M2896" s="161" t="s">
        <v>19202</v>
      </c>
    </row>
    <row r="2897" spans="9:13" x14ac:dyDescent="0.25">
      <c r="I2897" t="s">
        <v>17160</v>
      </c>
      <c r="J2897" s="161" t="s">
        <v>19202</v>
      </c>
      <c r="K2897" t="s">
        <v>19203</v>
      </c>
      <c r="L2897" t="s">
        <v>17159</v>
      </c>
      <c r="M2897" s="161" t="s">
        <v>19202</v>
      </c>
    </row>
    <row r="2898" spans="9:13" x14ac:dyDescent="0.25">
      <c r="I2898" t="s">
        <v>5424</v>
      </c>
      <c r="J2898" s="161" t="s">
        <v>19202</v>
      </c>
      <c r="K2898" t="s">
        <v>19203</v>
      </c>
      <c r="L2898" t="s">
        <v>5423</v>
      </c>
      <c r="M2898" s="161" t="s">
        <v>19202</v>
      </c>
    </row>
    <row r="2899" spans="9:13" x14ac:dyDescent="0.25">
      <c r="I2899" t="s">
        <v>4500</v>
      </c>
      <c r="J2899" s="161" t="s">
        <v>19202</v>
      </c>
      <c r="K2899" t="s">
        <v>19203</v>
      </c>
      <c r="L2899" t="s">
        <v>4499</v>
      </c>
      <c r="M2899" s="161" t="s">
        <v>19202</v>
      </c>
    </row>
    <row r="2900" spans="9:13" x14ac:dyDescent="0.25">
      <c r="I2900" t="s">
        <v>12015</v>
      </c>
      <c r="J2900" s="161" t="s">
        <v>19202</v>
      </c>
      <c r="K2900" t="s">
        <v>19203</v>
      </c>
      <c r="L2900" t="s">
        <v>12014</v>
      </c>
      <c r="M2900" s="161" t="s">
        <v>19202</v>
      </c>
    </row>
    <row r="2901" spans="9:13" x14ac:dyDescent="0.25">
      <c r="I2901" t="s">
        <v>13886</v>
      </c>
      <c r="J2901" s="161" t="s">
        <v>19202</v>
      </c>
      <c r="K2901" t="s">
        <v>19203</v>
      </c>
      <c r="L2901" t="s">
        <v>13885</v>
      </c>
      <c r="M2901" s="161" t="s">
        <v>19202</v>
      </c>
    </row>
    <row r="2902" spans="9:13" x14ac:dyDescent="0.25">
      <c r="I2902" t="s">
        <v>13911</v>
      </c>
      <c r="J2902" s="161" t="s">
        <v>19202</v>
      </c>
      <c r="K2902" t="s">
        <v>19203</v>
      </c>
      <c r="L2902" t="s">
        <v>440</v>
      </c>
      <c r="M2902" s="161" t="s">
        <v>19202</v>
      </c>
    </row>
    <row r="2903" spans="9:13" x14ac:dyDescent="0.25">
      <c r="I2903" t="s">
        <v>6213</v>
      </c>
      <c r="J2903" s="161" t="s">
        <v>19202</v>
      </c>
      <c r="K2903" t="s">
        <v>19203</v>
      </c>
      <c r="L2903" t="s">
        <v>6212</v>
      </c>
      <c r="M2903" s="161" t="s">
        <v>19202</v>
      </c>
    </row>
    <row r="2904" spans="9:13" x14ac:dyDescent="0.25">
      <c r="I2904" t="s">
        <v>6432</v>
      </c>
      <c r="J2904" s="161" t="s">
        <v>19202</v>
      </c>
      <c r="K2904" t="s">
        <v>19203</v>
      </c>
      <c r="L2904" t="s">
        <v>6431</v>
      </c>
      <c r="M2904" s="161" t="s">
        <v>19202</v>
      </c>
    </row>
    <row r="2905" spans="9:13" x14ac:dyDescent="0.25">
      <c r="I2905" t="s">
        <v>1075</v>
      </c>
      <c r="J2905" s="161" t="s">
        <v>19202</v>
      </c>
      <c r="K2905" t="s">
        <v>19203</v>
      </c>
      <c r="L2905" t="s">
        <v>1074</v>
      </c>
      <c r="M2905" s="161" t="s">
        <v>19202</v>
      </c>
    </row>
    <row r="2906" spans="9:13" x14ac:dyDescent="0.25">
      <c r="I2906" t="s">
        <v>17876</v>
      </c>
      <c r="J2906" s="161" t="s">
        <v>19202</v>
      </c>
      <c r="K2906" t="s">
        <v>19203</v>
      </c>
      <c r="L2906" t="s">
        <v>17875</v>
      </c>
      <c r="M2906" s="161" t="s">
        <v>19202</v>
      </c>
    </row>
    <row r="2907" spans="9:13" x14ac:dyDescent="0.25">
      <c r="I2907" t="s">
        <v>4089</v>
      </c>
      <c r="J2907" s="161" t="s">
        <v>19202</v>
      </c>
      <c r="K2907" t="s">
        <v>19203</v>
      </c>
      <c r="L2907" t="s">
        <v>4088</v>
      </c>
      <c r="M2907" s="161" t="s">
        <v>19202</v>
      </c>
    </row>
    <row r="2908" spans="9:13" x14ac:dyDescent="0.25">
      <c r="I2908" t="s">
        <v>10122</v>
      </c>
      <c r="J2908" s="161" t="s">
        <v>19202</v>
      </c>
      <c r="K2908" t="s">
        <v>19203</v>
      </c>
      <c r="L2908" t="s">
        <v>10121</v>
      </c>
      <c r="M2908" s="161" t="s">
        <v>19202</v>
      </c>
    </row>
    <row r="2909" spans="9:13" x14ac:dyDescent="0.25">
      <c r="I2909" t="s">
        <v>10578</v>
      </c>
      <c r="J2909" s="161" t="s">
        <v>19202</v>
      </c>
      <c r="K2909" t="s">
        <v>19203</v>
      </c>
      <c r="L2909" t="s">
        <v>10577</v>
      </c>
      <c r="M2909" s="161" t="s">
        <v>19202</v>
      </c>
    </row>
    <row r="2910" spans="9:13" x14ac:dyDescent="0.25">
      <c r="I2910" t="s">
        <v>11094</v>
      </c>
      <c r="J2910" s="161" t="s">
        <v>19202</v>
      </c>
      <c r="K2910" t="s">
        <v>19203</v>
      </c>
      <c r="L2910" t="s">
        <v>11093</v>
      </c>
      <c r="M2910" s="161" t="s">
        <v>19202</v>
      </c>
    </row>
    <row r="2911" spans="9:13" x14ac:dyDescent="0.25">
      <c r="I2911" t="s">
        <v>9460</v>
      </c>
      <c r="J2911" s="161" t="s">
        <v>19202</v>
      </c>
      <c r="K2911" t="s">
        <v>19203</v>
      </c>
      <c r="L2911" t="s">
        <v>9459</v>
      </c>
      <c r="M2911" s="161" t="s">
        <v>19202</v>
      </c>
    </row>
    <row r="2912" spans="9:13" x14ac:dyDescent="0.25">
      <c r="I2912" t="s">
        <v>15765</v>
      </c>
      <c r="J2912" s="161" t="s">
        <v>19202</v>
      </c>
      <c r="K2912" t="s">
        <v>19203</v>
      </c>
      <c r="L2912" t="s">
        <v>13327</v>
      </c>
      <c r="M2912" s="161" t="s">
        <v>19202</v>
      </c>
    </row>
    <row r="2913" spans="9:13" x14ac:dyDescent="0.25">
      <c r="I2913" t="s">
        <v>3908</v>
      </c>
      <c r="J2913" s="161" t="s">
        <v>19202</v>
      </c>
      <c r="K2913" t="s">
        <v>19203</v>
      </c>
      <c r="L2913" t="s">
        <v>3907</v>
      </c>
      <c r="M2913" s="161" t="s">
        <v>19202</v>
      </c>
    </row>
    <row r="2914" spans="9:13" x14ac:dyDescent="0.25">
      <c r="I2914" t="s">
        <v>10836</v>
      </c>
      <c r="J2914" s="161" t="s">
        <v>19202</v>
      </c>
      <c r="K2914" t="s">
        <v>19203</v>
      </c>
      <c r="L2914" t="s">
        <v>10835</v>
      </c>
      <c r="M2914" s="161" t="s">
        <v>19202</v>
      </c>
    </row>
    <row r="2915" spans="9:13" x14ac:dyDescent="0.25">
      <c r="I2915" t="s">
        <v>6175</v>
      </c>
      <c r="J2915" s="161" t="s">
        <v>19202</v>
      </c>
      <c r="K2915" t="s">
        <v>19203</v>
      </c>
      <c r="L2915" t="s">
        <v>6174</v>
      </c>
      <c r="M2915" s="161" t="s">
        <v>19202</v>
      </c>
    </row>
    <row r="2916" spans="9:13" x14ac:dyDescent="0.25">
      <c r="I2916" t="s">
        <v>6173</v>
      </c>
      <c r="J2916" s="161" t="s">
        <v>19202</v>
      </c>
      <c r="K2916" t="s">
        <v>19203</v>
      </c>
      <c r="L2916" t="s">
        <v>6172</v>
      </c>
      <c r="M2916" s="161" t="s">
        <v>19202</v>
      </c>
    </row>
    <row r="2917" spans="9:13" x14ac:dyDescent="0.25">
      <c r="I2917" t="s">
        <v>15338</v>
      </c>
      <c r="J2917" s="161" t="s">
        <v>19202</v>
      </c>
      <c r="K2917" t="s">
        <v>19203</v>
      </c>
      <c r="L2917" t="s">
        <v>15337</v>
      </c>
      <c r="M2917" s="161" t="s">
        <v>19202</v>
      </c>
    </row>
    <row r="2918" spans="9:13" x14ac:dyDescent="0.25">
      <c r="I2918" t="s">
        <v>9809</v>
      </c>
      <c r="J2918" s="161" t="s">
        <v>19202</v>
      </c>
      <c r="K2918" t="s">
        <v>19203</v>
      </c>
      <c r="L2918" t="s">
        <v>9808</v>
      </c>
      <c r="M2918" s="161" t="s">
        <v>19202</v>
      </c>
    </row>
    <row r="2919" spans="9:13" x14ac:dyDescent="0.25">
      <c r="I2919" t="s">
        <v>11157</v>
      </c>
      <c r="J2919" s="161" t="s">
        <v>19202</v>
      </c>
      <c r="K2919" t="s">
        <v>19203</v>
      </c>
      <c r="L2919" t="s">
        <v>11156</v>
      </c>
      <c r="M2919" s="161" t="s">
        <v>19202</v>
      </c>
    </row>
    <row r="2920" spans="9:13" x14ac:dyDescent="0.25">
      <c r="I2920" t="s">
        <v>15489</v>
      </c>
      <c r="J2920" s="161" t="s">
        <v>19202</v>
      </c>
      <c r="K2920" t="s">
        <v>19203</v>
      </c>
      <c r="L2920" t="s">
        <v>15488</v>
      </c>
      <c r="M2920" s="161" t="s">
        <v>19202</v>
      </c>
    </row>
    <row r="2921" spans="9:13" x14ac:dyDescent="0.25">
      <c r="I2921" t="s">
        <v>9292</v>
      </c>
      <c r="J2921" s="161" t="s">
        <v>19202</v>
      </c>
      <c r="K2921" t="s">
        <v>19203</v>
      </c>
      <c r="L2921" t="s">
        <v>9291</v>
      </c>
      <c r="M2921" s="161" t="s">
        <v>19202</v>
      </c>
    </row>
    <row r="2922" spans="9:13" x14ac:dyDescent="0.25">
      <c r="I2922" t="s">
        <v>13010</v>
      </c>
      <c r="J2922" s="161" t="s">
        <v>19202</v>
      </c>
      <c r="K2922" t="s">
        <v>19203</v>
      </c>
      <c r="L2922" t="s">
        <v>13009</v>
      </c>
      <c r="M2922" s="161" t="s">
        <v>19202</v>
      </c>
    </row>
    <row r="2923" spans="9:13" x14ac:dyDescent="0.25">
      <c r="I2923" t="s">
        <v>5830</v>
      </c>
      <c r="J2923" s="161" t="s">
        <v>19202</v>
      </c>
      <c r="K2923" t="s">
        <v>19203</v>
      </c>
      <c r="L2923" t="s">
        <v>5829</v>
      </c>
      <c r="M2923" s="161" t="s">
        <v>19202</v>
      </c>
    </row>
    <row r="2924" spans="9:13" x14ac:dyDescent="0.25">
      <c r="I2924" t="s">
        <v>12830</v>
      </c>
      <c r="J2924" s="161" t="s">
        <v>19202</v>
      </c>
      <c r="K2924" t="s">
        <v>19203</v>
      </c>
      <c r="L2924" t="s">
        <v>12829</v>
      </c>
      <c r="M2924" s="161" t="s">
        <v>19202</v>
      </c>
    </row>
    <row r="2925" spans="9:13" x14ac:dyDescent="0.25">
      <c r="I2925" t="s">
        <v>10653</v>
      </c>
      <c r="J2925" s="161" t="s">
        <v>19202</v>
      </c>
      <c r="K2925" t="s">
        <v>19203</v>
      </c>
      <c r="L2925" t="s">
        <v>10652</v>
      </c>
      <c r="M2925" s="161" t="s">
        <v>19202</v>
      </c>
    </row>
    <row r="2926" spans="9:13" x14ac:dyDescent="0.25">
      <c r="I2926" t="s">
        <v>2370</v>
      </c>
      <c r="J2926" s="161" t="s">
        <v>19202</v>
      </c>
      <c r="K2926" t="s">
        <v>19203</v>
      </c>
      <c r="L2926" t="s">
        <v>2369</v>
      </c>
      <c r="M2926" s="161" t="s">
        <v>19202</v>
      </c>
    </row>
    <row r="2927" spans="9:13" x14ac:dyDescent="0.25">
      <c r="I2927" t="s">
        <v>2368</v>
      </c>
      <c r="J2927" s="161" t="s">
        <v>19202</v>
      </c>
      <c r="K2927" t="s">
        <v>19203</v>
      </c>
      <c r="L2927" t="s">
        <v>2367</v>
      </c>
      <c r="M2927" s="161" t="s">
        <v>19202</v>
      </c>
    </row>
    <row r="2928" spans="9:13" x14ac:dyDescent="0.25">
      <c r="I2928" t="s">
        <v>2366</v>
      </c>
      <c r="J2928" s="161" t="s">
        <v>19202</v>
      </c>
      <c r="K2928" t="s">
        <v>19203</v>
      </c>
      <c r="L2928" t="s">
        <v>2365</v>
      </c>
      <c r="M2928" s="161" t="s">
        <v>19202</v>
      </c>
    </row>
    <row r="2929" spans="9:13" x14ac:dyDescent="0.25">
      <c r="I2929" t="s">
        <v>2362</v>
      </c>
      <c r="J2929" s="161" t="s">
        <v>19202</v>
      </c>
      <c r="K2929" t="s">
        <v>19203</v>
      </c>
      <c r="L2929" t="s">
        <v>2361</v>
      </c>
      <c r="M2929" s="161" t="s">
        <v>19202</v>
      </c>
    </row>
    <row r="2930" spans="9:13" x14ac:dyDescent="0.25">
      <c r="I2930" t="s">
        <v>2360</v>
      </c>
      <c r="J2930" s="161" t="s">
        <v>19202</v>
      </c>
      <c r="K2930" t="s">
        <v>19203</v>
      </c>
      <c r="L2930" t="s">
        <v>2359</v>
      </c>
      <c r="M2930" s="161" t="s">
        <v>19202</v>
      </c>
    </row>
    <row r="2931" spans="9:13" x14ac:dyDescent="0.25">
      <c r="I2931" t="s">
        <v>2358</v>
      </c>
      <c r="J2931" s="161" t="s">
        <v>19202</v>
      </c>
      <c r="K2931" t="s">
        <v>19203</v>
      </c>
      <c r="L2931" t="s">
        <v>2357</v>
      </c>
      <c r="M2931" s="161" t="s">
        <v>19202</v>
      </c>
    </row>
    <row r="2932" spans="9:13" x14ac:dyDescent="0.25">
      <c r="I2932" t="s">
        <v>2354</v>
      </c>
      <c r="J2932" s="161" t="s">
        <v>19202</v>
      </c>
      <c r="K2932" t="s">
        <v>19203</v>
      </c>
      <c r="L2932" t="s">
        <v>2353</v>
      </c>
      <c r="M2932" s="161" t="s">
        <v>19202</v>
      </c>
    </row>
    <row r="2933" spans="9:13" x14ac:dyDescent="0.25">
      <c r="I2933" t="s">
        <v>3707</v>
      </c>
      <c r="J2933" s="161" t="s">
        <v>19202</v>
      </c>
      <c r="K2933" t="s">
        <v>19203</v>
      </c>
      <c r="L2933" t="s">
        <v>3706</v>
      </c>
      <c r="M2933" s="161" t="s">
        <v>19202</v>
      </c>
    </row>
    <row r="2934" spans="9:13" x14ac:dyDescent="0.25">
      <c r="I2934" t="s">
        <v>16299</v>
      </c>
      <c r="J2934" s="161" t="s">
        <v>19202</v>
      </c>
      <c r="K2934" t="s">
        <v>19203</v>
      </c>
      <c r="L2934" t="s">
        <v>16298</v>
      </c>
      <c r="M2934" s="161" t="s">
        <v>19202</v>
      </c>
    </row>
    <row r="2935" spans="9:13" x14ac:dyDescent="0.25">
      <c r="I2935" t="s">
        <v>3705</v>
      </c>
      <c r="J2935" s="161" t="s">
        <v>19202</v>
      </c>
      <c r="K2935" t="s">
        <v>19203</v>
      </c>
      <c r="L2935" t="s">
        <v>3704</v>
      </c>
      <c r="M2935" s="161" t="s">
        <v>19202</v>
      </c>
    </row>
    <row r="2936" spans="9:13" x14ac:dyDescent="0.25">
      <c r="I2936" t="s">
        <v>4486</v>
      </c>
      <c r="J2936" s="161" t="s">
        <v>19202</v>
      </c>
      <c r="K2936" t="s">
        <v>19203</v>
      </c>
      <c r="L2936" t="s">
        <v>4485</v>
      </c>
      <c r="M2936" s="161" t="s">
        <v>19202</v>
      </c>
    </row>
    <row r="2937" spans="9:13" x14ac:dyDescent="0.25">
      <c r="I2937" t="s">
        <v>4795</v>
      </c>
      <c r="J2937" s="161" t="s">
        <v>19202</v>
      </c>
      <c r="K2937" t="s">
        <v>19203</v>
      </c>
      <c r="L2937" t="s">
        <v>4794</v>
      </c>
      <c r="M2937" s="161" t="s">
        <v>19202</v>
      </c>
    </row>
    <row r="2938" spans="9:13" x14ac:dyDescent="0.25">
      <c r="I2938" t="s">
        <v>9979</v>
      </c>
      <c r="J2938" s="161" t="s">
        <v>19202</v>
      </c>
      <c r="K2938" t="s">
        <v>19203</v>
      </c>
      <c r="L2938" t="s">
        <v>9978</v>
      </c>
      <c r="M2938" s="161" t="s">
        <v>19202</v>
      </c>
    </row>
    <row r="2939" spans="9:13" x14ac:dyDescent="0.25">
      <c r="I2939" t="s">
        <v>5023</v>
      </c>
      <c r="J2939" s="161" t="s">
        <v>19202</v>
      </c>
      <c r="K2939" t="s">
        <v>19203</v>
      </c>
      <c r="L2939" t="s">
        <v>5022</v>
      </c>
      <c r="M2939" s="161" t="s">
        <v>19202</v>
      </c>
    </row>
    <row r="2940" spans="9:13" x14ac:dyDescent="0.25">
      <c r="I2940" t="s">
        <v>4496</v>
      </c>
      <c r="J2940" s="161" t="s">
        <v>19202</v>
      </c>
      <c r="K2940" t="s">
        <v>19203</v>
      </c>
      <c r="L2940" t="s">
        <v>4495</v>
      </c>
      <c r="M2940" s="161" t="s">
        <v>19202</v>
      </c>
    </row>
    <row r="2941" spans="9:13" x14ac:dyDescent="0.25">
      <c r="I2941" t="s">
        <v>11250</v>
      </c>
      <c r="J2941" s="161" t="s">
        <v>19202</v>
      </c>
      <c r="K2941" t="s">
        <v>19203</v>
      </c>
      <c r="L2941" t="s">
        <v>11249</v>
      </c>
      <c r="M2941" s="161" t="s">
        <v>19202</v>
      </c>
    </row>
    <row r="2942" spans="9:13" x14ac:dyDescent="0.25">
      <c r="I2942" t="s">
        <v>11248</v>
      </c>
      <c r="J2942" s="161" t="s">
        <v>19202</v>
      </c>
      <c r="K2942" t="s">
        <v>19203</v>
      </c>
      <c r="L2942" t="s">
        <v>11247</v>
      </c>
      <c r="M2942" s="161" t="s">
        <v>19202</v>
      </c>
    </row>
    <row r="2943" spans="9:13" x14ac:dyDescent="0.25">
      <c r="I2943" t="s">
        <v>10607</v>
      </c>
      <c r="J2943" s="161" t="s">
        <v>19202</v>
      </c>
      <c r="K2943" t="s">
        <v>19203</v>
      </c>
      <c r="L2943" t="s">
        <v>10606</v>
      </c>
      <c r="M2943" s="161" t="s">
        <v>19202</v>
      </c>
    </row>
    <row r="2944" spans="9:13" x14ac:dyDescent="0.25">
      <c r="I2944" t="s">
        <v>10605</v>
      </c>
      <c r="J2944" s="161" t="s">
        <v>19202</v>
      </c>
      <c r="K2944" t="s">
        <v>19203</v>
      </c>
      <c r="L2944" t="s">
        <v>10604</v>
      </c>
      <c r="M2944" s="161" t="s">
        <v>19202</v>
      </c>
    </row>
    <row r="2945" spans="9:13" x14ac:dyDescent="0.25">
      <c r="I2945" t="s">
        <v>11239</v>
      </c>
      <c r="J2945" s="161" t="s">
        <v>19202</v>
      </c>
      <c r="K2945" t="s">
        <v>19203</v>
      </c>
      <c r="L2945" t="s">
        <v>11238</v>
      </c>
      <c r="M2945" s="161" t="s">
        <v>19202</v>
      </c>
    </row>
    <row r="2946" spans="9:13" x14ac:dyDescent="0.25">
      <c r="I2946" t="s">
        <v>11301</v>
      </c>
      <c r="J2946" s="161" t="s">
        <v>19202</v>
      </c>
      <c r="K2946" t="s">
        <v>19203</v>
      </c>
      <c r="L2946" t="s">
        <v>11300</v>
      </c>
      <c r="M2946" s="161" t="s">
        <v>19202</v>
      </c>
    </row>
    <row r="2947" spans="9:13" x14ac:dyDescent="0.25">
      <c r="I2947" t="s">
        <v>13046</v>
      </c>
      <c r="J2947" s="161" t="s">
        <v>19202</v>
      </c>
      <c r="K2947" t="s">
        <v>19203</v>
      </c>
      <c r="L2947" t="s">
        <v>13045</v>
      </c>
      <c r="M2947" s="161" t="s">
        <v>19202</v>
      </c>
    </row>
    <row r="2948" spans="9:13" x14ac:dyDescent="0.25">
      <c r="I2948" t="s">
        <v>14011</v>
      </c>
      <c r="J2948" s="161" t="s">
        <v>19202</v>
      </c>
      <c r="K2948" t="s">
        <v>19203</v>
      </c>
      <c r="L2948" t="s">
        <v>14010</v>
      </c>
      <c r="M2948" s="161" t="s">
        <v>19202</v>
      </c>
    </row>
    <row r="2949" spans="9:13" x14ac:dyDescent="0.25">
      <c r="I2949" t="s">
        <v>5876</v>
      </c>
      <c r="J2949" s="161" t="s">
        <v>19202</v>
      </c>
      <c r="K2949" t="s">
        <v>19203</v>
      </c>
      <c r="L2949" t="s">
        <v>5875</v>
      </c>
      <c r="M2949" s="161" t="s">
        <v>19202</v>
      </c>
    </row>
    <row r="2950" spans="9:13" x14ac:dyDescent="0.25">
      <c r="I2950" t="s">
        <v>13884</v>
      </c>
      <c r="J2950" s="161" t="s">
        <v>19202</v>
      </c>
      <c r="K2950" t="s">
        <v>19203</v>
      </c>
      <c r="L2950" t="s">
        <v>823</v>
      </c>
      <c r="M2950" s="161" t="s">
        <v>19202</v>
      </c>
    </row>
    <row r="2951" spans="9:13" x14ac:dyDescent="0.25">
      <c r="I2951" t="s">
        <v>5330</v>
      </c>
      <c r="J2951" s="161" t="s">
        <v>19202</v>
      </c>
      <c r="K2951" t="s">
        <v>19203</v>
      </c>
      <c r="L2951" t="s">
        <v>5329</v>
      </c>
      <c r="M2951" s="161" t="s">
        <v>19202</v>
      </c>
    </row>
    <row r="2952" spans="9:13" x14ac:dyDescent="0.25">
      <c r="I2952" t="s">
        <v>3715</v>
      </c>
      <c r="J2952" s="161" t="s">
        <v>19202</v>
      </c>
      <c r="K2952" t="s">
        <v>19203</v>
      </c>
      <c r="L2952" t="s">
        <v>3714</v>
      </c>
      <c r="M2952" s="161" t="s">
        <v>19202</v>
      </c>
    </row>
    <row r="2953" spans="9:13" x14ac:dyDescent="0.25">
      <c r="I2953" t="s">
        <v>16713</v>
      </c>
      <c r="J2953" s="161" t="s">
        <v>19202</v>
      </c>
      <c r="K2953" t="s">
        <v>19203</v>
      </c>
      <c r="L2953" t="s">
        <v>16712</v>
      </c>
      <c r="M2953" s="161" t="s">
        <v>19202</v>
      </c>
    </row>
    <row r="2954" spans="9:13" x14ac:dyDescent="0.25">
      <c r="I2954" t="s">
        <v>16711</v>
      </c>
      <c r="J2954" s="161" t="s">
        <v>19202</v>
      </c>
      <c r="K2954" t="s">
        <v>19203</v>
      </c>
      <c r="L2954" t="s">
        <v>16710</v>
      </c>
      <c r="M2954" s="161" t="s">
        <v>19202</v>
      </c>
    </row>
    <row r="2955" spans="9:13" x14ac:dyDescent="0.25">
      <c r="I2955" t="s">
        <v>4501</v>
      </c>
      <c r="J2955" s="161" t="s">
        <v>19202</v>
      </c>
      <c r="K2955" t="s">
        <v>19203</v>
      </c>
      <c r="L2955" t="s">
        <v>1405</v>
      </c>
      <c r="M2955" s="161" t="s">
        <v>19202</v>
      </c>
    </row>
    <row r="2956" spans="9:13" x14ac:dyDescent="0.25">
      <c r="I2956" t="s">
        <v>4585</v>
      </c>
      <c r="J2956" s="161" t="s">
        <v>19202</v>
      </c>
      <c r="K2956" t="s">
        <v>19203</v>
      </c>
      <c r="L2956" t="s">
        <v>4584</v>
      </c>
      <c r="M2956" s="161" t="s">
        <v>19202</v>
      </c>
    </row>
    <row r="2957" spans="9:13" x14ac:dyDescent="0.25">
      <c r="I2957" t="s">
        <v>4766</v>
      </c>
      <c r="J2957" s="161" t="s">
        <v>19202</v>
      </c>
      <c r="K2957" t="s">
        <v>19203</v>
      </c>
      <c r="L2957" t="s">
        <v>4765</v>
      </c>
      <c r="M2957" s="161" t="s">
        <v>19202</v>
      </c>
    </row>
    <row r="2958" spans="9:13" x14ac:dyDescent="0.25">
      <c r="I2958" t="s">
        <v>4707</v>
      </c>
      <c r="J2958" s="161" t="s">
        <v>19202</v>
      </c>
      <c r="K2958" t="s">
        <v>19203</v>
      </c>
      <c r="L2958" t="s">
        <v>1736</v>
      </c>
      <c r="M2958" s="161" t="s">
        <v>19202</v>
      </c>
    </row>
    <row r="2959" spans="9:13" x14ac:dyDescent="0.25">
      <c r="I2959" t="s">
        <v>4372</v>
      </c>
      <c r="J2959" s="161" t="s">
        <v>19202</v>
      </c>
      <c r="K2959" t="s">
        <v>19203</v>
      </c>
      <c r="L2959" t="s">
        <v>4371</v>
      </c>
      <c r="M2959" s="161" t="s">
        <v>19202</v>
      </c>
    </row>
    <row r="2960" spans="9:13" x14ac:dyDescent="0.25">
      <c r="I2960" t="s">
        <v>4471</v>
      </c>
      <c r="J2960" s="161" t="s">
        <v>19202</v>
      </c>
      <c r="K2960" t="s">
        <v>19203</v>
      </c>
      <c r="L2960" t="s">
        <v>4470</v>
      </c>
      <c r="M2960" s="161" t="s">
        <v>19202</v>
      </c>
    </row>
    <row r="2961" spans="9:13" x14ac:dyDescent="0.25">
      <c r="I2961" t="s">
        <v>4537</v>
      </c>
      <c r="J2961" s="161" t="s">
        <v>19202</v>
      </c>
      <c r="K2961" t="s">
        <v>19203</v>
      </c>
      <c r="L2961" t="s">
        <v>4020</v>
      </c>
      <c r="M2961" s="161" t="s">
        <v>19202</v>
      </c>
    </row>
    <row r="2962" spans="9:13" x14ac:dyDescent="0.25">
      <c r="I2962" t="s">
        <v>4410</v>
      </c>
      <c r="J2962" s="161" t="s">
        <v>19202</v>
      </c>
      <c r="K2962" t="s">
        <v>19203</v>
      </c>
      <c r="L2962" t="s">
        <v>742</v>
      </c>
      <c r="M2962" s="161" t="s">
        <v>19202</v>
      </c>
    </row>
    <row r="2963" spans="9:13" x14ac:dyDescent="0.25">
      <c r="I2963" t="s">
        <v>4536</v>
      </c>
      <c r="J2963" s="161" t="s">
        <v>19202</v>
      </c>
      <c r="K2963" t="s">
        <v>19203</v>
      </c>
      <c r="L2963" t="s">
        <v>4535</v>
      </c>
      <c r="M2963" s="161" t="s">
        <v>19202</v>
      </c>
    </row>
    <row r="2964" spans="9:13" x14ac:dyDescent="0.25">
      <c r="I2964" t="s">
        <v>3436</v>
      </c>
      <c r="J2964" s="161" t="s">
        <v>19202</v>
      </c>
      <c r="K2964" t="s">
        <v>19203</v>
      </c>
      <c r="L2964" t="s">
        <v>3435</v>
      </c>
      <c r="M2964" s="161" t="s">
        <v>19202</v>
      </c>
    </row>
    <row r="2965" spans="9:13" x14ac:dyDescent="0.25">
      <c r="I2965" t="s">
        <v>5870</v>
      </c>
      <c r="J2965" s="161" t="s">
        <v>19202</v>
      </c>
      <c r="K2965" t="s">
        <v>19203</v>
      </c>
      <c r="L2965" t="s">
        <v>5869</v>
      </c>
      <c r="M2965" s="161" t="s">
        <v>19202</v>
      </c>
    </row>
    <row r="2966" spans="9:13" x14ac:dyDescent="0.25">
      <c r="I2966" t="s">
        <v>5868</v>
      </c>
      <c r="J2966" s="161" t="s">
        <v>19202</v>
      </c>
      <c r="K2966" t="s">
        <v>19203</v>
      </c>
      <c r="L2966" t="s">
        <v>5867</v>
      </c>
      <c r="M2966" s="161" t="s">
        <v>19202</v>
      </c>
    </row>
    <row r="2967" spans="9:13" x14ac:dyDescent="0.25">
      <c r="I2967" t="s">
        <v>2364</v>
      </c>
      <c r="J2967" s="161" t="s">
        <v>19202</v>
      </c>
      <c r="K2967" t="s">
        <v>19203</v>
      </c>
      <c r="L2967" t="s">
        <v>2363</v>
      </c>
      <c r="M2967" s="161" t="s">
        <v>19202</v>
      </c>
    </row>
    <row r="2968" spans="9:13" x14ac:dyDescent="0.25">
      <c r="I2968" t="s">
        <v>2348</v>
      </c>
      <c r="J2968" s="161" t="s">
        <v>19202</v>
      </c>
      <c r="K2968" t="s">
        <v>19203</v>
      </c>
      <c r="L2968" t="s">
        <v>2347</v>
      </c>
      <c r="M2968" s="161" t="s">
        <v>19202</v>
      </c>
    </row>
    <row r="2969" spans="9:13" x14ac:dyDescent="0.25">
      <c r="I2969" t="s">
        <v>15610</v>
      </c>
      <c r="J2969" s="161" t="s">
        <v>19202</v>
      </c>
      <c r="K2969" t="s">
        <v>19203</v>
      </c>
      <c r="L2969" t="s">
        <v>1208</v>
      </c>
      <c r="M2969" s="161" t="s">
        <v>19202</v>
      </c>
    </row>
    <row r="2970" spans="9:13" x14ac:dyDescent="0.25">
      <c r="I2970" t="s">
        <v>7485</v>
      </c>
      <c r="J2970" s="161" t="s">
        <v>19202</v>
      </c>
      <c r="K2970" t="s">
        <v>19203</v>
      </c>
      <c r="L2970" t="s">
        <v>7484</v>
      </c>
      <c r="M2970" s="161" t="s">
        <v>19202</v>
      </c>
    </row>
    <row r="2971" spans="9:13" x14ac:dyDescent="0.25">
      <c r="I2971" t="s">
        <v>8622</v>
      </c>
      <c r="J2971" s="161" t="s">
        <v>19202</v>
      </c>
      <c r="K2971" t="s">
        <v>19203</v>
      </c>
      <c r="L2971" t="s">
        <v>8621</v>
      </c>
      <c r="M2971" s="161" t="s">
        <v>19202</v>
      </c>
    </row>
    <row r="2972" spans="9:13" x14ac:dyDescent="0.25">
      <c r="I2972" t="s">
        <v>8390</v>
      </c>
      <c r="J2972" s="161" t="s">
        <v>19202</v>
      </c>
      <c r="K2972" t="s">
        <v>19203</v>
      </c>
      <c r="L2972" t="s">
        <v>8389</v>
      </c>
      <c r="M2972" s="161" t="s">
        <v>19202</v>
      </c>
    </row>
    <row r="2973" spans="9:13" x14ac:dyDescent="0.25">
      <c r="I2973" t="s">
        <v>8428</v>
      </c>
      <c r="J2973" s="161" t="s">
        <v>19202</v>
      </c>
      <c r="K2973" t="s">
        <v>19203</v>
      </c>
      <c r="L2973" t="s">
        <v>8427</v>
      </c>
      <c r="M2973" s="161" t="s">
        <v>19202</v>
      </c>
    </row>
    <row r="2974" spans="9:13" x14ac:dyDescent="0.25">
      <c r="I2974" t="s">
        <v>8426</v>
      </c>
      <c r="J2974" s="161" t="s">
        <v>19202</v>
      </c>
      <c r="K2974" t="s">
        <v>19203</v>
      </c>
      <c r="L2974" t="s">
        <v>8425</v>
      </c>
      <c r="M2974" s="161" t="s">
        <v>19202</v>
      </c>
    </row>
    <row r="2975" spans="9:13" x14ac:dyDescent="0.25">
      <c r="I2975" t="s">
        <v>8273</v>
      </c>
      <c r="J2975" s="161" t="s">
        <v>19202</v>
      </c>
      <c r="K2975" t="s">
        <v>19203</v>
      </c>
      <c r="L2975" t="s">
        <v>8272</v>
      </c>
      <c r="M2975" s="161" t="s">
        <v>19202</v>
      </c>
    </row>
    <row r="2976" spans="9:13" x14ac:dyDescent="0.25">
      <c r="I2976" t="s">
        <v>8424</v>
      </c>
      <c r="J2976" s="161" t="s">
        <v>19202</v>
      </c>
      <c r="K2976" t="s">
        <v>19203</v>
      </c>
      <c r="L2976" t="s">
        <v>8423</v>
      </c>
      <c r="M2976" s="161" t="s">
        <v>19202</v>
      </c>
    </row>
    <row r="2977" spans="9:13" x14ac:dyDescent="0.25">
      <c r="I2977" t="s">
        <v>8422</v>
      </c>
      <c r="J2977" s="161" t="s">
        <v>19202</v>
      </c>
      <c r="K2977" t="s">
        <v>19203</v>
      </c>
      <c r="L2977" t="s">
        <v>8421</v>
      </c>
      <c r="M2977" s="161" t="s">
        <v>19202</v>
      </c>
    </row>
    <row r="2978" spans="9:13" x14ac:dyDescent="0.25">
      <c r="I2978" t="s">
        <v>8420</v>
      </c>
      <c r="J2978" s="161" t="s">
        <v>19202</v>
      </c>
      <c r="K2978" t="s">
        <v>19203</v>
      </c>
      <c r="L2978" t="s">
        <v>8419</v>
      </c>
      <c r="M2978" s="161" t="s">
        <v>19202</v>
      </c>
    </row>
    <row r="2979" spans="9:13" x14ac:dyDescent="0.25">
      <c r="I2979" t="s">
        <v>8386</v>
      </c>
      <c r="J2979" s="161" t="s">
        <v>19202</v>
      </c>
      <c r="K2979" t="s">
        <v>19203</v>
      </c>
      <c r="L2979" t="s">
        <v>8385</v>
      </c>
      <c r="M2979" s="161" t="s">
        <v>19202</v>
      </c>
    </row>
    <row r="2980" spans="9:13" x14ac:dyDescent="0.25">
      <c r="I2980" t="s">
        <v>8384</v>
      </c>
      <c r="J2980" s="161" t="s">
        <v>19202</v>
      </c>
      <c r="K2980" t="s">
        <v>19203</v>
      </c>
      <c r="L2980" t="s">
        <v>8383</v>
      </c>
      <c r="M2980" s="161" t="s">
        <v>19202</v>
      </c>
    </row>
    <row r="2981" spans="9:13" x14ac:dyDescent="0.25">
      <c r="I2981" t="s">
        <v>8538</v>
      </c>
      <c r="J2981" s="161" t="s">
        <v>19202</v>
      </c>
      <c r="K2981" t="s">
        <v>19203</v>
      </c>
      <c r="L2981" t="s">
        <v>8537</v>
      </c>
      <c r="M2981" s="161" t="s">
        <v>19202</v>
      </c>
    </row>
    <row r="2982" spans="9:13" x14ac:dyDescent="0.25">
      <c r="I2982" t="s">
        <v>8154</v>
      </c>
      <c r="J2982" s="161" t="s">
        <v>19202</v>
      </c>
      <c r="K2982" t="s">
        <v>19203</v>
      </c>
      <c r="L2982" t="s">
        <v>8153</v>
      </c>
      <c r="M2982" s="161" t="s">
        <v>19202</v>
      </c>
    </row>
    <row r="2983" spans="9:13" x14ac:dyDescent="0.25">
      <c r="I2983" t="s">
        <v>8016</v>
      </c>
      <c r="J2983" s="161" t="s">
        <v>19202</v>
      </c>
      <c r="K2983" t="s">
        <v>19203</v>
      </c>
      <c r="L2983" t="s">
        <v>8015</v>
      </c>
      <c r="M2983" s="161" t="s">
        <v>19202</v>
      </c>
    </row>
    <row r="2984" spans="9:13" x14ac:dyDescent="0.25">
      <c r="I2984" t="s">
        <v>7982</v>
      </c>
      <c r="J2984" s="161" t="s">
        <v>19202</v>
      </c>
      <c r="K2984" t="s">
        <v>19203</v>
      </c>
      <c r="L2984" t="s">
        <v>7981</v>
      </c>
      <c r="M2984" s="161" t="s">
        <v>19202</v>
      </c>
    </row>
    <row r="2985" spans="9:13" x14ac:dyDescent="0.25">
      <c r="I2985" t="s">
        <v>8012</v>
      </c>
      <c r="J2985" s="161" t="s">
        <v>19202</v>
      </c>
      <c r="K2985" t="s">
        <v>19203</v>
      </c>
      <c r="L2985" t="s">
        <v>8011</v>
      </c>
      <c r="M2985" s="161" t="s">
        <v>19202</v>
      </c>
    </row>
    <row r="2986" spans="9:13" x14ac:dyDescent="0.25">
      <c r="I2986" t="s">
        <v>7827</v>
      </c>
      <c r="J2986" s="161" t="s">
        <v>19202</v>
      </c>
      <c r="K2986" t="s">
        <v>19203</v>
      </c>
      <c r="L2986" t="s">
        <v>7826</v>
      </c>
      <c r="M2986" s="161" t="s">
        <v>19202</v>
      </c>
    </row>
    <row r="2987" spans="9:13" x14ac:dyDescent="0.25">
      <c r="I2987" t="s">
        <v>8618</v>
      </c>
      <c r="J2987" s="161" t="s">
        <v>19202</v>
      </c>
      <c r="K2987" t="s">
        <v>19203</v>
      </c>
      <c r="L2987" t="s">
        <v>8617</v>
      </c>
      <c r="M2987" s="161" t="s">
        <v>19202</v>
      </c>
    </row>
    <row r="2988" spans="9:13" x14ac:dyDescent="0.25">
      <c r="I2988" t="s">
        <v>7244</v>
      </c>
      <c r="J2988" s="161" t="s">
        <v>19202</v>
      </c>
      <c r="K2988" t="s">
        <v>19203</v>
      </c>
      <c r="L2988" t="s">
        <v>7243</v>
      </c>
      <c r="M2988" s="161" t="s">
        <v>19202</v>
      </c>
    </row>
    <row r="2989" spans="9:13" x14ac:dyDescent="0.25">
      <c r="I2989" t="s">
        <v>8221</v>
      </c>
      <c r="J2989" s="161" t="s">
        <v>19202</v>
      </c>
      <c r="K2989" t="s">
        <v>19203</v>
      </c>
      <c r="L2989" t="s">
        <v>8220</v>
      </c>
      <c r="M2989" s="161" t="s">
        <v>19202</v>
      </c>
    </row>
    <row r="2990" spans="9:13" x14ac:dyDescent="0.25">
      <c r="I2990" t="s">
        <v>8534</v>
      </c>
      <c r="J2990" s="161" t="s">
        <v>19202</v>
      </c>
      <c r="K2990" t="s">
        <v>19203</v>
      </c>
      <c r="L2990" t="s">
        <v>8533</v>
      </c>
      <c r="M2990" s="161" t="s">
        <v>19202</v>
      </c>
    </row>
    <row r="2991" spans="9:13" x14ac:dyDescent="0.25">
      <c r="I2991" t="s">
        <v>8418</v>
      </c>
      <c r="J2991" s="161" t="s">
        <v>19202</v>
      </c>
      <c r="K2991" t="s">
        <v>19203</v>
      </c>
      <c r="L2991" t="s">
        <v>8417</v>
      </c>
      <c r="M2991" s="161" t="s">
        <v>19202</v>
      </c>
    </row>
    <row r="2992" spans="9:13" x14ac:dyDescent="0.25">
      <c r="I2992" t="s">
        <v>7784</v>
      </c>
      <c r="J2992" s="161" t="s">
        <v>19202</v>
      </c>
      <c r="K2992" t="s">
        <v>19203</v>
      </c>
      <c r="L2992" t="s">
        <v>7783</v>
      </c>
      <c r="M2992" s="161" t="s">
        <v>19202</v>
      </c>
    </row>
    <row r="2993" spans="9:13" x14ac:dyDescent="0.25">
      <c r="I2993" t="s">
        <v>7782</v>
      </c>
      <c r="J2993" s="161" t="s">
        <v>19202</v>
      </c>
      <c r="K2993" t="s">
        <v>19203</v>
      </c>
      <c r="L2993" t="s">
        <v>7781</v>
      </c>
      <c r="M2993" s="161" t="s">
        <v>19202</v>
      </c>
    </row>
    <row r="2994" spans="9:13" x14ac:dyDescent="0.25">
      <c r="I2994" t="s">
        <v>7780</v>
      </c>
      <c r="J2994" s="161" t="s">
        <v>19202</v>
      </c>
      <c r="K2994" t="s">
        <v>19203</v>
      </c>
      <c r="L2994" t="s">
        <v>7779</v>
      </c>
      <c r="M2994" s="161" t="s">
        <v>19202</v>
      </c>
    </row>
    <row r="2995" spans="9:13" x14ac:dyDescent="0.25">
      <c r="I2995" t="s">
        <v>8414</v>
      </c>
      <c r="J2995" s="161" t="s">
        <v>19202</v>
      </c>
      <c r="K2995" t="s">
        <v>19203</v>
      </c>
      <c r="L2995" t="s">
        <v>8413</v>
      </c>
      <c r="M2995" s="161" t="s">
        <v>19202</v>
      </c>
    </row>
    <row r="2996" spans="9:13" x14ac:dyDescent="0.25">
      <c r="I2996" t="s">
        <v>8010</v>
      </c>
      <c r="J2996" s="161" t="s">
        <v>19202</v>
      </c>
      <c r="K2996" t="s">
        <v>19203</v>
      </c>
      <c r="L2996" t="s">
        <v>8009</v>
      </c>
      <c r="M2996" s="161" t="s">
        <v>19202</v>
      </c>
    </row>
    <row r="2997" spans="9:13" x14ac:dyDescent="0.25">
      <c r="I2997" t="s">
        <v>8320</v>
      </c>
      <c r="J2997" s="161" t="s">
        <v>19202</v>
      </c>
      <c r="K2997" t="s">
        <v>19203</v>
      </c>
      <c r="L2997" t="s">
        <v>8319</v>
      </c>
      <c r="M2997" s="161" t="s">
        <v>19202</v>
      </c>
    </row>
    <row r="2998" spans="9:13" x14ac:dyDescent="0.25">
      <c r="I2998" t="s">
        <v>8150</v>
      </c>
      <c r="J2998" s="161" t="s">
        <v>19202</v>
      </c>
      <c r="K2998" t="s">
        <v>19203</v>
      </c>
      <c r="L2998" t="s">
        <v>8149</v>
      </c>
      <c r="M2998" s="161" t="s">
        <v>19202</v>
      </c>
    </row>
    <row r="2999" spans="9:13" x14ac:dyDescent="0.25">
      <c r="I2999" t="s">
        <v>8532</v>
      </c>
      <c r="J2999" s="161" t="s">
        <v>19202</v>
      </c>
      <c r="K2999" t="s">
        <v>19203</v>
      </c>
      <c r="L2999" t="s">
        <v>8531</v>
      </c>
      <c r="M2999" s="161" t="s">
        <v>19202</v>
      </c>
    </row>
    <row r="3000" spans="9:13" x14ac:dyDescent="0.25">
      <c r="I3000" t="s">
        <v>8219</v>
      </c>
      <c r="J3000" s="161" t="s">
        <v>19202</v>
      </c>
      <c r="K3000" t="s">
        <v>19203</v>
      </c>
      <c r="L3000" t="s">
        <v>7644</v>
      </c>
      <c r="M3000" s="161" t="s">
        <v>19202</v>
      </c>
    </row>
    <row r="3001" spans="9:13" x14ac:dyDescent="0.25">
      <c r="I3001" t="s">
        <v>8148</v>
      </c>
      <c r="J3001" s="161" t="s">
        <v>19202</v>
      </c>
      <c r="K3001" t="s">
        <v>19203</v>
      </c>
      <c r="L3001" t="s">
        <v>8147</v>
      </c>
      <c r="M3001" s="161" t="s">
        <v>19202</v>
      </c>
    </row>
    <row r="3002" spans="9:13" x14ac:dyDescent="0.25">
      <c r="I3002" t="s">
        <v>8614</v>
      </c>
      <c r="J3002" s="161" t="s">
        <v>19202</v>
      </c>
      <c r="K3002" t="s">
        <v>19203</v>
      </c>
      <c r="L3002" t="s">
        <v>8613</v>
      </c>
      <c r="M3002" s="161" t="s">
        <v>19202</v>
      </c>
    </row>
    <row r="3003" spans="9:13" x14ac:dyDescent="0.25">
      <c r="I3003" t="s">
        <v>7976</v>
      </c>
      <c r="J3003" s="161" t="s">
        <v>19202</v>
      </c>
      <c r="K3003" t="s">
        <v>19203</v>
      </c>
      <c r="L3003" t="s">
        <v>7975</v>
      </c>
      <c r="M3003" s="161" t="s">
        <v>19202</v>
      </c>
    </row>
    <row r="3004" spans="9:13" x14ac:dyDescent="0.25">
      <c r="I3004" t="s">
        <v>7974</v>
      </c>
      <c r="J3004" s="161" t="s">
        <v>19202</v>
      </c>
      <c r="K3004" t="s">
        <v>19203</v>
      </c>
      <c r="L3004" t="s">
        <v>7973</v>
      </c>
      <c r="M3004" s="161" t="s">
        <v>19202</v>
      </c>
    </row>
    <row r="3005" spans="9:13" x14ac:dyDescent="0.25">
      <c r="I3005" t="s">
        <v>8318</v>
      </c>
      <c r="J3005" s="161" t="s">
        <v>19202</v>
      </c>
      <c r="K3005" t="s">
        <v>19203</v>
      </c>
      <c r="L3005" t="s">
        <v>8317</v>
      </c>
      <c r="M3005" s="161" t="s">
        <v>19202</v>
      </c>
    </row>
    <row r="3006" spans="9:13" x14ac:dyDescent="0.25">
      <c r="I3006" t="s">
        <v>8373</v>
      </c>
      <c r="J3006" s="161" t="s">
        <v>19202</v>
      </c>
      <c r="K3006" t="s">
        <v>19203</v>
      </c>
      <c r="L3006" t="s">
        <v>8372</v>
      </c>
      <c r="M3006" s="161" t="s">
        <v>19202</v>
      </c>
    </row>
    <row r="3007" spans="9:13" x14ac:dyDescent="0.25">
      <c r="I3007" t="s">
        <v>8316</v>
      </c>
      <c r="J3007" s="161" t="s">
        <v>19202</v>
      </c>
      <c r="K3007" t="s">
        <v>19203</v>
      </c>
      <c r="L3007" t="s">
        <v>8315</v>
      </c>
      <c r="M3007" s="161" t="s">
        <v>19202</v>
      </c>
    </row>
    <row r="3008" spans="9:13" x14ac:dyDescent="0.25">
      <c r="I3008" t="s">
        <v>19602</v>
      </c>
      <c r="J3008" s="161" t="s">
        <v>19202</v>
      </c>
      <c r="K3008" t="s">
        <v>19203</v>
      </c>
      <c r="L3008" t="s">
        <v>19603</v>
      </c>
      <c r="M3008" s="161" t="s">
        <v>19202</v>
      </c>
    </row>
    <row r="3009" spans="9:13" x14ac:dyDescent="0.25">
      <c r="I3009" t="s">
        <v>8412</v>
      </c>
      <c r="J3009" s="161" t="s">
        <v>19202</v>
      </c>
      <c r="K3009" t="s">
        <v>19203</v>
      </c>
      <c r="L3009" t="s">
        <v>8411</v>
      </c>
      <c r="M3009" s="161" t="s">
        <v>19202</v>
      </c>
    </row>
    <row r="3010" spans="9:13" x14ac:dyDescent="0.25">
      <c r="I3010" t="s">
        <v>7933</v>
      </c>
      <c r="J3010" s="161" t="s">
        <v>19202</v>
      </c>
      <c r="K3010" t="s">
        <v>19203</v>
      </c>
      <c r="L3010" t="s">
        <v>7932</v>
      </c>
      <c r="M3010" s="161" t="s">
        <v>19202</v>
      </c>
    </row>
    <row r="3011" spans="9:13" x14ac:dyDescent="0.25">
      <c r="I3011" t="s">
        <v>7972</v>
      </c>
      <c r="J3011" s="161" t="s">
        <v>19202</v>
      </c>
      <c r="K3011" t="s">
        <v>19203</v>
      </c>
      <c r="L3011" t="s">
        <v>7971</v>
      </c>
      <c r="M3011" s="161" t="s">
        <v>19202</v>
      </c>
    </row>
    <row r="3012" spans="9:13" x14ac:dyDescent="0.25">
      <c r="I3012" t="s">
        <v>8269</v>
      </c>
      <c r="J3012" s="161" t="s">
        <v>19202</v>
      </c>
      <c r="K3012" t="s">
        <v>19203</v>
      </c>
      <c r="L3012" t="s">
        <v>8268</v>
      </c>
      <c r="M3012" s="161" t="s">
        <v>19202</v>
      </c>
    </row>
    <row r="3013" spans="9:13" x14ac:dyDescent="0.25">
      <c r="I3013" t="s">
        <v>7774</v>
      </c>
      <c r="J3013" s="161" t="s">
        <v>19202</v>
      </c>
      <c r="K3013" t="s">
        <v>19203</v>
      </c>
      <c r="L3013" t="s">
        <v>7773</v>
      </c>
      <c r="M3013" s="161" t="s">
        <v>19202</v>
      </c>
    </row>
    <row r="3014" spans="9:13" x14ac:dyDescent="0.25">
      <c r="I3014" t="s">
        <v>8006</v>
      </c>
      <c r="J3014" s="161" t="s">
        <v>19202</v>
      </c>
      <c r="K3014" t="s">
        <v>19203</v>
      </c>
      <c r="L3014" t="s">
        <v>8005</v>
      </c>
      <c r="M3014" s="161" t="s">
        <v>19202</v>
      </c>
    </row>
    <row r="3015" spans="9:13" x14ac:dyDescent="0.25">
      <c r="I3015" t="s">
        <v>8524</v>
      </c>
      <c r="J3015" s="161" t="s">
        <v>19202</v>
      </c>
      <c r="K3015" t="s">
        <v>19203</v>
      </c>
      <c r="L3015" t="s">
        <v>8523</v>
      </c>
      <c r="M3015" s="161" t="s">
        <v>19202</v>
      </c>
    </row>
    <row r="3016" spans="9:13" x14ac:dyDescent="0.25">
      <c r="I3016" t="s">
        <v>7931</v>
      </c>
      <c r="J3016" s="161" t="s">
        <v>19202</v>
      </c>
      <c r="K3016" t="s">
        <v>19203</v>
      </c>
      <c r="L3016" t="s">
        <v>7930</v>
      </c>
      <c r="M3016" s="161" t="s">
        <v>19202</v>
      </c>
    </row>
    <row r="3017" spans="9:13" x14ac:dyDescent="0.25">
      <c r="I3017" t="s">
        <v>8369</v>
      </c>
      <c r="J3017" s="161" t="s">
        <v>19202</v>
      </c>
      <c r="K3017" t="s">
        <v>19203</v>
      </c>
      <c r="L3017" t="s">
        <v>8368</v>
      </c>
      <c r="M3017" s="161" t="s">
        <v>19202</v>
      </c>
    </row>
    <row r="3018" spans="9:13" x14ac:dyDescent="0.25">
      <c r="I3018" t="s">
        <v>7676</v>
      </c>
      <c r="J3018" s="161" t="s">
        <v>19202</v>
      </c>
      <c r="K3018" t="s">
        <v>19203</v>
      </c>
      <c r="L3018" t="s">
        <v>7675</v>
      </c>
      <c r="M3018" s="161" t="s">
        <v>19202</v>
      </c>
    </row>
    <row r="3019" spans="9:13" x14ac:dyDescent="0.25">
      <c r="I3019" t="s">
        <v>8076</v>
      </c>
      <c r="J3019" s="161" t="s">
        <v>19202</v>
      </c>
      <c r="K3019" t="s">
        <v>19203</v>
      </c>
      <c r="L3019" t="s">
        <v>8075</v>
      </c>
      <c r="M3019" s="161" t="s">
        <v>19202</v>
      </c>
    </row>
    <row r="3020" spans="9:13" x14ac:dyDescent="0.25">
      <c r="I3020" t="s">
        <v>7772</v>
      </c>
      <c r="J3020" s="161" t="s">
        <v>19202</v>
      </c>
      <c r="K3020" t="s">
        <v>19203</v>
      </c>
      <c r="L3020" t="s">
        <v>7771</v>
      </c>
      <c r="M3020" s="161" t="s">
        <v>19202</v>
      </c>
    </row>
    <row r="3021" spans="9:13" x14ac:dyDescent="0.25">
      <c r="I3021" t="s">
        <v>8610</v>
      </c>
      <c r="J3021" s="161" t="s">
        <v>19202</v>
      </c>
      <c r="K3021" t="s">
        <v>19203</v>
      </c>
      <c r="L3021" t="s">
        <v>8609</v>
      </c>
      <c r="M3021" s="161" t="s">
        <v>19202</v>
      </c>
    </row>
    <row r="3022" spans="9:13" x14ac:dyDescent="0.25">
      <c r="I3022" t="s">
        <v>7674</v>
      </c>
      <c r="J3022" s="161" t="s">
        <v>19202</v>
      </c>
      <c r="K3022" t="s">
        <v>19203</v>
      </c>
      <c r="L3022" t="s">
        <v>7673</v>
      </c>
      <c r="M3022" s="161" t="s">
        <v>19202</v>
      </c>
    </row>
    <row r="3023" spans="9:13" x14ac:dyDescent="0.25">
      <c r="I3023" t="s">
        <v>7929</v>
      </c>
      <c r="J3023" s="161" t="s">
        <v>19202</v>
      </c>
      <c r="K3023" t="s">
        <v>19203</v>
      </c>
      <c r="L3023" t="s">
        <v>7928</v>
      </c>
      <c r="M3023" s="161" t="s">
        <v>19202</v>
      </c>
    </row>
    <row r="3024" spans="9:13" x14ac:dyDescent="0.25">
      <c r="I3024" t="s">
        <v>7670</v>
      </c>
      <c r="J3024" s="161" t="s">
        <v>19202</v>
      </c>
      <c r="K3024" t="s">
        <v>19203</v>
      </c>
      <c r="L3024" t="s">
        <v>7669</v>
      </c>
      <c r="M3024" s="161" t="s">
        <v>19202</v>
      </c>
    </row>
    <row r="3025" spans="9:13" x14ac:dyDescent="0.25">
      <c r="I3025" t="s">
        <v>7770</v>
      </c>
      <c r="J3025" s="161" t="s">
        <v>19202</v>
      </c>
      <c r="K3025" t="s">
        <v>19203</v>
      </c>
      <c r="L3025" t="s">
        <v>7769</v>
      </c>
      <c r="M3025" s="161" t="s">
        <v>19202</v>
      </c>
    </row>
    <row r="3026" spans="9:13" x14ac:dyDescent="0.25">
      <c r="I3026" t="s">
        <v>8144</v>
      </c>
      <c r="J3026" s="161" t="s">
        <v>19202</v>
      </c>
      <c r="K3026" t="s">
        <v>19203</v>
      </c>
      <c r="L3026" t="s">
        <v>8143</v>
      </c>
      <c r="M3026" s="161" t="s">
        <v>19202</v>
      </c>
    </row>
    <row r="3027" spans="9:13" x14ac:dyDescent="0.25">
      <c r="I3027" t="s">
        <v>7927</v>
      </c>
      <c r="J3027" s="161" t="s">
        <v>19202</v>
      </c>
      <c r="K3027" t="s">
        <v>19203</v>
      </c>
      <c r="L3027" t="s">
        <v>7926</v>
      </c>
      <c r="M3027" s="161" t="s">
        <v>19202</v>
      </c>
    </row>
    <row r="3028" spans="9:13" x14ac:dyDescent="0.25">
      <c r="I3028" t="s">
        <v>7925</v>
      </c>
      <c r="J3028" s="161" t="s">
        <v>19202</v>
      </c>
      <c r="K3028" t="s">
        <v>19203</v>
      </c>
      <c r="L3028" t="s">
        <v>7924</v>
      </c>
      <c r="M3028" s="161" t="s">
        <v>19202</v>
      </c>
    </row>
    <row r="3029" spans="9:13" x14ac:dyDescent="0.25">
      <c r="I3029" t="s">
        <v>7970</v>
      </c>
      <c r="J3029" s="161" t="s">
        <v>19202</v>
      </c>
      <c r="K3029" t="s">
        <v>19203</v>
      </c>
      <c r="L3029" t="s">
        <v>7969</v>
      </c>
      <c r="M3029" s="161" t="s">
        <v>19202</v>
      </c>
    </row>
    <row r="3030" spans="9:13" x14ac:dyDescent="0.25">
      <c r="I3030" t="s">
        <v>7968</v>
      </c>
      <c r="J3030" s="161" t="s">
        <v>19202</v>
      </c>
      <c r="K3030" t="s">
        <v>19203</v>
      </c>
      <c r="L3030" t="s">
        <v>7967</v>
      </c>
      <c r="M3030" s="161" t="s">
        <v>19202</v>
      </c>
    </row>
    <row r="3031" spans="9:13" x14ac:dyDescent="0.25">
      <c r="I3031" t="s">
        <v>8314</v>
      </c>
      <c r="J3031" s="161" t="s">
        <v>19202</v>
      </c>
      <c r="K3031" t="s">
        <v>19203</v>
      </c>
      <c r="L3031" t="s">
        <v>8313</v>
      </c>
      <c r="M3031" s="161" t="s">
        <v>19202</v>
      </c>
    </row>
    <row r="3032" spans="9:13" x14ac:dyDescent="0.25">
      <c r="I3032" t="s">
        <v>7766</v>
      </c>
      <c r="J3032" s="161" t="s">
        <v>19202</v>
      </c>
      <c r="K3032" t="s">
        <v>19203</v>
      </c>
      <c r="L3032" t="s">
        <v>7765</v>
      </c>
      <c r="M3032" s="161" t="s">
        <v>19202</v>
      </c>
    </row>
    <row r="3033" spans="9:13" x14ac:dyDescent="0.25">
      <c r="I3033" t="s">
        <v>8072</v>
      </c>
      <c r="J3033" s="161" t="s">
        <v>19202</v>
      </c>
      <c r="K3033" t="s">
        <v>19203</v>
      </c>
      <c r="L3033" t="s">
        <v>8071</v>
      </c>
      <c r="M3033" s="161" t="s">
        <v>19202</v>
      </c>
    </row>
    <row r="3034" spans="9:13" x14ac:dyDescent="0.25">
      <c r="I3034" t="s">
        <v>8608</v>
      </c>
      <c r="J3034" s="161" t="s">
        <v>19202</v>
      </c>
      <c r="K3034" t="s">
        <v>19203</v>
      </c>
      <c r="L3034" t="s">
        <v>8607</v>
      </c>
      <c r="M3034" s="161" t="s">
        <v>19202</v>
      </c>
    </row>
    <row r="3035" spans="9:13" x14ac:dyDescent="0.25">
      <c r="I3035" t="s">
        <v>8606</v>
      </c>
      <c r="J3035" s="161" t="s">
        <v>19202</v>
      </c>
      <c r="K3035" t="s">
        <v>19203</v>
      </c>
      <c r="L3035" t="s">
        <v>8605</v>
      </c>
      <c r="M3035" s="161" t="s">
        <v>19202</v>
      </c>
    </row>
    <row r="3036" spans="9:13" x14ac:dyDescent="0.25">
      <c r="I3036" t="s">
        <v>19604</v>
      </c>
      <c r="J3036" s="161" t="s">
        <v>19202</v>
      </c>
      <c r="K3036" t="s">
        <v>19203</v>
      </c>
      <c r="L3036" t="s">
        <v>19605</v>
      </c>
      <c r="M3036" s="161" t="s">
        <v>19202</v>
      </c>
    </row>
    <row r="3037" spans="9:13" x14ac:dyDescent="0.25">
      <c r="I3037" t="s">
        <v>8410</v>
      </c>
      <c r="J3037" s="161" t="s">
        <v>19202</v>
      </c>
      <c r="K3037" t="s">
        <v>19203</v>
      </c>
      <c r="L3037" t="s">
        <v>8409</v>
      </c>
      <c r="M3037" s="161" t="s">
        <v>19202</v>
      </c>
    </row>
    <row r="3038" spans="9:13" x14ac:dyDescent="0.25">
      <c r="I3038" t="s">
        <v>7720</v>
      </c>
      <c r="J3038" s="161" t="s">
        <v>19202</v>
      </c>
      <c r="K3038" t="s">
        <v>19203</v>
      </c>
      <c r="L3038" t="s">
        <v>7719</v>
      </c>
      <c r="M3038" s="161" t="s">
        <v>19202</v>
      </c>
    </row>
    <row r="3039" spans="9:13" x14ac:dyDescent="0.25">
      <c r="I3039" t="s">
        <v>7923</v>
      </c>
      <c r="J3039" s="161" t="s">
        <v>19202</v>
      </c>
      <c r="K3039" t="s">
        <v>19203</v>
      </c>
      <c r="L3039" t="s">
        <v>7922</v>
      </c>
      <c r="M3039" s="161" t="s">
        <v>19202</v>
      </c>
    </row>
    <row r="3040" spans="9:13" x14ac:dyDescent="0.25">
      <c r="I3040" t="s">
        <v>8004</v>
      </c>
      <c r="J3040" s="161" t="s">
        <v>19202</v>
      </c>
      <c r="K3040" t="s">
        <v>19203</v>
      </c>
      <c r="L3040" t="s">
        <v>8003</v>
      </c>
      <c r="M3040" s="161" t="s">
        <v>19202</v>
      </c>
    </row>
    <row r="3041" spans="9:13" x14ac:dyDescent="0.25">
      <c r="I3041" t="s">
        <v>7821</v>
      </c>
      <c r="J3041" s="161" t="s">
        <v>19202</v>
      </c>
      <c r="K3041" t="s">
        <v>19203</v>
      </c>
      <c r="L3041" t="s">
        <v>7820</v>
      </c>
      <c r="M3041" s="161" t="s">
        <v>19202</v>
      </c>
    </row>
    <row r="3042" spans="9:13" x14ac:dyDescent="0.25">
      <c r="I3042" t="s">
        <v>7921</v>
      </c>
      <c r="J3042" s="161" t="s">
        <v>19202</v>
      </c>
      <c r="K3042" t="s">
        <v>19203</v>
      </c>
      <c r="L3042" t="s">
        <v>7920</v>
      </c>
      <c r="M3042" s="161" t="s">
        <v>19202</v>
      </c>
    </row>
    <row r="3043" spans="9:13" x14ac:dyDescent="0.25">
      <c r="I3043" t="s">
        <v>8477</v>
      </c>
      <c r="J3043" s="161" t="s">
        <v>19202</v>
      </c>
      <c r="K3043" t="s">
        <v>19203</v>
      </c>
      <c r="L3043" t="s">
        <v>8476</v>
      </c>
      <c r="M3043" s="161" t="s">
        <v>19202</v>
      </c>
    </row>
    <row r="3044" spans="9:13" x14ac:dyDescent="0.25">
      <c r="I3044" t="s">
        <v>8002</v>
      </c>
      <c r="J3044" s="161" t="s">
        <v>19202</v>
      </c>
      <c r="K3044" t="s">
        <v>19203</v>
      </c>
      <c r="L3044" t="s">
        <v>8001</v>
      </c>
      <c r="M3044" s="161" t="s">
        <v>19202</v>
      </c>
    </row>
    <row r="3045" spans="9:13" x14ac:dyDescent="0.25">
      <c r="I3045" t="s">
        <v>8367</v>
      </c>
      <c r="J3045" s="161" t="s">
        <v>19202</v>
      </c>
      <c r="K3045" t="s">
        <v>19203</v>
      </c>
      <c r="L3045" t="s">
        <v>8366</v>
      </c>
      <c r="M3045" s="161" t="s">
        <v>19202</v>
      </c>
    </row>
    <row r="3046" spans="9:13" x14ac:dyDescent="0.25">
      <c r="I3046" t="s">
        <v>7641</v>
      </c>
      <c r="J3046" s="161" t="s">
        <v>19202</v>
      </c>
      <c r="K3046" t="s">
        <v>19203</v>
      </c>
      <c r="L3046" t="s">
        <v>7640</v>
      </c>
      <c r="M3046" s="161" t="s">
        <v>19202</v>
      </c>
    </row>
    <row r="3047" spans="9:13" x14ac:dyDescent="0.25">
      <c r="I3047" t="s">
        <v>7718</v>
      </c>
      <c r="J3047" s="161" t="s">
        <v>19202</v>
      </c>
      <c r="K3047" t="s">
        <v>19203</v>
      </c>
      <c r="L3047" t="s">
        <v>7717</v>
      </c>
      <c r="M3047" s="161" t="s">
        <v>19202</v>
      </c>
    </row>
    <row r="3048" spans="9:13" x14ac:dyDescent="0.25">
      <c r="I3048" t="s">
        <v>19606</v>
      </c>
      <c r="J3048" s="161" t="s">
        <v>19202</v>
      </c>
      <c r="K3048" t="s">
        <v>19203</v>
      </c>
      <c r="L3048" t="s">
        <v>19607</v>
      </c>
      <c r="M3048" s="161" t="s">
        <v>19202</v>
      </c>
    </row>
    <row r="3049" spans="9:13" x14ac:dyDescent="0.25">
      <c r="I3049" t="s">
        <v>3424</v>
      </c>
      <c r="J3049" s="161" t="s">
        <v>19202</v>
      </c>
      <c r="K3049" t="s">
        <v>19203</v>
      </c>
      <c r="L3049" t="s">
        <v>3423</v>
      </c>
      <c r="M3049" s="161" t="s">
        <v>19202</v>
      </c>
    </row>
    <row r="3050" spans="9:13" x14ac:dyDescent="0.25">
      <c r="I3050" t="s">
        <v>1551</v>
      </c>
      <c r="J3050" s="161" t="s">
        <v>19202</v>
      </c>
      <c r="K3050" t="s">
        <v>19203</v>
      </c>
      <c r="L3050" t="s">
        <v>1550</v>
      </c>
      <c r="M3050" s="161" t="s">
        <v>19202</v>
      </c>
    </row>
    <row r="3051" spans="9:13" x14ac:dyDescent="0.25">
      <c r="I3051" t="s">
        <v>16914</v>
      </c>
      <c r="J3051" s="161" t="s">
        <v>19202</v>
      </c>
      <c r="K3051" t="s">
        <v>19203</v>
      </c>
      <c r="L3051" t="s">
        <v>16913</v>
      </c>
      <c r="M3051" s="161" t="s">
        <v>19202</v>
      </c>
    </row>
    <row r="3052" spans="9:13" x14ac:dyDescent="0.25">
      <c r="I3052" t="s">
        <v>16786</v>
      </c>
      <c r="J3052" s="161" t="s">
        <v>19202</v>
      </c>
      <c r="K3052" t="s">
        <v>19203</v>
      </c>
      <c r="L3052" t="s">
        <v>16785</v>
      </c>
      <c r="M3052" s="161" t="s">
        <v>19202</v>
      </c>
    </row>
    <row r="3053" spans="9:13" x14ac:dyDescent="0.25">
      <c r="I3053" t="s">
        <v>16782</v>
      </c>
      <c r="J3053" s="161" t="s">
        <v>19202</v>
      </c>
      <c r="K3053" t="s">
        <v>19203</v>
      </c>
      <c r="L3053" t="s">
        <v>16781</v>
      </c>
      <c r="M3053" s="161" t="s">
        <v>19202</v>
      </c>
    </row>
    <row r="3054" spans="9:13" x14ac:dyDescent="0.25">
      <c r="I3054" t="s">
        <v>16909</v>
      </c>
      <c r="J3054" s="161" t="s">
        <v>19202</v>
      </c>
      <c r="K3054" t="s">
        <v>19203</v>
      </c>
      <c r="L3054" t="s">
        <v>16908</v>
      </c>
      <c r="M3054" s="161" t="s">
        <v>19202</v>
      </c>
    </row>
    <row r="3055" spans="9:13" x14ac:dyDescent="0.25">
      <c r="I3055" t="s">
        <v>16846</v>
      </c>
      <c r="J3055" s="161" t="s">
        <v>19202</v>
      </c>
      <c r="K3055" t="s">
        <v>19203</v>
      </c>
      <c r="L3055" t="s">
        <v>16845</v>
      </c>
      <c r="M3055" s="161" t="s">
        <v>19202</v>
      </c>
    </row>
    <row r="3056" spans="9:13" x14ac:dyDescent="0.25">
      <c r="I3056" t="s">
        <v>16709</v>
      </c>
      <c r="J3056" s="161" t="s">
        <v>19202</v>
      </c>
      <c r="K3056" t="s">
        <v>19203</v>
      </c>
      <c r="L3056" t="s">
        <v>16708</v>
      </c>
      <c r="M3056" s="161" t="s">
        <v>19202</v>
      </c>
    </row>
    <row r="3057" spans="9:13" x14ac:dyDescent="0.25">
      <c r="I3057" t="s">
        <v>16842</v>
      </c>
      <c r="J3057" s="161" t="s">
        <v>19202</v>
      </c>
      <c r="K3057" t="s">
        <v>19203</v>
      </c>
      <c r="L3057" t="s">
        <v>3632</v>
      </c>
      <c r="M3057" s="161" t="s">
        <v>19202</v>
      </c>
    </row>
    <row r="3058" spans="9:13" x14ac:dyDescent="0.25">
      <c r="I3058" t="s">
        <v>16611</v>
      </c>
      <c r="J3058" s="161" t="s">
        <v>19202</v>
      </c>
      <c r="K3058" t="s">
        <v>19203</v>
      </c>
      <c r="L3058" t="s">
        <v>440</v>
      </c>
      <c r="M3058" s="161" t="s">
        <v>19202</v>
      </c>
    </row>
    <row r="3059" spans="9:13" x14ac:dyDescent="0.25">
      <c r="I3059" t="s">
        <v>16554</v>
      </c>
      <c r="J3059" s="161" t="s">
        <v>19202</v>
      </c>
      <c r="K3059" t="s">
        <v>19203</v>
      </c>
      <c r="L3059" t="s">
        <v>685</v>
      </c>
      <c r="M3059" s="161" t="s">
        <v>19202</v>
      </c>
    </row>
    <row r="3060" spans="9:13" x14ac:dyDescent="0.25">
      <c r="I3060" t="s">
        <v>16841</v>
      </c>
      <c r="J3060" s="161" t="s">
        <v>19202</v>
      </c>
      <c r="K3060" t="s">
        <v>19203</v>
      </c>
      <c r="L3060" t="s">
        <v>16840</v>
      </c>
      <c r="M3060" s="161" t="s">
        <v>19202</v>
      </c>
    </row>
    <row r="3061" spans="9:13" x14ac:dyDescent="0.25">
      <c r="I3061" t="s">
        <v>16553</v>
      </c>
      <c r="J3061" s="161" t="s">
        <v>19202</v>
      </c>
      <c r="K3061" t="s">
        <v>19203</v>
      </c>
      <c r="L3061" t="s">
        <v>1080</v>
      </c>
      <c r="M3061" s="161" t="s">
        <v>19202</v>
      </c>
    </row>
    <row r="3062" spans="9:13" x14ac:dyDescent="0.25">
      <c r="I3062" t="s">
        <v>16780</v>
      </c>
      <c r="J3062" s="161" t="s">
        <v>19202</v>
      </c>
      <c r="K3062" t="s">
        <v>19203</v>
      </c>
      <c r="L3062" t="s">
        <v>16779</v>
      </c>
      <c r="M3062" s="161" t="s">
        <v>19202</v>
      </c>
    </row>
    <row r="3063" spans="9:13" x14ac:dyDescent="0.25">
      <c r="I3063" t="s">
        <v>15023</v>
      </c>
      <c r="J3063" s="161" t="s">
        <v>19202</v>
      </c>
      <c r="K3063" t="s">
        <v>19203</v>
      </c>
      <c r="L3063" t="s">
        <v>15022</v>
      </c>
      <c r="M3063" s="161" t="s">
        <v>19202</v>
      </c>
    </row>
    <row r="3064" spans="9:13" x14ac:dyDescent="0.25">
      <c r="I3064" t="s">
        <v>16907</v>
      </c>
      <c r="J3064" s="161" t="s">
        <v>19202</v>
      </c>
      <c r="K3064" t="s">
        <v>19203</v>
      </c>
      <c r="L3064" t="s">
        <v>16906</v>
      </c>
      <c r="M3064" s="161" t="s">
        <v>19202</v>
      </c>
    </row>
    <row r="3065" spans="9:13" x14ac:dyDescent="0.25">
      <c r="I3065" t="s">
        <v>16552</v>
      </c>
      <c r="J3065" s="161" t="s">
        <v>19202</v>
      </c>
      <c r="K3065" t="s">
        <v>19203</v>
      </c>
      <c r="L3065" t="s">
        <v>2700</v>
      </c>
      <c r="M3065" s="161" t="s">
        <v>19202</v>
      </c>
    </row>
    <row r="3066" spans="9:13" x14ac:dyDescent="0.25">
      <c r="I3066" t="s">
        <v>16551</v>
      </c>
      <c r="J3066" s="161" t="s">
        <v>19202</v>
      </c>
      <c r="K3066" t="s">
        <v>19203</v>
      </c>
      <c r="L3066" t="s">
        <v>16550</v>
      </c>
      <c r="M3066" s="161" t="s">
        <v>19202</v>
      </c>
    </row>
    <row r="3067" spans="9:13" x14ac:dyDescent="0.25">
      <c r="I3067" t="s">
        <v>16905</v>
      </c>
      <c r="J3067" s="161" t="s">
        <v>19202</v>
      </c>
      <c r="K3067" t="s">
        <v>19203</v>
      </c>
      <c r="L3067" t="s">
        <v>16904</v>
      </c>
      <c r="M3067" s="161" t="s">
        <v>19202</v>
      </c>
    </row>
    <row r="3068" spans="9:13" x14ac:dyDescent="0.25">
      <c r="I3068" t="s">
        <v>16517</v>
      </c>
      <c r="J3068" s="161" t="s">
        <v>19202</v>
      </c>
      <c r="K3068" t="s">
        <v>19203</v>
      </c>
      <c r="L3068" t="s">
        <v>16516</v>
      </c>
      <c r="M3068" s="161" t="s">
        <v>19202</v>
      </c>
    </row>
    <row r="3069" spans="9:13" x14ac:dyDescent="0.25">
      <c r="I3069" t="s">
        <v>16707</v>
      </c>
      <c r="J3069" s="161" t="s">
        <v>19202</v>
      </c>
      <c r="K3069" t="s">
        <v>19203</v>
      </c>
      <c r="L3069" t="s">
        <v>16706</v>
      </c>
      <c r="M3069" s="161" t="s">
        <v>19202</v>
      </c>
    </row>
    <row r="3070" spans="9:13" x14ac:dyDescent="0.25">
      <c r="I3070" t="s">
        <v>19608</v>
      </c>
      <c r="J3070" s="161" t="s">
        <v>19202</v>
      </c>
      <c r="K3070" t="s">
        <v>19203</v>
      </c>
      <c r="L3070" t="s">
        <v>19609</v>
      </c>
      <c r="M3070" s="161" t="s">
        <v>19202</v>
      </c>
    </row>
    <row r="3071" spans="9:13" x14ac:dyDescent="0.25">
      <c r="I3071" t="s">
        <v>16318</v>
      </c>
      <c r="J3071" s="161" t="s">
        <v>19202</v>
      </c>
      <c r="K3071" t="s">
        <v>19203</v>
      </c>
      <c r="L3071" t="s">
        <v>16317</v>
      </c>
      <c r="M3071" s="161" t="s">
        <v>19202</v>
      </c>
    </row>
    <row r="3072" spans="9:13" x14ac:dyDescent="0.25">
      <c r="I3072" t="s">
        <v>16705</v>
      </c>
      <c r="J3072" s="161" t="s">
        <v>19202</v>
      </c>
      <c r="K3072" t="s">
        <v>19203</v>
      </c>
      <c r="L3072" t="s">
        <v>16241</v>
      </c>
      <c r="M3072" s="161" t="s">
        <v>19202</v>
      </c>
    </row>
    <row r="3073" spans="9:13" x14ac:dyDescent="0.25">
      <c r="I3073" t="s">
        <v>16284</v>
      </c>
      <c r="J3073" s="161" t="s">
        <v>19202</v>
      </c>
      <c r="K3073" t="s">
        <v>19203</v>
      </c>
      <c r="L3073" t="s">
        <v>16283</v>
      </c>
      <c r="M3073" s="161" t="s">
        <v>19202</v>
      </c>
    </row>
    <row r="3074" spans="9:13" x14ac:dyDescent="0.25">
      <c r="I3074" t="s">
        <v>16282</v>
      </c>
      <c r="J3074" s="161" t="s">
        <v>19202</v>
      </c>
      <c r="K3074" t="s">
        <v>19203</v>
      </c>
      <c r="L3074" t="s">
        <v>4890</v>
      </c>
      <c r="M3074" s="161" t="s">
        <v>19202</v>
      </c>
    </row>
    <row r="3075" spans="9:13" x14ac:dyDescent="0.25">
      <c r="I3075" t="s">
        <v>17070</v>
      </c>
      <c r="J3075" s="161" t="s">
        <v>19202</v>
      </c>
      <c r="K3075" t="s">
        <v>19203</v>
      </c>
      <c r="L3075" t="s">
        <v>17069</v>
      </c>
      <c r="M3075" s="161" t="s">
        <v>19202</v>
      </c>
    </row>
    <row r="3076" spans="9:13" x14ac:dyDescent="0.25">
      <c r="I3076" t="s">
        <v>16777</v>
      </c>
      <c r="J3076" s="161" t="s">
        <v>19202</v>
      </c>
      <c r="K3076" t="s">
        <v>19203</v>
      </c>
      <c r="L3076" t="s">
        <v>16776</v>
      </c>
      <c r="M3076" s="161" t="s">
        <v>19202</v>
      </c>
    </row>
    <row r="3077" spans="9:13" x14ac:dyDescent="0.25">
      <c r="I3077" t="s">
        <v>16548</v>
      </c>
      <c r="J3077" s="161" t="s">
        <v>19202</v>
      </c>
      <c r="K3077" t="s">
        <v>19203</v>
      </c>
      <c r="L3077" t="s">
        <v>928</v>
      </c>
      <c r="M3077" s="161" t="s">
        <v>19202</v>
      </c>
    </row>
    <row r="3078" spans="9:13" x14ac:dyDescent="0.25">
      <c r="I3078" t="s">
        <v>16837</v>
      </c>
      <c r="J3078" s="161" t="s">
        <v>19202</v>
      </c>
      <c r="K3078" t="s">
        <v>19203</v>
      </c>
      <c r="L3078" t="s">
        <v>16836</v>
      </c>
      <c r="M3078" s="161" t="s">
        <v>19202</v>
      </c>
    </row>
    <row r="3079" spans="9:13" x14ac:dyDescent="0.25">
      <c r="I3079" t="s">
        <v>16606</v>
      </c>
      <c r="J3079" s="161" t="s">
        <v>19202</v>
      </c>
      <c r="K3079" t="s">
        <v>19203</v>
      </c>
      <c r="L3079" t="s">
        <v>16605</v>
      </c>
      <c r="M3079" s="161" t="s">
        <v>19202</v>
      </c>
    </row>
    <row r="3080" spans="9:13" x14ac:dyDescent="0.25">
      <c r="I3080" t="s">
        <v>17068</v>
      </c>
      <c r="J3080" s="161" t="s">
        <v>19202</v>
      </c>
      <c r="K3080" t="s">
        <v>19203</v>
      </c>
      <c r="L3080" t="s">
        <v>17067</v>
      </c>
      <c r="M3080" s="161" t="s">
        <v>19202</v>
      </c>
    </row>
    <row r="3081" spans="9:13" x14ac:dyDescent="0.25">
      <c r="I3081" t="s">
        <v>16902</v>
      </c>
      <c r="J3081" s="161" t="s">
        <v>19202</v>
      </c>
      <c r="K3081" t="s">
        <v>19203</v>
      </c>
      <c r="L3081" t="s">
        <v>16901</v>
      </c>
      <c r="M3081" s="161" t="s">
        <v>19202</v>
      </c>
    </row>
    <row r="3082" spans="9:13" x14ac:dyDescent="0.25">
      <c r="I3082" t="s">
        <v>16396</v>
      </c>
      <c r="J3082" s="161" t="s">
        <v>19202</v>
      </c>
      <c r="K3082" t="s">
        <v>19203</v>
      </c>
      <c r="L3082" t="s">
        <v>928</v>
      </c>
      <c r="M3082" s="161" t="s">
        <v>19202</v>
      </c>
    </row>
    <row r="3083" spans="9:13" x14ac:dyDescent="0.25">
      <c r="I3083" t="s">
        <v>16247</v>
      </c>
      <c r="J3083" s="161" t="s">
        <v>19202</v>
      </c>
      <c r="K3083" t="s">
        <v>19203</v>
      </c>
      <c r="L3083" t="s">
        <v>1344</v>
      </c>
      <c r="M3083" s="161" t="s">
        <v>19202</v>
      </c>
    </row>
    <row r="3084" spans="9:13" x14ac:dyDescent="0.25">
      <c r="I3084" t="s">
        <v>16651</v>
      </c>
      <c r="J3084" s="161" t="s">
        <v>19202</v>
      </c>
      <c r="K3084" t="s">
        <v>19203</v>
      </c>
      <c r="L3084" t="s">
        <v>4060</v>
      </c>
      <c r="M3084" s="161" t="s">
        <v>19202</v>
      </c>
    </row>
    <row r="3085" spans="9:13" x14ac:dyDescent="0.25">
      <c r="I3085" t="s">
        <v>16547</v>
      </c>
      <c r="J3085" s="161" t="s">
        <v>19202</v>
      </c>
      <c r="K3085" t="s">
        <v>19203</v>
      </c>
      <c r="L3085" t="s">
        <v>9578</v>
      </c>
      <c r="M3085" s="161" t="s">
        <v>19202</v>
      </c>
    </row>
    <row r="3086" spans="9:13" x14ac:dyDescent="0.25">
      <c r="I3086" t="s">
        <v>16545</v>
      </c>
      <c r="J3086" s="161" t="s">
        <v>19202</v>
      </c>
      <c r="K3086" t="s">
        <v>19203</v>
      </c>
      <c r="L3086" t="s">
        <v>16544</v>
      </c>
      <c r="M3086" s="161" t="s">
        <v>19202</v>
      </c>
    </row>
    <row r="3087" spans="9:13" x14ac:dyDescent="0.25">
      <c r="I3087" t="s">
        <v>16650</v>
      </c>
      <c r="J3087" s="161" t="s">
        <v>19202</v>
      </c>
      <c r="K3087" t="s">
        <v>19203</v>
      </c>
      <c r="L3087" t="s">
        <v>16649</v>
      </c>
      <c r="M3087" s="161" t="s">
        <v>19202</v>
      </c>
    </row>
    <row r="3088" spans="9:13" x14ac:dyDescent="0.25">
      <c r="I3088" t="s">
        <v>17066</v>
      </c>
      <c r="J3088" s="161" t="s">
        <v>19202</v>
      </c>
      <c r="K3088" t="s">
        <v>19203</v>
      </c>
      <c r="L3088" t="s">
        <v>941</v>
      </c>
      <c r="M3088" s="161" t="s">
        <v>19202</v>
      </c>
    </row>
    <row r="3089" spans="9:13" x14ac:dyDescent="0.25">
      <c r="I3089" t="s">
        <v>16604</v>
      </c>
      <c r="J3089" s="161" t="s">
        <v>19202</v>
      </c>
      <c r="K3089" t="s">
        <v>19203</v>
      </c>
      <c r="L3089" t="s">
        <v>685</v>
      </c>
      <c r="M3089" s="161" t="s">
        <v>19202</v>
      </c>
    </row>
    <row r="3090" spans="9:13" x14ac:dyDescent="0.25">
      <c r="I3090" t="s">
        <v>16392</v>
      </c>
      <c r="J3090" s="161" t="s">
        <v>19202</v>
      </c>
      <c r="K3090" t="s">
        <v>19203</v>
      </c>
      <c r="L3090" t="s">
        <v>706</v>
      </c>
      <c r="M3090" s="161" t="s">
        <v>19202</v>
      </c>
    </row>
    <row r="3091" spans="9:13" x14ac:dyDescent="0.25">
      <c r="I3091" t="s">
        <v>16648</v>
      </c>
      <c r="J3091" s="161" t="s">
        <v>19202</v>
      </c>
      <c r="K3091" t="s">
        <v>19203</v>
      </c>
      <c r="L3091" t="s">
        <v>758</v>
      </c>
      <c r="M3091" s="161" t="s">
        <v>19202</v>
      </c>
    </row>
    <row r="3092" spans="9:13" x14ac:dyDescent="0.25">
      <c r="I3092" t="s">
        <v>16970</v>
      </c>
      <c r="J3092" s="161" t="s">
        <v>19202</v>
      </c>
      <c r="K3092" t="s">
        <v>19203</v>
      </c>
      <c r="L3092" t="s">
        <v>4457</v>
      </c>
      <c r="M3092" s="161" t="s">
        <v>19202</v>
      </c>
    </row>
    <row r="3093" spans="9:13" x14ac:dyDescent="0.25">
      <c r="I3093" t="s">
        <v>16511</v>
      </c>
      <c r="J3093" s="161" t="s">
        <v>19202</v>
      </c>
      <c r="K3093" t="s">
        <v>19203</v>
      </c>
      <c r="L3093" t="s">
        <v>4847</v>
      </c>
      <c r="M3093" s="161" t="s">
        <v>19202</v>
      </c>
    </row>
    <row r="3094" spans="9:13" x14ac:dyDescent="0.25">
      <c r="I3094" t="s">
        <v>17065</v>
      </c>
      <c r="J3094" s="161" t="s">
        <v>19202</v>
      </c>
      <c r="K3094" t="s">
        <v>19203</v>
      </c>
      <c r="L3094" t="s">
        <v>4546</v>
      </c>
      <c r="M3094" s="161" t="s">
        <v>19202</v>
      </c>
    </row>
    <row r="3095" spans="9:13" x14ac:dyDescent="0.25">
      <c r="I3095" t="s">
        <v>17064</v>
      </c>
      <c r="J3095" s="161" t="s">
        <v>19202</v>
      </c>
      <c r="K3095" t="s">
        <v>19203</v>
      </c>
      <c r="L3095" t="s">
        <v>17063</v>
      </c>
      <c r="M3095" s="161" t="s">
        <v>19202</v>
      </c>
    </row>
    <row r="3096" spans="9:13" x14ac:dyDescent="0.25">
      <c r="I3096" t="s">
        <v>16277</v>
      </c>
      <c r="J3096" s="161" t="s">
        <v>19202</v>
      </c>
      <c r="K3096" t="s">
        <v>19203</v>
      </c>
      <c r="L3096" t="s">
        <v>16276</v>
      </c>
      <c r="M3096" s="161" t="s">
        <v>19202</v>
      </c>
    </row>
    <row r="3097" spans="9:13" x14ac:dyDescent="0.25">
      <c r="I3097" t="s">
        <v>16833</v>
      </c>
      <c r="J3097" s="161" t="s">
        <v>19202</v>
      </c>
      <c r="K3097" t="s">
        <v>19203</v>
      </c>
      <c r="L3097" t="s">
        <v>16832</v>
      </c>
      <c r="M3097" s="161" t="s">
        <v>19202</v>
      </c>
    </row>
    <row r="3098" spans="9:13" x14ac:dyDescent="0.25">
      <c r="I3098" t="s">
        <v>16032</v>
      </c>
      <c r="J3098" s="161" t="s">
        <v>19202</v>
      </c>
      <c r="K3098" t="s">
        <v>19203</v>
      </c>
      <c r="L3098" t="s">
        <v>181</v>
      </c>
      <c r="M3098" s="161" t="s">
        <v>19202</v>
      </c>
    </row>
    <row r="3099" spans="9:13" x14ac:dyDescent="0.25">
      <c r="I3099" t="s">
        <v>16774</v>
      </c>
      <c r="J3099" s="161" t="s">
        <v>19202</v>
      </c>
      <c r="K3099" t="s">
        <v>19203</v>
      </c>
      <c r="L3099" t="s">
        <v>16773</v>
      </c>
      <c r="M3099" s="161" t="s">
        <v>19202</v>
      </c>
    </row>
    <row r="3100" spans="9:13" x14ac:dyDescent="0.25">
      <c r="I3100" t="s">
        <v>16431</v>
      </c>
      <c r="J3100" s="161" t="s">
        <v>19202</v>
      </c>
      <c r="K3100" t="s">
        <v>19203</v>
      </c>
      <c r="L3100" t="s">
        <v>16430</v>
      </c>
      <c r="M3100" s="161" t="s">
        <v>19202</v>
      </c>
    </row>
    <row r="3101" spans="9:13" x14ac:dyDescent="0.25">
      <c r="I3101" t="s">
        <v>16831</v>
      </c>
      <c r="J3101" s="161" t="s">
        <v>19202</v>
      </c>
      <c r="K3101" t="s">
        <v>19203</v>
      </c>
      <c r="L3101" t="s">
        <v>16830</v>
      </c>
      <c r="M3101" s="161" t="s">
        <v>19202</v>
      </c>
    </row>
    <row r="3102" spans="9:13" x14ac:dyDescent="0.25">
      <c r="I3102" t="s">
        <v>16647</v>
      </c>
      <c r="J3102" s="161" t="s">
        <v>19202</v>
      </c>
      <c r="K3102" t="s">
        <v>19203</v>
      </c>
      <c r="L3102" t="s">
        <v>16646</v>
      </c>
      <c r="M3102" s="161" t="s">
        <v>19202</v>
      </c>
    </row>
    <row r="3103" spans="9:13" x14ac:dyDescent="0.25">
      <c r="I3103" t="s">
        <v>16031</v>
      </c>
      <c r="J3103" s="161" t="s">
        <v>19202</v>
      </c>
      <c r="K3103" t="s">
        <v>19203</v>
      </c>
      <c r="L3103" t="s">
        <v>16030</v>
      </c>
      <c r="M3103" s="161" t="s">
        <v>19202</v>
      </c>
    </row>
    <row r="3104" spans="9:13" x14ac:dyDescent="0.25">
      <c r="I3104" t="s">
        <v>16029</v>
      </c>
      <c r="J3104" s="161" t="s">
        <v>19202</v>
      </c>
      <c r="K3104" t="s">
        <v>19203</v>
      </c>
      <c r="L3104" t="s">
        <v>16028</v>
      </c>
      <c r="M3104" s="161" t="s">
        <v>19202</v>
      </c>
    </row>
    <row r="3105" spans="9:13" x14ac:dyDescent="0.25">
      <c r="I3105" t="s">
        <v>16027</v>
      </c>
      <c r="J3105" s="161" t="s">
        <v>19202</v>
      </c>
      <c r="K3105" t="s">
        <v>19203</v>
      </c>
      <c r="L3105" t="s">
        <v>16026</v>
      </c>
      <c r="M3105" s="161" t="s">
        <v>19202</v>
      </c>
    </row>
    <row r="3106" spans="9:13" x14ac:dyDescent="0.25">
      <c r="I3106" t="s">
        <v>16388</v>
      </c>
      <c r="J3106" s="161" t="s">
        <v>19202</v>
      </c>
      <c r="K3106" t="s">
        <v>19203</v>
      </c>
      <c r="L3106" t="s">
        <v>16387</v>
      </c>
      <c r="M3106" s="161" t="s">
        <v>19202</v>
      </c>
    </row>
    <row r="3107" spans="9:13" x14ac:dyDescent="0.25">
      <c r="I3107" t="s">
        <v>16702</v>
      </c>
      <c r="J3107" s="161" t="s">
        <v>19202</v>
      </c>
      <c r="K3107" t="s">
        <v>19203</v>
      </c>
      <c r="L3107" t="s">
        <v>2023</v>
      </c>
      <c r="M3107" s="161" t="s">
        <v>19202</v>
      </c>
    </row>
    <row r="3108" spans="9:13" x14ac:dyDescent="0.25">
      <c r="I3108" t="s">
        <v>15984</v>
      </c>
      <c r="J3108" s="161" t="s">
        <v>19202</v>
      </c>
      <c r="K3108" t="s">
        <v>19203</v>
      </c>
      <c r="L3108" t="s">
        <v>13453</v>
      </c>
      <c r="M3108" s="161" t="s">
        <v>19202</v>
      </c>
    </row>
    <row r="3109" spans="9:13" x14ac:dyDescent="0.25">
      <c r="I3109" t="s">
        <v>15983</v>
      </c>
      <c r="J3109" s="161" t="s">
        <v>19202</v>
      </c>
      <c r="K3109" t="s">
        <v>19203</v>
      </c>
      <c r="L3109" t="s">
        <v>405</v>
      </c>
      <c r="M3109" s="161" t="s">
        <v>19202</v>
      </c>
    </row>
    <row r="3110" spans="9:13" x14ac:dyDescent="0.25">
      <c r="I3110" t="s">
        <v>15982</v>
      </c>
      <c r="J3110" s="161" t="s">
        <v>19202</v>
      </c>
      <c r="K3110" t="s">
        <v>19203</v>
      </c>
      <c r="L3110" t="s">
        <v>3862</v>
      </c>
      <c r="M3110" s="161" t="s">
        <v>19202</v>
      </c>
    </row>
    <row r="3111" spans="9:13" x14ac:dyDescent="0.25">
      <c r="I3111" t="s">
        <v>15981</v>
      </c>
      <c r="J3111" s="161" t="s">
        <v>19202</v>
      </c>
      <c r="K3111" t="s">
        <v>19203</v>
      </c>
      <c r="L3111" t="s">
        <v>15980</v>
      </c>
      <c r="M3111" s="161" t="s">
        <v>19202</v>
      </c>
    </row>
    <row r="3112" spans="9:13" x14ac:dyDescent="0.25">
      <c r="I3112" t="s">
        <v>16829</v>
      </c>
      <c r="J3112" s="161" t="s">
        <v>19202</v>
      </c>
      <c r="K3112" t="s">
        <v>19203</v>
      </c>
      <c r="L3112" t="s">
        <v>16828</v>
      </c>
      <c r="M3112" s="161" t="s">
        <v>19202</v>
      </c>
    </row>
    <row r="3113" spans="9:13" x14ac:dyDescent="0.25">
      <c r="I3113" t="s">
        <v>17060</v>
      </c>
      <c r="J3113" s="161" t="s">
        <v>19202</v>
      </c>
      <c r="K3113" t="s">
        <v>19203</v>
      </c>
      <c r="L3113" t="s">
        <v>17059</v>
      </c>
      <c r="M3113" s="161" t="s">
        <v>19202</v>
      </c>
    </row>
    <row r="3114" spans="9:13" x14ac:dyDescent="0.25">
      <c r="I3114" t="s">
        <v>15979</v>
      </c>
      <c r="J3114" s="161" t="s">
        <v>19202</v>
      </c>
      <c r="K3114" t="s">
        <v>19203</v>
      </c>
      <c r="L3114" t="s">
        <v>15978</v>
      </c>
      <c r="M3114" s="161" t="s">
        <v>19202</v>
      </c>
    </row>
    <row r="3115" spans="9:13" x14ac:dyDescent="0.25">
      <c r="I3115" t="s">
        <v>15977</v>
      </c>
      <c r="J3115" s="161" t="s">
        <v>19202</v>
      </c>
      <c r="K3115" t="s">
        <v>19203</v>
      </c>
      <c r="L3115" t="s">
        <v>2067</v>
      </c>
      <c r="M3115" s="161" t="s">
        <v>19202</v>
      </c>
    </row>
    <row r="3116" spans="9:13" x14ac:dyDescent="0.25">
      <c r="I3116" t="s">
        <v>15975</v>
      </c>
      <c r="J3116" s="161" t="s">
        <v>19202</v>
      </c>
      <c r="K3116" t="s">
        <v>19203</v>
      </c>
      <c r="L3116" t="s">
        <v>12980</v>
      </c>
      <c r="M3116" s="161" t="s">
        <v>19202</v>
      </c>
    </row>
    <row r="3117" spans="9:13" x14ac:dyDescent="0.25">
      <c r="I3117" t="s">
        <v>16077</v>
      </c>
      <c r="J3117" s="161" t="s">
        <v>19202</v>
      </c>
      <c r="K3117" t="s">
        <v>19203</v>
      </c>
      <c r="L3117" t="s">
        <v>16076</v>
      </c>
      <c r="M3117" s="161" t="s">
        <v>19202</v>
      </c>
    </row>
    <row r="3118" spans="9:13" x14ac:dyDescent="0.25">
      <c r="I3118" t="s">
        <v>16075</v>
      </c>
      <c r="J3118" s="161" t="s">
        <v>19202</v>
      </c>
      <c r="K3118" t="s">
        <v>19203</v>
      </c>
      <c r="L3118" t="s">
        <v>16074</v>
      </c>
      <c r="M3118" s="161" t="s">
        <v>19202</v>
      </c>
    </row>
    <row r="3119" spans="9:13" x14ac:dyDescent="0.25">
      <c r="I3119" t="s">
        <v>16242</v>
      </c>
      <c r="J3119" s="161" t="s">
        <v>19202</v>
      </c>
      <c r="K3119" t="s">
        <v>19203</v>
      </c>
      <c r="L3119" t="s">
        <v>16241</v>
      </c>
      <c r="M3119" s="161" t="s">
        <v>19202</v>
      </c>
    </row>
    <row r="3120" spans="9:13" x14ac:dyDescent="0.25">
      <c r="I3120" t="s">
        <v>17058</v>
      </c>
      <c r="J3120" s="161" t="s">
        <v>19202</v>
      </c>
      <c r="K3120" t="s">
        <v>19203</v>
      </c>
      <c r="L3120" t="s">
        <v>17057</v>
      </c>
      <c r="M3120" s="161" t="s">
        <v>19202</v>
      </c>
    </row>
    <row r="3121" spans="9:13" x14ac:dyDescent="0.25">
      <c r="I3121" t="s">
        <v>16240</v>
      </c>
      <c r="J3121" s="161" t="s">
        <v>19202</v>
      </c>
      <c r="K3121" t="s">
        <v>19203</v>
      </c>
      <c r="L3121" t="s">
        <v>15082</v>
      </c>
      <c r="M3121" s="161" t="s">
        <v>19202</v>
      </c>
    </row>
    <row r="3122" spans="9:13" x14ac:dyDescent="0.25">
      <c r="I3122" t="s">
        <v>16470</v>
      </c>
      <c r="J3122" s="161" t="s">
        <v>19202</v>
      </c>
      <c r="K3122" t="s">
        <v>19203</v>
      </c>
      <c r="L3122" t="s">
        <v>1108</v>
      </c>
      <c r="M3122" s="161" t="s">
        <v>19202</v>
      </c>
    </row>
    <row r="3123" spans="9:13" x14ac:dyDescent="0.25">
      <c r="I3123" t="s">
        <v>17056</v>
      </c>
      <c r="J3123" s="161" t="s">
        <v>19202</v>
      </c>
      <c r="K3123" t="s">
        <v>19203</v>
      </c>
      <c r="L3123" t="s">
        <v>17055</v>
      </c>
      <c r="M3123" s="161" t="s">
        <v>19202</v>
      </c>
    </row>
    <row r="3124" spans="9:13" x14ac:dyDescent="0.25">
      <c r="I3124" t="s">
        <v>16073</v>
      </c>
      <c r="J3124" s="161" t="s">
        <v>19202</v>
      </c>
      <c r="K3124" t="s">
        <v>19203</v>
      </c>
      <c r="L3124" t="s">
        <v>758</v>
      </c>
      <c r="M3124" s="161" t="s">
        <v>19202</v>
      </c>
    </row>
    <row r="3125" spans="9:13" x14ac:dyDescent="0.25">
      <c r="I3125" t="s">
        <v>5852</v>
      </c>
      <c r="J3125" s="161" t="s">
        <v>19202</v>
      </c>
      <c r="K3125" t="s">
        <v>19203</v>
      </c>
      <c r="L3125" t="s">
        <v>5851</v>
      </c>
      <c r="M3125" s="161" t="s">
        <v>19202</v>
      </c>
    </row>
    <row r="3126" spans="9:13" x14ac:dyDescent="0.25">
      <c r="I3126" t="s">
        <v>12398</v>
      </c>
      <c r="J3126" s="161" t="s">
        <v>19202</v>
      </c>
      <c r="K3126" t="s">
        <v>19203</v>
      </c>
      <c r="L3126" t="s">
        <v>12397</v>
      </c>
      <c r="M3126" s="161" t="s">
        <v>19202</v>
      </c>
    </row>
    <row r="3127" spans="9:13" x14ac:dyDescent="0.25">
      <c r="I3127" t="s">
        <v>15412</v>
      </c>
      <c r="J3127" s="161" t="s">
        <v>19202</v>
      </c>
      <c r="K3127" t="s">
        <v>19203</v>
      </c>
      <c r="L3127" t="s">
        <v>2116</v>
      </c>
      <c r="M3127" s="161" t="s">
        <v>19202</v>
      </c>
    </row>
    <row r="3128" spans="9:13" x14ac:dyDescent="0.25">
      <c r="I3128" t="s">
        <v>19610</v>
      </c>
      <c r="J3128" s="161" t="s">
        <v>19202</v>
      </c>
      <c r="K3128" t="s">
        <v>19203</v>
      </c>
      <c r="L3128" t="s">
        <v>13369</v>
      </c>
      <c r="M3128" s="161" t="s">
        <v>19202</v>
      </c>
    </row>
    <row r="3129" spans="9:13" x14ac:dyDescent="0.25">
      <c r="I3129" t="s">
        <v>19611</v>
      </c>
      <c r="J3129" s="161" t="s">
        <v>19202</v>
      </c>
      <c r="K3129" t="s">
        <v>19203</v>
      </c>
      <c r="L3129" t="s">
        <v>19612</v>
      </c>
      <c r="M3129" s="161" t="s">
        <v>19202</v>
      </c>
    </row>
    <row r="3130" spans="9:13" x14ac:dyDescent="0.25">
      <c r="I3130" t="s">
        <v>19613</v>
      </c>
      <c r="J3130" s="161" t="s">
        <v>19202</v>
      </c>
      <c r="K3130" t="s">
        <v>19203</v>
      </c>
      <c r="L3130" t="s">
        <v>19614</v>
      </c>
      <c r="M3130" s="161" t="s">
        <v>19202</v>
      </c>
    </row>
    <row r="3131" spans="9:13" x14ac:dyDescent="0.25">
      <c r="I3131" t="s">
        <v>9967</v>
      </c>
      <c r="J3131" s="161" t="s">
        <v>19202</v>
      </c>
      <c r="K3131" t="s">
        <v>19203</v>
      </c>
      <c r="L3131" t="s">
        <v>9966</v>
      </c>
      <c r="M3131" s="161" t="s">
        <v>19202</v>
      </c>
    </row>
    <row r="3132" spans="9:13" x14ac:dyDescent="0.25">
      <c r="I3132" t="s">
        <v>8074</v>
      </c>
      <c r="J3132" s="161" t="s">
        <v>19202</v>
      </c>
      <c r="K3132" t="s">
        <v>19203</v>
      </c>
      <c r="L3132" t="s">
        <v>8073</v>
      </c>
      <c r="M3132" s="161" t="s">
        <v>19202</v>
      </c>
    </row>
    <row r="3133" spans="9:13" x14ac:dyDescent="0.25">
      <c r="I3133" t="s">
        <v>19615</v>
      </c>
      <c r="J3133" s="161" t="s">
        <v>19202</v>
      </c>
      <c r="K3133" t="s">
        <v>19203</v>
      </c>
      <c r="L3133" t="s">
        <v>5519</v>
      </c>
      <c r="M3133" s="161" t="s">
        <v>19202</v>
      </c>
    </row>
    <row r="3134" spans="9:13" x14ac:dyDescent="0.25">
      <c r="I3134" t="s">
        <v>17984</v>
      </c>
      <c r="J3134" s="161" t="s">
        <v>19202</v>
      </c>
      <c r="K3134" t="s">
        <v>19203</v>
      </c>
      <c r="L3134" t="s">
        <v>17983</v>
      </c>
      <c r="M3134" s="161" t="s">
        <v>19202</v>
      </c>
    </row>
    <row r="3135" spans="9:13" x14ac:dyDescent="0.25">
      <c r="I3135" t="s">
        <v>14034</v>
      </c>
      <c r="J3135" s="161" t="s">
        <v>19202</v>
      </c>
      <c r="K3135" t="s">
        <v>19203</v>
      </c>
      <c r="L3135" t="s">
        <v>14033</v>
      </c>
      <c r="M3135" s="161" t="s">
        <v>19202</v>
      </c>
    </row>
    <row r="3136" spans="9:13" x14ac:dyDescent="0.25">
      <c r="I3136" t="s">
        <v>17220</v>
      </c>
      <c r="J3136" s="161" t="s">
        <v>19202</v>
      </c>
      <c r="K3136" t="s">
        <v>19203</v>
      </c>
      <c r="L3136" t="s">
        <v>17219</v>
      </c>
      <c r="M3136" s="161" t="s">
        <v>19202</v>
      </c>
    </row>
    <row r="3137" spans="9:13" x14ac:dyDescent="0.25">
      <c r="I3137" t="s">
        <v>19616</v>
      </c>
      <c r="J3137" s="161" t="s">
        <v>19202</v>
      </c>
      <c r="K3137" t="s">
        <v>19203</v>
      </c>
      <c r="L3137" t="s">
        <v>612</v>
      </c>
      <c r="M3137" s="161" t="s">
        <v>19202</v>
      </c>
    </row>
    <row r="3138" spans="9:13" x14ac:dyDescent="0.25">
      <c r="I3138" t="s">
        <v>3621</v>
      </c>
      <c r="J3138" s="161" t="s">
        <v>19202</v>
      </c>
      <c r="K3138" t="s">
        <v>19203</v>
      </c>
      <c r="L3138" t="s">
        <v>3620</v>
      </c>
      <c r="M3138" s="161" t="s">
        <v>19202</v>
      </c>
    </row>
    <row r="3139" spans="9:13" x14ac:dyDescent="0.25">
      <c r="I3139" t="s">
        <v>19617</v>
      </c>
      <c r="J3139" s="161" t="s">
        <v>19202</v>
      </c>
      <c r="K3139" t="s">
        <v>19203</v>
      </c>
      <c r="L3139" t="s">
        <v>19618</v>
      </c>
      <c r="M3139" s="161" t="s">
        <v>19202</v>
      </c>
    </row>
    <row r="3140" spans="9:13" x14ac:dyDescent="0.25">
      <c r="I3140" t="s">
        <v>13854</v>
      </c>
      <c r="J3140" s="161" t="s">
        <v>19202</v>
      </c>
      <c r="K3140" t="s">
        <v>19203</v>
      </c>
      <c r="L3140" t="s">
        <v>13853</v>
      </c>
      <c r="M3140" s="161" t="s">
        <v>19202</v>
      </c>
    </row>
    <row r="3141" spans="9:13" x14ac:dyDescent="0.25">
      <c r="I3141" t="s">
        <v>1122</v>
      </c>
      <c r="J3141" s="161" t="s">
        <v>19202</v>
      </c>
      <c r="K3141" t="s">
        <v>19203</v>
      </c>
      <c r="L3141" t="s">
        <v>1121</v>
      </c>
      <c r="M3141" s="161" t="s">
        <v>19202</v>
      </c>
    </row>
    <row r="3142" spans="9:13" x14ac:dyDescent="0.25">
      <c r="I3142" t="s">
        <v>4704</v>
      </c>
      <c r="J3142" s="161" t="s">
        <v>19202</v>
      </c>
      <c r="K3142" t="s">
        <v>19203</v>
      </c>
      <c r="L3142" t="s">
        <v>4703</v>
      </c>
      <c r="M3142" s="161" t="s">
        <v>19202</v>
      </c>
    </row>
    <row r="3143" spans="9:13" x14ac:dyDescent="0.25">
      <c r="I3143" t="s">
        <v>17423</v>
      </c>
      <c r="J3143" s="161" t="s">
        <v>19202</v>
      </c>
      <c r="K3143" t="s">
        <v>19203</v>
      </c>
      <c r="L3143" t="s">
        <v>17422</v>
      </c>
      <c r="M3143" s="161" t="s">
        <v>19202</v>
      </c>
    </row>
    <row r="3144" spans="9:13" x14ac:dyDescent="0.25">
      <c r="I3144" t="s">
        <v>3697</v>
      </c>
      <c r="J3144" s="161" t="s">
        <v>19202</v>
      </c>
      <c r="K3144" t="s">
        <v>19203</v>
      </c>
      <c r="L3144" t="s">
        <v>3696</v>
      </c>
      <c r="M3144" s="161" t="s">
        <v>19202</v>
      </c>
    </row>
    <row r="3145" spans="9:13" x14ac:dyDescent="0.25">
      <c r="I3145" t="s">
        <v>6125</v>
      </c>
      <c r="J3145" s="161" t="s">
        <v>19202</v>
      </c>
      <c r="K3145" t="s">
        <v>19203</v>
      </c>
      <c r="L3145" t="s">
        <v>6124</v>
      </c>
      <c r="M3145" s="161" t="s">
        <v>19202</v>
      </c>
    </row>
    <row r="3146" spans="9:13" x14ac:dyDescent="0.25">
      <c r="I3146" t="s">
        <v>3709</v>
      </c>
      <c r="J3146" s="161" t="s">
        <v>19202</v>
      </c>
      <c r="K3146" t="s">
        <v>19203</v>
      </c>
      <c r="L3146" t="s">
        <v>3708</v>
      </c>
      <c r="M3146" s="161" t="s">
        <v>19202</v>
      </c>
    </row>
    <row r="3147" spans="9:13" x14ac:dyDescent="0.25">
      <c r="I3147" t="s">
        <v>15555</v>
      </c>
      <c r="J3147" s="161" t="s">
        <v>19202</v>
      </c>
      <c r="K3147" t="s">
        <v>19203</v>
      </c>
      <c r="L3147" t="s">
        <v>15554</v>
      </c>
      <c r="M3147" s="161" t="s">
        <v>19202</v>
      </c>
    </row>
    <row r="3148" spans="9:13" x14ac:dyDescent="0.25">
      <c r="I3148" t="s">
        <v>5862</v>
      </c>
      <c r="J3148" s="161" t="s">
        <v>19202</v>
      </c>
      <c r="K3148" t="s">
        <v>19203</v>
      </c>
      <c r="L3148" t="s">
        <v>5861</v>
      </c>
      <c r="M3148" s="161" t="s">
        <v>19202</v>
      </c>
    </row>
    <row r="3149" spans="9:13" x14ac:dyDescent="0.25">
      <c r="I3149" t="s">
        <v>15255</v>
      </c>
      <c r="J3149" s="161" t="s">
        <v>19202</v>
      </c>
      <c r="K3149" t="s">
        <v>19203</v>
      </c>
      <c r="L3149" t="s">
        <v>15254</v>
      </c>
      <c r="M3149" s="161" t="s">
        <v>19202</v>
      </c>
    </row>
    <row r="3150" spans="9:13" x14ac:dyDescent="0.25">
      <c r="I3150" t="s">
        <v>6805</v>
      </c>
      <c r="J3150" s="161" t="s">
        <v>19202</v>
      </c>
      <c r="K3150" t="s">
        <v>19203</v>
      </c>
      <c r="L3150" t="s">
        <v>6804</v>
      </c>
      <c r="M3150" s="161" t="s">
        <v>19202</v>
      </c>
    </row>
    <row r="3151" spans="9:13" x14ac:dyDescent="0.25">
      <c r="I3151" t="s">
        <v>6697</v>
      </c>
      <c r="J3151" s="161" t="s">
        <v>19202</v>
      </c>
      <c r="K3151" t="s">
        <v>19203</v>
      </c>
      <c r="L3151" t="s">
        <v>6696</v>
      </c>
      <c r="M3151" s="161" t="s">
        <v>19202</v>
      </c>
    </row>
    <row r="3152" spans="9:13" x14ac:dyDescent="0.25">
      <c r="I3152" t="s">
        <v>5858</v>
      </c>
      <c r="J3152" s="161" t="s">
        <v>19202</v>
      </c>
      <c r="K3152" t="s">
        <v>19203</v>
      </c>
      <c r="L3152" t="s">
        <v>5857</v>
      </c>
      <c r="M3152" s="161" t="s">
        <v>19202</v>
      </c>
    </row>
    <row r="3153" spans="9:13" x14ac:dyDescent="0.25">
      <c r="I3153" t="s">
        <v>6671</v>
      </c>
      <c r="J3153" s="161" t="s">
        <v>19202</v>
      </c>
      <c r="K3153" t="s">
        <v>19203</v>
      </c>
      <c r="L3153" t="s">
        <v>6670</v>
      </c>
      <c r="M3153" s="161" t="s">
        <v>19202</v>
      </c>
    </row>
    <row r="3154" spans="9:13" x14ac:dyDescent="0.25">
      <c r="I3154" t="s">
        <v>6669</v>
      </c>
      <c r="J3154" s="161" t="s">
        <v>19202</v>
      </c>
      <c r="K3154" t="s">
        <v>19203</v>
      </c>
      <c r="L3154" t="s">
        <v>592</v>
      </c>
      <c r="M3154" s="161" t="s">
        <v>19202</v>
      </c>
    </row>
    <row r="3155" spans="9:13" x14ac:dyDescent="0.25">
      <c r="I3155" t="s">
        <v>6668</v>
      </c>
      <c r="J3155" s="161" t="s">
        <v>19202</v>
      </c>
      <c r="K3155" t="s">
        <v>19203</v>
      </c>
      <c r="L3155" t="s">
        <v>6667</v>
      </c>
      <c r="M3155" s="161" t="s">
        <v>19202</v>
      </c>
    </row>
    <row r="3156" spans="9:13" x14ac:dyDescent="0.25">
      <c r="I3156" t="s">
        <v>6662</v>
      </c>
      <c r="J3156" s="161" t="s">
        <v>19202</v>
      </c>
      <c r="K3156" t="s">
        <v>19203</v>
      </c>
      <c r="L3156" t="s">
        <v>6661</v>
      </c>
      <c r="M3156" s="161" t="s">
        <v>19202</v>
      </c>
    </row>
    <row r="3157" spans="9:13" x14ac:dyDescent="0.25">
      <c r="I3157" t="s">
        <v>5826</v>
      </c>
      <c r="J3157" s="161" t="s">
        <v>19202</v>
      </c>
      <c r="K3157" t="s">
        <v>19203</v>
      </c>
      <c r="L3157" t="s">
        <v>5825</v>
      </c>
      <c r="M3157" s="161" t="s">
        <v>19202</v>
      </c>
    </row>
    <row r="3158" spans="9:13" x14ac:dyDescent="0.25">
      <c r="I3158" t="s">
        <v>5860</v>
      </c>
      <c r="J3158" s="161" t="s">
        <v>19202</v>
      </c>
      <c r="K3158" t="s">
        <v>19203</v>
      </c>
      <c r="L3158" t="s">
        <v>5859</v>
      </c>
      <c r="M3158" s="161" t="s">
        <v>19202</v>
      </c>
    </row>
    <row r="3159" spans="9:13" x14ac:dyDescent="0.25">
      <c r="I3159" t="s">
        <v>5824</v>
      </c>
      <c r="J3159" s="161" t="s">
        <v>19202</v>
      </c>
      <c r="K3159" t="s">
        <v>19203</v>
      </c>
      <c r="L3159" t="s">
        <v>5823</v>
      </c>
      <c r="M3159" s="161" t="s">
        <v>19202</v>
      </c>
    </row>
    <row r="3160" spans="9:13" x14ac:dyDescent="0.25">
      <c r="I3160" t="s">
        <v>5814</v>
      </c>
      <c r="J3160" s="161" t="s">
        <v>19202</v>
      </c>
      <c r="K3160" t="s">
        <v>19203</v>
      </c>
      <c r="L3160" t="s">
        <v>5813</v>
      </c>
      <c r="M3160" s="161" t="s">
        <v>19202</v>
      </c>
    </row>
    <row r="3161" spans="9:13" x14ac:dyDescent="0.25">
      <c r="I3161" t="s">
        <v>5812</v>
      </c>
      <c r="J3161" s="161" t="s">
        <v>19202</v>
      </c>
      <c r="K3161" t="s">
        <v>19203</v>
      </c>
      <c r="L3161" t="s">
        <v>5811</v>
      </c>
      <c r="M3161" s="161" t="s">
        <v>19202</v>
      </c>
    </row>
    <row r="3162" spans="9:13" x14ac:dyDescent="0.25">
      <c r="I3162" t="s">
        <v>19619</v>
      </c>
      <c r="J3162" s="161" t="s">
        <v>19202</v>
      </c>
      <c r="K3162" t="s">
        <v>19203</v>
      </c>
      <c r="L3162" t="s">
        <v>19620</v>
      </c>
      <c r="M3162" s="161" t="s">
        <v>19202</v>
      </c>
    </row>
    <row r="3163" spans="9:13" x14ac:dyDescent="0.25">
      <c r="I3163" t="s">
        <v>19621</v>
      </c>
      <c r="J3163" s="161" t="s">
        <v>19202</v>
      </c>
      <c r="K3163" t="s">
        <v>19203</v>
      </c>
      <c r="L3163" t="s">
        <v>19622</v>
      </c>
      <c r="M3163" s="161" t="s">
        <v>19202</v>
      </c>
    </row>
    <row r="3164" spans="9:13" x14ac:dyDescent="0.25">
      <c r="I3164" t="s">
        <v>6666</v>
      </c>
      <c r="J3164" s="161" t="s">
        <v>19202</v>
      </c>
      <c r="K3164" t="s">
        <v>19203</v>
      </c>
      <c r="L3164" t="s">
        <v>6665</v>
      </c>
      <c r="M3164" s="161" t="s">
        <v>19202</v>
      </c>
    </row>
    <row r="3165" spans="9:13" x14ac:dyDescent="0.25">
      <c r="I3165" t="s">
        <v>13368</v>
      </c>
      <c r="J3165" s="161" t="s">
        <v>19202</v>
      </c>
      <c r="K3165" t="s">
        <v>19203</v>
      </c>
      <c r="L3165" t="s">
        <v>13367</v>
      </c>
      <c r="M3165" s="161" t="s">
        <v>19202</v>
      </c>
    </row>
    <row r="3166" spans="9:13" x14ac:dyDescent="0.25">
      <c r="I3166" t="s">
        <v>13366</v>
      </c>
      <c r="J3166" s="161" t="s">
        <v>19202</v>
      </c>
      <c r="K3166" t="s">
        <v>19203</v>
      </c>
      <c r="L3166" t="s">
        <v>808</v>
      </c>
      <c r="M3166" s="161" t="s">
        <v>19202</v>
      </c>
    </row>
    <row r="3167" spans="9:13" x14ac:dyDescent="0.25">
      <c r="I3167" t="s">
        <v>1298</v>
      </c>
      <c r="J3167" s="161" t="s">
        <v>19202</v>
      </c>
      <c r="K3167" t="s">
        <v>19203</v>
      </c>
      <c r="L3167" t="s">
        <v>1297</v>
      </c>
      <c r="M3167" s="161" t="s">
        <v>19202</v>
      </c>
    </row>
    <row r="3168" spans="9:13" x14ac:dyDescent="0.25">
      <c r="I3168" t="s">
        <v>16157</v>
      </c>
      <c r="J3168" s="161" t="s">
        <v>19202</v>
      </c>
      <c r="K3168" t="s">
        <v>19203</v>
      </c>
      <c r="L3168" t="s">
        <v>3949</v>
      </c>
      <c r="M3168" s="161" t="s">
        <v>19202</v>
      </c>
    </row>
    <row r="3169" spans="9:13" x14ac:dyDescent="0.25">
      <c r="I3169" t="s">
        <v>15974</v>
      </c>
      <c r="J3169" s="161" t="s">
        <v>19202</v>
      </c>
      <c r="K3169" t="s">
        <v>19203</v>
      </c>
      <c r="L3169" t="s">
        <v>1350</v>
      </c>
      <c r="M3169" s="161" t="s">
        <v>19202</v>
      </c>
    </row>
    <row r="3170" spans="9:13" x14ac:dyDescent="0.25">
      <c r="I3170" t="s">
        <v>16510</v>
      </c>
      <c r="J3170" s="161" t="s">
        <v>19202</v>
      </c>
      <c r="K3170" t="s">
        <v>19203</v>
      </c>
      <c r="L3170" t="s">
        <v>1208</v>
      </c>
      <c r="M3170" s="161" t="s">
        <v>19202</v>
      </c>
    </row>
    <row r="3171" spans="9:13" x14ac:dyDescent="0.25">
      <c r="I3171" t="s">
        <v>16509</v>
      </c>
      <c r="J3171" s="161" t="s">
        <v>19202</v>
      </c>
      <c r="K3171" t="s">
        <v>19203</v>
      </c>
      <c r="L3171" t="s">
        <v>16508</v>
      </c>
      <c r="M3171" s="161" t="s">
        <v>19202</v>
      </c>
    </row>
    <row r="3172" spans="9:13" x14ac:dyDescent="0.25">
      <c r="I3172" t="s">
        <v>13945</v>
      </c>
      <c r="J3172" s="161" t="s">
        <v>19202</v>
      </c>
      <c r="K3172" t="s">
        <v>19203</v>
      </c>
      <c r="L3172" t="s">
        <v>13944</v>
      </c>
      <c r="M3172" s="161" t="s">
        <v>19202</v>
      </c>
    </row>
    <row r="3173" spans="9:13" x14ac:dyDescent="0.25">
      <c r="I3173" t="s">
        <v>16347</v>
      </c>
      <c r="J3173" s="161" t="s">
        <v>19202</v>
      </c>
      <c r="K3173" t="s">
        <v>19203</v>
      </c>
      <c r="L3173" t="s">
        <v>970</v>
      </c>
      <c r="M3173" s="161" t="s">
        <v>19202</v>
      </c>
    </row>
    <row r="3174" spans="9:13" x14ac:dyDescent="0.25">
      <c r="I3174" t="s">
        <v>13334</v>
      </c>
      <c r="J3174" s="161" t="s">
        <v>19202</v>
      </c>
      <c r="K3174" t="s">
        <v>19203</v>
      </c>
      <c r="L3174" t="s">
        <v>934</v>
      </c>
      <c r="M3174" s="161" t="s">
        <v>19202</v>
      </c>
    </row>
    <row r="3175" spans="9:13" x14ac:dyDescent="0.25">
      <c r="I3175" t="s">
        <v>11913</v>
      </c>
      <c r="J3175" s="161" t="s">
        <v>19202</v>
      </c>
      <c r="K3175" t="s">
        <v>19203</v>
      </c>
      <c r="L3175" t="s">
        <v>11912</v>
      </c>
      <c r="M3175" s="161" t="s">
        <v>19202</v>
      </c>
    </row>
    <row r="3176" spans="9:13" x14ac:dyDescent="0.25">
      <c r="I3176" t="s">
        <v>11911</v>
      </c>
      <c r="J3176" s="161" t="s">
        <v>19202</v>
      </c>
      <c r="K3176" t="s">
        <v>19203</v>
      </c>
      <c r="L3176" t="s">
        <v>11910</v>
      </c>
      <c r="M3176" s="161" t="s">
        <v>19202</v>
      </c>
    </row>
    <row r="3177" spans="9:13" x14ac:dyDescent="0.25">
      <c r="I3177" t="s">
        <v>17792</v>
      </c>
      <c r="J3177" s="161" t="s">
        <v>19202</v>
      </c>
      <c r="K3177" t="s">
        <v>19203</v>
      </c>
      <c r="L3177" t="s">
        <v>17791</v>
      </c>
      <c r="M3177" s="161" t="s">
        <v>19202</v>
      </c>
    </row>
    <row r="3178" spans="9:13" x14ac:dyDescent="0.25">
      <c r="I3178" t="s">
        <v>13514</v>
      </c>
      <c r="J3178" s="161" t="s">
        <v>19202</v>
      </c>
      <c r="K3178" t="s">
        <v>19203</v>
      </c>
      <c r="L3178" t="s">
        <v>13513</v>
      </c>
      <c r="M3178" s="161" t="s">
        <v>19202</v>
      </c>
    </row>
    <row r="3179" spans="9:13" x14ac:dyDescent="0.25">
      <c r="I3179" t="s">
        <v>13512</v>
      </c>
      <c r="J3179" s="161" t="s">
        <v>19202</v>
      </c>
      <c r="K3179" t="s">
        <v>19203</v>
      </c>
      <c r="L3179" t="s">
        <v>13511</v>
      </c>
      <c r="M3179" s="161" t="s">
        <v>19202</v>
      </c>
    </row>
    <row r="3180" spans="9:13" x14ac:dyDescent="0.25">
      <c r="I3180" t="s">
        <v>13510</v>
      </c>
      <c r="J3180" s="161" t="s">
        <v>19202</v>
      </c>
      <c r="K3180" t="s">
        <v>19203</v>
      </c>
      <c r="L3180" t="s">
        <v>13509</v>
      </c>
      <c r="M3180" s="161" t="s">
        <v>19202</v>
      </c>
    </row>
    <row r="3181" spans="9:13" x14ac:dyDescent="0.25">
      <c r="I3181" t="s">
        <v>13508</v>
      </c>
      <c r="J3181" s="161" t="s">
        <v>19202</v>
      </c>
      <c r="K3181" t="s">
        <v>19203</v>
      </c>
      <c r="L3181" t="s">
        <v>13507</v>
      </c>
      <c r="M3181" s="161" t="s">
        <v>19202</v>
      </c>
    </row>
    <row r="3182" spans="9:13" x14ac:dyDescent="0.25">
      <c r="I3182" t="s">
        <v>13042</v>
      </c>
      <c r="J3182" s="161" t="s">
        <v>19202</v>
      </c>
      <c r="K3182" t="s">
        <v>19203</v>
      </c>
      <c r="L3182" t="s">
        <v>13041</v>
      </c>
      <c r="M3182" s="161" t="s">
        <v>19202</v>
      </c>
    </row>
    <row r="3183" spans="9:13" x14ac:dyDescent="0.25">
      <c r="I3183" t="s">
        <v>13506</v>
      </c>
      <c r="J3183" s="161" t="s">
        <v>19202</v>
      </c>
      <c r="K3183" t="s">
        <v>19203</v>
      </c>
      <c r="L3183" t="s">
        <v>13505</v>
      </c>
      <c r="M3183" s="161" t="s">
        <v>19202</v>
      </c>
    </row>
    <row r="3184" spans="9:13" x14ac:dyDescent="0.25">
      <c r="I3184" t="s">
        <v>5820</v>
      </c>
      <c r="J3184" s="161" t="s">
        <v>19202</v>
      </c>
      <c r="K3184" t="s">
        <v>19203</v>
      </c>
      <c r="L3184" t="s">
        <v>5819</v>
      </c>
      <c r="M3184" s="161" t="s">
        <v>19202</v>
      </c>
    </row>
    <row r="3185" spans="9:13" x14ac:dyDescent="0.25">
      <c r="I3185" t="s">
        <v>3701</v>
      </c>
      <c r="J3185" s="161" t="s">
        <v>19202</v>
      </c>
      <c r="K3185" t="s">
        <v>19203</v>
      </c>
      <c r="L3185" t="s">
        <v>500</v>
      </c>
      <c r="M3185" s="161" t="s">
        <v>19202</v>
      </c>
    </row>
    <row r="3186" spans="9:13" x14ac:dyDescent="0.25">
      <c r="I3186" t="s">
        <v>13909</v>
      </c>
      <c r="J3186" s="161" t="s">
        <v>19202</v>
      </c>
      <c r="K3186" t="s">
        <v>19203</v>
      </c>
      <c r="L3186" t="s">
        <v>13908</v>
      </c>
      <c r="M3186" s="161" t="s">
        <v>19202</v>
      </c>
    </row>
    <row r="3187" spans="9:13" x14ac:dyDescent="0.25">
      <c r="I3187" t="s">
        <v>19623</v>
      </c>
      <c r="J3187" s="161" t="s">
        <v>19202</v>
      </c>
      <c r="K3187" t="s">
        <v>19203</v>
      </c>
      <c r="L3187" t="s">
        <v>19624</v>
      </c>
      <c r="M3187" s="161" t="s">
        <v>19202</v>
      </c>
    </row>
    <row r="3188" spans="9:13" x14ac:dyDescent="0.25">
      <c r="I3188" t="s">
        <v>7332</v>
      </c>
      <c r="J3188" s="161" t="s">
        <v>19202</v>
      </c>
      <c r="K3188" t="s">
        <v>19203</v>
      </c>
      <c r="L3188" t="s">
        <v>7331</v>
      </c>
      <c r="M3188" s="161" t="s">
        <v>19202</v>
      </c>
    </row>
    <row r="3189" spans="9:13" x14ac:dyDescent="0.25">
      <c r="I3189" t="s">
        <v>15378</v>
      </c>
      <c r="J3189" s="161" t="s">
        <v>19202</v>
      </c>
      <c r="K3189" t="s">
        <v>19203</v>
      </c>
      <c r="L3189" t="s">
        <v>1344</v>
      </c>
      <c r="M3189" s="161" t="s">
        <v>19202</v>
      </c>
    </row>
    <row r="3190" spans="9:13" x14ac:dyDescent="0.25">
      <c r="I3190" t="s">
        <v>6841</v>
      </c>
      <c r="J3190" s="161" t="s">
        <v>19202</v>
      </c>
      <c r="K3190" t="s">
        <v>19203</v>
      </c>
      <c r="L3190" t="s">
        <v>6840</v>
      </c>
      <c r="M3190" s="161" t="s">
        <v>19202</v>
      </c>
    </row>
    <row r="3191" spans="9:13" x14ac:dyDescent="0.25">
      <c r="I3191" t="s">
        <v>1543</v>
      </c>
      <c r="J3191" s="161" t="s">
        <v>19202</v>
      </c>
      <c r="K3191" t="s">
        <v>19203</v>
      </c>
      <c r="L3191" t="s">
        <v>17461</v>
      </c>
      <c r="M3191" s="161" t="s">
        <v>19202</v>
      </c>
    </row>
    <row r="3192" spans="9:13" x14ac:dyDescent="0.25">
      <c r="I3192" t="s">
        <v>3283</v>
      </c>
      <c r="J3192" s="161" t="s">
        <v>19202</v>
      </c>
      <c r="K3192" t="s">
        <v>19203</v>
      </c>
      <c r="L3192" t="s">
        <v>3282</v>
      </c>
      <c r="M3192" s="161" t="s">
        <v>19202</v>
      </c>
    </row>
    <row r="3193" spans="9:13" x14ac:dyDescent="0.25">
      <c r="I3193" t="s">
        <v>4909</v>
      </c>
      <c r="J3193" s="161" t="s">
        <v>19202</v>
      </c>
      <c r="K3193" t="s">
        <v>19203</v>
      </c>
      <c r="L3193" t="s">
        <v>4908</v>
      </c>
      <c r="M3193" s="161" t="s">
        <v>19202</v>
      </c>
    </row>
    <row r="3194" spans="9:13" x14ac:dyDescent="0.25">
      <c r="I3194" t="s">
        <v>4956</v>
      </c>
      <c r="J3194" s="161" t="s">
        <v>19202</v>
      </c>
      <c r="K3194" t="s">
        <v>19203</v>
      </c>
      <c r="L3194" t="s">
        <v>4955</v>
      </c>
      <c r="M3194" s="161" t="s">
        <v>19202</v>
      </c>
    </row>
    <row r="3195" spans="9:13" x14ac:dyDescent="0.25">
      <c r="I3195" t="s">
        <v>11915</v>
      </c>
      <c r="J3195" s="161" t="s">
        <v>19202</v>
      </c>
      <c r="K3195" t="s">
        <v>19203</v>
      </c>
      <c r="L3195" t="s">
        <v>11914</v>
      </c>
      <c r="M3195" s="161" t="s">
        <v>19202</v>
      </c>
    </row>
    <row r="3196" spans="9:13" x14ac:dyDescent="0.25">
      <c r="I3196" t="s">
        <v>6672</v>
      </c>
      <c r="J3196" s="161" t="s">
        <v>19202</v>
      </c>
      <c r="K3196" t="s">
        <v>19203</v>
      </c>
      <c r="L3196" t="s">
        <v>6451</v>
      </c>
      <c r="M3196" s="161" t="s">
        <v>19202</v>
      </c>
    </row>
    <row r="3197" spans="9:13" x14ac:dyDescent="0.25">
      <c r="I3197" t="s">
        <v>4164</v>
      </c>
      <c r="J3197" s="161" t="s">
        <v>19202</v>
      </c>
      <c r="K3197" t="s">
        <v>19203</v>
      </c>
      <c r="L3197" t="s">
        <v>4163</v>
      </c>
      <c r="M3197" s="161" t="s">
        <v>19202</v>
      </c>
    </row>
    <row r="3198" spans="9:13" x14ac:dyDescent="0.25">
      <c r="I3198" t="s">
        <v>4211</v>
      </c>
      <c r="J3198" s="161" t="s">
        <v>19202</v>
      </c>
      <c r="K3198" t="s">
        <v>19203</v>
      </c>
      <c r="L3198" t="s">
        <v>4210</v>
      </c>
      <c r="M3198" s="161" t="s">
        <v>19202</v>
      </c>
    </row>
    <row r="3199" spans="9:13" x14ac:dyDescent="0.25">
      <c r="I3199" t="s">
        <v>16275</v>
      </c>
      <c r="J3199" s="161" t="s">
        <v>19202</v>
      </c>
      <c r="K3199" t="s">
        <v>19203</v>
      </c>
      <c r="L3199" t="s">
        <v>15143</v>
      </c>
      <c r="M3199" s="161" t="s">
        <v>19202</v>
      </c>
    </row>
    <row r="3200" spans="9:13" x14ac:dyDescent="0.25">
      <c r="I3200" t="s">
        <v>4293</v>
      </c>
      <c r="J3200" s="161" t="s">
        <v>19202</v>
      </c>
      <c r="K3200" t="s">
        <v>19203</v>
      </c>
      <c r="L3200" t="s">
        <v>4292</v>
      </c>
      <c r="M3200" s="161" t="s">
        <v>19202</v>
      </c>
    </row>
    <row r="3201" spans="9:13" x14ac:dyDescent="0.25">
      <c r="I3201" t="s">
        <v>10011</v>
      </c>
      <c r="J3201" s="161" t="s">
        <v>19202</v>
      </c>
      <c r="K3201" t="s">
        <v>19203</v>
      </c>
      <c r="L3201" t="s">
        <v>10010</v>
      </c>
      <c r="M3201" s="161" t="s">
        <v>19202</v>
      </c>
    </row>
    <row r="3202" spans="9:13" x14ac:dyDescent="0.25">
      <c r="I3202" t="s">
        <v>10009</v>
      </c>
      <c r="J3202" s="161" t="s">
        <v>19202</v>
      </c>
      <c r="K3202" t="s">
        <v>19203</v>
      </c>
      <c r="L3202" t="s">
        <v>10008</v>
      </c>
      <c r="M3202" s="161" t="s">
        <v>19202</v>
      </c>
    </row>
    <row r="3203" spans="9:13" x14ac:dyDescent="0.25">
      <c r="I3203" t="s">
        <v>19625</v>
      </c>
      <c r="J3203" s="161" t="s">
        <v>19202</v>
      </c>
      <c r="K3203" t="s">
        <v>19203</v>
      </c>
      <c r="L3203" t="s">
        <v>19626</v>
      </c>
      <c r="M3203" s="161" t="s">
        <v>19202</v>
      </c>
    </row>
    <row r="3204" spans="9:13" x14ac:dyDescent="0.25">
      <c r="I3204" t="s">
        <v>15879</v>
      </c>
      <c r="J3204" s="161" t="s">
        <v>19202</v>
      </c>
      <c r="K3204" t="s">
        <v>19203</v>
      </c>
      <c r="L3204" t="s">
        <v>15878</v>
      </c>
      <c r="M3204" s="161" t="s">
        <v>19202</v>
      </c>
    </row>
    <row r="3205" spans="9:13" x14ac:dyDescent="0.25">
      <c r="I3205" t="s">
        <v>1269</v>
      </c>
      <c r="J3205" s="161" t="s">
        <v>19202</v>
      </c>
      <c r="K3205" t="s">
        <v>19203</v>
      </c>
      <c r="L3205" t="s">
        <v>1268</v>
      </c>
      <c r="M3205" s="161" t="s">
        <v>19202</v>
      </c>
    </row>
    <row r="3206" spans="9:13" x14ac:dyDescent="0.25">
      <c r="I3206" t="s">
        <v>5856</v>
      </c>
      <c r="J3206" s="161" t="s">
        <v>19202</v>
      </c>
      <c r="K3206" t="s">
        <v>19203</v>
      </c>
      <c r="L3206" t="s">
        <v>5855</v>
      </c>
      <c r="M3206" s="161" t="s">
        <v>19202</v>
      </c>
    </row>
    <row r="3207" spans="9:13" x14ac:dyDescent="0.25">
      <c r="I3207" t="s">
        <v>5822</v>
      </c>
      <c r="J3207" s="161" t="s">
        <v>19202</v>
      </c>
      <c r="K3207" t="s">
        <v>19203</v>
      </c>
      <c r="L3207" t="s">
        <v>5821</v>
      </c>
      <c r="M3207" s="161" t="s">
        <v>19202</v>
      </c>
    </row>
    <row r="3208" spans="9:13" x14ac:dyDescent="0.25">
      <c r="I3208" t="s">
        <v>13634</v>
      </c>
      <c r="J3208" s="161" t="s">
        <v>19202</v>
      </c>
      <c r="K3208" t="s">
        <v>19203</v>
      </c>
      <c r="L3208" t="s">
        <v>13633</v>
      </c>
      <c r="M3208" s="161" t="s">
        <v>19202</v>
      </c>
    </row>
    <row r="3209" spans="9:13" x14ac:dyDescent="0.25">
      <c r="I3209" t="s">
        <v>13632</v>
      </c>
      <c r="J3209" s="161" t="s">
        <v>19202</v>
      </c>
      <c r="K3209" t="s">
        <v>19203</v>
      </c>
      <c r="L3209" t="s">
        <v>5964</v>
      </c>
      <c r="M3209" s="161" t="s">
        <v>19202</v>
      </c>
    </row>
    <row r="3210" spans="9:13" x14ac:dyDescent="0.25">
      <c r="I3210" t="s">
        <v>13631</v>
      </c>
      <c r="J3210" s="161" t="s">
        <v>19202</v>
      </c>
      <c r="K3210" t="s">
        <v>19203</v>
      </c>
      <c r="L3210" t="s">
        <v>13630</v>
      </c>
      <c r="M3210" s="161" t="s">
        <v>19202</v>
      </c>
    </row>
    <row r="3211" spans="9:13" x14ac:dyDescent="0.25">
      <c r="I3211" t="s">
        <v>13629</v>
      </c>
      <c r="J3211" s="161" t="s">
        <v>19202</v>
      </c>
      <c r="K3211" t="s">
        <v>19203</v>
      </c>
      <c r="L3211" t="s">
        <v>13592</v>
      </c>
      <c r="M3211" s="161" t="s">
        <v>19202</v>
      </c>
    </row>
    <row r="3212" spans="9:13" x14ac:dyDescent="0.25">
      <c r="I3212" t="s">
        <v>13628</v>
      </c>
      <c r="J3212" s="161" t="s">
        <v>19202</v>
      </c>
      <c r="K3212" t="s">
        <v>19203</v>
      </c>
      <c r="L3212" t="s">
        <v>13627</v>
      </c>
      <c r="M3212" s="161" t="s">
        <v>19202</v>
      </c>
    </row>
    <row r="3213" spans="9:13" x14ac:dyDescent="0.25">
      <c r="I3213" t="s">
        <v>13622</v>
      </c>
      <c r="J3213" s="161" t="s">
        <v>19202</v>
      </c>
      <c r="K3213" t="s">
        <v>19203</v>
      </c>
      <c r="L3213" t="s">
        <v>13621</v>
      </c>
      <c r="M3213" s="161" t="s">
        <v>19202</v>
      </c>
    </row>
    <row r="3214" spans="9:13" x14ac:dyDescent="0.25">
      <c r="I3214" t="s">
        <v>13620</v>
      </c>
      <c r="J3214" s="161" t="s">
        <v>19202</v>
      </c>
      <c r="K3214" t="s">
        <v>19203</v>
      </c>
      <c r="L3214" t="s">
        <v>13619</v>
      </c>
      <c r="M3214" s="161" t="s">
        <v>19202</v>
      </c>
    </row>
    <row r="3215" spans="9:13" x14ac:dyDescent="0.25">
      <c r="I3215" t="s">
        <v>3101</v>
      </c>
      <c r="J3215" s="161" t="s">
        <v>19202</v>
      </c>
      <c r="K3215" t="s">
        <v>19203</v>
      </c>
      <c r="L3215" t="s">
        <v>3100</v>
      </c>
      <c r="M3215" s="161" t="s">
        <v>19202</v>
      </c>
    </row>
    <row r="3216" spans="9:13" x14ac:dyDescent="0.25">
      <c r="I3216" t="s">
        <v>13251</v>
      </c>
      <c r="J3216" s="161" t="s">
        <v>19202</v>
      </c>
      <c r="K3216" t="s">
        <v>19203</v>
      </c>
      <c r="L3216" t="s">
        <v>13250</v>
      </c>
      <c r="M3216" s="161" t="s">
        <v>19202</v>
      </c>
    </row>
    <row r="3217" spans="9:13" x14ac:dyDescent="0.25">
      <c r="I3217" t="s">
        <v>13249</v>
      </c>
      <c r="J3217" s="161" t="s">
        <v>19202</v>
      </c>
      <c r="K3217" t="s">
        <v>19203</v>
      </c>
      <c r="L3217" t="s">
        <v>13248</v>
      </c>
      <c r="M3217" s="161" t="s">
        <v>19202</v>
      </c>
    </row>
    <row r="3218" spans="9:13" x14ac:dyDescent="0.25">
      <c r="I3218" t="s">
        <v>13301</v>
      </c>
      <c r="J3218" s="161" t="s">
        <v>19202</v>
      </c>
      <c r="K3218" t="s">
        <v>19203</v>
      </c>
      <c r="L3218" t="s">
        <v>13300</v>
      </c>
      <c r="M3218" s="161" t="s">
        <v>19202</v>
      </c>
    </row>
    <row r="3219" spans="9:13" x14ac:dyDescent="0.25">
      <c r="I3219" t="s">
        <v>13299</v>
      </c>
      <c r="J3219" s="161" t="s">
        <v>19202</v>
      </c>
      <c r="K3219" t="s">
        <v>19203</v>
      </c>
      <c r="L3219" t="s">
        <v>13298</v>
      </c>
      <c r="M3219" s="161" t="s">
        <v>19202</v>
      </c>
    </row>
    <row r="3220" spans="9:13" x14ac:dyDescent="0.25">
      <c r="I3220" t="s">
        <v>13247</v>
      </c>
      <c r="J3220" s="161" t="s">
        <v>19202</v>
      </c>
      <c r="K3220" t="s">
        <v>19203</v>
      </c>
      <c r="L3220" t="s">
        <v>13246</v>
      </c>
      <c r="M3220" s="161" t="s">
        <v>19202</v>
      </c>
    </row>
    <row r="3221" spans="9:13" x14ac:dyDescent="0.25">
      <c r="I3221" t="s">
        <v>13297</v>
      </c>
      <c r="J3221" s="161" t="s">
        <v>19202</v>
      </c>
      <c r="K3221" t="s">
        <v>19203</v>
      </c>
      <c r="L3221" t="s">
        <v>2698</v>
      </c>
      <c r="M3221" s="161" t="s">
        <v>19202</v>
      </c>
    </row>
    <row r="3222" spans="9:13" x14ac:dyDescent="0.25">
      <c r="I3222" t="s">
        <v>13295</v>
      </c>
      <c r="J3222" s="161" t="s">
        <v>19202</v>
      </c>
      <c r="K3222" t="s">
        <v>19203</v>
      </c>
      <c r="L3222" t="s">
        <v>13294</v>
      </c>
      <c r="M3222" s="161" t="s">
        <v>19202</v>
      </c>
    </row>
    <row r="3223" spans="9:13" x14ac:dyDescent="0.25">
      <c r="I3223" t="s">
        <v>13243</v>
      </c>
      <c r="J3223" s="161" t="s">
        <v>19202</v>
      </c>
      <c r="K3223" t="s">
        <v>19203</v>
      </c>
      <c r="L3223" t="s">
        <v>13242</v>
      </c>
      <c r="M3223" s="161" t="s">
        <v>19202</v>
      </c>
    </row>
    <row r="3224" spans="9:13" x14ac:dyDescent="0.25">
      <c r="I3224" t="s">
        <v>13241</v>
      </c>
      <c r="J3224" s="161" t="s">
        <v>19202</v>
      </c>
      <c r="K3224" t="s">
        <v>19203</v>
      </c>
      <c r="L3224" t="s">
        <v>13240</v>
      </c>
      <c r="M3224" s="161" t="s">
        <v>19202</v>
      </c>
    </row>
    <row r="3225" spans="9:13" x14ac:dyDescent="0.25">
      <c r="I3225" t="s">
        <v>13239</v>
      </c>
      <c r="J3225" s="161" t="s">
        <v>19202</v>
      </c>
      <c r="K3225" t="s">
        <v>19203</v>
      </c>
      <c r="L3225" t="s">
        <v>13238</v>
      </c>
      <c r="M3225" s="161" t="s">
        <v>19202</v>
      </c>
    </row>
    <row r="3226" spans="9:13" x14ac:dyDescent="0.25">
      <c r="I3226" t="s">
        <v>12768</v>
      </c>
      <c r="J3226" s="161" t="s">
        <v>19202</v>
      </c>
      <c r="K3226" t="s">
        <v>19203</v>
      </c>
      <c r="L3226" t="s">
        <v>12767</v>
      </c>
      <c r="M3226" s="161" t="s">
        <v>19202</v>
      </c>
    </row>
    <row r="3227" spans="9:13" x14ac:dyDescent="0.25">
      <c r="I3227" t="s">
        <v>16239</v>
      </c>
      <c r="J3227" s="161" t="s">
        <v>19202</v>
      </c>
      <c r="K3227" t="s">
        <v>19203</v>
      </c>
      <c r="L3227" t="s">
        <v>15726</v>
      </c>
      <c r="M3227" s="161" t="s">
        <v>19202</v>
      </c>
    </row>
    <row r="3228" spans="9:13" x14ac:dyDescent="0.25">
      <c r="I3228" t="s">
        <v>13517</v>
      </c>
      <c r="J3228" s="161" t="s">
        <v>19202</v>
      </c>
      <c r="K3228" t="s">
        <v>19203</v>
      </c>
      <c r="L3228" t="s">
        <v>13516</v>
      </c>
      <c r="M3228" s="161" t="s">
        <v>19202</v>
      </c>
    </row>
    <row r="3229" spans="9:13" x14ac:dyDescent="0.25">
      <c r="I3229" t="s">
        <v>13329</v>
      </c>
      <c r="J3229" s="161" t="s">
        <v>19202</v>
      </c>
      <c r="K3229" t="s">
        <v>19203</v>
      </c>
      <c r="L3229" t="s">
        <v>2754</v>
      </c>
      <c r="M3229" s="161" t="s">
        <v>19202</v>
      </c>
    </row>
    <row r="3230" spans="9:13" x14ac:dyDescent="0.25">
      <c r="I3230" t="s">
        <v>12957</v>
      </c>
      <c r="J3230" s="161" t="s">
        <v>19202</v>
      </c>
      <c r="K3230" t="s">
        <v>19203</v>
      </c>
      <c r="L3230" t="s">
        <v>12956</v>
      </c>
      <c r="M3230" s="161" t="s">
        <v>19202</v>
      </c>
    </row>
    <row r="3231" spans="9:13" x14ac:dyDescent="0.25">
      <c r="I3231" t="s">
        <v>12873</v>
      </c>
      <c r="J3231" s="161" t="s">
        <v>19202</v>
      </c>
      <c r="K3231" t="s">
        <v>19203</v>
      </c>
      <c r="L3231" t="s">
        <v>12872</v>
      </c>
      <c r="M3231" s="161" t="s">
        <v>19202</v>
      </c>
    </row>
    <row r="3232" spans="9:13" x14ac:dyDescent="0.25">
      <c r="I3232" t="s">
        <v>19627</v>
      </c>
      <c r="J3232" s="161" t="s">
        <v>19202</v>
      </c>
      <c r="K3232" t="s">
        <v>19203</v>
      </c>
      <c r="L3232" t="s">
        <v>1208</v>
      </c>
      <c r="M3232" s="161" t="s">
        <v>19202</v>
      </c>
    </row>
    <row r="3233" spans="9:13" x14ac:dyDescent="0.25">
      <c r="I3233" t="s">
        <v>13442</v>
      </c>
      <c r="J3233" s="161" t="s">
        <v>19202</v>
      </c>
      <c r="K3233" t="s">
        <v>19203</v>
      </c>
      <c r="L3233" t="s">
        <v>13441</v>
      </c>
      <c r="M3233" s="161" t="s">
        <v>19202</v>
      </c>
    </row>
    <row r="3234" spans="9:13" x14ac:dyDescent="0.25">
      <c r="I3234" t="s">
        <v>12845</v>
      </c>
      <c r="J3234" s="161" t="s">
        <v>19202</v>
      </c>
      <c r="K3234" t="s">
        <v>19203</v>
      </c>
      <c r="L3234" t="s">
        <v>12844</v>
      </c>
      <c r="M3234" s="161" t="s">
        <v>19202</v>
      </c>
    </row>
    <row r="3235" spans="9:13" x14ac:dyDescent="0.25">
      <c r="I3235" t="s">
        <v>12843</v>
      </c>
      <c r="J3235" s="161" t="s">
        <v>19202</v>
      </c>
      <c r="K3235" t="s">
        <v>19203</v>
      </c>
      <c r="L3235" t="s">
        <v>12842</v>
      </c>
      <c r="M3235" s="161" t="s">
        <v>19202</v>
      </c>
    </row>
    <row r="3236" spans="9:13" x14ac:dyDescent="0.25">
      <c r="I3236" t="s">
        <v>12841</v>
      </c>
      <c r="J3236" s="161" t="s">
        <v>19202</v>
      </c>
      <c r="K3236" t="s">
        <v>19203</v>
      </c>
      <c r="L3236" t="s">
        <v>12840</v>
      </c>
      <c r="M3236" s="161" t="s">
        <v>19202</v>
      </c>
    </row>
    <row r="3237" spans="9:13" x14ac:dyDescent="0.25">
      <c r="I3237" t="s">
        <v>12839</v>
      </c>
      <c r="J3237" s="161" t="s">
        <v>19202</v>
      </c>
      <c r="K3237" t="s">
        <v>19203</v>
      </c>
      <c r="L3237" t="s">
        <v>12838</v>
      </c>
      <c r="M3237" s="161" t="s">
        <v>19202</v>
      </c>
    </row>
    <row r="3238" spans="9:13" x14ac:dyDescent="0.25">
      <c r="I3238" t="s">
        <v>12951</v>
      </c>
      <c r="J3238" s="161" t="s">
        <v>19202</v>
      </c>
      <c r="K3238" t="s">
        <v>19203</v>
      </c>
      <c r="L3238" t="s">
        <v>12950</v>
      </c>
      <c r="M3238" s="161" t="s">
        <v>19202</v>
      </c>
    </row>
    <row r="3239" spans="9:13" x14ac:dyDescent="0.25">
      <c r="I3239" t="s">
        <v>12740</v>
      </c>
      <c r="J3239" s="161" t="s">
        <v>19202</v>
      </c>
      <c r="K3239" t="s">
        <v>19203</v>
      </c>
      <c r="L3239" t="s">
        <v>12739</v>
      </c>
      <c r="M3239" s="161" t="s">
        <v>19202</v>
      </c>
    </row>
    <row r="3240" spans="9:13" x14ac:dyDescent="0.25">
      <c r="I3240" t="s">
        <v>13438</v>
      </c>
      <c r="J3240" s="161" t="s">
        <v>19202</v>
      </c>
      <c r="K3240" t="s">
        <v>19203</v>
      </c>
      <c r="L3240" t="s">
        <v>13437</v>
      </c>
      <c r="M3240" s="161" t="s">
        <v>19202</v>
      </c>
    </row>
    <row r="3241" spans="9:13" x14ac:dyDescent="0.25">
      <c r="I3241" t="s">
        <v>13958</v>
      </c>
      <c r="J3241" s="161" t="s">
        <v>19202</v>
      </c>
      <c r="K3241" t="s">
        <v>19203</v>
      </c>
      <c r="L3241" t="s">
        <v>13957</v>
      </c>
      <c r="M3241" s="161" t="s">
        <v>19202</v>
      </c>
    </row>
    <row r="3242" spans="9:13" x14ac:dyDescent="0.25">
      <c r="I3242" t="s">
        <v>5818</v>
      </c>
      <c r="J3242" s="161" t="s">
        <v>19202</v>
      </c>
      <c r="K3242" t="s">
        <v>19203</v>
      </c>
      <c r="L3242" t="s">
        <v>5817</v>
      </c>
      <c r="M3242" s="161" t="s">
        <v>19202</v>
      </c>
    </row>
    <row r="3243" spans="9:13" x14ac:dyDescent="0.25">
      <c r="I3243" t="s">
        <v>19628</v>
      </c>
      <c r="J3243" s="161" t="s">
        <v>19202</v>
      </c>
      <c r="K3243" t="s">
        <v>19203</v>
      </c>
      <c r="L3243" t="s">
        <v>19629</v>
      </c>
      <c r="M3243" s="161" t="s">
        <v>19202</v>
      </c>
    </row>
    <row r="3244" spans="9:13" x14ac:dyDescent="0.25">
      <c r="I3244" t="s">
        <v>3452</v>
      </c>
      <c r="J3244" s="161" t="s">
        <v>19202</v>
      </c>
      <c r="K3244" t="s">
        <v>19203</v>
      </c>
      <c r="L3244" t="s">
        <v>3451</v>
      </c>
      <c r="M3244" s="161" t="s">
        <v>19202</v>
      </c>
    </row>
    <row r="3245" spans="9:13" x14ac:dyDescent="0.25">
      <c r="I3245" t="s">
        <v>4754</v>
      </c>
      <c r="J3245" s="161" t="s">
        <v>19202</v>
      </c>
      <c r="K3245" t="s">
        <v>19203</v>
      </c>
      <c r="L3245" t="s">
        <v>4753</v>
      </c>
      <c r="M3245" s="161" t="s">
        <v>19202</v>
      </c>
    </row>
    <row r="3246" spans="9:13" x14ac:dyDescent="0.25">
      <c r="I3246" t="s">
        <v>17697</v>
      </c>
      <c r="J3246" s="161" t="s">
        <v>19202</v>
      </c>
      <c r="K3246" t="s">
        <v>19203</v>
      </c>
      <c r="L3246" t="s">
        <v>17696</v>
      </c>
      <c r="M3246" s="161" t="s">
        <v>19202</v>
      </c>
    </row>
    <row r="3247" spans="9:13" x14ac:dyDescent="0.25">
      <c r="I3247" t="s">
        <v>13287</v>
      </c>
      <c r="J3247" s="161" t="s">
        <v>19202</v>
      </c>
      <c r="K3247" t="s">
        <v>19203</v>
      </c>
      <c r="L3247" t="s">
        <v>13286</v>
      </c>
      <c r="M3247" s="161" t="s">
        <v>19202</v>
      </c>
    </row>
    <row r="3248" spans="9:13" x14ac:dyDescent="0.25">
      <c r="I3248" t="s">
        <v>2328</v>
      </c>
      <c r="J3248" s="161" t="s">
        <v>19202</v>
      </c>
      <c r="K3248" t="s">
        <v>19203</v>
      </c>
      <c r="L3248" t="s">
        <v>2327</v>
      </c>
      <c r="M3248" s="161" t="s">
        <v>19202</v>
      </c>
    </row>
    <row r="3249" spans="9:13" x14ac:dyDescent="0.25">
      <c r="I3249" t="s">
        <v>19630</v>
      </c>
      <c r="J3249" s="161" t="s">
        <v>19202</v>
      </c>
      <c r="K3249" t="s">
        <v>19203</v>
      </c>
      <c r="L3249" t="s">
        <v>19631</v>
      </c>
      <c r="M3249" s="161" t="s">
        <v>19202</v>
      </c>
    </row>
    <row r="3250" spans="9:13" x14ac:dyDescent="0.25">
      <c r="I3250" t="s">
        <v>17130</v>
      </c>
      <c r="J3250" s="161" t="s">
        <v>19202</v>
      </c>
      <c r="K3250" t="s">
        <v>19203</v>
      </c>
      <c r="L3250" t="s">
        <v>17129</v>
      </c>
      <c r="M3250" s="161" t="s">
        <v>19202</v>
      </c>
    </row>
    <row r="3251" spans="9:13" x14ac:dyDescent="0.25">
      <c r="I3251" t="s">
        <v>1275</v>
      </c>
      <c r="J3251" s="161" t="s">
        <v>19202</v>
      </c>
      <c r="K3251" t="s">
        <v>19203</v>
      </c>
      <c r="L3251" t="s">
        <v>1274</v>
      </c>
      <c r="M3251" s="161" t="s">
        <v>19202</v>
      </c>
    </row>
    <row r="3252" spans="9:13" x14ac:dyDescent="0.25">
      <c r="I3252" t="s">
        <v>1256</v>
      </c>
      <c r="J3252" s="161" t="s">
        <v>19202</v>
      </c>
      <c r="K3252" t="s">
        <v>19203</v>
      </c>
      <c r="L3252" t="s">
        <v>1255</v>
      </c>
      <c r="M3252" s="161" t="s">
        <v>19202</v>
      </c>
    </row>
    <row r="3253" spans="9:13" x14ac:dyDescent="0.25">
      <c r="I3253" t="s">
        <v>11909</v>
      </c>
      <c r="J3253" s="161" t="s">
        <v>19202</v>
      </c>
      <c r="K3253" t="s">
        <v>19203</v>
      </c>
      <c r="L3253" t="s">
        <v>11908</v>
      </c>
      <c r="M3253" s="161" t="s">
        <v>19202</v>
      </c>
    </row>
    <row r="3254" spans="9:13" x14ac:dyDescent="0.25">
      <c r="I3254" t="s">
        <v>3713</v>
      </c>
      <c r="J3254" s="161" t="s">
        <v>19202</v>
      </c>
      <c r="K3254" t="s">
        <v>19203</v>
      </c>
      <c r="L3254" t="s">
        <v>3712</v>
      </c>
      <c r="M3254" s="161" t="s">
        <v>19202</v>
      </c>
    </row>
    <row r="3255" spans="9:13" x14ac:dyDescent="0.25">
      <c r="I3255" t="s">
        <v>13225</v>
      </c>
      <c r="J3255" s="161" t="s">
        <v>19202</v>
      </c>
      <c r="K3255" t="s">
        <v>19203</v>
      </c>
      <c r="L3255" t="s">
        <v>13224</v>
      </c>
      <c r="M3255" s="161" t="s">
        <v>19202</v>
      </c>
    </row>
    <row r="3256" spans="9:13" x14ac:dyDescent="0.25">
      <c r="I3256" t="s">
        <v>13610</v>
      </c>
      <c r="J3256" s="161" t="s">
        <v>19202</v>
      </c>
      <c r="K3256" t="s">
        <v>19203</v>
      </c>
      <c r="L3256" t="s">
        <v>13609</v>
      </c>
      <c r="M3256" s="161" t="s">
        <v>19202</v>
      </c>
    </row>
    <row r="3257" spans="9:13" x14ac:dyDescent="0.25">
      <c r="I3257" t="s">
        <v>13504</v>
      </c>
      <c r="J3257" s="161" t="s">
        <v>19202</v>
      </c>
      <c r="K3257" t="s">
        <v>19203</v>
      </c>
      <c r="L3257" t="s">
        <v>13503</v>
      </c>
      <c r="M3257" s="161" t="s">
        <v>19202</v>
      </c>
    </row>
    <row r="3258" spans="9:13" x14ac:dyDescent="0.25">
      <c r="I3258" t="s">
        <v>13502</v>
      </c>
      <c r="J3258" s="161" t="s">
        <v>19202</v>
      </c>
      <c r="K3258" t="s">
        <v>19203</v>
      </c>
      <c r="L3258" t="s">
        <v>13501</v>
      </c>
      <c r="M3258" s="161" t="s">
        <v>19202</v>
      </c>
    </row>
    <row r="3259" spans="9:13" x14ac:dyDescent="0.25">
      <c r="I3259" t="s">
        <v>13227</v>
      </c>
      <c r="J3259" s="161" t="s">
        <v>19202</v>
      </c>
      <c r="K3259" t="s">
        <v>19203</v>
      </c>
      <c r="L3259" t="s">
        <v>13226</v>
      </c>
      <c r="M3259" s="161" t="s">
        <v>19202</v>
      </c>
    </row>
    <row r="3260" spans="9:13" x14ac:dyDescent="0.25">
      <c r="I3260" t="s">
        <v>2204</v>
      </c>
      <c r="J3260" s="161" t="s">
        <v>19202</v>
      </c>
      <c r="K3260" t="s">
        <v>19203</v>
      </c>
      <c r="L3260" t="s">
        <v>2203</v>
      </c>
      <c r="M3260" s="161" t="s">
        <v>19202</v>
      </c>
    </row>
    <row r="3261" spans="9:13" x14ac:dyDescent="0.25">
      <c r="I3261" t="s">
        <v>6806</v>
      </c>
      <c r="J3261" s="161" t="s">
        <v>19202</v>
      </c>
      <c r="K3261" t="s">
        <v>19203</v>
      </c>
      <c r="L3261" t="s">
        <v>904</v>
      </c>
      <c r="M3261" s="161" t="s">
        <v>19202</v>
      </c>
    </row>
    <row r="3262" spans="9:13" x14ac:dyDescent="0.25">
      <c r="I3262" t="s">
        <v>3175</v>
      </c>
      <c r="J3262" s="161" t="s">
        <v>19202</v>
      </c>
      <c r="K3262" t="s">
        <v>19203</v>
      </c>
      <c r="L3262" t="s">
        <v>3174</v>
      </c>
      <c r="M3262" s="161" t="s">
        <v>19202</v>
      </c>
    </row>
    <row r="3263" spans="9:13" x14ac:dyDescent="0.25">
      <c r="I3263" t="s">
        <v>4850</v>
      </c>
      <c r="J3263" s="161" t="s">
        <v>19202</v>
      </c>
      <c r="K3263" t="s">
        <v>19203</v>
      </c>
      <c r="L3263" t="s">
        <v>4849</v>
      </c>
      <c r="M3263" s="161" t="s">
        <v>19202</v>
      </c>
    </row>
    <row r="3264" spans="9:13" x14ac:dyDescent="0.25">
      <c r="I3264" t="s">
        <v>15940</v>
      </c>
      <c r="J3264" s="161" t="s">
        <v>19202</v>
      </c>
      <c r="K3264" t="s">
        <v>19203</v>
      </c>
      <c r="L3264" t="s">
        <v>15939</v>
      </c>
      <c r="M3264" s="161" t="s">
        <v>19202</v>
      </c>
    </row>
    <row r="3265" spans="9:13" x14ac:dyDescent="0.25">
      <c r="I3265" t="s">
        <v>16309</v>
      </c>
      <c r="J3265" s="161" t="s">
        <v>19202</v>
      </c>
      <c r="K3265" t="s">
        <v>19203</v>
      </c>
      <c r="L3265" t="s">
        <v>16308</v>
      </c>
      <c r="M3265" s="161" t="s">
        <v>19202</v>
      </c>
    </row>
    <row r="3266" spans="9:13" x14ac:dyDescent="0.25">
      <c r="I3266" t="s">
        <v>16385</v>
      </c>
      <c r="J3266" s="161" t="s">
        <v>19202</v>
      </c>
      <c r="K3266" t="s">
        <v>19203</v>
      </c>
      <c r="L3266" t="s">
        <v>14415</v>
      </c>
      <c r="M3266" s="161" t="s">
        <v>19202</v>
      </c>
    </row>
    <row r="3267" spans="9:13" x14ac:dyDescent="0.25">
      <c r="I3267" t="s">
        <v>12883</v>
      </c>
      <c r="J3267" s="161" t="s">
        <v>19202</v>
      </c>
      <c r="K3267" t="s">
        <v>19203</v>
      </c>
      <c r="L3267" t="s">
        <v>12882</v>
      </c>
      <c r="M3267" s="161" t="s">
        <v>19202</v>
      </c>
    </row>
    <row r="3268" spans="9:13" x14ac:dyDescent="0.25">
      <c r="I3268" t="s">
        <v>12881</v>
      </c>
      <c r="J3268" s="161" t="s">
        <v>19202</v>
      </c>
      <c r="K3268" t="s">
        <v>19203</v>
      </c>
      <c r="L3268" t="s">
        <v>12880</v>
      </c>
      <c r="M3268" s="161" t="s">
        <v>19202</v>
      </c>
    </row>
    <row r="3269" spans="9:13" x14ac:dyDescent="0.25">
      <c r="I3269" t="s">
        <v>12879</v>
      </c>
      <c r="J3269" s="161" t="s">
        <v>19202</v>
      </c>
      <c r="K3269" t="s">
        <v>19203</v>
      </c>
      <c r="L3269" t="s">
        <v>12878</v>
      </c>
      <c r="M3269" s="161" t="s">
        <v>19202</v>
      </c>
    </row>
    <row r="3270" spans="9:13" x14ac:dyDescent="0.25">
      <c r="I3270" t="s">
        <v>3703</v>
      </c>
      <c r="J3270" s="161" t="s">
        <v>19202</v>
      </c>
      <c r="K3270" t="s">
        <v>19203</v>
      </c>
      <c r="L3270" t="s">
        <v>3702</v>
      </c>
      <c r="M3270" s="161" t="s">
        <v>19202</v>
      </c>
    </row>
    <row r="3271" spans="9:13" x14ac:dyDescent="0.25">
      <c r="I3271" t="s">
        <v>4007</v>
      </c>
      <c r="J3271" s="161" t="s">
        <v>19202</v>
      </c>
      <c r="K3271" t="s">
        <v>19203</v>
      </c>
      <c r="L3271" t="s">
        <v>4006</v>
      </c>
      <c r="M3271" s="161" t="s">
        <v>19202</v>
      </c>
    </row>
    <row r="3272" spans="9:13" x14ac:dyDescent="0.25">
      <c r="I3272" t="s">
        <v>13624</v>
      </c>
      <c r="J3272" s="161" t="s">
        <v>19202</v>
      </c>
      <c r="K3272" t="s">
        <v>19203</v>
      </c>
      <c r="L3272" t="s">
        <v>13623</v>
      </c>
      <c r="M3272" s="161" t="s">
        <v>19202</v>
      </c>
    </row>
    <row r="3273" spans="9:13" x14ac:dyDescent="0.25">
      <c r="I3273" t="s">
        <v>3699</v>
      </c>
      <c r="J3273" s="161" t="s">
        <v>19202</v>
      </c>
      <c r="K3273" t="s">
        <v>19203</v>
      </c>
      <c r="L3273" t="s">
        <v>3698</v>
      </c>
      <c r="M3273" s="161" t="s">
        <v>19202</v>
      </c>
    </row>
    <row r="3274" spans="9:13" x14ac:dyDescent="0.25">
      <c r="I3274" t="s">
        <v>12522</v>
      </c>
      <c r="J3274" s="161" t="s">
        <v>19202</v>
      </c>
      <c r="K3274" t="s">
        <v>19203</v>
      </c>
      <c r="L3274" t="s">
        <v>12521</v>
      </c>
      <c r="M3274" s="161" t="s">
        <v>19202</v>
      </c>
    </row>
    <row r="3275" spans="9:13" x14ac:dyDescent="0.25">
      <c r="I3275" t="s">
        <v>6803</v>
      </c>
      <c r="J3275" s="161" t="s">
        <v>19202</v>
      </c>
      <c r="K3275" t="s">
        <v>19203</v>
      </c>
      <c r="L3275" t="s">
        <v>970</v>
      </c>
      <c r="M3275" s="161" t="s">
        <v>19202</v>
      </c>
    </row>
    <row r="3276" spans="9:13" x14ac:dyDescent="0.25">
      <c r="I3276" t="s">
        <v>9142</v>
      </c>
      <c r="J3276" s="161" t="s">
        <v>19202</v>
      </c>
      <c r="K3276" t="s">
        <v>19203</v>
      </c>
      <c r="L3276" t="s">
        <v>9141</v>
      </c>
      <c r="M3276" s="161" t="s">
        <v>19202</v>
      </c>
    </row>
    <row r="3277" spans="9:13" x14ac:dyDescent="0.25">
      <c r="I3277" t="s">
        <v>9687</v>
      </c>
      <c r="J3277" s="161" t="s">
        <v>19202</v>
      </c>
      <c r="K3277" t="s">
        <v>19203</v>
      </c>
      <c r="L3277" t="s">
        <v>9686</v>
      </c>
      <c r="M3277" s="161" t="s">
        <v>19202</v>
      </c>
    </row>
    <row r="3278" spans="9:13" x14ac:dyDescent="0.25">
      <c r="I3278" t="s">
        <v>11883</v>
      </c>
      <c r="J3278" s="161" t="s">
        <v>19202</v>
      </c>
      <c r="K3278" t="s">
        <v>19203</v>
      </c>
      <c r="L3278" t="s">
        <v>11882</v>
      </c>
      <c r="M3278" s="161" t="s">
        <v>19202</v>
      </c>
    </row>
    <row r="3279" spans="9:13" x14ac:dyDescent="0.25">
      <c r="I3279" t="s">
        <v>12674</v>
      </c>
      <c r="J3279" s="161" t="s">
        <v>19202</v>
      </c>
      <c r="K3279" t="s">
        <v>19203</v>
      </c>
      <c r="L3279" t="s">
        <v>12673</v>
      </c>
      <c r="M3279" s="161" t="s">
        <v>19202</v>
      </c>
    </row>
    <row r="3280" spans="9:13" x14ac:dyDescent="0.25">
      <c r="I3280" t="s">
        <v>13440</v>
      </c>
      <c r="J3280" s="161" t="s">
        <v>19202</v>
      </c>
      <c r="K3280" t="s">
        <v>19203</v>
      </c>
      <c r="L3280" t="s">
        <v>13439</v>
      </c>
      <c r="M3280" s="161" t="s">
        <v>19202</v>
      </c>
    </row>
    <row r="3281" spans="9:13" x14ac:dyDescent="0.25">
      <c r="I3281" t="s">
        <v>16238</v>
      </c>
      <c r="J3281" s="161" t="s">
        <v>19202</v>
      </c>
      <c r="K3281" t="s">
        <v>19203</v>
      </c>
      <c r="L3281" t="s">
        <v>884</v>
      </c>
      <c r="M3281" s="161" t="s">
        <v>19202</v>
      </c>
    </row>
    <row r="3282" spans="9:13" x14ac:dyDescent="0.25">
      <c r="I3282" t="s">
        <v>13947</v>
      </c>
      <c r="J3282" s="161" t="s">
        <v>19202</v>
      </c>
      <c r="K3282" t="s">
        <v>19203</v>
      </c>
      <c r="L3282" t="s">
        <v>13946</v>
      </c>
      <c r="M3282" s="161" t="s">
        <v>19202</v>
      </c>
    </row>
    <row r="3283" spans="9:13" x14ac:dyDescent="0.25">
      <c r="I3283" t="s">
        <v>5783</v>
      </c>
      <c r="J3283" s="161" t="s">
        <v>19202</v>
      </c>
      <c r="K3283" t="s">
        <v>19203</v>
      </c>
      <c r="L3283" t="s">
        <v>5782</v>
      </c>
      <c r="M3283" s="161" t="s">
        <v>19202</v>
      </c>
    </row>
    <row r="3284" spans="9:13" x14ac:dyDescent="0.25">
      <c r="I3284" t="s">
        <v>5380</v>
      </c>
      <c r="J3284" s="161" t="s">
        <v>19202</v>
      </c>
      <c r="K3284" t="s">
        <v>19203</v>
      </c>
      <c r="L3284" t="s">
        <v>5379</v>
      </c>
      <c r="M3284" s="161" t="s">
        <v>19202</v>
      </c>
    </row>
    <row r="3285" spans="9:13" x14ac:dyDescent="0.25">
      <c r="I3285" t="s">
        <v>5378</v>
      </c>
      <c r="J3285" s="161" t="s">
        <v>19202</v>
      </c>
      <c r="K3285" t="s">
        <v>19203</v>
      </c>
      <c r="L3285" t="s">
        <v>5377</v>
      </c>
      <c r="M3285" s="161" t="s">
        <v>19202</v>
      </c>
    </row>
    <row r="3286" spans="9:13" x14ac:dyDescent="0.25">
      <c r="I3286" t="s">
        <v>5376</v>
      </c>
      <c r="J3286" s="161" t="s">
        <v>19202</v>
      </c>
      <c r="K3286" t="s">
        <v>19203</v>
      </c>
      <c r="L3286" t="s">
        <v>5375</v>
      </c>
      <c r="M3286" s="161" t="s">
        <v>19202</v>
      </c>
    </row>
    <row r="3287" spans="9:13" x14ac:dyDescent="0.25">
      <c r="I3287" t="s">
        <v>5374</v>
      </c>
      <c r="J3287" s="161" t="s">
        <v>19202</v>
      </c>
      <c r="K3287" t="s">
        <v>19203</v>
      </c>
      <c r="L3287" t="s">
        <v>3771</v>
      </c>
      <c r="M3287" s="161" t="s">
        <v>19202</v>
      </c>
    </row>
    <row r="3288" spans="9:13" x14ac:dyDescent="0.25">
      <c r="I3288" t="s">
        <v>5371</v>
      </c>
      <c r="J3288" s="161" t="s">
        <v>19202</v>
      </c>
      <c r="K3288" t="s">
        <v>19203</v>
      </c>
      <c r="L3288" t="s">
        <v>5370</v>
      </c>
      <c r="M3288" s="161" t="s">
        <v>19202</v>
      </c>
    </row>
    <row r="3289" spans="9:13" x14ac:dyDescent="0.25">
      <c r="I3289" t="s">
        <v>5369</v>
      </c>
      <c r="J3289" s="161" t="s">
        <v>19202</v>
      </c>
      <c r="K3289" t="s">
        <v>19203</v>
      </c>
      <c r="L3289" t="s">
        <v>5368</v>
      </c>
      <c r="M3289" s="161" t="s">
        <v>19202</v>
      </c>
    </row>
    <row r="3290" spans="9:13" x14ac:dyDescent="0.25">
      <c r="I3290" t="s">
        <v>5367</v>
      </c>
      <c r="J3290" s="161" t="s">
        <v>19202</v>
      </c>
      <c r="K3290" t="s">
        <v>19203</v>
      </c>
      <c r="L3290" t="s">
        <v>5366</v>
      </c>
      <c r="M3290" s="161" t="s">
        <v>19202</v>
      </c>
    </row>
    <row r="3291" spans="9:13" x14ac:dyDescent="0.25">
      <c r="I3291" t="s">
        <v>5363</v>
      </c>
      <c r="J3291" s="161" t="s">
        <v>19202</v>
      </c>
      <c r="K3291" t="s">
        <v>19203</v>
      </c>
      <c r="L3291" t="s">
        <v>5362</v>
      </c>
      <c r="M3291" s="161" t="s">
        <v>19202</v>
      </c>
    </row>
    <row r="3292" spans="9:13" x14ac:dyDescent="0.25">
      <c r="I3292" t="s">
        <v>5361</v>
      </c>
      <c r="J3292" s="161" t="s">
        <v>19202</v>
      </c>
      <c r="K3292" t="s">
        <v>19203</v>
      </c>
      <c r="L3292" t="s">
        <v>5360</v>
      </c>
      <c r="M3292" s="161" t="s">
        <v>19202</v>
      </c>
    </row>
    <row r="3293" spans="9:13" x14ac:dyDescent="0.25">
      <c r="I3293" t="s">
        <v>5357</v>
      </c>
      <c r="J3293" s="161" t="s">
        <v>19202</v>
      </c>
      <c r="K3293" t="s">
        <v>19203</v>
      </c>
      <c r="L3293" t="s">
        <v>823</v>
      </c>
      <c r="M3293" s="161" t="s">
        <v>19202</v>
      </c>
    </row>
    <row r="3294" spans="9:13" x14ac:dyDescent="0.25">
      <c r="I3294" t="s">
        <v>5492</v>
      </c>
      <c r="J3294" s="161" t="s">
        <v>19202</v>
      </c>
      <c r="K3294" t="s">
        <v>19203</v>
      </c>
      <c r="L3294" t="s">
        <v>5491</v>
      </c>
      <c r="M3294" s="161" t="s">
        <v>19202</v>
      </c>
    </row>
    <row r="3295" spans="9:13" x14ac:dyDescent="0.25">
      <c r="I3295" t="s">
        <v>5490</v>
      </c>
      <c r="J3295" s="161" t="s">
        <v>19202</v>
      </c>
      <c r="K3295" t="s">
        <v>19203</v>
      </c>
      <c r="L3295" t="s">
        <v>5489</v>
      </c>
      <c r="M3295" s="161" t="s">
        <v>19202</v>
      </c>
    </row>
    <row r="3296" spans="9:13" x14ac:dyDescent="0.25">
      <c r="I3296" t="s">
        <v>5412</v>
      </c>
      <c r="J3296" s="161" t="s">
        <v>19202</v>
      </c>
      <c r="K3296" t="s">
        <v>19203</v>
      </c>
      <c r="L3296" t="s">
        <v>5411</v>
      </c>
      <c r="M3296" s="161" t="s">
        <v>19202</v>
      </c>
    </row>
    <row r="3297" spans="9:13" x14ac:dyDescent="0.25">
      <c r="I3297" t="s">
        <v>5354</v>
      </c>
      <c r="J3297" s="161" t="s">
        <v>19202</v>
      </c>
      <c r="K3297" t="s">
        <v>19203</v>
      </c>
      <c r="L3297" t="s">
        <v>5353</v>
      </c>
      <c r="M3297" s="161" t="s">
        <v>19202</v>
      </c>
    </row>
    <row r="3298" spans="9:13" x14ac:dyDescent="0.25">
      <c r="I3298" t="s">
        <v>5462</v>
      </c>
      <c r="J3298" s="161" t="s">
        <v>19202</v>
      </c>
      <c r="K3298" t="s">
        <v>19203</v>
      </c>
      <c r="L3298" t="s">
        <v>5461</v>
      </c>
      <c r="M3298" s="161" t="s">
        <v>19202</v>
      </c>
    </row>
    <row r="3299" spans="9:13" x14ac:dyDescent="0.25">
      <c r="I3299" t="s">
        <v>5410</v>
      </c>
      <c r="J3299" s="161" t="s">
        <v>19202</v>
      </c>
      <c r="K3299" t="s">
        <v>19203</v>
      </c>
      <c r="L3299" t="s">
        <v>3556</v>
      </c>
      <c r="M3299" s="161" t="s">
        <v>19202</v>
      </c>
    </row>
    <row r="3300" spans="9:13" x14ac:dyDescent="0.25">
      <c r="I3300" t="s">
        <v>5488</v>
      </c>
      <c r="J3300" s="161" t="s">
        <v>19202</v>
      </c>
      <c r="K3300" t="s">
        <v>19203</v>
      </c>
      <c r="L3300" t="s">
        <v>5487</v>
      </c>
      <c r="M3300" s="161" t="s">
        <v>19202</v>
      </c>
    </row>
    <row r="3301" spans="9:13" x14ac:dyDescent="0.25">
      <c r="I3301" t="s">
        <v>5460</v>
      </c>
      <c r="J3301" s="161" t="s">
        <v>19202</v>
      </c>
      <c r="K3301" t="s">
        <v>19203</v>
      </c>
      <c r="L3301" t="s">
        <v>5459</v>
      </c>
      <c r="M3301" s="161" t="s">
        <v>19202</v>
      </c>
    </row>
    <row r="3302" spans="9:13" x14ac:dyDescent="0.25">
      <c r="I3302" t="s">
        <v>5486</v>
      </c>
      <c r="J3302" s="161" t="s">
        <v>19202</v>
      </c>
      <c r="K3302" t="s">
        <v>19203</v>
      </c>
      <c r="L3302" t="s">
        <v>5485</v>
      </c>
      <c r="M3302" s="161" t="s">
        <v>19202</v>
      </c>
    </row>
    <row r="3303" spans="9:13" x14ac:dyDescent="0.25">
      <c r="I3303" t="s">
        <v>5458</v>
      </c>
      <c r="J3303" s="161" t="s">
        <v>19202</v>
      </c>
      <c r="K3303" t="s">
        <v>19203</v>
      </c>
      <c r="L3303" t="s">
        <v>5457</v>
      </c>
      <c r="M3303" s="161" t="s">
        <v>19202</v>
      </c>
    </row>
    <row r="3304" spans="9:13" x14ac:dyDescent="0.25">
      <c r="I3304" t="s">
        <v>5326</v>
      </c>
      <c r="J3304" s="161" t="s">
        <v>19202</v>
      </c>
      <c r="K3304" t="s">
        <v>19203</v>
      </c>
      <c r="L3304" t="s">
        <v>5325</v>
      </c>
      <c r="M3304" s="161" t="s">
        <v>19202</v>
      </c>
    </row>
    <row r="3305" spans="9:13" x14ac:dyDescent="0.25">
      <c r="I3305" t="s">
        <v>5324</v>
      </c>
      <c r="J3305" s="161" t="s">
        <v>19202</v>
      </c>
      <c r="K3305" t="s">
        <v>19203</v>
      </c>
      <c r="L3305" t="s">
        <v>5323</v>
      </c>
      <c r="M3305" s="161" t="s">
        <v>19202</v>
      </c>
    </row>
    <row r="3306" spans="9:13" x14ac:dyDescent="0.25">
      <c r="I3306" t="s">
        <v>5320</v>
      </c>
      <c r="J3306" s="161" t="s">
        <v>19202</v>
      </c>
      <c r="K3306" t="s">
        <v>19203</v>
      </c>
      <c r="L3306" t="s">
        <v>5319</v>
      </c>
      <c r="M3306" s="161" t="s">
        <v>19202</v>
      </c>
    </row>
    <row r="3307" spans="9:13" x14ac:dyDescent="0.25">
      <c r="I3307" t="s">
        <v>5484</v>
      </c>
      <c r="J3307" s="161" t="s">
        <v>19202</v>
      </c>
      <c r="K3307" t="s">
        <v>19203</v>
      </c>
      <c r="L3307" t="s">
        <v>5483</v>
      </c>
      <c r="M3307" s="161" t="s">
        <v>19202</v>
      </c>
    </row>
    <row r="3308" spans="9:13" x14ac:dyDescent="0.25">
      <c r="I3308" t="s">
        <v>5316</v>
      </c>
      <c r="J3308" s="161" t="s">
        <v>19202</v>
      </c>
      <c r="K3308" t="s">
        <v>19203</v>
      </c>
      <c r="L3308" t="s">
        <v>5315</v>
      </c>
      <c r="M3308" s="161" t="s">
        <v>19202</v>
      </c>
    </row>
    <row r="3309" spans="9:13" x14ac:dyDescent="0.25">
      <c r="I3309" t="s">
        <v>5496</v>
      </c>
      <c r="J3309" s="161" t="s">
        <v>19202</v>
      </c>
      <c r="K3309" t="s">
        <v>19203</v>
      </c>
      <c r="L3309" t="s">
        <v>5495</v>
      </c>
      <c r="M3309" s="161" t="s">
        <v>19202</v>
      </c>
    </row>
    <row r="3310" spans="9:13" x14ac:dyDescent="0.25">
      <c r="I3310" t="s">
        <v>2356</v>
      </c>
      <c r="J3310" s="161" t="s">
        <v>19202</v>
      </c>
      <c r="K3310" t="s">
        <v>19203</v>
      </c>
      <c r="L3310" t="s">
        <v>2355</v>
      </c>
      <c r="M3310" s="161" t="s">
        <v>19202</v>
      </c>
    </row>
    <row r="3311" spans="9:13" x14ac:dyDescent="0.25">
      <c r="I3311" t="s">
        <v>13618</v>
      </c>
      <c r="J3311" s="161" t="s">
        <v>19202</v>
      </c>
      <c r="K3311" t="s">
        <v>19203</v>
      </c>
      <c r="L3311" t="s">
        <v>13617</v>
      </c>
      <c r="M3311" s="161" t="s">
        <v>19202</v>
      </c>
    </row>
    <row r="3312" spans="9:13" x14ac:dyDescent="0.25">
      <c r="I3312" t="s">
        <v>13591</v>
      </c>
      <c r="J3312" s="161" t="s">
        <v>19202</v>
      </c>
      <c r="K3312" t="s">
        <v>19203</v>
      </c>
      <c r="L3312" t="s">
        <v>13590</v>
      </c>
      <c r="M3312" s="161" t="s">
        <v>19202</v>
      </c>
    </row>
    <row r="3313" spans="9:13" x14ac:dyDescent="0.25">
      <c r="I3313" t="s">
        <v>13588</v>
      </c>
      <c r="J3313" s="161" t="s">
        <v>19202</v>
      </c>
      <c r="K3313" t="s">
        <v>19203</v>
      </c>
      <c r="L3313" t="s">
        <v>13587</v>
      </c>
      <c r="M3313" s="161" t="s">
        <v>19202</v>
      </c>
    </row>
    <row r="3314" spans="9:13" x14ac:dyDescent="0.25">
      <c r="I3314" t="s">
        <v>13586</v>
      </c>
      <c r="J3314" s="161" t="s">
        <v>19202</v>
      </c>
      <c r="K3314" t="s">
        <v>19203</v>
      </c>
      <c r="L3314" t="s">
        <v>596</v>
      </c>
      <c r="M3314" s="161" t="s">
        <v>19202</v>
      </c>
    </row>
    <row r="3315" spans="9:13" x14ac:dyDescent="0.25">
      <c r="I3315" t="s">
        <v>3432</v>
      </c>
      <c r="J3315" s="161" t="s">
        <v>19202</v>
      </c>
      <c r="K3315" t="s">
        <v>19203</v>
      </c>
      <c r="L3315" t="s">
        <v>3431</v>
      </c>
      <c r="M3315" s="161" t="s">
        <v>19202</v>
      </c>
    </row>
    <row r="3316" spans="9:13" x14ac:dyDescent="0.25">
      <c r="I3316" t="s">
        <v>13095</v>
      </c>
      <c r="J3316" s="161" t="s">
        <v>19202</v>
      </c>
      <c r="K3316" t="s">
        <v>19203</v>
      </c>
      <c r="L3316" t="s">
        <v>13094</v>
      </c>
      <c r="M3316" s="161" t="s">
        <v>19202</v>
      </c>
    </row>
    <row r="3317" spans="9:13" x14ac:dyDescent="0.25">
      <c r="I3317" t="s">
        <v>12941</v>
      </c>
      <c r="J3317" s="161" t="s">
        <v>19202</v>
      </c>
      <c r="K3317" t="s">
        <v>19203</v>
      </c>
      <c r="L3317" t="s">
        <v>12940</v>
      </c>
      <c r="M3317" s="161" t="s">
        <v>19202</v>
      </c>
    </row>
    <row r="3318" spans="9:13" x14ac:dyDescent="0.25">
      <c r="I3318" t="s">
        <v>12816</v>
      </c>
      <c r="J3318" s="161" t="s">
        <v>19202</v>
      </c>
      <c r="K3318" t="s">
        <v>19203</v>
      </c>
      <c r="L3318" t="s">
        <v>12815</v>
      </c>
      <c r="M3318" s="161" t="s">
        <v>19202</v>
      </c>
    </row>
    <row r="3319" spans="9:13" x14ac:dyDescent="0.25">
      <c r="I3319" t="s">
        <v>12654</v>
      </c>
      <c r="J3319" s="161" t="s">
        <v>19202</v>
      </c>
      <c r="K3319" t="s">
        <v>19203</v>
      </c>
      <c r="L3319" t="s">
        <v>12653</v>
      </c>
      <c r="M3319" s="161" t="s">
        <v>19202</v>
      </c>
    </row>
    <row r="3320" spans="9:13" x14ac:dyDescent="0.25">
      <c r="I3320" t="s">
        <v>12652</v>
      </c>
      <c r="J3320" s="161" t="s">
        <v>19202</v>
      </c>
      <c r="K3320" t="s">
        <v>19203</v>
      </c>
      <c r="L3320" t="s">
        <v>12651</v>
      </c>
      <c r="M3320" s="161" t="s">
        <v>19202</v>
      </c>
    </row>
    <row r="3321" spans="9:13" x14ac:dyDescent="0.25">
      <c r="I3321" t="s">
        <v>12650</v>
      </c>
      <c r="J3321" s="161" t="s">
        <v>19202</v>
      </c>
      <c r="K3321" t="s">
        <v>19203</v>
      </c>
      <c r="L3321" t="s">
        <v>12649</v>
      </c>
      <c r="M3321" s="161" t="s">
        <v>19202</v>
      </c>
    </row>
    <row r="3322" spans="9:13" x14ac:dyDescent="0.25">
      <c r="I3322" t="s">
        <v>12871</v>
      </c>
      <c r="J3322" s="161" t="s">
        <v>19202</v>
      </c>
      <c r="K3322" t="s">
        <v>19203</v>
      </c>
      <c r="L3322" t="s">
        <v>12870</v>
      </c>
      <c r="M3322" s="161" t="s">
        <v>19202</v>
      </c>
    </row>
    <row r="3323" spans="9:13" x14ac:dyDescent="0.25">
      <c r="I3323" t="s">
        <v>12648</v>
      </c>
      <c r="J3323" s="161" t="s">
        <v>19202</v>
      </c>
      <c r="K3323" t="s">
        <v>19203</v>
      </c>
      <c r="L3323" t="s">
        <v>12647</v>
      </c>
      <c r="M3323" s="161" t="s">
        <v>19202</v>
      </c>
    </row>
    <row r="3324" spans="9:13" x14ac:dyDescent="0.25">
      <c r="I3324" t="s">
        <v>12645</v>
      </c>
      <c r="J3324" s="161" t="s">
        <v>19202</v>
      </c>
      <c r="K3324" t="s">
        <v>19203</v>
      </c>
      <c r="L3324" t="s">
        <v>12644</v>
      </c>
      <c r="M3324" s="161" t="s">
        <v>19202</v>
      </c>
    </row>
    <row r="3325" spans="9:13" x14ac:dyDescent="0.25">
      <c r="I3325" t="s">
        <v>12643</v>
      </c>
      <c r="J3325" s="161" t="s">
        <v>19202</v>
      </c>
      <c r="K3325" t="s">
        <v>19203</v>
      </c>
      <c r="L3325" t="s">
        <v>12642</v>
      </c>
      <c r="M3325" s="161" t="s">
        <v>19202</v>
      </c>
    </row>
    <row r="3326" spans="9:13" x14ac:dyDescent="0.25">
      <c r="I3326" t="s">
        <v>12641</v>
      </c>
      <c r="J3326" s="161" t="s">
        <v>19202</v>
      </c>
      <c r="K3326" t="s">
        <v>19203</v>
      </c>
      <c r="L3326" t="s">
        <v>12640</v>
      </c>
      <c r="M3326" s="161" t="s">
        <v>19202</v>
      </c>
    </row>
    <row r="3327" spans="9:13" x14ac:dyDescent="0.25">
      <c r="I3327" t="s">
        <v>12639</v>
      </c>
      <c r="J3327" s="161" t="s">
        <v>19202</v>
      </c>
      <c r="K3327" t="s">
        <v>19203</v>
      </c>
      <c r="L3327" t="s">
        <v>1374</v>
      </c>
      <c r="M3327" s="161" t="s">
        <v>19202</v>
      </c>
    </row>
    <row r="3328" spans="9:13" x14ac:dyDescent="0.25">
      <c r="I3328" t="s">
        <v>3205</v>
      </c>
      <c r="J3328" s="161" t="s">
        <v>19202</v>
      </c>
      <c r="K3328" t="s">
        <v>19203</v>
      </c>
      <c r="L3328" t="s">
        <v>3204</v>
      </c>
      <c r="M3328" s="161" t="s">
        <v>19202</v>
      </c>
    </row>
    <row r="3329" spans="9:13" x14ac:dyDescent="0.25">
      <c r="I3329" t="s">
        <v>13430</v>
      </c>
      <c r="J3329" s="161" t="s">
        <v>19202</v>
      </c>
      <c r="K3329" t="s">
        <v>19203</v>
      </c>
      <c r="L3329" t="s">
        <v>13429</v>
      </c>
      <c r="M3329" s="161" t="s">
        <v>19202</v>
      </c>
    </row>
    <row r="3330" spans="9:13" x14ac:dyDescent="0.25">
      <c r="I3330" t="s">
        <v>12867</v>
      </c>
      <c r="J3330" s="161" t="s">
        <v>19202</v>
      </c>
      <c r="K3330" t="s">
        <v>19203</v>
      </c>
      <c r="L3330" t="s">
        <v>12866</v>
      </c>
      <c r="M3330" s="161" t="s">
        <v>19202</v>
      </c>
    </row>
    <row r="3331" spans="9:13" x14ac:dyDescent="0.25">
      <c r="I3331" t="s">
        <v>13205</v>
      </c>
      <c r="J3331" s="161" t="s">
        <v>19202</v>
      </c>
      <c r="K3331" t="s">
        <v>19203</v>
      </c>
      <c r="L3331" t="s">
        <v>13204</v>
      </c>
      <c r="M3331" s="161" t="s">
        <v>19202</v>
      </c>
    </row>
    <row r="3332" spans="9:13" x14ac:dyDescent="0.25">
      <c r="I3332" t="s">
        <v>2373</v>
      </c>
      <c r="J3332" s="161" t="s">
        <v>19202</v>
      </c>
      <c r="K3332" t="s">
        <v>19203</v>
      </c>
      <c r="L3332" t="s">
        <v>1546</v>
      </c>
      <c r="M3332" s="161" t="s">
        <v>19202</v>
      </c>
    </row>
    <row r="3333" spans="9:13" x14ac:dyDescent="0.25">
      <c r="I3333" t="s">
        <v>3462</v>
      </c>
      <c r="J3333" s="161" t="s">
        <v>19202</v>
      </c>
      <c r="K3333" t="s">
        <v>19203</v>
      </c>
      <c r="L3333" t="s">
        <v>3461</v>
      </c>
      <c r="M3333" s="161" t="s">
        <v>19202</v>
      </c>
    </row>
    <row r="3334" spans="9:13" x14ac:dyDescent="0.25">
      <c r="I3334" t="s">
        <v>5328</v>
      </c>
      <c r="J3334" s="161" t="s">
        <v>19202</v>
      </c>
      <c r="K3334" t="s">
        <v>19203</v>
      </c>
      <c r="L3334" t="s">
        <v>5327</v>
      </c>
      <c r="M3334" s="161" t="s">
        <v>19202</v>
      </c>
    </row>
    <row r="3335" spans="9:13" x14ac:dyDescent="0.25">
      <c r="I3335" t="s">
        <v>5532</v>
      </c>
      <c r="J3335" s="161" t="s">
        <v>19202</v>
      </c>
      <c r="K3335" t="s">
        <v>19203</v>
      </c>
      <c r="L3335" t="s">
        <v>5531</v>
      </c>
      <c r="M3335" s="161" t="s">
        <v>19202</v>
      </c>
    </row>
    <row r="3336" spans="9:13" x14ac:dyDescent="0.25">
      <c r="I3336" t="s">
        <v>5530</v>
      </c>
      <c r="J3336" s="161" t="s">
        <v>19202</v>
      </c>
      <c r="K3336" t="s">
        <v>19203</v>
      </c>
      <c r="L3336" t="s">
        <v>4468</v>
      </c>
      <c r="M3336" s="161" t="s">
        <v>19202</v>
      </c>
    </row>
    <row r="3337" spans="9:13" x14ac:dyDescent="0.25">
      <c r="I3337" t="s">
        <v>3777</v>
      </c>
      <c r="J3337" s="161" t="s">
        <v>19202</v>
      </c>
      <c r="K3337" t="s">
        <v>19203</v>
      </c>
      <c r="L3337" t="s">
        <v>3776</v>
      </c>
      <c r="M3337" s="161" t="s">
        <v>19202</v>
      </c>
    </row>
    <row r="3338" spans="9:13" x14ac:dyDescent="0.25">
      <c r="I3338" t="s">
        <v>13099</v>
      </c>
      <c r="J3338" s="161" t="s">
        <v>19202</v>
      </c>
      <c r="K3338" t="s">
        <v>19203</v>
      </c>
      <c r="L3338" t="s">
        <v>13098</v>
      </c>
      <c r="M3338" s="161" t="s">
        <v>19202</v>
      </c>
    </row>
    <row r="3339" spans="9:13" x14ac:dyDescent="0.25">
      <c r="I3339" t="s">
        <v>12885</v>
      </c>
      <c r="J3339" s="161" t="s">
        <v>19202</v>
      </c>
      <c r="K3339" t="s">
        <v>19203</v>
      </c>
      <c r="L3339" t="s">
        <v>12884</v>
      </c>
      <c r="M3339" s="161" t="s">
        <v>19202</v>
      </c>
    </row>
    <row r="3340" spans="9:13" x14ac:dyDescent="0.25">
      <c r="I3340" t="s">
        <v>12877</v>
      </c>
      <c r="J3340" s="161" t="s">
        <v>19202</v>
      </c>
      <c r="K3340" t="s">
        <v>19203</v>
      </c>
      <c r="L3340" t="s">
        <v>12876</v>
      </c>
      <c r="M3340" s="161" t="s">
        <v>19202</v>
      </c>
    </row>
    <row r="3341" spans="9:13" x14ac:dyDescent="0.25">
      <c r="I3341" t="s">
        <v>14782</v>
      </c>
      <c r="J3341" s="161" t="s">
        <v>19202</v>
      </c>
      <c r="K3341" t="s">
        <v>19203</v>
      </c>
      <c r="L3341" t="s">
        <v>14781</v>
      </c>
      <c r="M3341" s="161" t="s">
        <v>19202</v>
      </c>
    </row>
    <row r="3342" spans="9:13" x14ac:dyDescent="0.25">
      <c r="I3342" t="s">
        <v>1120</v>
      </c>
      <c r="J3342" s="161" t="s">
        <v>19202</v>
      </c>
      <c r="K3342" t="s">
        <v>19203</v>
      </c>
      <c r="L3342" t="s">
        <v>1119</v>
      </c>
      <c r="M3342" s="161" t="s">
        <v>19202</v>
      </c>
    </row>
    <row r="3343" spans="9:13" x14ac:dyDescent="0.25">
      <c r="I3343" t="s">
        <v>4059</v>
      </c>
      <c r="J3343" s="161" t="s">
        <v>19202</v>
      </c>
      <c r="K3343" t="s">
        <v>19203</v>
      </c>
      <c r="L3343" t="s">
        <v>4058</v>
      </c>
      <c r="M3343" s="161" t="s">
        <v>19202</v>
      </c>
    </row>
    <row r="3344" spans="9:13" x14ac:dyDescent="0.25">
      <c r="I3344" t="s">
        <v>17073</v>
      </c>
      <c r="J3344" s="161" t="s">
        <v>19202</v>
      </c>
      <c r="K3344" t="s">
        <v>19203</v>
      </c>
      <c r="L3344" t="s">
        <v>4457</v>
      </c>
      <c r="M3344" s="161" t="s">
        <v>19202</v>
      </c>
    </row>
    <row r="3345" spans="9:13" x14ac:dyDescent="0.25">
      <c r="I3345" t="s">
        <v>13152</v>
      </c>
      <c r="J3345" s="161" t="s">
        <v>19202</v>
      </c>
      <c r="K3345" t="s">
        <v>19203</v>
      </c>
      <c r="L3345" t="s">
        <v>13151</v>
      </c>
      <c r="M3345" s="161" t="s">
        <v>19202</v>
      </c>
    </row>
    <row r="3346" spans="9:13" x14ac:dyDescent="0.25">
      <c r="I3346" t="s">
        <v>19632</v>
      </c>
      <c r="J3346" s="161" t="s">
        <v>19202</v>
      </c>
      <c r="K3346" t="s">
        <v>19203</v>
      </c>
      <c r="L3346" t="s">
        <v>3943</v>
      </c>
      <c r="M3346" s="161" t="s">
        <v>19202</v>
      </c>
    </row>
    <row r="3347" spans="9:13" x14ac:dyDescent="0.25">
      <c r="I3347" t="s">
        <v>19633</v>
      </c>
      <c r="J3347" s="161" t="s">
        <v>19202</v>
      </c>
      <c r="K3347" t="s">
        <v>19203</v>
      </c>
      <c r="L3347" t="s">
        <v>19634</v>
      </c>
      <c r="M3347" s="161" t="s">
        <v>19202</v>
      </c>
    </row>
    <row r="3348" spans="9:13" x14ac:dyDescent="0.25">
      <c r="I3348" t="s">
        <v>19635</v>
      </c>
      <c r="J3348" s="161" t="s">
        <v>19202</v>
      </c>
      <c r="K3348" t="s">
        <v>19203</v>
      </c>
      <c r="L3348" t="s">
        <v>19636</v>
      </c>
      <c r="M3348" s="161" t="s">
        <v>19202</v>
      </c>
    </row>
    <row r="3349" spans="9:13" x14ac:dyDescent="0.25">
      <c r="I3349" t="s">
        <v>9026</v>
      </c>
      <c r="J3349" s="161" t="s">
        <v>19202</v>
      </c>
      <c r="K3349" t="s">
        <v>19203</v>
      </c>
      <c r="L3349" t="s">
        <v>9025</v>
      </c>
      <c r="M3349" s="161" t="s">
        <v>19202</v>
      </c>
    </row>
    <row r="3350" spans="9:13" x14ac:dyDescent="0.25">
      <c r="I3350" t="s">
        <v>12646</v>
      </c>
      <c r="J3350" s="161" t="s">
        <v>19202</v>
      </c>
      <c r="K3350" t="s">
        <v>19203</v>
      </c>
      <c r="L3350" t="s">
        <v>2754</v>
      </c>
      <c r="M3350" s="161" t="s">
        <v>19202</v>
      </c>
    </row>
    <row r="3351" spans="9:13" x14ac:dyDescent="0.25">
      <c r="I3351" t="s">
        <v>14367</v>
      </c>
      <c r="J3351" s="161" t="s">
        <v>19202</v>
      </c>
      <c r="K3351" t="s">
        <v>19203</v>
      </c>
      <c r="L3351" t="s">
        <v>14366</v>
      </c>
      <c r="M3351" s="161" t="s">
        <v>19202</v>
      </c>
    </row>
    <row r="3352" spans="9:13" x14ac:dyDescent="0.25">
      <c r="I3352" t="s">
        <v>10970</v>
      </c>
      <c r="J3352" s="161" t="s">
        <v>19202</v>
      </c>
      <c r="K3352" t="s">
        <v>19203</v>
      </c>
      <c r="L3352" t="s">
        <v>10969</v>
      </c>
      <c r="M3352" s="161" t="s">
        <v>19202</v>
      </c>
    </row>
    <row r="3353" spans="9:13" x14ac:dyDescent="0.25">
      <c r="I3353" t="s">
        <v>3334</v>
      </c>
      <c r="J3353" s="161" t="s">
        <v>19202</v>
      </c>
      <c r="K3353" t="s">
        <v>19203</v>
      </c>
      <c r="L3353" t="s">
        <v>3333</v>
      </c>
      <c r="M3353" s="161" t="s">
        <v>19202</v>
      </c>
    </row>
    <row r="3354" spans="9:13" x14ac:dyDescent="0.25">
      <c r="I3354" t="s">
        <v>4848</v>
      </c>
      <c r="J3354" s="161" t="s">
        <v>19202</v>
      </c>
      <c r="K3354" t="s">
        <v>19203</v>
      </c>
      <c r="L3354" t="s">
        <v>4847</v>
      </c>
      <c r="M3354" s="161" t="s">
        <v>19202</v>
      </c>
    </row>
    <row r="3355" spans="9:13" x14ac:dyDescent="0.25">
      <c r="I3355" t="s">
        <v>9496</v>
      </c>
      <c r="J3355" s="161" t="s">
        <v>19202</v>
      </c>
      <c r="K3355" t="s">
        <v>19203</v>
      </c>
      <c r="L3355" t="s">
        <v>9495</v>
      </c>
      <c r="M3355" s="161" t="s">
        <v>19202</v>
      </c>
    </row>
    <row r="3356" spans="9:13" x14ac:dyDescent="0.25">
      <c r="I3356" t="s">
        <v>1519</v>
      </c>
      <c r="J3356" s="161" t="s">
        <v>19202</v>
      </c>
      <c r="K3356" t="s">
        <v>19203</v>
      </c>
      <c r="L3356" t="s">
        <v>1518</v>
      </c>
      <c r="M3356" s="161" t="s">
        <v>19202</v>
      </c>
    </row>
    <row r="3357" spans="9:13" x14ac:dyDescent="0.25">
      <c r="I3357" t="s">
        <v>17054</v>
      </c>
      <c r="J3357" s="161" t="s">
        <v>19202</v>
      </c>
      <c r="K3357" t="s">
        <v>19203</v>
      </c>
      <c r="L3357" t="s">
        <v>15143</v>
      </c>
      <c r="M3357" s="161" t="s">
        <v>19202</v>
      </c>
    </row>
    <row r="3358" spans="9:13" x14ac:dyDescent="0.25">
      <c r="I3358" t="s">
        <v>11769</v>
      </c>
      <c r="J3358" s="161" t="s">
        <v>19202</v>
      </c>
      <c r="K3358" t="s">
        <v>19203</v>
      </c>
      <c r="L3358" t="s">
        <v>11768</v>
      </c>
      <c r="M3358" s="161" t="s">
        <v>19202</v>
      </c>
    </row>
    <row r="3359" spans="9:13" x14ac:dyDescent="0.25">
      <c r="I3359" t="s">
        <v>4368</v>
      </c>
      <c r="J3359" s="161" t="s">
        <v>19202</v>
      </c>
      <c r="K3359" t="s">
        <v>19203</v>
      </c>
      <c r="L3359" t="s">
        <v>932</v>
      </c>
      <c r="M3359" s="161" t="s">
        <v>19202</v>
      </c>
    </row>
    <row r="3360" spans="9:13" x14ac:dyDescent="0.25">
      <c r="I3360" t="s">
        <v>4341</v>
      </c>
      <c r="J3360" s="161" t="s">
        <v>19202</v>
      </c>
      <c r="K3360" t="s">
        <v>19203</v>
      </c>
      <c r="L3360" t="s">
        <v>4340</v>
      </c>
      <c r="M3360" s="161" t="s">
        <v>19202</v>
      </c>
    </row>
    <row r="3361" spans="9:13" x14ac:dyDescent="0.25">
      <c r="I3361" t="s">
        <v>4339</v>
      </c>
      <c r="J3361" s="161" t="s">
        <v>19202</v>
      </c>
      <c r="K3361" t="s">
        <v>19203</v>
      </c>
      <c r="L3361" t="s">
        <v>4338</v>
      </c>
      <c r="M3361" s="161" t="s">
        <v>19202</v>
      </c>
    </row>
    <row r="3362" spans="9:13" x14ac:dyDescent="0.25">
      <c r="I3362" t="s">
        <v>5128</v>
      </c>
      <c r="J3362" s="161" t="s">
        <v>19202</v>
      </c>
      <c r="K3362" t="s">
        <v>19203</v>
      </c>
      <c r="L3362" t="s">
        <v>5127</v>
      </c>
      <c r="M3362" s="161" t="s">
        <v>19202</v>
      </c>
    </row>
    <row r="3363" spans="9:13" x14ac:dyDescent="0.25">
      <c r="I3363" t="s">
        <v>4764</v>
      </c>
      <c r="J3363" s="161" t="s">
        <v>19202</v>
      </c>
      <c r="K3363" t="s">
        <v>19203</v>
      </c>
      <c r="L3363" t="s">
        <v>4763</v>
      </c>
      <c r="M3363" s="161" t="s">
        <v>19202</v>
      </c>
    </row>
    <row r="3364" spans="9:13" x14ac:dyDescent="0.25">
      <c r="I3364" t="s">
        <v>977</v>
      </c>
      <c r="J3364" s="161" t="s">
        <v>19202</v>
      </c>
      <c r="K3364" t="s">
        <v>19203</v>
      </c>
      <c r="L3364" t="s">
        <v>976</v>
      </c>
      <c r="M3364" s="161" t="s">
        <v>19202</v>
      </c>
    </row>
    <row r="3365" spans="9:13" x14ac:dyDescent="0.25">
      <c r="I3365" t="s">
        <v>4583</v>
      </c>
      <c r="J3365" s="161" t="s">
        <v>19202</v>
      </c>
      <c r="K3365" t="s">
        <v>19203</v>
      </c>
      <c r="L3365" t="s">
        <v>4582</v>
      </c>
      <c r="M3365" s="161" t="s">
        <v>19202</v>
      </c>
    </row>
    <row r="3366" spans="9:13" x14ac:dyDescent="0.25">
      <c r="I3366" t="s">
        <v>4297</v>
      </c>
      <c r="J3366" s="161" t="s">
        <v>19202</v>
      </c>
      <c r="K3366" t="s">
        <v>19203</v>
      </c>
      <c r="L3366" t="s">
        <v>4296</v>
      </c>
      <c r="M3366" s="161" t="s">
        <v>19202</v>
      </c>
    </row>
    <row r="3367" spans="9:13" x14ac:dyDescent="0.25">
      <c r="I3367" t="s">
        <v>4295</v>
      </c>
      <c r="J3367" s="161" t="s">
        <v>19202</v>
      </c>
      <c r="K3367" t="s">
        <v>19203</v>
      </c>
      <c r="L3367" t="s">
        <v>4294</v>
      </c>
      <c r="M3367" s="161" t="s">
        <v>19202</v>
      </c>
    </row>
    <row r="3368" spans="9:13" x14ac:dyDescent="0.25">
      <c r="I3368" t="s">
        <v>4254</v>
      </c>
      <c r="J3368" s="161" t="s">
        <v>19202</v>
      </c>
      <c r="K3368" t="s">
        <v>19203</v>
      </c>
      <c r="L3368" t="s">
        <v>3949</v>
      </c>
      <c r="M3368" s="161" t="s">
        <v>19202</v>
      </c>
    </row>
    <row r="3369" spans="9:13" x14ac:dyDescent="0.25">
      <c r="I3369" t="s">
        <v>4253</v>
      </c>
      <c r="J3369" s="161" t="s">
        <v>19202</v>
      </c>
      <c r="K3369" t="s">
        <v>19203</v>
      </c>
      <c r="L3369" t="s">
        <v>1278</v>
      </c>
      <c r="M3369" s="161" t="s">
        <v>19202</v>
      </c>
    </row>
    <row r="3370" spans="9:13" x14ac:dyDescent="0.25">
      <c r="I3370" t="s">
        <v>4809</v>
      </c>
      <c r="J3370" s="161" t="s">
        <v>19202</v>
      </c>
      <c r="K3370" t="s">
        <v>19203</v>
      </c>
      <c r="L3370" t="s">
        <v>4808</v>
      </c>
      <c r="M3370" s="161" t="s">
        <v>19202</v>
      </c>
    </row>
    <row r="3371" spans="9:13" x14ac:dyDescent="0.25">
      <c r="I3371" t="s">
        <v>4905</v>
      </c>
      <c r="J3371" s="161" t="s">
        <v>19202</v>
      </c>
      <c r="K3371" t="s">
        <v>19203</v>
      </c>
      <c r="L3371" t="s">
        <v>4904</v>
      </c>
      <c r="M3371" s="161" t="s">
        <v>19202</v>
      </c>
    </row>
    <row r="3372" spans="9:13" x14ac:dyDescent="0.25">
      <c r="I3372" t="s">
        <v>5126</v>
      </c>
      <c r="J3372" s="161" t="s">
        <v>19202</v>
      </c>
      <c r="K3372" t="s">
        <v>19203</v>
      </c>
      <c r="L3372" t="s">
        <v>5125</v>
      </c>
      <c r="M3372" s="161" t="s">
        <v>19202</v>
      </c>
    </row>
    <row r="3373" spans="9:13" x14ac:dyDescent="0.25">
      <c r="I3373" t="s">
        <v>5011</v>
      </c>
      <c r="J3373" s="161" t="s">
        <v>19202</v>
      </c>
      <c r="K3373" t="s">
        <v>19203</v>
      </c>
      <c r="L3373" t="s">
        <v>5010</v>
      </c>
      <c r="M3373" s="161" t="s">
        <v>19202</v>
      </c>
    </row>
    <row r="3374" spans="9:13" x14ac:dyDescent="0.25">
      <c r="I3374" t="s">
        <v>4702</v>
      </c>
      <c r="J3374" s="161" t="s">
        <v>19202</v>
      </c>
      <c r="K3374" t="s">
        <v>19203</v>
      </c>
      <c r="L3374" t="s">
        <v>4050</v>
      </c>
      <c r="M3374" s="161" t="s">
        <v>19202</v>
      </c>
    </row>
    <row r="3375" spans="9:13" x14ac:dyDescent="0.25">
      <c r="I3375" t="s">
        <v>4497</v>
      </c>
      <c r="J3375" s="161" t="s">
        <v>19202</v>
      </c>
      <c r="K3375" t="s">
        <v>19203</v>
      </c>
      <c r="L3375" t="s">
        <v>4491</v>
      </c>
      <c r="M3375" s="161" t="s">
        <v>19202</v>
      </c>
    </row>
    <row r="3376" spans="9:13" x14ac:dyDescent="0.25">
      <c r="I3376" t="s">
        <v>5079</v>
      </c>
      <c r="J3376" s="161" t="s">
        <v>19202</v>
      </c>
      <c r="K3376" t="s">
        <v>19203</v>
      </c>
      <c r="L3376" t="s">
        <v>5078</v>
      </c>
      <c r="M3376" s="161" t="s">
        <v>19202</v>
      </c>
    </row>
    <row r="3377" spans="9:13" x14ac:dyDescent="0.25">
      <c r="I3377" t="s">
        <v>5077</v>
      </c>
      <c r="J3377" s="161" t="s">
        <v>19202</v>
      </c>
      <c r="K3377" t="s">
        <v>19203</v>
      </c>
      <c r="L3377" t="s">
        <v>5076</v>
      </c>
      <c r="M3377" s="161" t="s">
        <v>19202</v>
      </c>
    </row>
    <row r="3378" spans="9:13" x14ac:dyDescent="0.25">
      <c r="I3378" t="s">
        <v>4701</v>
      </c>
      <c r="J3378" s="161" t="s">
        <v>19202</v>
      </c>
      <c r="K3378" t="s">
        <v>19203</v>
      </c>
      <c r="L3378" t="s">
        <v>4700</v>
      </c>
      <c r="M3378" s="161" t="s">
        <v>19202</v>
      </c>
    </row>
    <row r="3379" spans="9:13" x14ac:dyDescent="0.25">
      <c r="I3379" t="s">
        <v>5009</v>
      </c>
      <c r="J3379" s="161" t="s">
        <v>19202</v>
      </c>
      <c r="K3379" t="s">
        <v>19203</v>
      </c>
      <c r="L3379" t="s">
        <v>5008</v>
      </c>
      <c r="M3379" s="161" t="s">
        <v>19202</v>
      </c>
    </row>
    <row r="3380" spans="9:13" x14ac:dyDescent="0.25">
      <c r="I3380" t="s">
        <v>4162</v>
      </c>
      <c r="J3380" s="161" t="s">
        <v>19202</v>
      </c>
      <c r="K3380" t="s">
        <v>19203</v>
      </c>
      <c r="L3380" t="s">
        <v>4161</v>
      </c>
      <c r="M3380" s="161" t="s">
        <v>19202</v>
      </c>
    </row>
    <row r="3381" spans="9:13" x14ac:dyDescent="0.25">
      <c r="I3381" t="s">
        <v>4160</v>
      </c>
      <c r="J3381" s="161" t="s">
        <v>19202</v>
      </c>
      <c r="K3381" t="s">
        <v>19203</v>
      </c>
      <c r="L3381" t="s">
        <v>4159</v>
      </c>
      <c r="M3381" s="161" t="s">
        <v>19202</v>
      </c>
    </row>
    <row r="3382" spans="9:13" x14ac:dyDescent="0.25">
      <c r="I3382" t="s">
        <v>5075</v>
      </c>
      <c r="J3382" s="161" t="s">
        <v>19202</v>
      </c>
      <c r="K3382" t="s">
        <v>19203</v>
      </c>
      <c r="L3382" t="s">
        <v>5074</v>
      </c>
      <c r="M3382" s="161" t="s">
        <v>19202</v>
      </c>
    </row>
    <row r="3383" spans="9:13" x14ac:dyDescent="0.25">
      <c r="I3383" t="s">
        <v>4465</v>
      </c>
      <c r="J3383" s="161" t="s">
        <v>19202</v>
      </c>
      <c r="K3383" t="s">
        <v>19203</v>
      </c>
      <c r="L3383" t="s">
        <v>4464</v>
      </c>
      <c r="M3383" s="161" t="s">
        <v>19202</v>
      </c>
    </row>
    <row r="3384" spans="9:13" x14ac:dyDescent="0.25">
      <c r="I3384" t="s">
        <v>4158</v>
      </c>
      <c r="J3384" s="161" t="s">
        <v>19202</v>
      </c>
      <c r="K3384" t="s">
        <v>19203</v>
      </c>
      <c r="L3384" t="s">
        <v>4157</v>
      </c>
      <c r="M3384" s="161" t="s">
        <v>19202</v>
      </c>
    </row>
    <row r="3385" spans="9:13" x14ac:dyDescent="0.25">
      <c r="I3385" t="s">
        <v>4154</v>
      </c>
      <c r="J3385" s="161" t="s">
        <v>19202</v>
      </c>
      <c r="K3385" t="s">
        <v>19203</v>
      </c>
      <c r="L3385" t="s">
        <v>4153</v>
      </c>
      <c r="M3385" s="161" t="s">
        <v>19202</v>
      </c>
    </row>
    <row r="3386" spans="9:13" x14ac:dyDescent="0.25">
      <c r="I3386" t="s">
        <v>4152</v>
      </c>
      <c r="J3386" s="161" t="s">
        <v>19202</v>
      </c>
      <c r="K3386" t="s">
        <v>19203</v>
      </c>
      <c r="L3386" t="s">
        <v>4151</v>
      </c>
      <c r="M3386" s="161" t="s">
        <v>19202</v>
      </c>
    </row>
    <row r="3387" spans="9:13" x14ac:dyDescent="0.25">
      <c r="I3387" t="s">
        <v>5073</v>
      </c>
      <c r="J3387" s="161" t="s">
        <v>19202</v>
      </c>
      <c r="K3387" t="s">
        <v>19203</v>
      </c>
      <c r="L3387" t="s">
        <v>5072</v>
      </c>
      <c r="M3387" s="161" t="s">
        <v>19202</v>
      </c>
    </row>
    <row r="3388" spans="9:13" x14ac:dyDescent="0.25">
      <c r="I3388" t="s">
        <v>5006</v>
      </c>
      <c r="J3388" s="161" t="s">
        <v>19202</v>
      </c>
      <c r="K3388" t="s">
        <v>19203</v>
      </c>
      <c r="L3388" t="s">
        <v>5005</v>
      </c>
      <c r="M3388" s="161" t="s">
        <v>19202</v>
      </c>
    </row>
    <row r="3389" spans="9:13" x14ac:dyDescent="0.25">
      <c r="I3389" t="s">
        <v>1267</v>
      </c>
      <c r="J3389" s="161" t="s">
        <v>19202</v>
      </c>
      <c r="K3389" t="s">
        <v>19203</v>
      </c>
      <c r="L3389" t="s">
        <v>1266</v>
      </c>
      <c r="M3389" s="161" t="s">
        <v>19202</v>
      </c>
    </row>
    <row r="3390" spans="9:13" x14ac:dyDescent="0.25">
      <c r="I3390" t="s">
        <v>16601</v>
      </c>
      <c r="J3390" s="161" t="s">
        <v>19202</v>
      </c>
      <c r="K3390" t="s">
        <v>19203</v>
      </c>
      <c r="L3390" t="s">
        <v>16600</v>
      </c>
      <c r="M3390" s="161" t="s">
        <v>19202</v>
      </c>
    </row>
    <row r="3391" spans="9:13" x14ac:dyDescent="0.25">
      <c r="I3391" t="s">
        <v>19637</v>
      </c>
      <c r="J3391" s="161" t="s">
        <v>19202</v>
      </c>
      <c r="K3391" t="s">
        <v>19203</v>
      </c>
      <c r="L3391" t="s">
        <v>19638</v>
      </c>
      <c r="M3391" s="161" t="s">
        <v>19202</v>
      </c>
    </row>
    <row r="3392" spans="9:13" x14ac:dyDescent="0.25">
      <c r="I3392" t="s">
        <v>16772</v>
      </c>
      <c r="J3392" s="161" t="s">
        <v>19202</v>
      </c>
      <c r="K3392" t="s">
        <v>19203</v>
      </c>
      <c r="L3392" t="s">
        <v>16771</v>
      </c>
      <c r="M3392" s="161" t="s">
        <v>19202</v>
      </c>
    </row>
    <row r="3393" spans="9:13" x14ac:dyDescent="0.25">
      <c r="I3393" t="s">
        <v>16770</v>
      </c>
      <c r="J3393" s="161" t="s">
        <v>19202</v>
      </c>
      <c r="K3393" t="s">
        <v>19203</v>
      </c>
      <c r="L3393" t="s">
        <v>16769</v>
      </c>
      <c r="M3393" s="161" t="s">
        <v>19202</v>
      </c>
    </row>
    <row r="3394" spans="9:13" x14ac:dyDescent="0.25">
      <c r="I3394" t="s">
        <v>16768</v>
      </c>
      <c r="J3394" s="161" t="s">
        <v>19202</v>
      </c>
      <c r="K3394" t="s">
        <v>19203</v>
      </c>
      <c r="L3394" t="s">
        <v>3641</v>
      </c>
      <c r="M3394" s="161" t="s">
        <v>19202</v>
      </c>
    </row>
    <row r="3395" spans="9:13" x14ac:dyDescent="0.25">
      <c r="I3395" t="s">
        <v>16025</v>
      </c>
      <c r="J3395" s="161" t="s">
        <v>19202</v>
      </c>
      <c r="K3395" t="s">
        <v>19203</v>
      </c>
      <c r="L3395" t="s">
        <v>6846</v>
      </c>
      <c r="M3395" s="161" t="s">
        <v>19202</v>
      </c>
    </row>
    <row r="3396" spans="9:13" x14ac:dyDescent="0.25">
      <c r="I3396" t="s">
        <v>16237</v>
      </c>
      <c r="J3396" s="161" t="s">
        <v>19202</v>
      </c>
      <c r="K3396" t="s">
        <v>19203</v>
      </c>
      <c r="L3396" t="s">
        <v>16236</v>
      </c>
      <c r="M3396" s="161" t="s">
        <v>19202</v>
      </c>
    </row>
    <row r="3397" spans="9:13" x14ac:dyDescent="0.25">
      <c r="I3397" t="s">
        <v>16427</v>
      </c>
      <c r="J3397" s="161" t="s">
        <v>19202</v>
      </c>
      <c r="K3397" t="s">
        <v>19203</v>
      </c>
      <c r="L3397" t="s">
        <v>934</v>
      </c>
      <c r="M3397" s="161" t="s">
        <v>19202</v>
      </c>
    </row>
    <row r="3398" spans="9:13" x14ac:dyDescent="0.25">
      <c r="I3398" t="s">
        <v>17052</v>
      </c>
      <c r="J3398" s="161" t="s">
        <v>19202</v>
      </c>
      <c r="K3398" t="s">
        <v>19203</v>
      </c>
      <c r="L3398" t="s">
        <v>17051</v>
      </c>
      <c r="M3398" s="161" t="s">
        <v>19202</v>
      </c>
    </row>
    <row r="3399" spans="9:13" x14ac:dyDescent="0.25">
      <c r="I3399" t="s">
        <v>16201</v>
      </c>
      <c r="J3399" s="161" t="s">
        <v>19202</v>
      </c>
      <c r="K3399" t="s">
        <v>19203</v>
      </c>
      <c r="L3399" t="s">
        <v>758</v>
      </c>
      <c r="M3399" s="161" t="s">
        <v>19202</v>
      </c>
    </row>
    <row r="3400" spans="9:13" x14ac:dyDescent="0.25">
      <c r="I3400" t="s">
        <v>16235</v>
      </c>
      <c r="J3400" s="161" t="s">
        <v>19202</v>
      </c>
      <c r="K3400" t="s">
        <v>19203</v>
      </c>
      <c r="L3400" t="s">
        <v>758</v>
      </c>
      <c r="M3400" s="161" t="s">
        <v>19202</v>
      </c>
    </row>
    <row r="3401" spans="9:13" x14ac:dyDescent="0.25">
      <c r="I3401" t="s">
        <v>16643</v>
      </c>
      <c r="J3401" s="161" t="s">
        <v>19202</v>
      </c>
      <c r="K3401" t="s">
        <v>19203</v>
      </c>
      <c r="L3401" t="s">
        <v>16642</v>
      </c>
      <c r="M3401" s="161" t="s">
        <v>19202</v>
      </c>
    </row>
    <row r="3402" spans="9:13" x14ac:dyDescent="0.25">
      <c r="I3402" t="s">
        <v>16599</v>
      </c>
      <c r="J3402" s="161" t="s">
        <v>19202</v>
      </c>
      <c r="K3402" t="s">
        <v>19203</v>
      </c>
      <c r="L3402" t="s">
        <v>16598</v>
      </c>
      <c r="M3402" s="161" t="s">
        <v>19202</v>
      </c>
    </row>
    <row r="3403" spans="9:13" x14ac:dyDescent="0.25">
      <c r="I3403" t="s">
        <v>16597</v>
      </c>
      <c r="J3403" s="161" t="s">
        <v>19202</v>
      </c>
      <c r="K3403" t="s">
        <v>19203</v>
      </c>
      <c r="L3403" t="s">
        <v>16596</v>
      </c>
      <c r="M3403" s="161" t="s">
        <v>19202</v>
      </c>
    </row>
    <row r="3404" spans="9:13" x14ac:dyDescent="0.25">
      <c r="I3404" t="s">
        <v>17050</v>
      </c>
      <c r="J3404" s="161" t="s">
        <v>19202</v>
      </c>
      <c r="K3404" t="s">
        <v>19203</v>
      </c>
      <c r="L3404" t="s">
        <v>823</v>
      </c>
      <c r="M3404" s="161" t="s">
        <v>19202</v>
      </c>
    </row>
    <row r="3405" spans="9:13" x14ac:dyDescent="0.25">
      <c r="I3405" t="s">
        <v>17049</v>
      </c>
      <c r="J3405" s="161" t="s">
        <v>19202</v>
      </c>
      <c r="K3405" t="s">
        <v>19203</v>
      </c>
      <c r="L3405" t="s">
        <v>934</v>
      </c>
      <c r="M3405" s="161" t="s">
        <v>19202</v>
      </c>
    </row>
    <row r="3406" spans="9:13" x14ac:dyDescent="0.25">
      <c r="I3406" t="s">
        <v>16767</v>
      </c>
      <c r="J3406" s="161" t="s">
        <v>19202</v>
      </c>
      <c r="K3406" t="s">
        <v>19203</v>
      </c>
      <c r="L3406" t="s">
        <v>16766</v>
      </c>
      <c r="M3406" s="161" t="s">
        <v>19202</v>
      </c>
    </row>
    <row r="3407" spans="9:13" x14ac:dyDescent="0.25">
      <c r="I3407" t="s">
        <v>16198</v>
      </c>
      <c r="J3407" s="161" t="s">
        <v>19202</v>
      </c>
      <c r="K3407" t="s">
        <v>19203</v>
      </c>
      <c r="L3407" t="s">
        <v>5411</v>
      </c>
      <c r="M3407" s="161" t="s">
        <v>19202</v>
      </c>
    </row>
    <row r="3408" spans="9:13" x14ac:dyDescent="0.25">
      <c r="I3408" t="s">
        <v>16765</v>
      </c>
      <c r="J3408" s="161" t="s">
        <v>19202</v>
      </c>
      <c r="K3408" t="s">
        <v>19203</v>
      </c>
      <c r="L3408" t="s">
        <v>16764</v>
      </c>
      <c r="M3408" s="161" t="s">
        <v>19202</v>
      </c>
    </row>
    <row r="3409" spans="9:13" x14ac:dyDescent="0.25">
      <c r="I3409" t="s">
        <v>15578</v>
      </c>
      <c r="J3409" s="161" t="s">
        <v>19202</v>
      </c>
      <c r="K3409" t="s">
        <v>19203</v>
      </c>
      <c r="L3409" t="s">
        <v>758</v>
      </c>
      <c r="M3409" s="161" t="s">
        <v>19202</v>
      </c>
    </row>
    <row r="3410" spans="9:13" x14ac:dyDescent="0.25">
      <c r="I3410" t="s">
        <v>16827</v>
      </c>
      <c r="J3410" s="161" t="s">
        <v>19202</v>
      </c>
      <c r="K3410" t="s">
        <v>19203</v>
      </c>
      <c r="L3410" t="s">
        <v>16826</v>
      </c>
      <c r="M3410" s="161" t="s">
        <v>19202</v>
      </c>
    </row>
    <row r="3411" spans="9:13" x14ac:dyDescent="0.25">
      <c r="I3411" t="s">
        <v>17048</v>
      </c>
      <c r="J3411" s="161" t="s">
        <v>19202</v>
      </c>
      <c r="K3411" t="s">
        <v>19203</v>
      </c>
      <c r="L3411" t="s">
        <v>1344</v>
      </c>
      <c r="M3411" s="161" t="s">
        <v>19202</v>
      </c>
    </row>
    <row r="3412" spans="9:13" x14ac:dyDescent="0.25">
      <c r="I3412" t="s">
        <v>16505</v>
      </c>
      <c r="J3412" s="161" t="s">
        <v>19202</v>
      </c>
      <c r="K3412" t="s">
        <v>19203</v>
      </c>
      <c r="L3412" t="s">
        <v>758</v>
      </c>
      <c r="M3412" s="161" t="s">
        <v>19202</v>
      </c>
    </row>
    <row r="3413" spans="9:13" x14ac:dyDescent="0.25">
      <c r="I3413" t="s">
        <v>16825</v>
      </c>
      <c r="J3413" s="161" t="s">
        <v>19202</v>
      </c>
      <c r="K3413" t="s">
        <v>19203</v>
      </c>
      <c r="L3413" t="s">
        <v>16824</v>
      </c>
      <c r="M3413" s="161" t="s">
        <v>19202</v>
      </c>
    </row>
    <row r="3414" spans="9:13" x14ac:dyDescent="0.25">
      <c r="I3414" t="s">
        <v>16504</v>
      </c>
      <c r="J3414" s="161" t="s">
        <v>19202</v>
      </c>
      <c r="K3414" t="s">
        <v>19203</v>
      </c>
      <c r="L3414" t="s">
        <v>116</v>
      </c>
      <c r="M3414" s="161" t="s">
        <v>19202</v>
      </c>
    </row>
    <row r="3415" spans="9:13" x14ac:dyDescent="0.25">
      <c r="I3415" t="s">
        <v>17047</v>
      </c>
      <c r="J3415" s="161" t="s">
        <v>19202</v>
      </c>
      <c r="K3415" t="s">
        <v>19203</v>
      </c>
      <c r="L3415" t="s">
        <v>542</v>
      </c>
      <c r="M3415" s="161" t="s">
        <v>19202</v>
      </c>
    </row>
    <row r="3416" spans="9:13" x14ac:dyDescent="0.25">
      <c r="I3416" t="s">
        <v>16763</v>
      </c>
      <c r="J3416" s="161" t="s">
        <v>19202</v>
      </c>
      <c r="K3416" t="s">
        <v>19203</v>
      </c>
      <c r="L3416" t="s">
        <v>16762</v>
      </c>
      <c r="M3416" s="161" t="s">
        <v>19202</v>
      </c>
    </row>
    <row r="3417" spans="9:13" x14ac:dyDescent="0.25">
      <c r="I3417" t="s">
        <v>16117</v>
      </c>
      <c r="J3417" s="161" t="s">
        <v>19202</v>
      </c>
      <c r="K3417" t="s">
        <v>19203</v>
      </c>
      <c r="L3417" t="s">
        <v>16116</v>
      </c>
      <c r="M3417" s="161" t="s">
        <v>19202</v>
      </c>
    </row>
    <row r="3418" spans="9:13" x14ac:dyDescent="0.25">
      <c r="I3418" t="s">
        <v>16156</v>
      </c>
      <c r="J3418" s="161" t="s">
        <v>19202</v>
      </c>
      <c r="K3418" t="s">
        <v>19203</v>
      </c>
      <c r="L3418" t="s">
        <v>16155</v>
      </c>
      <c r="M3418" s="161" t="s">
        <v>19202</v>
      </c>
    </row>
    <row r="3419" spans="9:13" x14ac:dyDescent="0.25">
      <c r="I3419" t="s">
        <v>16197</v>
      </c>
      <c r="J3419" s="161" t="s">
        <v>19202</v>
      </c>
      <c r="K3419" t="s">
        <v>19203</v>
      </c>
      <c r="L3419" t="s">
        <v>4060</v>
      </c>
      <c r="M3419" s="161" t="s">
        <v>19202</v>
      </c>
    </row>
    <row r="3420" spans="9:13" x14ac:dyDescent="0.25">
      <c r="I3420" t="s">
        <v>15494</v>
      </c>
      <c r="J3420" s="161" t="s">
        <v>19202</v>
      </c>
      <c r="K3420" t="s">
        <v>19203</v>
      </c>
      <c r="L3420" t="s">
        <v>15493</v>
      </c>
      <c r="M3420" s="161" t="s">
        <v>19202</v>
      </c>
    </row>
    <row r="3421" spans="9:13" x14ac:dyDescent="0.25">
      <c r="I3421" t="s">
        <v>17046</v>
      </c>
      <c r="J3421" s="161" t="s">
        <v>19202</v>
      </c>
      <c r="K3421" t="s">
        <v>19203</v>
      </c>
      <c r="L3421" t="s">
        <v>17045</v>
      </c>
      <c r="M3421" s="161" t="s">
        <v>19202</v>
      </c>
    </row>
    <row r="3422" spans="9:13" x14ac:dyDescent="0.25">
      <c r="I3422" t="s">
        <v>16761</v>
      </c>
      <c r="J3422" s="161" t="s">
        <v>19202</v>
      </c>
      <c r="K3422" t="s">
        <v>19203</v>
      </c>
      <c r="L3422" t="s">
        <v>1504</v>
      </c>
      <c r="M3422" s="161" t="s">
        <v>19202</v>
      </c>
    </row>
    <row r="3423" spans="9:13" x14ac:dyDescent="0.25">
      <c r="I3423" t="s">
        <v>16700</v>
      </c>
      <c r="J3423" s="161" t="s">
        <v>19202</v>
      </c>
      <c r="K3423" t="s">
        <v>19203</v>
      </c>
      <c r="L3423" t="s">
        <v>1108</v>
      </c>
      <c r="M3423" s="161" t="s">
        <v>19202</v>
      </c>
    </row>
    <row r="3424" spans="9:13" x14ac:dyDescent="0.25">
      <c r="I3424" t="s">
        <v>16760</v>
      </c>
      <c r="J3424" s="161" t="s">
        <v>19202</v>
      </c>
      <c r="K3424" t="s">
        <v>19203</v>
      </c>
      <c r="L3424" t="s">
        <v>4546</v>
      </c>
      <c r="M3424" s="161" t="s">
        <v>19202</v>
      </c>
    </row>
    <row r="3425" spans="9:13" x14ac:dyDescent="0.25">
      <c r="I3425" t="s">
        <v>16898</v>
      </c>
      <c r="J3425" s="161" t="s">
        <v>19202</v>
      </c>
      <c r="K3425" t="s">
        <v>19203</v>
      </c>
      <c r="L3425" t="s">
        <v>16897</v>
      </c>
      <c r="M3425" s="161" t="s">
        <v>19202</v>
      </c>
    </row>
    <row r="3426" spans="9:13" x14ac:dyDescent="0.25">
      <c r="I3426" t="s">
        <v>16069</v>
      </c>
      <c r="J3426" s="161" t="s">
        <v>19202</v>
      </c>
      <c r="K3426" t="s">
        <v>19203</v>
      </c>
      <c r="L3426" t="s">
        <v>16068</v>
      </c>
      <c r="M3426" s="161" t="s">
        <v>19202</v>
      </c>
    </row>
    <row r="3427" spans="9:13" x14ac:dyDescent="0.25">
      <c r="I3427" t="s">
        <v>17044</v>
      </c>
      <c r="J3427" s="161" t="s">
        <v>19202</v>
      </c>
      <c r="K3427" t="s">
        <v>19203</v>
      </c>
      <c r="L3427" t="s">
        <v>542</v>
      </c>
      <c r="M3427" s="161" t="s">
        <v>19202</v>
      </c>
    </row>
    <row r="3428" spans="9:13" x14ac:dyDescent="0.25">
      <c r="I3428" t="s">
        <v>16699</v>
      </c>
      <c r="J3428" s="161" t="s">
        <v>19202</v>
      </c>
      <c r="K3428" t="s">
        <v>19203</v>
      </c>
      <c r="L3428" t="s">
        <v>16698</v>
      </c>
      <c r="M3428" s="161" t="s">
        <v>19202</v>
      </c>
    </row>
    <row r="3429" spans="9:13" x14ac:dyDescent="0.25">
      <c r="I3429" t="s">
        <v>16274</v>
      </c>
      <c r="J3429" s="161" t="s">
        <v>19202</v>
      </c>
      <c r="K3429" t="s">
        <v>19203</v>
      </c>
      <c r="L3429" t="s">
        <v>13453</v>
      </c>
      <c r="M3429" s="161" t="s">
        <v>19202</v>
      </c>
    </row>
    <row r="3430" spans="9:13" x14ac:dyDescent="0.25">
      <c r="I3430" t="s">
        <v>16273</v>
      </c>
      <c r="J3430" s="161" t="s">
        <v>19202</v>
      </c>
      <c r="K3430" t="s">
        <v>19203</v>
      </c>
      <c r="L3430" t="s">
        <v>16272</v>
      </c>
      <c r="M3430" s="161" t="s">
        <v>19202</v>
      </c>
    </row>
    <row r="3431" spans="9:13" x14ac:dyDescent="0.25">
      <c r="I3431" t="s">
        <v>16821</v>
      </c>
      <c r="J3431" s="161" t="s">
        <v>19202</v>
      </c>
      <c r="K3431" t="s">
        <v>19203</v>
      </c>
      <c r="L3431" t="s">
        <v>15719</v>
      </c>
      <c r="M3431" s="161" t="s">
        <v>19202</v>
      </c>
    </row>
    <row r="3432" spans="9:13" x14ac:dyDescent="0.25">
      <c r="I3432" t="s">
        <v>19639</v>
      </c>
      <c r="J3432" s="161" t="s">
        <v>19202</v>
      </c>
      <c r="K3432" t="s">
        <v>19203</v>
      </c>
      <c r="L3432" t="s">
        <v>16430</v>
      </c>
      <c r="M3432" s="161" t="s">
        <v>19202</v>
      </c>
    </row>
    <row r="3433" spans="9:13" x14ac:dyDescent="0.25">
      <c r="I3433" t="s">
        <v>15304</v>
      </c>
      <c r="J3433" s="161" t="s">
        <v>19202</v>
      </c>
      <c r="K3433" t="s">
        <v>19203</v>
      </c>
      <c r="L3433" t="s">
        <v>15303</v>
      </c>
      <c r="M3433" s="161" t="s">
        <v>19202</v>
      </c>
    </row>
    <row r="3434" spans="9:13" x14ac:dyDescent="0.25">
      <c r="I3434" t="s">
        <v>13589</v>
      </c>
      <c r="J3434" s="161" t="s">
        <v>19202</v>
      </c>
      <c r="K3434" t="s">
        <v>19203</v>
      </c>
      <c r="L3434" t="s">
        <v>3516</v>
      </c>
      <c r="M3434" s="161" t="s">
        <v>19202</v>
      </c>
    </row>
    <row r="3435" spans="9:13" x14ac:dyDescent="0.25">
      <c r="I3435" t="s">
        <v>13523</v>
      </c>
      <c r="J3435" s="161" t="s">
        <v>19202</v>
      </c>
      <c r="K3435" t="s">
        <v>19203</v>
      </c>
      <c r="L3435" t="s">
        <v>13522</v>
      </c>
      <c r="M3435" s="161" t="s">
        <v>19202</v>
      </c>
    </row>
    <row r="3436" spans="9:13" x14ac:dyDescent="0.25">
      <c r="I3436" t="s">
        <v>13919</v>
      </c>
      <c r="J3436" s="161" t="s">
        <v>19202</v>
      </c>
      <c r="K3436" t="s">
        <v>19203</v>
      </c>
      <c r="L3436" t="s">
        <v>842</v>
      </c>
      <c r="M3436" s="161" t="s">
        <v>19202</v>
      </c>
    </row>
    <row r="3437" spans="9:13" x14ac:dyDescent="0.25">
      <c r="I3437" t="s">
        <v>13916</v>
      </c>
      <c r="J3437" s="161" t="s">
        <v>19202</v>
      </c>
      <c r="K3437" t="s">
        <v>19203</v>
      </c>
      <c r="L3437" t="s">
        <v>13915</v>
      </c>
      <c r="M3437" s="161" t="s">
        <v>19202</v>
      </c>
    </row>
    <row r="3438" spans="9:13" x14ac:dyDescent="0.25">
      <c r="I3438" t="s">
        <v>14872</v>
      </c>
      <c r="J3438" s="161" t="s">
        <v>19202</v>
      </c>
      <c r="K3438" t="s">
        <v>19203</v>
      </c>
      <c r="L3438" t="s">
        <v>14871</v>
      </c>
      <c r="M3438" s="161" t="s">
        <v>19202</v>
      </c>
    </row>
    <row r="3439" spans="9:13" x14ac:dyDescent="0.25">
      <c r="I3439" t="s">
        <v>5432</v>
      </c>
      <c r="J3439" s="161" t="s">
        <v>19202</v>
      </c>
      <c r="K3439" t="s">
        <v>19203</v>
      </c>
      <c r="L3439" t="s">
        <v>5431</v>
      </c>
      <c r="M3439" s="161" t="s">
        <v>19202</v>
      </c>
    </row>
    <row r="3440" spans="9:13" x14ac:dyDescent="0.25">
      <c r="I3440" t="s">
        <v>14739</v>
      </c>
      <c r="J3440" s="161" t="s">
        <v>19202</v>
      </c>
      <c r="K3440" t="s">
        <v>19203</v>
      </c>
      <c r="L3440" t="s">
        <v>14738</v>
      </c>
      <c r="M3440" s="161" t="s">
        <v>19202</v>
      </c>
    </row>
    <row r="3441" spans="9:13" x14ac:dyDescent="0.25">
      <c r="I3441" t="s">
        <v>5407</v>
      </c>
      <c r="J3441" s="161" t="s">
        <v>19202</v>
      </c>
      <c r="K3441" t="s">
        <v>19203</v>
      </c>
      <c r="L3441" t="s">
        <v>5406</v>
      </c>
      <c r="M3441" s="161" t="s">
        <v>19202</v>
      </c>
    </row>
    <row r="3442" spans="9:13" x14ac:dyDescent="0.25">
      <c r="I3442" t="s">
        <v>5350</v>
      </c>
      <c r="J3442" s="161" t="s">
        <v>19202</v>
      </c>
      <c r="K3442" t="s">
        <v>19203</v>
      </c>
      <c r="L3442" t="s">
        <v>5349</v>
      </c>
      <c r="M3442" s="161" t="s">
        <v>19202</v>
      </c>
    </row>
    <row r="3443" spans="9:13" x14ac:dyDescent="0.25">
      <c r="I3443" t="s">
        <v>5348</v>
      </c>
      <c r="J3443" s="161" t="s">
        <v>19202</v>
      </c>
      <c r="K3443" t="s">
        <v>19203</v>
      </c>
      <c r="L3443" t="s">
        <v>5347</v>
      </c>
      <c r="M3443" s="161" t="s">
        <v>19202</v>
      </c>
    </row>
    <row r="3444" spans="9:13" x14ac:dyDescent="0.25">
      <c r="I3444" t="s">
        <v>5346</v>
      </c>
      <c r="J3444" s="161" t="s">
        <v>19202</v>
      </c>
      <c r="K3444" t="s">
        <v>19203</v>
      </c>
      <c r="L3444" t="s">
        <v>5345</v>
      </c>
      <c r="M3444" s="161" t="s">
        <v>19202</v>
      </c>
    </row>
    <row r="3445" spans="9:13" x14ac:dyDescent="0.25">
      <c r="I3445" t="s">
        <v>5312</v>
      </c>
      <c r="J3445" s="161" t="s">
        <v>19202</v>
      </c>
      <c r="K3445" t="s">
        <v>19203</v>
      </c>
      <c r="L3445" t="s">
        <v>5311</v>
      </c>
      <c r="M3445" s="161" t="s">
        <v>19202</v>
      </c>
    </row>
    <row r="3446" spans="9:13" x14ac:dyDescent="0.25">
      <c r="I3446" t="s">
        <v>5404</v>
      </c>
      <c r="J3446" s="161" t="s">
        <v>19202</v>
      </c>
      <c r="K3446" t="s">
        <v>19203</v>
      </c>
      <c r="L3446" t="s">
        <v>5403</v>
      </c>
      <c r="M3446" s="161" t="s">
        <v>19202</v>
      </c>
    </row>
    <row r="3447" spans="9:13" x14ac:dyDescent="0.25">
      <c r="I3447" t="s">
        <v>13652</v>
      </c>
      <c r="J3447" s="161" t="s">
        <v>19202</v>
      </c>
      <c r="K3447" t="s">
        <v>19203</v>
      </c>
      <c r="L3447" t="s">
        <v>13651</v>
      </c>
      <c r="M3447" s="161" t="s">
        <v>19202</v>
      </c>
    </row>
    <row r="3448" spans="9:13" x14ac:dyDescent="0.25">
      <c r="I3448" t="s">
        <v>19640</v>
      </c>
      <c r="J3448" s="161" t="s">
        <v>19202</v>
      </c>
      <c r="K3448" t="s">
        <v>19203</v>
      </c>
      <c r="L3448" t="s">
        <v>19641</v>
      </c>
      <c r="M3448" s="161" t="s">
        <v>19202</v>
      </c>
    </row>
    <row r="3449" spans="9:13" x14ac:dyDescent="0.25">
      <c r="I3449" t="s">
        <v>15764</v>
      </c>
      <c r="J3449" s="161" t="s">
        <v>19202</v>
      </c>
      <c r="K3449" t="s">
        <v>19203</v>
      </c>
      <c r="L3449" t="s">
        <v>4440</v>
      </c>
      <c r="M3449" s="161" t="s">
        <v>19202</v>
      </c>
    </row>
    <row r="3450" spans="9:13" x14ac:dyDescent="0.25">
      <c r="I3450" t="s">
        <v>12736</v>
      </c>
      <c r="J3450" s="161" t="s">
        <v>19202</v>
      </c>
      <c r="K3450" t="s">
        <v>19203</v>
      </c>
      <c r="L3450" t="s">
        <v>12735</v>
      </c>
      <c r="M3450" s="161" t="s">
        <v>19202</v>
      </c>
    </row>
    <row r="3451" spans="9:13" x14ac:dyDescent="0.25">
      <c r="I3451" t="s">
        <v>13647</v>
      </c>
      <c r="J3451" s="161" t="s">
        <v>19202</v>
      </c>
      <c r="K3451" t="s">
        <v>19203</v>
      </c>
      <c r="L3451" t="s">
        <v>13646</v>
      </c>
      <c r="M3451" s="161" t="s">
        <v>19202</v>
      </c>
    </row>
    <row r="3452" spans="9:13" x14ac:dyDescent="0.25">
      <c r="I3452" t="s">
        <v>13645</v>
      </c>
      <c r="J3452" s="161" t="s">
        <v>19202</v>
      </c>
      <c r="K3452" t="s">
        <v>19203</v>
      </c>
      <c r="L3452" t="s">
        <v>3738</v>
      </c>
      <c r="M3452" s="161" t="s">
        <v>19202</v>
      </c>
    </row>
    <row r="3453" spans="9:13" x14ac:dyDescent="0.25">
      <c r="I3453" t="s">
        <v>13642</v>
      </c>
      <c r="J3453" s="161" t="s">
        <v>19202</v>
      </c>
      <c r="K3453" t="s">
        <v>19203</v>
      </c>
      <c r="L3453" t="s">
        <v>13641</v>
      </c>
      <c r="M3453" s="161" t="s">
        <v>19202</v>
      </c>
    </row>
    <row r="3454" spans="9:13" x14ac:dyDescent="0.25">
      <c r="I3454" t="s">
        <v>13640</v>
      </c>
      <c r="J3454" s="161" t="s">
        <v>19202</v>
      </c>
      <c r="K3454" t="s">
        <v>19203</v>
      </c>
      <c r="L3454" t="s">
        <v>13639</v>
      </c>
      <c r="M3454" s="161" t="s">
        <v>19202</v>
      </c>
    </row>
    <row r="3455" spans="9:13" x14ac:dyDescent="0.25">
      <c r="I3455" t="s">
        <v>5344</v>
      </c>
      <c r="J3455" s="161" t="s">
        <v>19202</v>
      </c>
      <c r="K3455" t="s">
        <v>19203</v>
      </c>
      <c r="L3455" t="s">
        <v>5343</v>
      </c>
      <c r="M3455" s="161" t="s">
        <v>19202</v>
      </c>
    </row>
    <row r="3456" spans="9:13" x14ac:dyDescent="0.25">
      <c r="I3456" t="s">
        <v>5342</v>
      </c>
      <c r="J3456" s="161" t="s">
        <v>19202</v>
      </c>
      <c r="K3456" t="s">
        <v>19203</v>
      </c>
      <c r="L3456" t="s">
        <v>5341</v>
      </c>
      <c r="M3456" s="161" t="s">
        <v>19202</v>
      </c>
    </row>
    <row r="3457" spans="9:13" x14ac:dyDescent="0.25">
      <c r="I3457" t="s">
        <v>10783</v>
      </c>
      <c r="J3457" s="161" t="s">
        <v>19202</v>
      </c>
      <c r="K3457" t="s">
        <v>19203</v>
      </c>
      <c r="L3457" t="s">
        <v>10782</v>
      </c>
      <c r="M3457" s="161" t="s">
        <v>19202</v>
      </c>
    </row>
    <row r="3458" spans="9:13" x14ac:dyDescent="0.25">
      <c r="I3458" t="s">
        <v>13595</v>
      </c>
      <c r="J3458" s="161" t="s">
        <v>19202</v>
      </c>
      <c r="K3458" t="s">
        <v>19203</v>
      </c>
      <c r="L3458" t="s">
        <v>13594</v>
      </c>
      <c r="M3458" s="161" t="s">
        <v>19202</v>
      </c>
    </row>
    <row r="3459" spans="9:13" x14ac:dyDescent="0.25">
      <c r="I3459" t="s">
        <v>13577</v>
      </c>
      <c r="J3459" s="161" t="s">
        <v>19202</v>
      </c>
      <c r="K3459" t="s">
        <v>19203</v>
      </c>
      <c r="L3459" t="s">
        <v>13576</v>
      </c>
      <c r="M3459" s="161" t="s">
        <v>19202</v>
      </c>
    </row>
    <row r="3460" spans="9:13" x14ac:dyDescent="0.25">
      <c r="I3460" t="s">
        <v>176</v>
      </c>
      <c r="J3460" s="161" t="s">
        <v>19202</v>
      </c>
      <c r="K3460" t="s">
        <v>19203</v>
      </c>
      <c r="L3460" t="s">
        <v>175</v>
      </c>
      <c r="M3460" s="161" t="s">
        <v>19202</v>
      </c>
    </row>
    <row r="3461" spans="9:13" x14ac:dyDescent="0.25">
      <c r="I3461" t="s">
        <v>9897</v>
      </c>
      <c r="J3461" s="161" t="s">
        <v>19202</v>
      </c>
      <c r="K3461" t="s">
        <v>19203</v>
      </c>
      <c r="L3461" t="s">
        <v>9896</v>
      </c>
      <c r="M3461" s="161" t="s">
        <v>19202</v>
      </c>
    </row>
    <row r="3462" spans="9:13" x14ac:dyDescent="0.25">
      <c r="I3462" t="s">
        <v>3271</v>
      </c>
      <c r="J3462" s="161" t="s">
        <v>19202</v>
      </c>
      <c r="K3462" t="s">
        <v>19203</v>
      </c>
      <c r="L3462" t="s">
        <v>3270</v>
      </c>
      <c r="M3462" s="161" t="s">
        <v>19202</v>
      </c>
    </row>
    <row r="3463" spans="9:13" x14ac:dyDescent="0.25">
      <c r="I3463" t="s">
        <v>16335</v>
      </c>
      <c r="J3463" s="161" t="s">
        <v>19202</v>
      </c>
      <c r="K3463" t="s">
        <v>19203</v>
      </c>
      <c r="L3463" t="s">
        <v>16334</v>
      </c>
      <c r="M3463" s="161" t="s">
        <v>19202</v>
      </c>
    </row>
    <row r="3464" spans="9:13" x14ac:dyDescent="0.25">
      <c r="I3464" t="s">
        <v>7639</v>
      </c>
      <c r="J3464" s="161" t="s">
        <v>19202</v>
      </c>
      <c r="K3464" t="s">
        <v>19203</v>
      </c>
      <c r="L3464" t="s">
        <v>7638</v>
      </c>
      <c r="M3464" s="161" t="s">
        <v>19202</v>
      </c>
    </row>
    <row r="3465" spans="9:13" x14ac:dyDescent="0.25">
      <c r="I3465" t="s">
        <v>7998</v>
      </c>
      <c r="J3465" s="161" t="s">
        <v>19202</v>
      </c>
      <c r="K3465" t="s">
        <v>19203</v>
      </c>
      <c r="L3465" t="s">
        <v>7997</v>
      </c>
      <c r="M3465" s="161" t="s">
        <v>19202</v>
      </c>
    </row>
    <row r="3466" spans="9:13" x14ac:dyDescent="0.25">
      <c r="I3466" t="s">
        <v>7716</v>
      </c>
      <c r="J3466" s="161" t="s">
        <v>19202</v>
      </c>
      <c r="K3466" t="s">
        <v>19203</v>
      </c>
      <c r="L3466" t="s">
        <v>7715</v>
      </c>
      <c r="M3466" s="161" t="s">
        <v>19202</v>
      </c>
    </row>
    <row r="3467" spans="9:13" x14ac:dyDescent="0.25">
      <c r="I3467" t="s">
        <v>8604</v>
      </c>
      <c r="J3467" s="161" t="s">
        <v>19202</v>
      </c>
      <c r="K3467" t="s">
        <v>19203</v>
      </c>
      <c r="L3467" t="s">
        <v>8603</v>
      </c>
      <c r="M3467" s="161" t="s">
        <v>19202</v>
      </c>
    </row>
    <row r="3468" spans="9:13" x14ac:dyDescent="0.25">
      <c r="I3468" t="s">
        <v>7501</v>
      </c>
      <c r="J3468" s="161" t="s">
        <v>19202</v>
      </c>
      <c r="K3468" t="s">
        <v>19203</v>
      </c>
      <c r="L3468" t="s">
        <v>7500</v>
      </c>
      <c r="M3468" s="161" t="s">
        <v>19202</v>
      </c>
    </row>
    <row r="3469" spans="9:13" x14ac:dyDescent="0.25">
      <c r="I3469" t="s">
        <v>7499</v>
      </c>
      <c r="J3469" s="161" t="s">
        <v>19202</v>
      </c>
      <c r="K3469" t="s">
        <v>19203</v>
      </c>
      <c r="L3469" t="s">
        <v>7498</v>
      </c>
      <c r="M3469" s="161" t="s">
        <v>19202</v>
      </c>
    </row>
    <row r="3470" spans="9:13" x14ac:dyDescent="0.25">
      <c r="I3470" t="s">
        <v>7497</v>
      </c>
      <c r="J3470" s="161" t="s">
        <v>19202</v>
      </c>
      <c r="K3470" t="s">
        <v>19203</v>
      </c>
      <c r="L3470" t="s">
        <v>7496</v>
      </c>
      <c r="M3470" s="161" t="s">
        <v>19202</v>
      </c>
    </row>
    <row r="3471" spans="9:13" x14ac:dyDescent="0.25">
      <c r="I3471" t="s">
        <v>8365</v>
      </c>
      <c r="J3471" s="161" t="s">
        <v>19202</v>
      </c>
      <c r="K3471" t="s">
        <v>19203</v>
      </c>
      <c r="L3471" t="s">
        <v>8364</v>
      </c>
      <c r="M3471" s="161" t="s">
        <v>19202</v>
      </c>
    </row>
    <row r="3472" spans="9:13" x14ac:dyDescent="0.25">
      <c r="I3472" t="s">
        <v>7495</v>
      </c>
      <c r="J3472" s="161" t="s">
        <v>19202</v>
      </c>
      <c r="K3472" t="s">
        <v>19203</v>
      </c>
      <c r="L3472" t="s">
        <v>7494</v>
      </c>
      <c r="M3472" s="161" t="s">
        <v>19202</v>
      </c>
    </row>
    <row r="3473" spans="9:13" x14ac:dyDescent="0.25">
      <c r="I3473" t="s">
        <v>8602</v>
      </c>
      <c r="J3473" s="161" t="s">
        <v>19202</v>
      </c>
      <c r="K3473" t="s">
        <v>19203</v>
      </c>
      <c r="L3473" t="s">
        <v>8601</v>
      </c>
      <c r="M3473" s="161" t="s">
        <v>19202</v>
      </c>
    </row>
    <row r="3474" spans="9:13" x14ac:dyDescent="0.25">
      <c r="I3474" t="s">
        <v>7491</v>
      </c>
      <c r="J3474" s="161" t="s">
        <v>19202</v>
      </c>
      <c r="K3474" t="s">
        <v>19203</v>
      </c>
      <c r="L3474" t="s">
        <v>7490</v>
      </c>
      <c r="M3474" s="161" t="s">
        <v>19202</v>
      </c>
    </row>
    <row r="3475" spans="9:13" x14ac:dyDescent="0.25">
      <c r="I3475" t="s">
        <v>7917</v>
      </c>
      <c r="J3475" s="161" t="s">
        <v>19202</v>
      </c>
      <c r="K3475" t="s">
        <v>19203</v>
      </c>
      <c r="L3475" t="s">
        <v>7916</v>
      </c>
      <c r="M3475" s="161" t="s">
        <v>19202</v>
      </c>
    </row>
    <row r="3476" spans="9:13" x14ac:dyDescent="0.25">
      <c r="I3476" t="s">
        <v>7764</v>
      </c>
      <c r="J3476" s="161" t="s">
        <v>19202</v>
      </c>
      <c r="K3476" t="s">
        <v>19203</v>
      </c>
      <c r="L3476" t="s">
        <v>7763</v>
      </c>
      <c r="M3476" s="161" t="s">
        <v>19202</v>
      </c>
    </row>
    <row r="3477" spans="9:13" x14ac:dyDescent="0.25">
      <c r="I3477" t="s">
        <v>19642</v>
      </c>
      <c r="J3477" s="161" t="s">
        <v>19202</v>
      </c>
      <c r="K3477" t="s">
        <v>19203</v>
      </c>
      <c r="L3477" t="s">
        <v>19643</v>
      </c>
      <c r="M3477" s="161" t="s">
        <v>19202</v>
      </c>
    </row>
    <row r="3478" spans="9:13" x14ac:dyDescent="0.25">
      <c r="I3478" t="s">
        <v>8066</v>
      </c>
      <c r="J3478" s="161" t="s">
        <v>19202</v>
      </c>
      <c r="K3478" t="s">
        <v>19203</v>
      </c>
      <c r="L3478" t="s">
        <v>8065</v>
      </c>
      <c r="M3478" s="161" t="s">
        <v>19202</v>
      </c>
    </row>
    <row r="3479" spans="9:13" x14ac:dyDescent="0.25">
      <c r="I3479" t="s">
        <v>7631</v>
      </c>
      <c r="J3479" s="161" t="s">
        <v>19202</v>
      </c>
      <c r="K3479" t="s">
        <v>19203</v>
      </c>
      <c r="L3479" t="s">
        <v>7630</v>
      </c>
      <c r="M3479" s="161" t="s">
        <v>19202</v>
      </c>
    </row>
    <row r="3480" spans="9:13" x14ac:dyDescent="0.25">
      <c r="I3480" t="s">
        <v>19644</v>
      </c>
      <c r="J3480" s="161" t="s">
        <v>19202</v>
      </c>
      <c r="K3480" t="s">
        <v>19203</v>
      </c>
      <c r="L3480" t="s">
        <v>19645</v>
      </c>
      <c r="M3480" s="161" t="s">
        <v>19202</v>
      </c>
    </row>
    <row r="3481" spans="9:13" x14ac:dyDescent="0.25">
      <c r="I3481" t="s">
        <v>7286</v>
      </c>
      <c r="J3481" s="161" t="s">
        <v>19202</v>
      </c>
      <c r="K3481" t="s">
        <v>19203</v>
      </c>
      <c r="L3481" t="s">
        <v>7285</v>
      </c>
      <c r="M3481" s="161" t="s">
        <v>19202</v>
      </c>
    </row>
    <row r="3482" spans="9:13" x14ac:dyDescent="0.25">
      <c r="I3482" t="s">
        <v>8136</v>
      </c>
      <c r="J3482" s="161" t="s">
        <v>19202</v>
      </c>
      <c r="K3482" t="s">
        <v>19203</v>
      </c>
      <c r="L3482" t="s">
        <v>8135</v>
      </c>
      <c r="M3482" s="161" t="s">
        <v>19202</v>
      </c>
    </row>
    <row r="3483" spans="9:13" x14ac:dyDescent="0.25">
      <c r="I3483" t="s">
        <v>8134</v>
      </c>
      <c r="J3483" s="161" t="s">
        <v>19202</v>
      </c>
      <c r="K3483" t="s">
        <v>19203</v>
      </c>
      <c r="L3483" t="s">
        <v>8133</v>
      </c>
      <c r="M3483" s="161" t="s">
        <v>19202</v>
      </c>
    </row>
    <row r="3484" spans="9:13" x14ac:dyDescent="0.25">
      <c r="I3484" t="s">
        <v>8064</v>
      </c>
      <c r="J3484" s="161" t="s">
        <v>19202</v>
      </c>
      <c r="K3484" t="s">
        <v>19203</v>
      </c>
      <c r="L3484" t="s">
        <v>8063</v>
      </c>
      <c r="M3484" s="161" t="s">
        <v>19202</v>
      </c>
    </row>
    <row r="3485" spans="9:13" x14ac:dyDescent="0.25">
      <c r="I3485" t="s">
        <v>8311</v>
      </c>
      <c r="J3485" s="161" t="s">
        <v>19202</v>
      </c>
      <c r="K3485" t="s">
        <v>19203</v>
      </c>
      <c r="L3485" t="s">
        <v>8310</v>
      </c>
      <c r="M3485" s="161" t="s">
        <v>19202</v>
      </c>
    </row>
    <row r="3486" spans="9:13" x14ac:dyDescent="0.25">
      <c r="I3486" t="s">
        <v>7483</v>
      </c>
      <c r="J3486" s="161" t="s">
        <v>19202</v>
      </c>
      <c r="K3486" t="s">
        <v>19203</v>
      </c>
      <c r="L3486" t="s">
        <v>7482</v>
      </c>
      <c r="M3486" s="161" t="s">
        <v>19202</v>
      </c>
    </row>
    <row r="3487" spans="9:13" x14ac:dyDescent="0.25">
      <c r="I3487" t="s">
        <v>7817</v>
      </c>
      <c r="J3487" s="161" t="s">
        <v>19202</v>
      </c>
      <c r="K3487" t="s">
        <v>19203</v>
      </c>
      <c r="L3487" t="s">
        <v>7816</v>
      </c>
      <c r="M3487" s="161" t="s">
        <v>19202</v>
      </c>
    </row>
    <row r="3488" spans="9:13" x14ac:dyDescent="0.25">
      <c r="I3488" t="s">
        <v>8307</v>
      </c>
      <c r="J3488" s="161" t="s">
        <v>19202</v>
      </c>
      <c r="K3488" t="s">
        <v>19203</v>
      </c>
      <c r="L3488" t="s">
        <v>8306</v>
      </c>
      <c r="M3488" s="161" t="s">
        <v>19202</v>
      </c>
    </row>
    <row r="3489" spans="9:13" x14ac:dyDescent="0.25">
      <c r="I3489" t="s">
        <v>8363</v>
      </c>
      <c r="J3489" s="161" t="s">
        <v>19202</v>
      </c>
      <c r="K3489" t="s">
        <v>19203</v>
      </c>
      <c r="L3489" t="s">
        <v>8362</v>
      </c>
      <c r="M3489" s="161" t="s">
        <v>19202</v>
      </c>
    </row>
    <row r="3490" spans="9:13" x14ac:dyDescent="0.25">
      <c r="I3490" t="s">
        <v>7629</v>
      </c>
      <c r="J3490" s="161" t="s">
        <v>19202</v>
      </c>
      <c r="K3490" t="s">
        <v>19203</v>
      </c>
      <c r="L3490" t="s">
        <v>7628</v>
      </c>
      <c r="M3490" s="161" t="s">
        <v>19202</v>
      </c>
    </row>
    <row r="3491" spans="9:13" x14ac:dyDescent="0.25">
      <c r="I3491" t="s">
        <v>8132</v>
      </c>
      <c r="J3491" s="161" t="s">
        <v>19202</v>
      </c>
      <c r="K3491" t="s">
        <v>19203</v>
      </c>
      <c r="L3491" t="s">
        <v>8131</v>
      </c>
      <c r="M3491" s="161" t="s">
        <v>19202</v>
      </c>
    </row>
    <row r="3492" spans="9:13" x14ac:dyDescent="0.25">
      <c r="I3492" t="s">
        <v>8062</v>
      </c>
      <c r="J3492" s="161" t="s">
        <v>19202</v>
      </c>
      <c r="K3492" t="s">
        <v>19203</v>
      </c>
      <c r="L3492" t="s">
        <v>8061</v>
      </c>
      <c r="M3492" s="161" t="s">
        <v>19202</v>
      </c>
    </row>
    <row r="3493" spans="9:13" x14ac:dyDescent="0.25">
      <c r="I3493" t="s">
        <v>8522</v>
      </c>
      <c r="J3493" s="161" t="s">
        <v>19202</v>
      </c>
      <c r="K3493" t="s">
        <v>19203</v>
      </c>
      <c r="L3493" t="s">
        <v>8521</v>
      </c>
      <c r="M3493" s="161" t="s">
        <v>19202</v>
      </c>
    </row>
    <row r="3494" spans="9:13" x14ac:dyDescent="0.25">
      <c r="I3494" t="s">
        <v>7240</v>
      </c>
      <c r="J3494" s="161" t="s">
        <v>19202</v>
      </c>
      <c r="K3494" t="s">
        <v>19203</v>
      </c>
      <c r="L3494" t="s">
        <v>7239</v>
      </c>
      <c r="M3494" s="161" t="s">
        <v>19202</v>
      </c>
    </row>
    <row r="3495" spans="9:13" x14ac:dyDescent="0.25">
      <c r="I3495" t="s">
        <v>19646</v>
      </c>
      <c r="J3495" s="161" t="s">
        <v>19202</v>
      </c>
      <c r="K3495" t="s">
        <v>19203</v>
      </c>
      <c r="L3495" t="s">
        <v>19647</v>
      </c>
      <c r="M3495" s="161" t="s">
        <v>19202</v>
      </c>
    </row>
    <row r="3496" spans="9:13" x14ac:dyDescent="0.25">
      <c r="I3496" t="s">
        <v>7627</v>
      </c>
      <c r="J3496" s="161" t="s">
        <v>19202</v>
      </c>
      <c r="K3496" t="s">
        <v>19203</v>
      </c>
      <c r="L3496" t="s">
        <v>7626</v>
      </c>
      <c r="M3496" s="161" t="s">
        <v>19202</v>
      </c>
    </row>
    <row r="3497" spans="9:13" x14ac:dyDescent="0.25">
      <c r="I3497" t="s">
        <v>8130</v>
      </c>
      <c r="J3497" s="161" t="s">
        <v>19202</v>
      </c>
      <c r="K3497" t="s">
        <v>19203</v>
      </c>
      <c r="L3497" t="s">
        <v>8129</v>
      </c>
      <c r="M3497" s="161" t="s">
        <v>19202</v>
      </c>
    </row>
    <row r="3498" spans="9:13" x14ac:dyDescent="0.25">
      <c r="I3498" t="s">
        <v>7712</v>
      </c>
      <c r="J3498" s="161" t="s">
        <v>19202</v>
      </c>
      <c r="K3498" t="s">
        <v>19203</v>
      </c>
      <c r="L3498" t="s">
        <v>7711</v>
      </c>
      <c r="M3498" s="161" t="s">
        <v>19202</v>
      </c>
    </row>
    <row r="3499" spans="9:13" x14ac:dyDescent="0.25">
      <c r="I3499" t="s">
        <v>8267</v>
      </c>
      <c r="J3499" s="161" t="s">
        <v>19202</v>
      </c>
      <c r="K3499" t="s">
        <v>19203</v>
      </c>
      <c r="L3499" t="s">
        <v>8266</v>
      </c>
      <c r="M3499" s="161" t="s">
        <v>19202</v>
      </c>
    </row>
    <row r="3500" spans="9:13" x14ac:dyDescent="0.25">
      <c r="I3500" t="s">
        <v>8265</v>
      </c>
      <c r="J3500" s="161" t="s">
        <v>19202</v>
      </c>
      <c r="K3500" t="s">
        <v>19203</v>
      </c>
      <c r="L3500" t="s">
        <v>8264</v>
      </c>
      <c r="M3500" s="161" t="s">
        <v>19202</v>
      </c>
    </row>
    <row r="3501" spans="9:13" x14ac:dyDescent="0.25">
      <c r="I3501" t="s">
        <v>7915</v>
      </c>
      <c r="J3501" s="161" t="s">
        <v>19202</v>
      </c>
      <c r="K3501" t="s">
        <v>19203</v>
      </c>
      <c r="L3501" t="s">
        <v>7914</v>
      </c>
      <c r="M3501" s="161" t="s">
        <v>19202</v>
      </c>
    </row>
    <row r="3502" spans="9:13" x14ac:dyDescent="0.25">
      <c r="I3502" t="s">
        <v>8473</v>
      </c>
      <c r="J3502" s="161" t="s">
        <v>19202</v>
      </c>
      <c r="K3502" t="s">
        <v>19203</v>
      </c>
      <c r="L3502" t="s">
        <v>8472</v>
      </c>
      <c r="M3502" s="161" t="s">
        <v>19202</v>
      </c>
    </row>
    <row r="3503" spans="9:13" x14ac:dyDescent="0.25">
      <c r="I3503" t="s">
        <v>7708</v>
      </c>
      <c r="J3503" s="161" t="s">
        <v>19202</v>
      </c>
      <c r="K3503" t="s">
        <v>19203</v>
      </c>
      <c r="L3503" t="s">
        <v>7707</v>
      </c>
      <c r="M3503" s="161" t="s">
        <v>19202</v>
      </c>
    </row>
    <row r="3504" spans="9:13" x14ac:dyDescent="0.25">
      <c r="I3504" t="s">
        <v>7964</v>
      </c>
      <c r="J3504" s="161" t="s">
        <v>19202</v>
      </c>
      <c r="K3504" t="s">
        <v>19203</v>
      </c>
      <c r="L3504" t="s">
        <v>7963</v>
      </c>
      <c r="M3504" s="161" t="s">
        <v>19202</v>
      </c>
    </row>
    <row r="3505" spans="9:13" x14ac:dyDescent="0.25">
      <c r="I3505" t="s">
        <v>7407</v>
      </c>
      <c r="J3505" s="161" t="s">
        <v>19202</v>
      </c>
      <c r="K3505" t="s">
        <v>19203</v>
      </c>
      <c r="L3505" t="s">
        <v>7406</v>
      </c>
      <c r="M3505" s="161" t="s">
        <v>19202</v>
      </c>
    </row>
    <row r="3506" spans="9:13" x14ac:dyDescent="0.25">
      <c r="I3506" t="s">
        <v>7762</v>
      </c>
      <c r="J3506" s="161" t="s">
        <v>19202</v>
      </c>
      <c r="K3506" t="s">
        <v>19203</v>
      </c>
      <c r="L3506" t="s">
        <v>7761</v>
      </c>
      <c r="M3506" s="161" t="s">
        <v>19202</v>
      </c>
    </row>
    <row r="3507" spans="9:13" x14ac:dyDescent="0.25">
      <c r="I3507" t="s">
        <v>8305</v>
      </c>
      <c r="J3507" s="161" t="s">
        <v>19202</v>
      </c>
      <c r="K3507" t="s">
        <v>19203</v>
      </c>
      <c r="L3507" t="s">
        <v>8304</v>
      </c>
      <c r="M3507" s="161" t="s">
        <v>19202</v>
      </c>
    </row>
    <row r="3508" spans="9:13" x14ac:dyDescent="0.25">
      <c r="I3508" t="s">
        <v>8303</v>
      </c>
      <c r="J3508" s="161" t="s">
        <v>19202</v>
      </c>
      <c r="K3508" t="s">
        <v>19203</v>
      </c>
      <c r="L3508" t="s">
        <v>8302</v>
      </c>
      <c r="M3508" s="161" t="s">
        <v>19202</v>
      </c>
    </row>
    <row r="3509" spans="9:13" x14ac:dyDescent="0.25">
      <c r="I3509" t="s">
        <v>8361</v>
      </c>
      <c r="J3509" s="161" t="s">
        <v>19202</v>
      </c>
      <c r="K3509" t="s">
        <v>19203</v>
      </c>
      <c r="L3509" t="s">
        <v>8360</v>
      </c>
      <c r="M3509" s="161" t="s">
        <v>19202</v>
      </c>
    </row>
    <row r="3510" spans="9:13" x14ac:dyDescent="0.25">
      <c r="I3510" t="s">
        <v>7760</v>
      </c>
      <c r="J3510" s="161" t="s">
        <v>19202</v>
      </c>
      <c r="K3510" t="s">
        <v>19203</v>
      </c>
      <c r="L3510" t="s">
        <v>7759</v>
      </c>
      <c r="M3510" s="161" t="s">
        <v>19202</v>
      </c>
    </row>
    <row r="3511" spans="9:13" x14ac:dyDescent="0.25">
      <c r="I3511" t="s">
        <v>7960</v>
      </c>
      <c r="J3511" s="161" t="s">
        <v>19202</v>
      </c>
      <c r="K3511" t="s">
        <v>19203</v>
      </c>
      <c r="L3511" t="s">
        <v>7959</v>
      </c>
      <c r="M3511" s="161" t="s">
        <v>19202</v>
      </c>
    </row>
    <row r="3512" spans="9:13" x14ac:dyDescent="0.25">
      <c r="I3512" t="s">
        <v>7958</v>
      </c>
      <c r="J3512" s="161" t="s">
        <v>19202</v>
      </c>
      <c r="K3512" t="s">
        <v>19203</v>
      </c>
      <c r="L3512" t="s">
        <v>7957</v>
      </c>
      <c r="M3512" s="161" t="s">
        <v>19202</v>
      </c>
    </row>
    <row r="3513" spans="9:13" x14ac:dyDescent="0.25">
      <c r="I3513" t="s">
        <v>7405</v>
      </c>
      <c r="J3513" s="161" t="s">
        <v>19202</v>
      </c>
      <c r="K3513" t="s">
        <v>19203</v>
      </c>
      <c r="L3513" t="s">
        <v>7404</v>
      </c>
      <c r="M3513" s="161" t="s">
        <v>19202</v>
      </c>
    </row>
    <row r="3514" spans="9:13" x14ac:dyDescent="0.25">
      <c r="I3514" t="s">
        <v>7397</v>
      </c>
      <c r="J3514" s="161" t="s">
        <v>19202</v>
      </c>
      <c r="K3514" t="s">
        <v>19203</v>
      </c>
      <c r="L3514" t="s">
        <v>7396</v>
      </c>
      <c r="M3514" s="161" t="s">
        <v>19202</v>
      </c>
    </row>
    <row r="3515" spans="9:13" x14ac:dyDescent="0.25">
      <c r="I3515" t="s">
        <v>7461</v>
      </c>
      <c r="J3515" s="161" t="s">
        <v>19202</v>
      </c>
      <c r="K3515" t="s">
        <v>19203</v>
      </c>
      <c r="L3515" t="s">
        <v>7460</v>
      </c>
      <c r="M3515" s="161" t="s">
        <v>19202</v>
      </c>
    </row>
    <row r="3516" spans="9:13" x14ac:dyDescent="0.25">
      <c r="I3516" t="s">
        <v>7459</v>
      </c>
      <c r="J3516" s="161" t="s">
        <v>19202</v>
      </c>
      <c r="K3516" t="s">
        <v>19203</v>
      </c>
      <c r="L3516" t="s">
        <v>7458</v>
      </c>
      <c r="M3516" s="161" t="s">
        <v>19202</v>
      </c>
    </row>
    <row r="3517" spans="9:13" x14ac:dyDescent="0.25">
      <c r="I3517" t="s">
        <v>7457</v>
      </c>
      <c r="J3517" s="161" t="s">
        <v>19202</v>
      </c>
      <c r="K3517" t="s">
        <v>19203</v>
      </c>
      <c r="L3517" t="s">
        <v>7456</v>
      </c>
      <c r="M3517" s="161" t="s">
        <v>19202</v>
      </c>
    </row>
    <row r="3518" spans="9:13" x14ac:dyDescent="0.25">
      <c r="I3518" t="s">
        <v>7455</v>
      </c>
      <c r="J3518" s="161" t="s">
        <v>19202</v>
      </c>
      <c r="K3518" t="s">
        <v>19203</v>
      </c>
      <c r="L3518" t="s">
        <v>7454</v>
      </c>
      <c r="M3518" s="161" t="s">
        <v>19202</v>
      </c>
    </row>
    <row r="3519" spans="9:13" x14ac:dyDescent="0.25">
      <c r="I3519" t="s">
        <v>7758</v>
      </c>
      <c r="J3519" s="161" t="s">
        <v>19202</v>
      </c>
      <c r="K3519" t="s">
        <v>19203</v>
      </c>
      <c r="L3519" t="s">
        <v>7757</v>
      </c>
      <c r="M3519" s="161" t="s">
        <v>19202</v>
      </c>
    </row>
    <row r="3520" spans="9:13" x14ac:dyDescent="0.25">
      <c r="I3520" t="s">
        <v>617</v>
      </c>
      <c r="J3520" s="161" t="s">
        <v>19202</v>
      </c>
      <c r="K3520" t="s">
        <v>19203</v>
      </c>
      <c r="L3520" t="s">
        <v>616</v>
      </c>
      <c r="M3520" s="161" t="s">
        <v>19202</v>
      </c>
    </row>
    <row r="3521" spans="9:13" x14ac:dyDescent="0.25">
      <c r="I3521" t="s">
        <v>9412</v>
      </c>
      <c r="J3521" s="161" t="s">
        <v>19202</v>
      </c>
      <c r="K3521" t="s">
        <v>19203</v>
      </c>
      <c r="L3521" t="s">
        <v>9411</v>
      </c>
      <c r="M3521" s="161" t="s">
        <v>19202</v>
      </c>
    </row>
    <row r="3522" spans="9:13" x14ac:dyDescent="0.25">
      <c r="I3522" t="s">
        <v>19648</v>
      </c>
      <c r="J3522" s="161" t="s">
        <v>19202</v>
      </c>
      <c r="K3522" t="s">
        <v>19203</v>
      </c>
      <c r="L3522" t="s">
        <v>19649</v>
      </c>
      <c r="M3522" s="161" t="s">
        <v>19202</v>
      </c>
    </row>
    <row r="3523" spans="9:13" x14ac:dyDescent="0.25">
      <c r="I3523" t="s">
        <v>13436</v>
      </c>
      <c r="J3523" s="161" t="s">
        <v>19202</v>
      </c>
      <c r="K3523" t="s">
        <v>19203</v>
      </c>
      <c r="L3523" t="s">
        <v>13435</v>
      </c>
      <c r="M3523" s="161" t="s">
        <v>19202</v>
      </c>
    </row>
    <row r="3524" spans="9:13" x14ac:dyDescent="0.25">
      <c r="I3524" t="s">
        <v>13581</v>
      </c>
      <c r="J3524" s="161" t="s">
        <v>19202</v>
      </c>
      <c r="K3524" t="s">
        <v>19203</v>
      </c>
      <c r="L3524" t="s">
        <v>13580</v>
      </c>
      <c r="M3524" s="161" t="s">
        <v>19202</v>
      </c>
    </row>
    <row r="3525" spans="9:13" x14ac:dyDescent="0.25">
      <c r="I3525" t="s">
        <v>7409</v>
      </c>
      <c r="J3525" s="161" t="s">
        <v>19202</v>
      </c>
      <c r="K3525" t="s">
        <v>19203</v>
      </c>
      <c r="L3525" t="s">
        <v>7408</v>
      </c>
      <c r="M3525" s="161" t="s">
        <v>19202</v>
      </c>
    </row>
    <row r="3526" spans="9:13" x14ac:dyDescent="0.25">
      <c r="I3526" t="s">
        <v>12626</v>
      </c>
      <c r="J3526" s="161" t="s">
        <v>19202</v>
      </c>
      <c r="K3526" t="s">
        <v>19203</v>
      </c>
      <c r="L3526" t="s">
        <v>12625</v>
      </c>
      <c r="M3526" s="161" t="s">
        <v>19202</v>
      </c>
    </row>
    <row r="3527" spans="9:13" x14ac:dyDescent="0.25">
      <c r="I3527" t="s">
        <v>13154</v>
      </c>
      <c r="J3527" s="161" t="s">
        <v>19202</v>
      </c>
      <c r="K3527" t="s">
        <v>19203</v>
      </c>
      <c r="L3527" t="s">
        <v>13153</v>
      </c>
      <c r="M3527" s="161" t="s">
        <v>19202</v>
      </c>
    </row>
    <row r="3528" spans="9:13" x14ac:dyDescent="0.25">
      <c r="I3528" t="s">
        <v>1313</v>
      </c>
      <c r="J3528" s="161" t="s">
        <v>19202</v>
      </c>
      <c r="K3528" t="s">
        <v>19203</v>
      </c>
      <c r="L3528" t="s">
        <v>1312</v>
      </c>
      <c r="M3528" s="161" t="s">
        <v>19202</v>
      </c>
    </row>
    <row r="3529" spans="9:13" x14ac:dyDescent="0.25">
      <c r="I3529" t="s">
        <v>841</v>
      </c>
      <c r="J3529" s="161" t="s">
        <v>19202</v>
      </c>
      <c r="K3529" t="s">
        <v>19203</v>
      </c>
      <c r="L3529" t="s">
        <v>840</v>
      </c>
      <c r="M3529" s="161" t="s">
        <v>19202</v>
      </c>
    </row>
    <row r="3530" spans="9:13" x14ac:dyDescent="0.25">
      <c r="I3530" t="s">
        <v>19650</v>
      </c>
      <c r="J3530" s="161" t="s">
        <v>19202</v>
      </c>
      <c r="K3530" t="s">
        <v>19203</v>
      </c>
      <c r="L3530" t="s">
        <v>19651</v>
      </c>
      <c r="M3530" s="161" t="s">
        <v>19202</v>
      </c>
    </row>
    <row r="3531" spans="9:13" x14ac:dyDescent="0.25">
      <c r="I3531" t="s">
        <v>6770</v>
      </c>
      <c r="J3531" s="161" t="s">
        <v>19202</v>
      </c>
      <c r="K3531" t="s">
        <v>19203</v>
      </c>
      <c r="L3531" t="s">
        <v>1520</v>
      </c>
      <c r="M3531" s="161" t="s">
        <v>19202</v>
      </c>
    </row>
    <row r="3532" spans="9:13" x14ac:dyDescent="0.25">
      <c r="I3532" t="s">
        <v>1077</v>
      </c>
      <c r="J3532" s="161" t="s">
        <v>19202</v>
      </c>
      <c r="K3532" t="s">
        <v>19203</v>
      </c>
      <c r="L3532" t="s">
        <v>1076</v>
      </c>
      <c r="M3532" s="161" t="s">
        <v>19202</v>
      </c>
    </row>
    <row r="3533" spans="9:13" x14ac:dyDescent="0.25">
      <c r="I3533" t="s">
        <v>17218</v>
      </c>
      <c r="J3533" s="161" t="s">
        <v>19202</v>
      </c>
      <c r="K3533" t="s">
        <v>19203</v>
      </c>
      <c r="L3533" t="s">
        <v>17217</v>
      </c>
      <c r="M3533" s="161" t="s">
        <v>19202</v>
      </c>
    </row>
    <row r="3534" spans="9:13" x14ac:dyDescent="0.25">
      <c r="I3534" t="s">
        <v>13237</v>
      </c>
      <c r="J3534" s="161" t="s">
        <v>19202</v>
      </c>
      <c r="K3534" t="s">
        <v>19203</v>
      </c>
      <c r="L3534" t="s">
        <v>13236</v>
      </c>
      <c r="M3534" s="161" t="s">
        <v>19202</v>
      </c>
    </row>
    <row r="3535" spans="9:13" x14ac:dyDescent="0.25">
      <c r="I3535" t="s">
        <v>13233</v>
      </c>
      <c r="J3535" s="161" t="s">
        <v>19202</v>
      </c>
      <c r="K3535" t="s">
        <v>19203</v>
      </c>
      <c r="L3535" t="s">
        <v>13232</v>
      </c>
      <c r="M3535" s="161" t="s">
        <v>19202</v>
      </c>
    </row>
    <row r="3536" spans="9:13" x14ac:dyDescent="0.25">
      <c r="I3536" t="s">
        <v>2528</v>
      </c>
      <c r="J3536" s="161" t="s">
        <v>19202</v>
      </c>
      <c r="K3536" t="s">
        <v>19203</v>
      </c>
      <c r="L3536" t="s">
        <v>2527</v>
      </c>
      <c r="M3536" s="161" t="s">
        <v>19202</v>
      </c>
    </row>
    <row r="3537" spans="9:13" x14ac:dyDescent="0.25">
      <c r="I3537" t="s">
        <v>3097</v>
      </c>
      <c r="J3537" s="161" t="s">
        <v>19202</v>
      </c>
      <c r="K3537" t="s">
        <v>19203</v>
      </c>
      <c r="L3537" t="s">
        <v>3096</v>
      </c>
      <c r="M3537" s="161" t="s">
        <v>19202</v>
      </c>
    </row>
    <row r="3538" spans="9:13" x14ac:dyDescent="0.25">
      <c r="I3538" t="s">
        <v>6261</v>
      </c>
      <c r="J3538" s="161" t="s">
        <v>19202</v>
      </c>
      <c r="K3538" t="s">
        <v>19203</v>
      </c>
      <c r="L3538" t="s">
        <v>4597</v>
      </c>
      <c r="M3538" s="161" t="s">
        <v>19202</v>
      </c>
    </row>
    <row r="3539" spans="9:13" x14ac:dyDescent="0.25">
      <c r="I3539" t="s">
        <v>899</v>
      </c>
      <c r="J3539" s="161" t="s">
        <v>19202</v>
      </c>
      <c r="K3539" t="s">
        <v>19203</v>
      </c>
      <c r="L3539" t="s">
        <v>898</v>
      </c>
      <c r="M3539" s="161" t="s">
        <v>19202</v>
      </c>
    </row>
    <row r="3540" spans="9:13" x14ac:dyDescent="0.25">
      <c r="I3540" t="s">
        <v>19652</v>
      </c>
      <c r="J3540" s="161" t="s">
        <v>19202</v>
      </c>
      <c r="K3540" t="s">
        <v>19203</v>
      </c>
      <c r="L3540" t="s">
        <v>19653</v>
      </c>
      <c r="M3540" s="161" t="s">
        <v>19202</v>
      </c>
    </row>
    <row r="3541" spans="9:13" x14ac:dyDescent="0.25">
      <c r="I3541" t="s">
        <v>13597</v>
      </c>
      <c r="J3541" s="161" t="s">
        <v>19202</v>
      </c>
      <c r="K3541" t="s">
        <v>19203</v>
      </c>
      <c r="L3541" t="s">
        <v>13596</v>
      </c>
      <c r="M3541" s="161" t="s">
        <v>19202</v>
      </c>
    </row>
    <row r="3542" spans="9:13" x14ac:dyDescent="0.25">
      <c r="I3542" t="s">
        <v>17646</v>
      </c>
      <c r="J3542" s="161" t="s">
        <v>19202</v>
      </c>
      <c r="K3542" t="s">
        <v>19203</v>
      </c>
      <c r="L3542" t="s">
        <v>17645</v>
      </c>
      <c r="M3542" s="161" t="s">
        <v>19202</v>
      </c>
    </row>
    <row r="3543" spans="9:13" x14ac:dyDescent="0.25">
      <c r="I3543" t="s">
        <v>19654</v>
      </c>
      <c r="J3543" s="161" t="s">
        <v>19202</v>
      </c>
      <c r="K3543" t="s">
        <v>19203</v>
      </c>
      <c r="L3543" t="s">
        <v>19655</v>
      </c>
      <c r="M3543" s="161" t="s">
        <v>19202</v>
      </c>
    </row>
    <row r="3544" spans="9:13" x14ac:dyDescent="0.25">
      <c r="I3544" t="s">
        <v>2578</v>
      </c>
      <c r="J3544" s="161" t="s">
        <v>19202</v>
      </c>
      <c r="K3544" t="s">
        <v>19203</v>
      </c>
      <c r="L3544" t="s">
        <v>2577</v>
      </c>
      <c r="M3544" s="161" t="s">
        <v>19202</v>
      </c>
    </row>
    <row r="3545" spans="9:13" x14ac:dyDescent="0.25">
      <c r="I3545" t="s">
        <v>2322</v>
      </c>
      <c r="J3545" s="161" t="s">
        <v>19202</v>
      </c>
      <c r="K3545" t="s">
        <v>19203</v>
      </c>
      <c r="L3545" t="s">
        <v>2321</v>
      </c>
      <c r="M3545" s="161" t="s">
        <v>19202</v>
      </c>
    </row>
    <row r="3546" spans="9:13" x14ac:dyDescent="0.25">
      <c r="I3546" t="s">
        <v>13599</v>
      </c>
      <c r="J3546" s="161" t="s">
        <v>19202</v>
      </c>
      <c r="K3546" t="s">
        <v>19203</v>
      </c>
      <c r="L3546" t="s">
        <v>5493</v>
      </c>
      <c r="M3546" s="161" t="s">
        <v>19202</v>
      </c>
    </row>
    <row r="3547" spans="9:13" x14ac:dyDescent="0.25">
      <c r="I3547" t="s">
        <v>13834</v>
      </c>
      <c r="J3547" s="161" t="s">
        <v>19202</v>
      </c>
      <c r="K3547" t="s">
        <v>19203</v>
      </c>
      <c r="L3547" t="s">
        <v>13833</v>
      </c>
      <c r="M3547" s="161" t="s">
        <v>19202</v>
      </c>
    </row>
    <row r="3548" spans="9:13" x14ac:dyDescent="0.25">
      <c r="I3548" t="s">
        <v>13855</v>
      </c>
      <c r="J3548" s="161" t="s">
        <v>19202</v>
      </c>
      <c r="K3548" t="s">
        <v>19203</v>
      </c>
      <c r="L3548" t="s">
        <v>1234</v>
      </c>
      <c r="M3548" s="161" t="s">
        <v>19202</v>
      </c>
    </row>
    <row r="3549" spans="9:13" x14ac:dyDescent="0.25">
      <c r="I3549" t="s">
        <v>19656</v>
      </c>
      <c r="J3549" s="161" t="s">
        <v>19202</v>
      </c>
      <c r="K3549" t="s">
        <v>19203</v>
      </c>
      <c r="L3549" t="s">
        <v>19657</v>
      </c>
      <c r="M3549" s="161" t="s">
        <v>19202</v>
      </c>
    </row>
    <row r="3550" spans="9:13" x14ac:dyDescent="0.25">
      <c r="I3550" t="s">
        <v>8678</v>
      </c>
      <c r="J3550" s="161" t="s">
        <v>19202</v>
      </c>
      <c r="K3550" t="s">
        <v>19203</v>
      </c>
      <c r="L3550" t="s">
        <v>8677</v>
      </c>
      <c r="M3550" s="161" t="s">
        <v>19202</v>
      </c>
    </row>
    <row r="3551" spans="9:13" x14ac:dyDescent="0.25">
      <c r="I3551" t="s">
        <v>6800</v>
      </c>
      <c r="J3551" s="161" t="s">
        <v>19202</v>
      </c>
      <c r="K3551" t="s">
        <v>19203</v>
      </c>
      <c r="L3551" t="s">
        <v>6799</v>
      </c>
      <c r="M3551" s="161" t="s">
        <v>19202</v>
      </c>
    </row>
    <row r="3552" spans="9:13" x14ac:dyDescent="0.25">
      <c r="I3552" t="s">
        <v>3297</v>
      </c>
      <c r="J3552" s="161" t="s">
        <v>19202</v>
      </c>
      <c r="K3552" t="s">
        <v>19203</v>
      </c>
      <c r="L3552" t="s">
        <v>3296</v>
      </c>
      <c r="M3552" s="161" t="s">
        <v>19202</v>
      </c>
    </row>
    <row r="3553" spans="9:13" x14ac:dyDescent="0.25">
      <c r="I3553" t="s">
        <v>17873</v>
      </c>
      <c r="J3553" s="161" t="s">
        <v>19202</v>
      </c>
      <c r="K3553" t="s">
        <v>19203</v>
      </c>
      <c r="L3553" t="s">
        <v>2111</v>
      </c>
      <c r="M3553" s="161" t="s">
        <v>19202</v>
      </c>
    </row>
    <row r="3554" spans="9:13" x14ac:dyDescent="0.25">
      <c r="I3554" t="s">
        <v>6880</v>
      </c>
      <c r="J3554" s="161" t="s">
        <v>19202</v>
      </c>
      <c r="K3554" t="s">
        <v>19203</v>
      </c>
      <c r="L3554" t="s">
        <v>6879</v>
      </c>
      <c r="M3554" s="161" t="s">
        <v>19202</v>
      </c>
    </row>
    <row r="3555" spans="9:13" x14ac:dyDescent="0.25">
      <c r="I3555" t="s">
        <v>174</v>
      </c>
      <c r="J3555" s="161" t="s">
        <v>19202</v>
      </c>
      <c r="K3555" t="s">
        <v>19203</v>
      </c>
      <c r="L3555" t="s">
        <v>173</v>
      </c>
      <c r="M3555" s="161" t="s">
        <v>19202</v>
      </c>
    </row>
    <row r="3556" spans="9:13" x14ac:dyDescent="0.25">
      <c r="I3556" t="s">
        <v>19658</v>
      </c>
      <c r="J3556" s="161" t="s">
        <v>19202</v>
      </c>
      <c r="K3556" t="s">
        <v>19203</v>
      </c>
      <c r="L3556" t="s">
        <v>19659</v>
      </c>
      <c r="M3556" s="161" t="s">
        <v>19202</v>
      </c>
    </row>
    <row r="3557" spans="9:13" x14ac:dyDescent="0.25">
      <c r="I3557" t="s">
        <v>19660</v>
      </c>
      <c r="J3557" s="161" t="s">
        <v>19202</v>
      </c>
      <c r="K3557" t="s">
        <v>19203</v>
      </c>
      <c r="L3557" t="s">
        <v>19661</v>
      </c>
      <c r="M3557" s="161" t="s">
        <v>19202</v>
      </c>
    </row>
    <row r="3558" spans="9:13" x14ac:dyDescent="0.25">
      <c r="I3558" t="s">
        <v>13020</v>
      </c>
      <c r="J3558" s="161" t="s">
        <v>19202</v>
      </c>
      <c r="K3558" t="s">
        <v>19203</v>
      </c>
      <c r="L3558" t="s">
        <v>13019</v>
      </c>
      <c r="M3558" s="161" t="s">
        <v>19202</v>
      </c>
    </row>
    <row r="3559" spans="9:13" x14ac:dyDescent="0.25">
      <c r="I3559" t="s">
        <v>13018</v>
      </c>
      <c r="J3559" s="161" t="s">
        <v>19202</v>
      </c>
      <c r="K3559" t="s">
        <v>19203</v>
      </c>
      <c r="L3559" t="s">
        <v>13017</v>
      </c>
      <c r="M3559" s="161" t="s">
        <v>19202</v>
      </c>
    </row>
    <row r="3560" spans="9:13" x14ac:dyDescent="0.25">
      <c r="I3560" t="s">
        <v>12847</v>
      </c>
      <c r="J3560" s="161" t="s">
        <v>19202</v>
      </c>
      <c r="K3560" t="s">
        <v>19203</v>
      </c>
      <c r="L3560" t="s">
        <v>12846</v>
      </c>
      <c r="M3560" s="161" t="s">
        <v>19202</v>
      </c>
    </row>
    <row r="3561" spans="9:13" x14ac:dyDescent="0.25">
      <c r="I3561" t="s">
        <v>13016</v>
      </c>
      <c r="J3561" s="161" t="s">
        <v>19202</v>
      </c>
      <c r="K3561" t="s">
        <v>19203</v>
      </c>
      <c r="L3561" t="s">
        <v>13015</v>
      </c>
      <c r="M3561" s="161" t="s">
        <v>19202</v>
      </c>
    </row>
    <row r="3562" spans="9:13" x14ac:dyDescent="0.25">
      <c r="I3562" t="s">
        <v>13014</v>
      </c>
      <c r="J3562" s="161" t="s">
        <v>19202</v>
      </c>
      <c r="K3562" t="s">
        <v>19203</v>
      </c>
      <c r="L3562" t="s">
        <v>13013</v>
      </c>
      <c r="M3562" s="161" t="s">
        <v>19202</v>
      </c>
    </row>
    <row r="3563" spans="9:13" x14ac:dyDescent="0.25">
      <c r="I3563" t="s">
        <v>12979</v>
      </c>
      <c r="J3563" s="161" t="s">
        <v>19202</v>
      </c>
      <c r="K3563" t="s">
        <v>19203</v>
      </c>
      <c r="L3563" t="s">
        <v>12978</v>
      </c>
      <c r="M3563" s="161" t="s">
        <v>19202</v>
      </c>
    </row>
    <row r="3564" spans="9:13" x14ac:dyDescent="0.25">
      <c r="I3564" t="s">
        <v>12977</v>
      </c>
      <c r="J3564" s="161" t="s">
        <v>19202</v>
      </c>
      <c r="K3564" t="s">
        <v>19203</v>
      </c>
      <c r="L3564" t="s">
        <v>12976</v>
      </c>
      <c r="M3564" s="161" t="s">
        <v>19202</v>
      </c>
    </row>
    <row r="3565" spans="9:13" x14ac:dyDescent="0.25">
      <c r="I3565" t="s">
        <v>12975</v>
      </c>
      <c r="J3565" s="161" t="s">
        <v>19202</v>
      </c>
      <c r="K3565" t="s">
        <v>19203</v>
      </c>
      <c r="L3565" t="s">
        <v>12974</v>
      </c>
      <c r="M3565" s="161" t="s">
        <v>19202</v>
      </c>
    </row>
    <row r="3566" spans="9:13" x14ac:dyDescent="0.25">
      <c r="I3566" t="s">
        <v>12973</v>
      </c>
      <c r="J3566" s="161" t="s">
        <v>19202</v>
      </c>
      <c r="K3566" t="s">
        <v>19203</v>
      </c>
      <c r="L3566" t="s">
        <v>12972</v>
      </c>
      <c r="M3566" s="161" t="s">
        <v>19202</v>
      </c>
    </row>
    <row r="3567" spans="9:13" x14ac:dyDescent="0.25">
      <c r="I3567" t="s">
        <v>12971</v>
      </c>
      <c r="J3567" s="161" t="s">
        <v>19202</v>
      </c>
      <c r="K3567" t="s">
        <v>19203</v>
      </c>
      <c r="L3567" t="s">
        <v>12970</v>
      </c>
      <c r="M3567" s="161" t="s">
        <v>19202</v>
      </c>
    </row>
    <row r="3568" spans="9:13" x14ac:dyDescent="0.25">
      <c r="I3568" t="s">
        <v>12969</v>
      </c>
      <c r="J3568" s="161" t="s">
        <v>19202</v>
      </c>
      <c r="K3568" t="s">
        <v>19203</v>
      </c>
      <c r="L3568" t="s">
        <v>12968</v>
      </c>
      <c r="M3568" s="161" t="s">
        <v>19202</v>
      </c>
    </row>
    <row r="3569" spans="9:13" x14ac:dyDescent="0.25">
      <c r="I3569" t="s">
        <v>12967</v>
      </c>
      <c r="J3569" s="161" t="s">
        <v>19202</v>
      </c>
      <c r="K3569" t="s">
        <v>19203</v>
      </c>
      <c r="L3569" t="s">
        <v>12966</v>
      </c>
      <c r="M3569" s="161" t="s">
        <v>19202</v>
      </c>
    </row>
    <row r="3570" spans="9:13" x14ac:dyDescent="0.25">
      <c r="I3570" t="s">
        <v>12965</v>
      </c>
      <c r="J3570" s="161" t="s">
        <v>19202</v>
      </c>
      <c r="K3570" t="s">
        <v>19203</v>
      </c>
      <c r="L3570" t="s">
        <v>12964</v>
      </c>
      <c r="M3570" s="161" t="s">
        <v>19202</v>
      </c>
    </row>
    <row r="3571" spans="9:13" x14ac:dyDescent="0.25">
      <c r="I3571" t="s">
        <v>13012</v>
      </c>
      <c r="J3571" s="161" t="s">
        <v>19202</v>
      </c>
      <c r="K3571" t="s">
        <v>19203</v>
      </c>
      <c r="L3571" t="s">
        <v>13011</v>
      </c>
      <c r="M3571" s="161" t="s">
        <v>19202</v>
      </c>
    </row>
    <row r="3572" spans="9:13" x14ac:dyDescent="0.25">
      <c r="I3572" t="s">
        <v>12963</v>
      </c>
      <c r="J3572" s="161" t="s">
        <v>19202</v>
      </c>
      <c r="K3572" t="s">
        <v>19203</v>
      </c>
      <c r="L3572" t="s">
        <v>12962</v>
      </c>
      <c r="M3572" s="161" t="s">
        <v>19202</v>
      </c>
    </row>
    <row r="3573" spans="9:13" x14ac:dyDescent="0.25">
      <c r="I3573" t="s">
        <v>12961</v>
      </c>
      <c r="J3573" s="161" t="s">
        <v>19202</v>
      </c>
      <c r="K3573" t="s">
        <v>19203</v>
      </c>
      <c r="L3573" t="s">
        <v>12960</v>
      </c>
      <c r="M3573" s="161" t="s">
        <v>19202</v>
      </c>
    </row>
    <row r="3574" spans="9:13" x14ac:dyDescent="0.25">
      <c r="I3574" t="s">
        <v>13235</v>
      </c>
      <c r="J3574" s="161" t="s">
        <v>19202</v>
      </c>
      <c r="K3574" t="s">
        <v>19203</v>
      </c>
      <c r="L3574" t="s">
        <v>13234</v>
      </c>
      <c r="M3574" s="161" t="s">
        <v>19202</v>
      </c>
    </row>
    <row r="3575" spans="9:13" x14ac:dyDescent="0.25">
      <c r="I3575" t="s">
        <v>12837</v>
      </c>
      <c r="J3575" s="161" t="s">
        <v>19202</v>
      </c>
      <c r="K3575" t="s">
        <v>19203</v>
      </c>
      <c r="L3575" t="s">
        <v>12836</v>
      </c>
      <c r="M3575" s="161" t="s">
        <v>19202</v>
      </c>
    </row>
    <row r="3576" spans="9:13" x14ac:dyDescent="0.25">
      <c r="I3576" t="s">
        <v>12835</v>
      </c>
      <c r="J3576" s="161" t="s">
        <v>19202</v>
      </c>
      <c r="K3576" t="s">
        <v>19203</v>
      </c>
      <c r="L3576" t="s">
        <v>2098</v>
      </c>
      <c r="M3576" s="161" t="s">
        <v>19202</v>
      </c>
    </row>
    <row r="3577" spans="9:13" x14ac:dyDescent="0.25">
      <c r="I3577" t="s">
        <v>12834</v>
      </c>
      <c r="J3577" s="161" t="s">
        <v>19202</v>
      </c>
      <c r="K3577" t="s">
        <v>19203</v>
      </c>
      <c r="L3577" t="s">
        <v>12833</v>
      </c>
      <c r="M3577" s="161" t="s">
        <v>19202</v>
      </c>
    </row>
    <row r="3578" spans="9:13" x14ac:dyDescent="0.25">
      <c r="I3578" t="s">
        <v>12832</v>
      </c>
      <c r="J3578" s="161" t="s">
        <v>19202</v>
      </c>
      <c r="K3578" t="s">
        <v>19203</v>
      </c>
      <c r="L3578" t="s">
        <v>12831</v>
      </c>
      <c r="M3578" s="161" t="s">
        <v>19202</v>
      </c>
    </row>
    <row r="3579" spans="9:13" x14ac:dyDescent="0.25">
      <c r="I3579" t="s">
        <v>12949</v>
      </c>
      <c r="J3579" s="161" t="s">
        <v>19202</v>
      </c>
      <c r="K3579" t="s">
        <v>19203</v>
      </c>
      <c r="L3579" t="s">
        <v>12948</v>
      </c>
      <c r="M3579" s="161" t="s">
        <v>19202</v>
      </c>
    </row>
    <row r="3580" spans="9:13" x14ac:dyDescent="0.25">
      <c r="I3580" t="s">
        <v>12828</v>
      </c>
      <c r="J3580" s="161" t="s">
        <v>19202</v>
      </c>
      <c r="K3580" t="s">
        <v>19203</v>
      </c>
      <c r="L3580" t="s">
        <v>12827</v>
      </c>
      <c r="M3580" s="161" t="s">
        <v>19202</v>
      </c>
    </row>
    <row r="3581" spans="9:13" x14ac:dyDescent="0.25">
      <c r="I3581" t="s">
        <v>12788</v>
      </c>
      <c r="J3581" s="161" t="s">
        <v>19202</v>
      </c>
      <c r="K3581" t="s">
        <v>19203</v>
      </c>
      <c r="L3581" t="s">
        <v>12787</v>
      </c>
      <c r="M3581" s="161" t="s">
        <v>19202</v>
      </c>
    </row>
    <row r="3582" spans="9:13" x14ac:dyDescent="0.25">
      <c r="I3582" t="s">
        <v>12786</v>
      </c>
      <c r="J3582" s="161" t="s">
        <v>19202</v>
      </c>
      <c r="K3582" t="s">
        <v>19203</v>
      </c>
      <c r="L3582" t="s">
        <v>12785</v>
      </c>
      <c r="M3582" s="161" t="s">
        <v>19202</v>
      </c>
    </row>
    <row r="3583" spans="9:13" x14ac:dyDescent="0.25">
      <c r="I3583" t="s">
        <v>12784</v>
      </c>
      <c r="J3583" s="161" t="s">
        <v>19202</v>
      </c>
      <c r="K3583" t="s">
        <v>19203</v>
      </c>
      <c r="L3583" t="s">
        <v>12783</v>
      </c>
      <c r="M3583" s="161" t="s">
        <v>19202</v>
      </c>
    </row>
    <row r="3584" spans="9:13" x14ac:dyDescent="0.25">
      <c r="I3584" t="s">
        <v>12782</v>
      </c>
      <c r="J3584" s="161" t="s">
        <v>19202</v>
      </c>
      <c r="K3584" t="s">
        <v>19203</v>
      </c>
      <c r="L3584" t="s">
        <v>12781</v>
      </c>
      <c r="M3584" s="161" t="s">
        <v>19202</v>
      </c>
    </row>
    <row r="3585" spans="9:13" x14ac:dyDescent="0.25">
      <c r="I3585" t="s">
        <v>12780</v>
      </c>
      <c r="J3585" s="161" t="s">
        <v>19202</v>
      </c>
      <c r="K3585" t="s">
        <v>19203</v>
      </c>
      <c r="L3585" t="s">
        <v>12779</v>
      </c>
      <c r="M3585" s="161" t="s">
        <v>19202</v>
      </c>
    </row>
    <row r="3586" spans="9:13" x14ac:dyDescent="0.25">
      <c r="I3586" t="s">
        <v>12778</v>
      </c>
      <c r="J3586" s="161" t="s">
        <v>19202</v>
      </c>
      <c r="K3586" t="s">
        <v>19203</v>
      </c>
      <c r="L3586" t="s">
        <v>12777</v>
      </c>
      <c r="M3586" s="161" t="s">
        <v>19202</v>
      </c>
    </row>
    <row r="3587" spans="9:13" x14ac:dyDescent="0.25">
      <c r="I3587" t="s">
        <v>12776</v>
      </c>
      <c r="J3587" s="161" t="s">
        <v>19202</v>
      </c>
      <c r="K3587" t="s">
        <v>19203</v>
      </c>
      <c r="L3587" t="s">
        <v>12775</v>
      </c>
      <c r="M3587" s="161" t="s">
        <v>19202</v>
      </c>
    </row>
    <row r="3588" spans="9:13" x14ac:dyDescent="0.25">
      <c r="I3588" t="s">
        <v>7161</v>
      </c>
      <c r="J3588" s="161" t="s">
        <v>19202</v>
      </c>
      <c r="K3588" t="s">
        <v>19203</v>
      </c>
      <c r="L3588" t="s">
        <v>7160</v>
      </c>
      <c r="M3588" s="161" t="s">
        <v>19202</v>
      </c>
    </row>
    <row r="3589" spans="9:13" x14ac:dyDescent="0.25">
      <c r="I3589" t="s">
        <v>15221</v>
      </c>
      <c r="J3589" s="161" t="s">
        <v>19202</v>
      </c>
      <c r="K3589" t="s">
        <v>19203</v>
      </c>
      <c r="L3589" t="s">
        <v>15220</v>
      </c>
      <c r="M3589" s="161" t="s">
        <v>19202</v>
      </c>
    </row>
    <row r="3590" spans="9:13" x14ac:dyDescent="0.25">
      <c r="I3590" t="s">
        <v>16590</v>
      </c>
      <c r="J3590" s="161" t="s">
        <v>19202</v>
      </c>
      <c r="K3590" t="s">
        <v>19203</v>
      </c>
      <c r="L3590" t="s">
        <v>4052</v>
      </c>
      <c r="M3590" s="161" t="s">
        <v>19202</v>
      </c>
    </row>
    <row r="3591" spans="9:13" x14ac:dyDescent="0.25">
      <c r="I3591" t="s">
        <v>7421</v>
      </c>
      <c r="J3591" s="161" t="s">
        <v>19202</v>
      </c>
      <c r="K3591" t="s">
        <v>19203</v>
      </c>
      <c r="L3591" t="s">
        <v>7420</v>
      </c>
      <c r="M3591" s="161" t="s">
        <v>19202</v>
      </c>
    </row>
    <row r="3592" spans="9:13" x14ac:dyDescent="0.25">
      <c r="I3592" t="s">
        <v>15414</v>
      </c>
      <c r="J3592" s="161" t="s">
        <v>19202</v>
      </c>
      <c r="K3592" t="s">
        <v>19203</v>
      </c>
      <c r="L3592" t="s">
        <v>15413</v>
      </c>
      <c r="M3592" s="161" t="s">
        <v>19202</v>
      </c>
    </row>
    <row r="3593" spans="9:13" x14ac:dyDescent="0.25">
      <c r="I3593" t="s">
        <v>13579</v>
      </c>
      <c r="J3593" s="161" t="s">
        <v>19202</v>
      </c>
      <c r="K3593" t="s">
        <v>19203</v>
      </c>
      <c r="L3593" t="s">
        <v>13578</v>
      </c>
      <c r="M3593" s="161" t="s">
        <v>19202</v>
      </c>
    </row>
    <row r="3594" spans="9:13" x14ac:dyDescent="0.25">
      <c r="I3594" t="s">
        <v>2441</v>
      </c>
      <c r="J3594" s="161" t="s">
        <v>19202</v>
      </c>
      <c r="K3594" t="s">
        <v>19203</v>
      </c>
      <c r="L3594" t="s">
        <v>2440</v>
      </c>
      <c r="M3594" s="161" t="s">
        <v>19202</v>
      </c>
    </row>
    <row r="3595" spans="9:13" x14ac:dyDescent="0.25">
      <c r="I3595" t="s">
        <v>19662</v>
      </c>
      <c r="J3595" s="161" t="s">
        <v>19202</v>
      </c>
      <c r="K3595" t="s">
        <v>19203</v>
      </c>
      <c r="L3595" t="s">
        <v>19663</v>
      </c>
      <c r="M3595" s="161" t="s">
        <v>19202</v>
      </c>
    </row>
    <row r="3596" spans="9:13" x14ac:dyDescent="0.25">
      <c r="I3596" t="s">
        <v>7857</v>
      </c>
      <c r="J3596" s="161" t="s">
        <v>19202</v>
      </c>
      <c r="K3596" t="s">
        <v>19203</v>
      </c>
      <c r="L3596" t="s">
        <v>7856</v>
      </c>
      <c r="M3596" s="161" t="s">
        <v>19202</v>
      </c>
    </row>
    <row r="3597" spans="9:13" x14ac:dyDescent="0.25">
      <c r="I3597" t="s">
        <v>4388</v>
      </c>
      <c r="J3597" s="161" t="s">
        <v>19202</v>
      </c>
      <c r="K3597" t="s">
        <v>19203</v>
      </c>
      <c r="L3597" t="s">
        <v>632</v>
      </c>
      <c r="M3597" s="161" t="s">
        <v>19202</v>
      </c>
    </row>
    <row r="3598" spans="9:13" x14ac:dyDescent="0.25">
      <c r="I3598" t="s">
        <v>12923</v>
      </c>
      <c r="J3598" s="161" t="s">
        <v>19202</v>
      </c>
      <c r="K3598" t="s">
        <v>19203</v>
      </c>
      <c r="L3598" t="s">
        <v>12922</v>
      </c>
      <c r="M3598" s="161" t="s">
        <v>19202</v>
      </c>
    </row>
    <row r="3599" spans="9:13" x14ac:dyDescent="0.25">
      <c r="I3599" t="s">
        <v>527</v>
      </c>
      <c r="J3599" s="161" t="s">
        <v>19202</v>
      </c>
      <c r="K3599" t="s">
        <v>19203</v>
      </c>
      <c r="L3599" t="s">
        <v>526</v>
      </c>
      <c r="M3599" s="161" t="s">
        <v>19202</v>
      </c>
    </row>
    <row r="3600" spans="9:13" x14ac:dyDescent="0.25">
      <c r="I3600" t="s">
        <v>1107</v>
      </c>
      <c r="J3600" s="161" t="s">
        <v>19202</v>
      </c>
      <c r="K3600" t="s">
        <v>19203</v>
      </c>
      <c r="L3600" t="s">
        <v>1106</v>
      </c>
      <c r="M3600" s="161" t="s">
        <v>19202</v>
      </c>
    </row>
    <row r="3601" spans="9:13" x14ac:dyDescent="0.25">
      <c r="I3601" t="s">
        <v>12210</v>
      </c>
      <c r="J3601" s="161" t="s">
        <v>19202</v>
      </c>
      <c r="K3601" t="s">
        <v>19203</v>
      </c>
      <c r="L3601" t="s">
        <v>12209</v>
      </c>
      <c r="M3601" s="161" t="s">
        <v>19202</v>
      </c>
    </row>
    <row r="3602" spans="9:13" x14ac:dyDescent="0.25">
      <c r="I3602" t="s">
        <v>4366</v>
      </c>
      <c r="J3602" s="161" t="s">
        <v>19202</v>
      </c>
      <c r="K3602" t="s">
        <v>19203</v>
      </c>
      <c r="L3602" t="s">
        <v>4365</v>
      </c>
      <c r="M3602" s="161" t="s">
        <v>19202</v>
      </c>
    </row>
    <row r="3603" spans="9:13" x14ac:dyDescent="0.25">
      <c r="I3603" t="s">
        <v>13574</v>
      </c>
      <c r="J3603" s="161" t="s">
        <v>19202</v>
      </c>
      <c r="K3603" t="s">
        <v>19203</v>
      </c>
      <c r="L3603" t="s">
        <v>13573</v>
      </c>
      <c r="M3603" s="161" t="s">
        <v>19202</v>
      </c>
    </row>
    <row r="3604" spans="9:13" x14ac:dyDescent="0.25">
      <c r="I3604" t="s">
        <v>19664</v>
      </c>
      <c r="J3604" s="161" t="s">
        <v>19202</v>
      </c>
      <c r="K3604" t="s">
        <v>19203</v>
      </c>
      <c r="L3604" t="s">
        <v>19665</v>
      </c>
      <c r="M3604" s="161" t="s">
        <v>19202</v>
      </c>
    </row>
    <row r="3605" spans="9:13" x14ac:dyDescent="0.25">
      <c r="I3605" t="s">
        <v>13456</v>
      </c>
      <c r="J3605" s="161" t="s">
        <v>19202</v>
      </c>
      <c r="K3605" t="s">
        <v>19203</v>
      </c>
      <c r="L3605" t="s">
        <v>13455</v>
      </c>
      <c r="M3605" s="161" t="s">
        <v>19202</v>
      </c>
    </row>
    <row r="3606" spans="9:13" x14ac:dyDescent="0.25">
      <c r="I3606" t="s">
        <v>6563</v>
      </c>
      <c r="J3606" s="161" t="s">
        <v>19202</v>
      </c>
      <c r="K3606" t="s">
        <v>19203</v>
      </c>
      <c r="L3606" t="s">
        <v>679</v>
      </c>
      <c r="M3606" s="161" t="s">
        <v>19202</v>
      </c>
    </row>
    <row r="3607" spans="9:13" x14ac:dyDescent="0.25">
      <c r="I3607" t="s">
        <v>12656</v>
      </c>
      <c r="J3607" s="161" t="s">
        <v>19202</v>
      </c>
      <c r="K3607" t="s">
        <v>19203</v>
      </c>
      <c r="L3607" t="s">
        <v>12655</v>
      </c>
      <c r="M3607" s="161" t="s">
        <v>19202</v>
      </c>
    </row>
    <row r="3608" spans="9:13" x14ac:dyDescent="0.25">
      <c r="I3608" t="s">
        <v>3372</v>
      </c>
      <c r="J3608" s="161" t="s">
        <v>19202</v>
      </c>
      <c r="K3608" t="s">
        <v>19203</v>
      </c>
      <c r="L3608" t="s">
        <v>3371</v>
      </c>
      <c r="M3608" s="161" t="s">
        <v>19202</v>
      </c>
    </row>
    <row r="3609" spans="9:13" x14ac:dyDescent="0.25">
      <c r="I3609" t="s">
        <v>3380</v>
      </c>
      <c r="J3609" s="161" t="s">
        <v>19202</v>
      </c>
      <c r="K3609" t="s">
        <v>19203</v>
      </c>
      <c r="L3609" t="s">
        <v>3379</v>
      </c>
      <c r="M3609" s="161" t="s">
        <v>19202</v>
      </c>
    </row>
    <row r="3610" spans="9:13" x14ac:dyDescent="0.25">
      <c r="I3610" t="s">
        <v>17403</v>
      </c>
      <c r="J3610" s="161" t="s">
        <v>19202</v>
      </c>
      <c r="K3610" t="s">
        <v>19203</v>
      </c>
      <c r="L3610" t="s">
        <v>17402</v>
      </c>
      <c r="M3610" s="161" t="s">
        <v>19202</v>
      </c>
    </row>
    <row r="3611" spans="9:13" x14ac:dyDescent="0.25">
      <c r="I3611" t="s">
        <v>13907</v>
      </c>
      <c r="J3611" s="161" t="s">
        <v>19202</v>
      </c>
      <c r="K3611" t="s">
        <v>19203</v>
      </c>
      <c r="L3611" t="s">
        <v>13906</v>
      </c>
      <c r="M3611" s="161" t="s">
        <v>19202</v>
      </c>
    </row>
    <row r="3612" spans="9:13" x14ac:dyDescent="0.25">
      <c r="I3612" t="s">
        <v>9711</v>
      </c>
      <c r="J3612" s="161" t="s">
        <v>19202</v>
      </c>
      <c r="K3612" t="s">
        <v>19203</v>
      </c>
      <c r="L3612" t="s">
        <v>9710</v>
      </c>
      <c r="M3612" s="161" t="s">
        <v>19202</v>
      </c>
    </row>
    <row r="3613" spans="9:13" x14ac:dyDescent="0.25">
      <c r="I3613" t="s">
        <v>13583</v>
      </c>
      <c r="J3613" s="161" t="s">
        <v>19202</v>
      </c>
      <c r="K3613" t="s">
        <v>19203</v>
      </c>
      <c r="L3613" t="s">
        <v>13582</v>
      </c>
      <c r="M3613" s="161" t="s">
        <v>19202</v>
      </c>
    </row>
    <row r="3614" spans="9:13" x14ac:dyDescent="0.25">
      <c r="I3614" t="s">
        <v>7790</v>
      </c>
      <c r="J3614" s="161" t="s">
        <v>19202</v>
      </c>
      <c r="K3614" t="s">
        <v>19203</v>
      </c>
      <c r="L3614" t="s">
        <v>7789</v>
      </c>
      <c r="M3614" s="161" t="s">
        <v>19202</v>
      </c>
    </row>
    <row r="3615" spans="9:13" x14ac:dyDescent="0.25">
      <c r="I3615" t="s">
        <v>5062</v>
      </c>
      <c r="J3615" s="161" t="s">
        <v>19202</v>
      </c>
      <c r="K3615" t="s">
        <v>19203</v>
      </c>
      <c r="L3615" t="s">
        <v>3096</v>
      </c>
      <c r="M3615" s="161" t="s">
        <v>19202</v>
      </c>
    </row>
    <row r="3616" spans="9:13" x14ac:dyDescent="0.25">
      <c r="I3616" t="s">
        <v>11761</v>
      </c>
      <c r="J3616" s="161" t="s">
        <v>19202</v>
      </c>
      <c r="K3616" t="s">
        <v>19203</v>
      </c>
      <c r="L3616" t="s">
        <v>11760</v>
      </c>
      <c r="M3616" s="161" t="s">
        <v>19202</v>
      </c>
    </row>
    <row r="3617" spans="9:13" x14ac:dyDescent="0.25">
      <c r="I3617" t="s">
        <v>13962</v>
      </c>
      <c r="J3617" s="161" t="s">
        <v>19202</v>
      </c>
      <c r="K3617" t="s">
        <v>19203</v>
      </c>
      <c r="L3617" t="s">
        <v>13961</v>
      </c>
      <c r="M3617" s="161" t="s">
        <v>19202</v>
      </c>
    </row>
    <row r="3618" spans="9:13" x14ac:dyDescent="0.25">
      <c r="I3618" t="s">
        <v>11881</v>
      </c>
      <c r="J3618" s="161" t="s">
        <v>19202</v>
      </c>
      <c r="K3618" t="s">
        <v>19203</v>
      </c>
      <c r="L3618" t="s">
        <v>11880</v>
      </c>
      <c r="M3618" s="161" t="s">
        <v>19202</v>
      </c>
    </row>
    <row r="3619" spans="9:13" x14ac:dyDescent="0.25">
      <c r="I3619" t="s">
        <v>6728</v>
      </c>
      <c r="J3619" s="161" t="s">
        <v>19202</v>
      </c>
      <c r="K3619" t="s">
        <v>19203</v>
      </c>
      <c r="L3619" t="s">
        <v>6727</v>
      </c>
      <c r="M3619" s="161" t="s">
        <v>19202</v>
      </c>
    </row>
    <row r="3620" spans="9:13" x14ac:dyDescent="0.25">
      <c r="I3620" t="s">
        <v>2320</v>
      </c>
      <c r="J3620" s="161" t="s">
        <v>19202</v>
      </c>
      <c r="K3620" t="s">
        <v>19203</v>
      </c>
      <c r="L3620" t="s">
        <v>2319</v>
      </c>
      <c r="M3620" s="161" t="s">
        <v>19202</v>
      </c>
    </row>
    <row r="3621" spans="9:13" x14ac:dyDescent="0.25">
      <c r="I3621" t="s">
        <v>5409</v>
      </c>
      <c r="J3621" s="161" t="s">
        <v>19202</v>
      </c>
      <c r="K3621" t="s">
        <v>19203</v>
      </c>
      <c r="L3621" t="s">
        <v>5408</v>
      </c>
      <c r="M3621" s="161" t="s">
        <v>19202</v>
      </c>
    </row>
    <row r="3622" spans="9:13" x14ac:dyDescent="0.25">
      <c r="I3622" t="s">
        <v>17223</v>
      </c>
      <c r="J3622" s="161" t="s">
        <v>19202</v>
      </c>
      <c r="K3622" t="s">
        <v>19203</v>
      </c>
      <c r="L3622" t="s">
        <v>17222</v>
      </c>
      <c r="M3622" s="161" t="s">
        <v>19202</v>
      </c>
    </row>
    <row r="3623" spans="9:13" x14ac:dyDescent="0.25">
      <c r="I3623" t="s">
        <v>5816</v>
      </c>
      <c r="J3623" s="161" t="s">
        <v>19202</v>
      </c>
      <c r="K3623" t="s">
        <v>19203</v>
      </c>
      <c r="L3623" t="s">
        <v>5815</v>
      </c>
      <c r="M3623" s="161" t="s">
        <v>19202</v>
      </c>
    </row>
    <row r="3624" spans="9:13" x14ac:dyDescent="0.25">
      <c r="I3624" t="s">
        <v>12734</v>
      </c>
      <c r="J3624" s="161" t="s">
        <v>19202</v>
      </c>
      <c r="K3624" t="s">
        <v>19203</v>
      </c>
      <c r="L3624" t="s">
        <v>6782</v>
      </c>
      <c r="M3624" s="161" t="s">
        <v>19202</v>
      </c>
    </row>
    <row r="3625" spans="9:13" x14ac:dyDescent="0.25">
      <c r="I3625" t="s">
        <v>13203</v>
      </c>
      <c r="J3625" s="161" t="s">
        <v>19202</v>
      </c>
      <c r="K3625" t="s">
        <v>19203</v>
      </c>
      <c r="L3625" t="s">
        <v>1344</v>
      </c>
      <c r="M3625" s="161" t="s">
        <v>19202</v>
      </c>
    </row>
    <row r="3626" spans="9:13" x14ac:dyDescent="0.25">
      <c r="I3626" t="s">
        <v>12764</v>
      </c>
      <c r="J3626" s="161" t="s">
        <v>19202</v>
      </c>
      <c r="K3626" t="s">
        <v>19203</v>
      </c>
      <c r="L3626" t="s">
        <v>12763</v>
      </c>
      <c r="M3626" s="161" t="s">
        <v>19202</v>
      </c>
    </row>
    <row r="3627" spans="9:13" x14ac:dyDescent="0.25">
      <c r="I3627" t="s">
        <v>13038</v>
      </c>
      <c r="J3627" s="161" t="s">
        <v>19202</v>
      </c>
      <c r="K3627" t="s">
        <v>19203</v>
      </c>
      <c r="L3627" t="s">
        <v>13037</v>
      </c>
      <c r="M3627" s="161" t="s">
        <v>19202</v>
      </c>
    </row>
    <row r="3628" spans="9:13" x14ac:dyDescent="0.25">
      <c r="I3628" t="s">
        <v>13496</v>
      </c>
      <c r="J3628" s="161" t="s">
        <v>19202</v>
      </c>
      <c r="K3628" t="s">
        <v>19203</v>
      </c>
      <c r="L3628" t="s">
        <v>13495</v>
      </c>
      <c r="M3628" s="161" t="s">
        <v>19202</v>
      </c>
    </row>
    <row r="3629" spans="9:13" x14ac:dyDescent="0.25">
      <c r="I3629" t="s">
        <v>13494</v>
      </c>
      <c r="J3629" s="161" t="s">
        <v>19202</v>
      </c>
      <c r="K3629" t="s">
        <v>19203</v>
      </c>
      <c r="L3629" t="s">
        <v>13493</v>
      </c>
      <c r="M3629" s="161" t="s">
        <v>19202</v>
      </c>
    </row>
    <row r="3630" spans="9:13" x14ac:dyDescent="0.25">
      <c r="I3630" t="s">
        <v>13492</v>
      </c>
      <c r="J3630" s="161" t="s">
        <v>19202</v>
      </c>
      <c r="K3630" t="s">
        <v>19203</v>
      </c>
      <c r="L3630" t="s">
        <v>13491</v>
      </c>
      <c r="M3630" s="161" t="s">
        <v>19202</v>
      </c>
    </row>
    <row r="3631" spans="9:13" x14ac:dyDescent="0.25">
      <c r="I3631" t="s">
        <v>13034</v>
      </c>
      <c r="J3631" s="161" t="s">
        <v>19202</v>
      </c>
      <c r="K3631" t="s">
        <v>19203</v>
      </c>
      <c r="L3631" t="s">
        <v>13033</v>
      </c>
      <c r="M3631" s="161" t="s">
        <v>19202</v>
      </c>
    </row>
    <row r="3632" spans="9:13" x14ac:dyDescent="0.25">
      <c r="I3632" t="s">
        <v>13490</v>
      </c>
      <c r="J3632" s="161" t="s">
        <v>19202</v>
      </c>
      <c r="K3632" t="s">
        <v>19203</v>
      </c>
      <c r="L3632" t="s">
        <v>6263</v>
      </c>
      <c r="M3632" s="161" t="s">
        <v>19202</v>
      </c>
    </row>
    <row r="3633" spans="9:13" x14ac:dyDescent="0.25">
      <c r="I3633" t="s">
        <v>13489</v>
      </c>
      <c r="J3633" s="161" t="s">
        <v>19202</v>
      </c>
      <c r="K3633" t="s">
        <v>19203</v>
      </c>
      <c r="L3633" t="s">
        <v>13488</v>
      </c>
      <c r="M3633" s="161" t="s">
        <v>19202</v>
      </c>
    </row>
    <row r="3634" spans="9:13" x14ac:dyDescent="0.25">
      <c r="I3634" t="s">
        <v>13487</v>
      </c>
      <c r="J3634" s="161" t="s">
        <v>19202</v>
      </c>
      <c r="K3634" t="s">
        <v>19203</v>
      </c>
      <c r="L3634" t="s">
        <v>13486</v>
      </c>
      <c r="M3634" s="161" t="s">
        <v>19202</v>
      </c>
    </row>
    <row r="3635" spans="9:13" x14ac:dyDescent="0.25">
      <c r="I3635" t="s">
        <v>12814</v>
      </c>
      <c r="J3635" s="161" t="s">
        <v>19202</v>
      </c>
      <c r="K3635" t="s">
        <v>19203</v>
      </c>
      <c r="L3635" t="s">
        <v>12813</v>
      </c>
      <c r="M3635" s="161" t="s">
        <v>19202</v>
      </c>
    </row>
    <row r="3636" spans="9:13" x14ac:dyDescent="0.25">
      <c r="I3636" t="s">
        <v>13428</v>
      </c>
      <c r="J3636" s="161" t="s">
        <v>19202</v>
      </c>
      <c r="K3636" t="s">
        <v>19203</v>
      </c>
      <c r="L3636" t="s">
        <v>13427</v>
      </c>
      <c r="M3636" s="161" t="s">
        <v>19202</v>
      </c>
    </row>
    <row r="3637" spans="9:13" x14ac:dyDescent="0.25">
      <c r="I3637" t="s">
        <v>13202</v>
      </c>
      <c r="J3637" s="161" t="s">
        <v>19202</v>
      </c>
      <c r="K3637" t="s">
        <v>19203</v>
      </c>
      <c r="L3637" t="s">
        <v>13201</v>
      </c>
      <c r="M3637" s="161" t="s">
        <v>19202</v>
      </c>
    </row>
    <row r="3638" spans="9:13" x14ac:dyDescent="0.25">
      <c r="I3638" t="s">
        <v>17738</v>
      </c>
      <c r="J3638" s="161" t="s">
        <v>19202</v>
      </c>
      <c r="K3638" t="s">
        <v>19203</v>
      </c>
      <c r="L3638" t="s">
        <v>17737</v>
      </c>
      <c r="M3638" s="161" t="s">
        <v>19202</v>
      </c>
    </row>
    <row r="3639" spans="9:13" x14ac:dyDescent="0.25">
      <c r="I3639" t="s">
        <v>9685</v>
      </c>
      <c r="J3639" s="161" t="s">
        <v>19202</v>
      </c>
      <c r="K3639" t="s">
        <v>19203</v>
      </c>
      <c r="L3639" t="s">
        <v>9684</v>
      </c>
      <c r="M3639" s="161" t="s">
        <v>19202</v>
      </c>
    </row>
    <row r="3640" spans="9:13" x14ac:dyDescent="0.25">
      <c r="I3640" t="s">
        <v>9683</v>
      </c>
      <c r="J3640" s="161" t="s">
        <v>19202</v>
      </c>
      <c r="K3640" t="s">
        <v>19203</v>
      </c>
      <c r="L3640" t="s">
        <v>9682</v>
      </c>
      <c r="M3640" s="161" t="s">
        <v>19202</v>
      </c>
    </row>
    <row r="3641" spans="9:13" x14ac:dyDescent="0.25">
      <c r="I3641" t="s">
        <v>6882</v>
      </c>
      <c r="J3641" s="161" t="s">
        <v>19202</v>
      </c>
      <c r="K3641" t="s">
        <v>19203</v>
      </c>
      <c r="L3641" t="s">
        <v>6881</v>
      </c>
      <c r="M3641" s="161" t="s">
        <v>19202</v>
      </c>
    </row>
    <row r="3642" spans="9:13" x14ac:dyDescent="0.25">
      <c r="I3642" t="s">
        <v>6690</v>
      </c>
      <c r="J3642" s="161" t="s">
        <v>19202</v>
      </c>
      <c r="K3642" t="s">
        <v>19203</v>
      </c>
      <c r="L3642" t="s">
        <v>6689</v>
      </c>
      <c r="M3642" s="161" t="s">
        <v>19202</v>
      </c>
    </row>
    <row r="3643" spans="9:13" x14ac:dyDescent="0.25">
      <c r="I3643" t="s">
        <v>6527</v>
      </c>
      <c r="J3643" s="161" t="s">
        <v>19202</v>
      </c>
      <c r="K3643" t="s">
        <v>19203</v>
      </c>
      <c r="L3643" t="s">
        <v>6526</v>
      </c>
      <c r="M3643" s="161" t="s">
        <v>19202</v>
      </c>
    </row>
    <row r="3644" spans="9:13" x14ac:dyDescent="0.25">
      <c r="I3644" t="s">
        <v>5428</v>
      </c>
      <c r="J3644" s="161" t="s">
        <v>19202</v>
      </c>
      <c r="K3644" t="s">
        <v>19203</v>
      </c>
      <c r="L3644" t="s">
        <v>5427</v>
      </c>
      <c r="M3644" s="161" t="s">
        <v>19202</v>
      </c>
    </row>
    <row r="3645" spans="9:13" x14ac:dyDescent="0.25">
      <c r="I3645" t="s">
        <v>11207</v>
      </c>
      <c r="J3645" s="161" t="s">
        <v>19202</v>
      </c>
      <c r="K3645" t="s">
        <v>19203</v>
      </c>
      <c r="L3645" t="s">
        <v>11203</v>
      </c>
      <c r="M3645" s="161" t="s">
        <v>19202</v>
      </c>
    </row>
    <row r="3646" spans="9:13" x14ac:dyDescent="0.25">
      <c r="I3646" t="s">
        <v>2324</v>
      </c>
      <c r="J3646" s="161" t="s">
        <v>19202</v>
      </c>
      <c r="K3646" t="s">
        <v>19203</v>
      </c>
      <c r="L3646" t="s">
        <v>2323</v>
      </c>
      <c r="M3646" s="161" t="s">
        <v>19202</v>
      </c>
    </row>
    <row r="3647" spans="9:13" x14ac:dyDescent="0.25">
      <c r="I3647" t="s">
        <v>1290</v>
      </c>
      <c r="J3647" s="161" t="s">
        <v>19202</v>
      </c>
      <c r="K3647" t="s">
        <v>19203</v>
      </c>
      <c r="L3647" t="s">
        <v>1289</v>
      </c>
      <c r="M3647" s="161" t="s">
        <v>19202</v>
      </c>
    </row>
    <row r="3648" spans="9:13" x14ac:dyDescent="0.25">
      <c r="I3648" t="s">
        <v>2232</v>
      </c>
      <c r="J3648" s="161" t="s">
        <v>19202</v>
      </c>
      <c r="K3648" t="s">
        <v>19203</v>
      </c>
      <c r="L3648" t="s">
        <v>2231</v>
      </c>
      <c r="M3648" s="161" t="s">
        <v>19202</v>
      </c>
    </row>
    <row r="3649" spans="9:13" x14ac:dyDescent="0.25">
      <c r="I3649" t="s">
        <v>13097</v>
      </c>
      <c r="J3649" s="161" t="s">
        <v>19202</v>
      </c>
      <c r="K3649" t="s">
        <v>19203</v>
      </c>
      <c r="L3649" t="s">
        <v>13096</v>
      </c>
      <c r="M3649" s="161" t="s">
        <v>19202</v>
      </c>
    </row>
    <row r="3650" spans="9:13" x14ac:dyDescent="0.25">
      <c r="I3650" t="s">
        <v>13231</v>
      </c>
      <c r="J3650" s="161" t="s">
        <v>19202</v>
      </c>
      <c r="K3650" t="s">
        <v>19203</v>
      </c>
      <c r="L3650" t="s">
        <v>13230</v>
      </c>
      <c r="M3650" s="161" t="s">
        <v>19202</v>
      </c>
    </row>
    <row r="3651" spans="9:13" x14ac:dyDescent="0.25">
      <c r="I3651" t="s">
        <v>13004</v>
      </c>
      <c r="J3651" s="161" t="s">
        <v>19202</v>
      </c>
      <c r="K3651" t="s">
        <v>19203</v>
      </c>
      <c r="L3651" t="s">
        <v>10004</v>
      </c>
      <c r="M3651" s="161" t="s">
        <v>19202</v>
      </c>
    </row>
    <row r="3652" spans="9:13" x14ac:dyDescent="0.25">
      <c r="I3652" t="s">
        <v>12766</v>
      </c>
      <c r="J3652" s="161" t="s">
        <v>19202</v>
      </c>
      <c r="K3652" t="s">
        <v>19203</v>
      </c>
      <c r="L3652" t="s">
        <v>12765</v>
      </c>
      <c r="M3652" s="161" t="s">
        <v>19202</v>
      </c>
    </row>
    <row r="3653" spans="9:13" x14ac:dyDescent="0.25">
      <c r="I3653" t="s">
        <v>13328</v>
      </c>
      <c r="J3653" s="161" t="s">
        <v>19202</v>
      </c>
      <c r="K3653" t="s">
        <v>19203</v>
      </c>
      <c r="L3653" t="s">
        <v>13327</v>
      </c>
      <c r="M3653" s="161" t="s">
        <v>19202</v>
      </c>
    </row>
    <row r="3654" spans="9:13" x14ac:dyDescent="0.25">
      <c r="I3654" t="s">
        <v>13326</v>
      </c>
      <c r="J3654" s="161" t="s">
        <v>19202</v>
      </c>
      <c r="K3654" t="s">
        <v>19203</v>
      </c>
      <c r="L3654" t="s">
        <v>846</v>
      </c>
      <c r="M3654" s="161" t="s">
        <v>19202</v>
      </c>
    </row>
    <row r="3655" spans="9:13" x14ac:dyDescent="0.25">
      <c r="I3655" t="s">
        <v>13365</v>
      </c>
      <c r="J3655" s="161" t="s">
        <v>19202</v>
      </c>
      <c r="K3655" t="s">
        <v>19203</v>
      </c>
      <c r="L3655" t="s">
        <v>13364</v>
      </c>
      <c r="M3655" s="161" t="s">
        <v>19202</v>
      </c>
    </row>
    <row r="3656" spans="9:13" x14ac:dyDescent="0.25">
      <c r="I3656" t="s">
        <v>13500</v>
      </c>
      <c r="J3656" s="161" t="s">
        <v>19202</v>
      </c>
      <c r="K3656" t="s">
        <v>19203</v>
      </c>
      <c r="L3656" t="s">
        <v>13499</v>
      </c>
      <c r="M3656" s="161" t="s">
        <v>19202</v>
      </c>
    </row>
    <row r="3657" spans="9:13" x14ac:dyDescent="0.25">
      <c r="I3657" t="s">
        <v>13498</v>
      </c>
      <c r="J3657" s="161" t="s">
        <v>19202</v>
      </c>
      <c r="K3657" t="s">
        <v>19203</v>
      </c>
      <c r="L3657" t="s">
        <v>13497</v>
      </c>
      <c r="M3657" s="161" t="s">
        <v>19202</v>
      </c>
    </row>
    <row r="3658" spans="9:13" x14ac:dyDescent="0.25">
      <c r="I3658" t="s">
        <v>13325</v>
      </c>
      <c r="J3658" s="161" t="s">
        <v>19202</v>
      </c>
      <c r="K3658" t="s">
        <v>19203</v>
      </c>
      <c r="L3658" t="s">
        <v>13324</v>
      </c>
      <c r="M3658" s="161" t="s">
        <v>19202</v>
      </c>
    </row>
    <row r="3659" spans="9:13" x14ac:dyDescent="0.25">
      <c r="I3659" t="s">
        <v>13323</v>
      </c>
      <c r="J3659" s="161" t="s">
        <v>19202</v>
      </c>
      <c r="K3659" t="s">
        <v>19203</v>
      </c>
      <c r="L3659" t="s">
        <v>13322</v>
      </c>
      <c r="M3659" s="161" t="s">
        <v>19202</v>
      </c>
    </row>
    <row r="3660" spans="9:13" x14ac:dyDescent="0.25">
      <c r="I3660" t="s">
        <v>13223</v>
      </c>
      <c r="J3660" s="161" t="s">
        <v>19202</v>
      </c>
      <c r="K3660" t="s">
        <v>19203</v>
      </c>
      <c r="L3660" t="s">
        <v>13222</v>
      </c>
      <c r="M3660" s="161" t="s">
        <v>19202</v>
      </c>
    </row>
    <row r="3661" spans="9:13" x14ac:dyDescent="0.25">
      <c r="I3661" t="s">
        <v>13585</v>
      </c>
      <c r="J3661" s="161" t="s">
        <v>19202</v>
      </c>
      <c r="K3661" t="s">
        <v>19203</v>
      </c>
      <c r="L3661" t="s">
        <v>13584</v>
      </c>
      <c r="M3661" s="161" t="s">
        <v>19202</v>
      </c>
    </row>
    <row r="3662" spans="9:13" x14ac:dyDescent="0.25">
      <c r="I3662" t="s">
        <v>10744</v>
      </c>
      <c r="J3662" s="161" t="s">
        <v>19202</v>
      </c>
      <c r="K3662" t="s">
        <v>19203</v>
      </c>
      <c r="L3662" t="s">
        <v>4098</v>
      </c>
      <c r="M3662" s="161" t="s">
        <v>19202</v>
      </c>
    </row>
    <row r="3663" spans="9:13" x14ac:dyDescent="0.25">
      <c r="I3663" t="s">
        <v>1237</v>
      </c>
      <c r="J3663" s="161" t="s">
        <v>19202</v>
      </c>
      <c r="K3663" t="s">
        <v>19203</v>
      </c>
      <c r="L3663" t="s">
        <v>1236</v>
      </c>
      <c r="M3663" s="161" t="s">
        <v>19202</v>
      </c>
    </row>
    <row r="3664" spans="9:13" x14ac:dyDescent="0.25">
      <c r="I3664" t="s">
        <v>13918</v>
      </c>
      <c r="J3664" s="161" t="s">
        <v>19202</v>
      </c>
      <c r="K3664" t="s">
        <v>19203</v>
      </c>
      <c r="L3664" t="s">
        <v>1479</v>
      </c>
      <c r="M3664" s="161" t="s">
        <v>19202</v>
      </c>
    </row>
    <row r="3665" spans="9:13" x14ac:dyDescent="0.25">
      <c r="I3665" t="s">
        <v>6520</v>
      </c>
      <c r="J3665" s="161" t="s">
        <v>19202</v>
      </c>
      <c r="K3665" t="s">
        <v>19203</v>
      </c>
      <c r="L3665" t="s">
        <v>6519</v>
      </c>
      <c r="M3665" s="161" t="s">
        <v>19202</v>
      </c>
    </row>
    <row r="3666" spans="9:13" x14ac:dyDescent="0.25">
      <c r="I3666" t="s">
        <v>11046</v>
      </c>
      <c r="J3666" s="161" t="s">
        <v>19202</v>
      </c>
      <c r="K3666" t="s">
        <v>19203</v>
      </c>
      <c r="L3666" t="s">
        <v>11045</v>
      </c>
      <c r="M3666" s="161" t="s">
        <v>19202</v>
      </c>
    </row>
    <row r="3667" spans="9:13" x14ac:dyDescent="0.25">
      <c r="I3667" t="s">
        <v>3897</v>
      </c>
      <c r="J3667" s="161" t="s">
        <v>19202</v>
      </c>
      <c r="K3667" t="s">
        <v>19203</v>
      </c>
      <c r="L3667" t="s">
        <v>3896</v>
      </c>
      <c r="M3667" s="161" t="s">
        <v>19202</v>
      </c>
    </row>
    <row r="3668" spans="9:13" x14ac:dyDescent="0.25">
      <c r="I3668" t="s">
        <v>4841</v>
      </c>
      <c r="J3668" s="161" t="s">
        <v>19202</v>
      </c>
      <c r="K3668" t="s">
        <v>19203</v>
      </c>
      <c r="L3668" t="s">
        <v>4840</v>
      </c>
      <c r="M3668" s="161" t="s">
        <v>19202</v>
      </c>
    </row>
    <row r="3669" spans="9:13" x14ac:dyDescent="0.25">
      <c r="I3669" t="s">
        <v>13293</v>
      </c>
      <c r="J3669" s="161" t="s">
        <v>19202</v>
      </c>
      <c r="K3669" t="s">
        <v>19203</v>
      </c>
      <c r="L3669" t="s">
        <v>13292</v>
      </c>
      <c r="M3669" s="161" t="s">
        <v>19202</v>
      </c>
    </row>
    <row r="3670" spans="9:13" x14ac:dyDescent="0.25">
      <c r="I3670" t="s">
        <v>13289</v>
      </c>
      <c r="J3670" s="161" t="s">
        <v>19202</v>
      </c>
      <c r="K3670" t="s">
        <v>19203</v>
      </c>
      <c r="L3670" t="s">
        <v>13288</v>
      </c>
      <c r="M3670" s="161" t="s">
        <v>19202</v>
      </c>
    </row>
    <row r="3671" spans="9:13" x14ac:dyDescent="0.25">
      <c r="I3671" t="s">
        <v>13649</v>
      </c>
      <c r="J3671" s="161" t="s">
        <v>19202</v>
      </c>
      <c r="K3671" t="s">
        <v>19203</v>
      </c>
      <c r="L3671" t="s">
        <v>13648</v>
      </c>
      <c r="M3671" s="161" t="s">
        <v>19202</v>
      </c>
    </row>
    <row r="3672" spans="9:13" x14ac:dyDescent="0.25">
      <c r="I3672" t="s">
        <v>6146</v>
      </c>
      <c r="J3672" s="161" t="s">
        <v>19202</v>
      </c>
      <c r="K3672" t="s">
        <v>19203</v>
      </c>
      <c r="L3672" t="s">
        <v>6145</v>
      </c>
      <c r="M3672" s="161" t="s">
        <v>19202</v>
      </c>
    </row>
    <row r="3673" spans="9:13" x14ac:dyDescent="0.25">
      <c r="I3673" t="s">
        <v>12774</v>
      </c>
      <c r="J3673" s="161" t="s">
        <v>19202</v>
      </c>
      <c r="K3673" t="s">
        <v>19203</v>
      </c>
      <c r="L3673" t="s">
        <v>12773</v>
      </c>
      <c r="M3673" s="161" t="s">
        <v>19202</v>
      </c>
    </row>
    <row r="3674" spans="9:13" x14ac:dyDescent="0.25">
      <c r="I3674" t="s">
        <v>5055</v>
      </c>
      <c r="J3674" s="161" t="s">
        <v>19202</v>
      </c>
      <c r="K3674" t="s">
        <v>19203</v>
      </c>
      <c r="L3674" t="s">
        <v>5054</v>
      </c>
      <c r="M3674" s="161" t="s">
        <v>19202</v>
      </c>
    </row>
    <row r="3675" spans="9:13" x14ac:dyDescent="0.25">
      <c r="I3675" t="s">
        <v>3047</v>
      </c>
      <c r="J3675" s="161" t="s">
        <v>19202</v>
      </c>
      <c r="K3675" t="s">
        <v>19203</v>
      </c>
      <c r="L3675" t="s">
        <v>3046</v>
      </c>
      <c r="M3675" s="161" t="s">
        <v>19202</v>
      </c>
    </row>
    <row r="3676" spans="9:13" x14ac:dyDescent="0.25">
      <c r="I3676" t="s">
        <v>12824</v>
      </c>
      <c r="J3676" s="161" t="s">
        <v>19202</v>
      </c>
      <c r="K3676" t="s">
        <v>19203</v>
      </c>
      <c r="L3676" t="s">
        <v>12823</v>
      </c>
      <c r="M3676" s="161" t="s">
        <v>19202</v>
      </c>
    </row>
    <row r="3677" spans="9:13" x14ac:dyDescent="0.25">
      <c r="I3677" t="s">
        <v>19666</v>
      </c>
      <c r="J3677" s="161" t="s">
        <v>19202</v>
      </c>
      <c r="K3677" t="s">
        <v>19203</v>
      </c>
      <c r="L3677" t="s">
        <v>14929</v>
      </c>
      <c r="M3677" s="161" t="s">
        <v>19202</v>
      </c>
    </row>
    <row r="3678" spans="9:13" x14ac:dyDescent="0.25">
      <c r="I3678" t="s">
        <v>18110</v>
      </c>
      <c r="J3678" s="161" t="s">
        <v>19202</v>
      </c>
      <c r="K3678" t="s">
        <v>19203</v>
      </c>
      <c r="L3678" t="s">
        <v>13677</v>
      </c>
      <c r="M3678" s="161" t="s">
        <v>19202</v>
      </c>
    </row>
    <row r="3679" spans="9:13" x14ac:dyDescent="0.25">
      <c r="I3679" t="s">
        <v>12955</v>
      </c>
      <c r="J3679" s="161" t="s">
        <v>19202</v>
      </c>
      <c r="K3679" t="s">
        <v>19203</v>
      </c>
      <c r="L3679" t="s">
        <v>12954</v>
      </c>
      <c r="M3679" s="161" t="s">
        <v>19202</v>
      </c>
    </row>
    <row r="3680" spans="9:13" x14ac:dyDescent="0.25">
      <c r="I3680" t="s">
        <v>19667</v>
      </c>
      <c r="J3680" s="161" t="s">
        <v>19202</v>
      </c>
      <c r="K3680" t="s">
        <v>19203</v>
      </c>
      <c r="L3680" t="s">
        <v>19668</v>
      </c>
      <c r="M3680" s="161" t="s">
        <v>19202</v>
      </c>
    </row>
    <row r="3681" spans="9:13" x14ac:dyDescent="0.25">
      <c r="I3681" t="s">
        <v>5007</v>
      </c>
      <c r="J3681" s="161" t="s">
        <v>19202</v>
      </c>
      <c r="K3681" t="s">
        <v>19203</v>
      </c>
      <c r="L3681" t="s">
        <v>884</v>
      </c>
      <c r="M3681" s="161" t="s">
        <v>19202</v>
      </c>
    </row>
    <row r="3682" spans="9:13" x14ac:dyDescent="0.25">
      <c r="I3682" t="s">
        <v>13593</v>
      </c>
      <c r="J3682" s="161" t="s">
        <v>19202</v>
      </c>
      <c r="K3682" t="s">
        <v>19203</v>
      </c>
      <c r="L3682" t="s">
        <v>13592</v>
      </c>
      <c r="M3682" s="161" t="s">
        <v>19202</v>
      </c>
    </row>
    <row r="3683" spans="9:13" x14ac:dyDescent="0.25">
      <c r="I3683" t="s">
        <v>10629</v>
      </c>
      <c r="J3683" s="161" t="s">
        <v>19202</v>
      </c>
      <c r="K3683" t="s">
        <v>19203</v>
      </c>
      <c r="L3683" t="s">
        <v>10628</v>
      </c>
      <c r="M3683" s="161" t="s">
        <v>19202</v>
      </c>
    </row>
    <row r="3684" spans="9:13" x14ac:dyDescent="0.25">
      <c r="I3684" t="s">
        <v>3000</v>
      </c>
      <c r="J3684" s="161" t="s">
        <v>19202</v>
      </c>
      <c r="K3684" t="s">
        <v>19203</v>
      </c>
      <c r="L3684" t="s">
        <v>2999</v>
      </c>
      <c r="M3684" s="161" t="s">
        <v>19202</v>
      </c>
    </row>
    <row r="3685" spans="9:13" x14ac:dyDescent="0.25">
      <c r="I3685" t="s">
        <v>10448</v>
      </c>
      <c r="J3685" s="161" t="s">
        <v>19202</v>
      </c>
      <c r="K3685" t="s">
        <v>19203</v>
      </c>
      <c r="L3685" t="s">
        <v>10447</v>
      </c>
      <c r="M3685" s="161" t="s">
        <v>19202</v>
      </c>
    </row>
    <row r="3686" spans="9:13" x14ac:dyDescent="0.25">
      <c r="I3686" t="s">
        <v>10442</v>
      </c>
      <c r="J3686" s="161" t="s">
        <v>19202</v>
      </c>
      <c r="K3686" t="s">
        <v>19203</v>
      </c>
      <c r="L3686" t="s">
        <v>10441</v>
      </c>
      <c r="M3686" s="161" t="s">
        <v>19202</v>
      </c>
    </row>
    <row r="3687" spans="9:13" x14ac:dyDescent="0.25">
      <c r="I3687" t="s">
        <v>10440</v>
      </c>
      <c r="J3687" s="161" t="s">
        <v>19202</v>
      </c>
      <c r="K3687" t="s">
        <v>19203</v>
      </c>
      <c r="L3687" t="s">
        <v>10439</v>
      </c>
      <c r="M3687" s="161" t="s">
        <v>19202</v>
      </c>
    </row>
    <row r="3688" spans="9:13" x14ac:dyDescent="0.25">
      <c r="I3688" t="s">
        <v>10438</v>
      </c>
      <c r="J3688" s="161" t="s">
        <v>19202</v>
      </c>
      <c r="K3688" t="s">
        <v>19203</v>
      </c>
      <c r="L3688" t="s">
        <v>10206</v>
      </c>
      <c r="M3688" s="161" t="s">
        <v>19202</v>
      </c>
    </row>
    <row r="3689" spans="9:13" x14ac:dyDescent="0.25">
      <c r="I3689" t="s">
        <v>9718</v>
      </c>
      <c r="J3689" s="161" t="s">
        <v>19202</v>
      </c>
      <c r="K3689" t="s">
        <v>19203</v>
      </c>
      <c r="L3689" t="s">
        <v>9717</v>
      </c>
      <c r="M3689" s="161" t="s">
        <v>19202</v>
      </c>
    </row>
    <row r="3690" spans="9:13" x14ac:dyDescent="0.25">
      <c r="I3690" t="s">
        <v>9716</v>
      </c>
      <c r="J3690" s="161" t="s">
        <v>19202</v>
      </c>
      <c r="K3690" t="s">
        <v>19203</v>
      </c>
      <c r="L3690" t="s">
        <v>9715</v>
      </c>
      <c r="M3690" s="161" t="s">
        <v>19202</v>
      </c>
    </row>
    <row r="3691" spans="9:13" x14ac:dyDescent="0.25">
      <c r="I3691" t="s">
        <v>19669</v>
      </c>
      <c r="J3691" s="161" t="s">
        <v>19202</v>
      </c>
      <c r="K3691" t="s">
        <v>19203</v>
      </c>
      <c r="L3691" t="s">
        <v>14152</v>
      </c>
      <c r="M3691" s="161" t="s">
        <v>19202</v>
      </c>
    </row>
    <row r="3692" spans="9:13" x14ac:dyDescent="0.25">
      <c r="I3692" t="s">
        <v>3368</v>
      </c>
      <c r="J3692" s="161" t="s">
        <v>19202</v>
      </c>
      <c r="K3692" t="s">
        <v>19203</v>
      </c>
      <c r="L3692" t="s">
        <v>3367</v>
      </c>
      <c r="M3692" s="161" t="s">
        <v>19202</v>
      </c>
    </row>
    <row r="3693" spans="9:13" x14ac:dyDescent="0.25">
      <c r="I3693" t="s">
        <v>1044</v>
      </c>
      <c r="J3693" s="161" t="s">
        <v>19202</v>
      </c>
      <c r="K3693" t="s">
        <v>19203</v>
      </c>
      <c r="L3693" t="s">
        <v>1043</v>
      </c>
      <c r="M3693" s="161" t="s">
        <v>19202</v>
      </c>
    </row>
    <row r="3694" spans="9:13" x14ac:dyDescent="0.25">
      <c r="I3694" t="s">
        <v>10450</v>
      </c>
      <c r="J3694" s="161" t="s">
        <v>19202</v>
      </c>
      <c r="K3694" t="s">
        <v>19203</v>
      </c>
      <c r="L3694" t="s">
        <v>10449</v>
      </c>
      <c r="M3694" s="161" t="s">
        <v>19202</v>
      </c>
    </row>
    <row r="3695" spans="9:13" x14ac:dyDescent="0.25">
      <c r="I3695" t="s">
        <v>8120</v>
      </c>
      <c r="J3695" s="161" t="s">
        <v>19202</v>
      </c>
      <c r="K3695" t="s">
        <v>19203</v>
      </c>
      <c r="L3695" t="s">
        <v>8119</v>
      </c>
      <c r="M3695" s="161" t="s">
        <v>19202</v>
      </c>
    </row>
    <row r="3696" spans="9:13" x14ac:dyDescent="0.25">
      <c r="I3696" t="s">
        <v>8118</v>
      </c>
      <c r="J3696" s="161" t="s">
        <v>19202</v>
      </c>
      <c r="K3696" t="s">
        <v>19203</v>
      </c>
      <c r="L3696" t="s">
        <v>8117</v>
      </c>
      <c r="M3696" s="161" t="s">
        <v>19202</v>
      </c>
    </row>
    <row r="3697" spans="9:13" x14ac:dyDescent="0.25">
      <c r="I3697" t="s">
        <v>7057</v>
      </c>
      <c r="J3697" s="161" t="s">
        <v>19202</v>
      </c>
      <c r="K3697" t="s">
        <v>19203</v>
      </c>
      <c r="L3697" t="s">
        <v>7056</v>
      </c>
      <c r="M3697" s="161" t="s">
        <v>19202</v>
      </c>
    </row>
    <row r="3698" spans="9:13" x14ac:dyDescent="0.25">
      <c r="I3698" t="s">
        <v>7055</v>
      </c>
      <c r="J3698" s="161" t="s">
        <v>19202</v>
      </c>
      <c r="K3698" t="s">
        <v>19203</v>
      </c>
      <c r="L3698" t="s">
        <v>7054</v>
      </c>
      <c r="M3698" s="161" t="s">
        <v>19202</v>
      </c>
    </row>
    <row r="3699" spans="9:13" x14ac:dyDescent="0.25">
      <c r="I3699" t="s">
        <v>7053</v>
      </c>
      <c r="J3699" s="161" t="s">
        <v>19202</v>
      </c>
      <c r="K3699" t="s">
        <v>19203</v>
      </c>
      <c r="L3699" t="s">
        <v>7052</v>
      </c>
      <c r="M3699" s="161" t="s">
        <v>19202</v>
      </c>
    </row>
    <row r="3700" spans="9:13" x14ac:dyDescent="0.25">
      <c r="I3700" t="s">
        <v>7051</v>
      </c>
      <c r="J3700" s="161" t="s">
        <v>19202</v>
      </c>
      <c r="K3700" t="s">
        <v>19203</v>
      </c>
      <c r="L3700" t="s">
        <v>7050</v>
      </c>
      <c r="M3700" s="161" t="s">
        <v>19202</v>
      </c>
    </row>
    <row r="3701" spans="9:13" x14ac:dyDescent="0.25">
      <c r="I3701" t="s">
        <v>7049</v>
      </c>
      <c r="J3701" s="161" t="s">
        <v>19202</v>
      </c>
      <c r="K3701" t="s">
        <v>19203</v>
      </c>
      <c r="L3701" t="s">
        <v>7048</v>
      </c>
      <c r="M3701" s="161" t="s">
        <v>19202</v>
      </c>
    </row>
    <row r="3702" spans="9:13" x14ac:dyDescent="0.25">
      <c r="I3702" t="s">
        <v>8116</v>
      </c>
      <c r="J3702" s="161" t="s">
        <v>19202</v>
      </c>
      <c r="K3702" t="s">
        <v>19203</v>
      </c>
      <c r="L3702" t="s">
        <v>8115</v>
      </c>
      <c r="M3702" s="161" t="s">
        <v>19202</v>
      </c>
    </row>
    <row r="3703" spans="9:13" x14ac:dyDescent="0.25">
      <c r="I3703" t="s">
        <v>7043</v>
      </c>
      <c r="J3703" s="161" t="s">
        <v>19202</v>
      </c>
      <c r="K3703" t="s">
        <v>19203</v>
      </c>
      <c r="L3703" t="s">
        <v>7042</v>
      </c>
      <c r="M3703" s="161" t="s">
        <v>19202</v>
      </c>
    </row>
    <row r="3704" spans="9:13" x14ac:dyDescent="0.25">
      <c r="I3704" t="s">
        <v>7041</v>
      </c>
      <c r="J3704" s="161" t="s">
        <v>19202</v>
      </c>
      <c r="K3704" t="s">
        <v>19203</v>
      </c>
      <c r="L3704" t="s">
        <v>7040</v>
      </c>
      <c r="M3704" s="161" t="s">
        <v>19202</v>
      </c>
    </row>
    <row r="3705" spans="9:13" x14ac:dyDescent="0.25">
      <c r="I3705" t="s">
        <v>3181</v>
      </c>
      <c r="J3705" s="161" t="s">
        <v>19202</v>
      </c>
      <c r="K3705" t="s">
        <v>19203</v>
      </c>
      <c r="L3705" t="s">
        <v>3180</v>
      </c>
      <c r="M3705" s="161" t="s">
        <v>19202</v>
      </c>
    </row>
    <row r="3706" spans="9:13" x14ac:dyDescent="0.25">
      <c r="I3706" t="s">
        <v>2240</v>
      </c>
      <c r="J3706" s="161" t="s">
        <v>19202</v>
      </c>
      <c r="K3706" t="s">
        <v>19203</v>
      </c>
      <c r="L3706" t="s">
        <v>2239</v>
      </c>
      <c r="M3706" s="161" t="s">
        <v>19202</v>
      </c>
    </row>
    <row r="3707" spans="9:13" x14ac:dyDescent="0.25">
      <c r="I3707" t="s">
        <v>12953</v>
      </c>
      <c r="J3707" s="161" t="s">
        <v>19202</v>
      </c>
      <c r="K3707" t="s">
        <v>19203</v>
      </c>
      <c r="L3707" t="s">
        <v>12952</v>
      </c>
      <c r="M3707" s="161" t="s">
        <v>19202</v>
      </c>
    </row>
    <row r="3708" spans="9:13" x14ac:dyDescent="0.25">
      <c r="I3708" t="s">
        <v>8000</v>
      </c>
      <c r="J3708" s="161" t="s">
        <v>19202</v>
      </c>
      <c r="K3708" t="s">
        <v>19203</v>
      </c>
      <c r="L3708" t="s">
        <v>7999</v>
      </c>
      <c r="M3708" s="161" t="s">
        <v>19202</v>
      </c>
    </row>
    <row r="3709" spans="9:13" x14ac:dyDescent="0.25">
      <c r="I3709" t="s">
        <v>6636</v>
      </c>
      <c r="J3709" s="161" t="s">
        <v>19202</v>
      </c>
      <c r="K3709" t="s">
        <v>19203</v>
      </c>
      <c r="L3709" t="s">
        <v>6635</v>
      </c>
      <c r="M3709" s="161" t="s">
        <v>19202</v>
      </c>
    </row>
    <row r="3710" spans="9:13" x14ac:dyDescent="0.25">
      <c r="I3710" t="s">
        <v>3711</v>
      </c>
      <c r="J3710" s="161" t="s">
        <v>19202</v>
      </c>
      <c r="K3710" t="s">
        <v>19203</v>
      </c>
      <c r="L3710" t="s">
        <v>3710</v>
      </c>
      <c r="M3710" s="161" t="s">
        <v>19202</v>
      </c>
    </row>
    <row r="3711" spans="9:13" x14ac:dyDescent="0.25">
      <c r="I3711" t="s">
        <v>5498</v>
      </c>
      <c r="J3711" s="161" t="s">
        <v>19202</v>
      </c>
      <c r="K3711" t="s">
        <v>19203</v>
      </c>
      <c r="L3711" t="s">
        <v>5497</v>
      </c>
      <c r="M3711" s="161" t="s">
        <v>19202</v>
      </c>
    </row>
    <row r="3712" spans="9:13" x14ac:dyDescent="0.25">
      <c r="I3712" t="s">
        <v>15944</v>
      </c>
      <c r="J3712" s="161" t="s">
        <v>19202</v>
      </c>
      <c r="K3712" t="s">
        <v>19203</v>
      </c>
      <c r="L3712" t="s">
        <v>1676</v>
      </c>
      <c r="M3712" s="161" t="s">
        <v>19202</v>
      </c>
    </row>
    <row r="3713" spans="9:13" x14ac:dyDescent="0.25">
      <c r="I3713" t="s">
        <v>13598</v>
      </c>
      <c r="J3713" s="161" t="s">
        <v>19202</v>
      </c>
      <c r="K3713" t="s">
        <v>19203</v>
      </c>
      <c r="L3713" t="s">
        <v>4847</v>
      </c>
      <c r="M3713" s="161" t="s">
        <v>19202</v>
      </c>
    </row>
    <row r="3714" spans="9:13" x14ac:dyDescent="0.25">
      <c r="I3714" t="s">
        <v>19670</v>
      </c>
      <c r="J3714" s="161" t="s">
        <v>19202</v>
      </c>
      <c r="K3714" t="s">
        <v>19203</v>
      </c>
      <c r="L3714" t="s">
        <v>1736</v>
      </c>
      <c r="M3714" s="161" t="s">
        <v>19202</v>
      </c>
    </row>
    <row r="3715" spans="9:13" x14ac:dyDescent="0.25">
      <c r="I3715" t="s">
        <v>19671</v>
      </c>
      <c r="J3715" s="161" t="s">
        <v>19202</v>
      </c>
      <c r="K3715" t="s">
        <v>19203</v>
      </c>
      <c r="L3715" t="s">
        <v>19672</v>
      </c>
      <c r="M3715" s="161" t="s">
        <v>19202</v>
      </c>
    </row>
    <row r="3716" spans="9:13" x14ac:dyDescent="0.25">
      <c r="I3716" t="s">
        <v>13036</v>
      </c>
      <c r="J3716" s="161" t="s">
        <v>19202</v>
      </c>
      <c r="K3716" t="s">
        <v>19203</v>
      </c>
      <c r="L3716" t="s">
        <v>13035</v>
      </c>
      <c r="M3716" s="161" t="s">
        <v>19202</v>
      </c>
    </row>
    <row r="3717" spans="9:13" x14ac:dyDescent="0.25">
      <c r="I3717" t="s">
        <v>4146</v>
      </c>
      <c r="J3717" s="161" t="s">
        <v>19202</v>
      </c>
      <c r="K3717" t="s">
        <v>19203</v>
      </c>
      <c r="L3717" t="s">
        <v>4145</v>
      </c>
      <c r="M3717" s="161" t="s">
        <v>19202</v>
      </c>
    </row>
    <row r="3718" spans="9:13" x14ac:dyDescent="0.25">
      <c r="I3718" t="s">
        <v>4443</v>
      </c>
      <c r="J3718" s="161" t="s">
        <v>19202</v>
      </c>
      <c r="K3718" t="s">
        <v>19203</v>
      </c>
      <c r="L3718" t="s">
        <v>4442</v>
      </c>
      <c r="M3718" s="161" t="s">
        <v>19202</v>
      </c>
    </row>
    <row r="3719" spans="9:13" x14ac:dyDescent="0.25">
      <c r="I3719" t="s">
        <v>7581</v>
      </c>
      <c r="J3719" s="161" t="s">
        <v>19202</v>
      </c>
      <c r="K3719" t="s">
        <v>19203</v>
      </c>
      <c r="L3719" t="s">
        <v>7580</v>
      </c>
      <c r="M3719" s="161" t="s">
        <v>19202</v>
      </c>
    </row>
    <row r="3720" spans="9:13" x14ac:dyDescent="0.25">
      <c r="I3720" t="s">
        <v>6533</v>
      </c>
      <c r="J3720" s="161" t="s">
        <v>19202</v>
      </c>
      <c r="K3720" t="s">
        <v>19203</v>
      </c>
      <c r="L3720" t="s">
        <v>5917</v>
      </c>
      <c r="M3720" s="161" t="s">
        <v>19202</v>
      </c>
    </row>
    <row r="3721" spans="9:13" x14ac:dyDescent="0.25">
      <c r="I3721" t="s">
        <v>6597</v>
      </c>
      <c r="J3721" s="161" t="s">
        <v>19202</v>
      </c>
      <c r="K3721" t="s">
        <v>19203</v>
      </c>
      <c r="L3721" t="s">
        <v>6596</v>
      </c>
      <c r="M3721" s="161" t="s">
        <v>19202</v>
      </c>
    </row>
    <row r="3722" spans="9:13" x14ac:dyDescent="0.25">
      <c r="I3722" t="s">
        <v>2595</v>
      </c>
      <c r="J3722" s="161" t="s">
        <v>19202</v>
      </c>
      <c r="K3722" t="s">
        <v>19203</v>
      </c>
      <c r="L3722" t="s">
        <v>2594</v>
      </c>
      <c r="M3722" s="161" t="s">
        <v>19202</v>
      </c>
    </row>
    <row r="3723" spans="9:13" x14ac:dyDescent="0.25">
      <c r="I3723" t="s">
        <v>17742</v>
      </c>
      <c r="J3723" s="161" t="s">
        <v>19202</v>
      </c>
      <c r="K3723" t="s">
        <v>19203</v>
      </c>
      <c r="L3723" t="s">
        <v>13327</v>
      </c>
      <c r="M3723" s="161" t="s">
        <v>19202</v>
      </c>
    </row>
    <row r="3724" spans="9:13" x14ac:dyDescent="0.25">
      <c r="I3724" t="s">
        <v>6031</v>
      </c>
      <c r="J3724" s="161" t="s">
        <v>19202</v>
      </c>
      <c r="K3724" t="s">
        <v>19203</v>
      </c>
      <c r="L3724" t="s">
        <v>6030</v>
      </c>
      <c r="M3724" s="161" t="s">
        <v>19202</v>
      </c>
    </row>
    <row r="3725" spans="9:13" x14ac:dyDescent="0.25">
      <c r="I3725" t="s">
        <v>13003</v>
      </c>
      <c r="J3725" s="161" t="s">
        <v>19202</v>
      </c>
      <c r="K3725" t="s">
        <v>19203</v>
      </c>
      <c r="L3725" t="s">
        <v>13002</v>
      </c>
      <c r="M3725" s="161" t="s">
        <v>19202</v>
      </c>
    </row>
    <row r="3726" spans="9:13" x14ac:dyDescent="0.25">
      <c r="I3726" t="s">
        <v>16243</v>
      </c>
      <c r="J3726" s="161" t="s">
        <v>19202</v>
      </c>
      <c r="K3726" t="s">
        <v>19203</v>
      </c>
      <c r="L3726" t="s">
        <v>3862</v>
      </c>
      <c r="M3726" s="161" t="s">
        <v>19202</v>
      </c>
    </row>
    <row r="3727" spans="9:13" x14ac:dyDescent="0.25">
      <c r="I3727" t="s">
        <v>6530</v>
      </c>
      <c r="J3727" s="161" t="s">
        <v>19202</v>
      </c>
      <c r="K3727" t="s">
        <v>19203</v>
      </c>
      <c r="L3727" t="s">
        <v>667</v>
      </c>
      <c r="M3727" s="161" t="s">
        <v>19202</v>
      </c>
    </row>
    <row r="3728" spans="9:13" x14ac:dyDescent="0.25">
      <c r="I3728" t="s">
        <v>6829</v>
      </c>
      <c r="J3728" s="161" t="s">
        <v>19202</v>
      </c>
      <c r="K3728" t="s">
        <v>19203</v>
      </c>
      <c r="L3728" t="s">
        <v>1406</v>
      </c>
      <c r="M3728" s="161" t="s">
        <v>19202</v>
      </c>
    </row>
    <row r="3729" spans="9:13" x14ac:dyDescent="0.25">
      <c r="I3729" t="s">
        <v>11044</v>
      </c>
      <c r="J3729" s="161" t="s">
        <v>19202</v>
      </c>
      <c r="K3729" t="s">
        <v>19203</v>
      </c>
      <c r="L3729" t="s">
        <v>11043</v>
      </c>
      <c r="M3729" s="161" t="s">
        <v>19202</v>
      </c>
    </row>
    <row r="3730" spans="9:13" x14ac:dyDescent="0.25">
      <c r="I3730" t="s">
        <v>7692</v>
      </c>
      <c r="J3730" s="161" t="s">
        <v>19202</v>
      </c>
      <c r="K3730" t="s">
        <v>19203</v>
      </c>
      <c r="L3730" t="s">
        <v>7691</v>
      </c>
      <c r="M3730" s="161" t="s">
        <v>19202</v>
      </c>
    </row>
    <row r="3731" spans="9:13" x14ac:dyDescent="0.25">
      <c r="I3731" t="s">
        <v>17822</v>
      </c>
      <c r="J3731" s="161" t="s">
        <v>19202</v>
      </c>
      <c r="K3731" t="s">
        <v>19203</v>
      </c>
      <c r="L3731" t="s">
        <v>17821</v>
      </c>
      <c r="M3731" s="161" t="s">
        <v>19202</v>
      </c>
    </row>
    <row r="3732" spans="9:13" x14ac:dyDescent="0.25">
      <c r="I3732" t="s">
        <v>8461</v>
      </c>
      <c r="J3732" s="161" t="s">
        <v>19202</v>
      </c>
      <c r="K3732" t="s">
        <v>19203</v>
      </c>
      <c r="L3732" t="s">
        <v>8460</v>
      </c>
      <c r="M3732" s="161" t="s">
        <v>19202</v>
      </c>
    </row>
    <row r="3733" spans="9:13" x14ac:dyDescent="0.25">
      <c r="I3733" t="s">
        <v>8204</v>
      </c>
      <c r="J3733" s="161" t="s">
        <v>19202</v>
      </c>
      <c r="K3733" t="s">
        <v>19203</v>
      </c>
      <c r="L3733" t="s">
        <v>8203</v>
      </c>
      <c r="M3733" s="161" t="s">
        <v>19202</v>
      </c>
    </row>
    <row r="3734" spans="9:13" x14ac:dyDescent="0.25">
      <c r="I3734" t="s">
        <v>7121</v>
      </c>
      <c r="J3734" s="161" t="s">
        <v>19202</v>
      </c>
      <c r="K3734" t="s">
        <v>19203</v>
      </c>
      <c r="L3734" t="s">
        <v>7120</v>
      </c>
      <c r="M3734" s="161" t="s">
        <v>19202</v>
      </c>
    </row>
    <row r="3735" spans="9:13" x14ac:dyDescent="0.25">
      <c r="I3735" t="s">
        <v>7119</v>
      </c>
      <c r="J3735" s="161" t="s">
        <v>19202</v>
      </c>
      <c r="K3735" t="s">
        <v>19203</v>
      </c>
      <c r="L3735" t="s">
        <v>7118</v>
      </c>
      <c r="M3735" s="161" t="s">
        <v>19202</v>
      </c>
    </row>
    <row r="3736" spans="9:13" x14ac:dyDescent="0.25">
      <c r="I3736" t="s">
        <v>7115</v>
      </c>
      <c r="J3736" s="161" t="s">
        <v>19202</v>
      </c>
      <c r="K3736" t="s">
        <v>19203</v>
      </c>
      <c r="L3736" t="s">
        <v>7114</v>
      </c>
      <c r="M3736" s="161" t="s">
        <v>19202</v>
      </c>
    </row>
    <row r="3737" spans="9:13" x14ac:dyDescent="0.25">
      <c r="I3737" t="s">
        <v>7111</v>
      </c>
      <c r="J3737" s="161" t="s">
        <v>19202</v>
      </c>
      <c r="K3737" t="s">
        <v>19203</v>
      </c>
      <c r="L3737" t="s">
        <v>7110</v>
      </c>
      <c r="M3737" s="161" t="s">
        <v>19202</v>
      </c>
    </row>
    <row r="3738" spans="9:13" x14ac:dyDescent="0.25">
      <c r="I3738" t="s">
        <v>7109</v>
      </c>
      <c r="J3738" s="161" t="s">
        <v>19202</v>
      </c>
      <c r="K3738" t="s">
        <v>19203</v>
      </c>
      <c r="L3738" t="s">
        <v>7108</v>
      </c>
      <c r="M3738" s="161" t="s">
        <v>19202</v>
      </c>
    </row>
    <row r="3739" spans="9:13" x14ac:dyDescent="0.25">
      <c r="I3739" t="s">
        <v>7107</v>
      </c>
      <c r="J3739" s="161" t="s">
        <v>19202</v>
      </c>
      <c r="K3739" t="s">
        <v>19203</v>
      </c>
      <c r="L3739" t="s">
        <v>7106</v>
      </c>
      <c r="M3739" s="161" t="s">
        <v>19202</v>
      </c>
    </row>
    <row r="3740" spans="9:13" x14ac:dyDescent="0.25">
      <c r="I3740" t="s">
        <v>7103</v>
      </c>
      <c r="J3740" s="161" t="s">
        <v>19202</v>
      </c>
      <c r="K3740" t="s">
        <v>19203</v>
      </c>
      <c r="L3740" t="s">
        <v>7102</v>
      </c>
      <c r="M3740" s="161" t="s">
        <v>19202</v>
      </c>
    </row>
    <row r="3741" spans="9:13" x14ac:dyDescent="0.25">
      <c r="I3741" t="s">
        <v>7101</v>
      </c>
      <c r="J3741" s="161" t="s">
        <v>19202</v>
      </c>
      <c r="K3741" t="s">
        <v>19203</v>
      </c>
      <c r="L3741" t="s">
        <v>7100</v>
      </c>
      <c r="M3741" s="161" t="s">
        <v>19202</v>
      </c>
    </row>
    <row r="3742" spans="9:13" x14ac:dyDescent="0.25">
      <c r="I3742" t="s">
        <v>7099</v>
      </c>
      <c r="J3742" s="161" t="s">
        <v>19202</v>
      </c>
      <c r="K3742" t="s">
        <v>19203</v>
      </c>
      <c r="L3742" t="s">
        <v>7098</v>
      </c>
      <c r="M3742" s="161" t="s">
        <v>19202</v>
      </c>
    </row>
    <row r="3743" spans="9:13" x14ac:dyDescent="0.25">
      <c r="I3743" t="s">
        <v>7097</v>
      </c>
      <c r="J3743" s="161" t="s">
        <v>19202</v>
      </c>
      <c r="K3743" t="s">
        <v>19203</v>
      </c>
      <c r="L3743" t="s">
        <v>7096</v>
      </c>
      <c r="M3743" s="161" t="s">
        <v>19202</v>
      </c>
    </row>
    <row r="3744" spans="9:13" x14ac:dyDescent="0.25">
      <c r="I3744" t="s">
        <v>7095</v>
      </c>
      <c r="J3744" s="161" t="s">
        <v>19202</v>
      </c>
      <c r="K3744" t="s">
        <v>19203</v>
      </c>
      <c r="L3744" t="s">
        <v>7094</v>
      </c>
      <c r="M3744" s="161" t="s">
        <v>19202</v>
      </c>
    </row>
    <row r="3745" spans="9:13" x14ac:dyDescent="0.25">
      <c r="I3745" t="s">
        <v>7469</v>
      </c>
      <c r="J3745" s="161" t="s">
        <v>19202</v>
      </c>
      <c r="K3745" t="s">
        <v>19203</v>
      </c>
      <c r="L3745" t="s">
        <v>7468</v>
      </c>
      <c r="M3745" s="161" t="s">
        <v>19202</v>
      </c>
    </row>
    <row r="3746" spans="9:13" x14ac:dyDescent="0.25">
      <c r="I3746" t="s">
        <v>7093</v>
      </c>
      <c r="J3746" s="161" t="s">
        <v>19202</v>
      </c>
      <c r="K3746" t="s">
        <v>19203</v>
      </c>
      <c r="L3746" t="s">
        <v>7092</v>
      </c>
      <c r="M3746" s="161" t="s">
        <v>19202</v>
      </c>
    </row>
    <row r="3747" spans="9:13" x14ac:dyDescent="0.25">
      <c r="I3747" t="s">
        <v>7091</v>
      </c>
      <c r="J3747" s="161" t="s">
        <v>19202</v>
      </c>
      <c r="K3747" t="s">
        <v>19203</v>
      </c>
      <c r="L3747" t="s">
        <v>7090</v>
      </c>
      <c r="M3747" s="161" t="s">
        <v>19202</v>
      </c>
    </row>
    <row r="3748" spans="9:13" x14ac:dyDescent="0.25">
      <c r="I3748" t="s">
        <v>7089</v>
      </c>
      <c r="J3748" s="161" t="s">
        <v>19202</v>
      </c>
      <c r="K3748" t="s">
        <v>19203</v>
      </c>
      <c r="L3748" t="s">
        <v>7088</v>
      </c>
      <c r="M3748" s="161" t="s">
        <v>19202</v>
      </c>
    </row>
    <row r="3749" spans="9:13" x14ac:dyDescent="0.25">
      <c r="I3749" t="s">
        <v>8584</v>
      </c>
      <c r="J3749" s="161" t="s">
        <v>19202</v>
      </c>
      <c r="K3749" t="s">
        <v>19203</v>
      </c>
      <c r="L3749" t="s">
        <v>8583</v>
      </c>
      <c r="M3749" s="161" t="s">
        <v>19202</v>
      </c>
    </row>
    <row r="3750" spans="9:13" x14ac:dyDescent="0.25">
      <c r="I3750" t="s">
        <v>7744</v>
      </c>
      <c r="J3750" s="161" t="s">
        <v>19202</v>
      </c>
      <c r="K3750" t="s">
        <v>19203</v>
      </c>
      <c r="L3750" t="s">
        <v>7743</v>
      </c>
      <c r="M3750" s="161" t="s">
        <v>19202</v>
      </c>
    </row>
    <row r="3751" spans="9:13" x14ac:dyDescent="0.25">
      <c r="I3751" t="s">
        <v>8348</v>
      </c>
      <c r="J3751" s="161" t="s">
        <v>19202</v>
      </c>
      <c r="K3751" t="s">
        <v>19203</v>
      </c>
      <c r="L3751" t="s">
        <v>8347</v>
      </c>
      <c r="M3751" s="161" t="s">
        <v>19202</v>
      </c>
    </row>
    <row r="3752" spans="9:13" x14ac:dyDescent="0.25">
      <c r="I3752" t="s">
        <v>7254</v>
      </c>
      <c r="J3752" s="161" t="s">
        <v>19202</v>
      </c>
      <c r="K3752" t="s">
        <v>19203</v>
      </c>
      <c r="L3752" t="s">
        <v>7253</v>
      </c>
      <c r="M3752" s="161" t="s">
        <v>19202</v>
      </c>
    </row>
    <row r="3753" spans="9:13" x14ac:dyDescent="0.25">
      <c r="I3753" t="s">
        <v>7087</v>
      </c>
      <c r="J3753" s="161" t="s">
        <v>19202</v>
      </c>
      <c r="K3753" t="s">
        <v>19203</v>
      </c>
      <c r="L3753" t="s">
        <v>7086</v>
      </c>
      <c r="M3753" s="161" t="s">
        <v>19202</v>
      </c>
    </row>
    <row r="3754" spans="9:13" x14ac:dyDescent="0.25">
      <c r="I3754" t="s">
        <v>7085</v>
      </c>
      <c r="J3754" s="161" t="s">
        <v>19202</v>
      </c>
      <c r="K3754" t="s">
        <v>19203</v>
      </c>
      <c r="L3754" t="s">
        <v>7084</v>
      </c>
      <c r="M3754" s="161" t="s">
        <v>19202</v>
      </c>
    </row>
    <row r="3755" spans="9:13" x14ac:dyDescent="0.25">
      <c r="I3755" t="s">
        <v>8582</v>
      </c>
      <c r="J3755" s="161" t="s">
        <v>19202</v>
      </c>
      <c r="K3755" t="s">
        <v>19203</v>
      </c>
      <c r="L3755" t="s">
        <v>8581</v>
      </c>
      <c r="M3755" s="161" t="s">
        <v>19202</v>
      </c>
    </row>
    <row r="3756" spans="9:13" x14ac:dyDescent="0.25">
      <c r="I3756" t="s">
        <v>8346</v>
      </c>
      <c r="J3756" s="161" t="s">
        <v>19202</v>
      </c>
      <c r="K3756" t="s">
        <v>19203</v>
      </c>
      <c r="L3756" t="s">
        <v>8345</v>
      </c>
      <c r="M3756" s="161" t="s">
        <v>19202</v>
      </c>
    </row>
    <row r="3757" spans="9:13" x14ac:dyDescent="0.25">
      <c r="I3757" t="s">
        <v>8202</v>
      </c>
      <c r="J3757" s="161" t="s">
        <v>19202</v>
      </c>
      <c r="K3757" t="s">
        <v>19203</v>
      </c>
      <c r="L3757" t="s">
        <v>8201</v>
      </c>
      <c r="M3757" s="161" t="s">
        <v>19202</v>
      </c>
    </row>
    <row r="3758" spans="9:13" x14ac:dyDescent="0.25">
      <c r="I3758" t="s">
        <v>7986</v>
      </c>
      <c r="J3758" s="161" t="s">
        <v>19202</v>
      </c>
      <c r="K3758" t="s">
        <v>19203</v>
      </c>
      <c r="L3758" t="s">
        <v>7985</v>
      </c>
      <c r="M3758" s="161" t="s">
        <v>19202</v>
      </c>
    </row>
    <row r="3759" spans="9:13" x14ac:dyDescent="0.25">
      <c r="I3759" t="s">
        <v>7664</v>
      </c>
      <c r="J3759" s="161" t="s">
        <v>19202</v>
      </c>
      <c r="K3759" t="s">
        <v>19203</v>
      </c>
      <c r="L3759" t="s">
        <v>7663</v>
      </c>
      <c r="M3759" s="161" t="s">
        <v>19202</v>
      </c>
    </row>
    <row r="3760" spans="9:13" x14ac:dyDescent="0.25">
      <c r="I3760" t="s">
        <v>7045</v>
      </c>
      <c r="J3760" s="161" t="s">
        <v>19202</v>
      </c>
      <c r="K3760" t="s">
        <v>19203</v>
      </c>
      <c r="L3760" t="s">
        <v>7044</v>
      </c>
      <c r="M3760" s="161" t="s">
        <v>19202</v>
      </c>
    </row>
    <row r="3761" spans="9:13" x14ac:dyDescent="0.25">
      <c r="I3761" t="s">
        <v>7083</v>
      </c>
      <c r="J3761" s="161" t="s">
        <v>19202</v>
      </c>
      <c r="K3761" t="s">
        <v>19203</v>
      </c>
      <c r="L3761" t="s">
        <v>7082</v>
      </c>
      <c r="M3761" s="161" t="s">
        <v>19202</v>
      </c>
    </row>
    <row r="3762" spans="9:13" x14ac:dyDescent="0.25">
      <c r="I3762" t="s">
        <v>7081</v>
      </c>
      <c r="J3762" s="161" t="s">
        <v>19202</v>
      </c>
      <c r="K3762" t="s">
        <v>19203</v>
      </c>
      <c r="L3762" t="s">
        <v>7080</v>
      </c>
      <c r="M3762" s="161" t="s">
        <v>19202</v>
      </c>
    </row>
    <row r="3763" spans="9:13" x14ac:dyDescent="0.25">
      <c r="I3763" t="s">
        <v>8249</v>
      </c>
      <c r="J3763" s="161" t="s">
        <v>19202</v>
      </c>
      <c r="K3763" t="s">
        <v>19203</v>
      </c>
      <c r="L3763" t="s">
        <v>8248</v>
      </c>
      <c r="M3763" s="161" t="s">
        <v>19202</v>
      </c>
    </row>
    <row r="3764" spans="9:13" x14ac:dyDescent="0.25">
      <c r="I3764" t="s">
        <v>8247</v>
      </c>
      <c r="J3764" s="161" t="s">
        <v>19202</v>
      </c>
      <c r="K3764" t="s">
        <v>19203</v>
      </c>
      <c r="L3764" t="s">
        <v>8246</v>
      </c>
      <c r="M3764" s="161" t="s">
        <v>19202</v>
      </c>
    </row>
    <row r="3765" spans="9:13" x14ac:dyDescent="0.25">
      <c r="I3765" t="s">
        <v>9714</v>
      </c>
      <c r="J3765" s="161" t="s">
        <v>19202</v>
      </c>
      <c r="K3765" t="s">
        <v>19203</v>
      </c>
      <c r="L3765" t="s">
        <v>2952</v>
      </c>
      <c r="M3765" s="161" t="s">
        <v>19202</v>
      </c>
    </row>
    <row r="3766" spans="9:13" x14ac:dyDescent="0.25">
      <c r="I3766" t="s">
        <v>13150</v>
      </c>
      <c r="J3766" s="161" t="s">
        <v>19202</v>
      </c>
      <c r="K3766" t="s">
        <v>19203</v>
      </c>
      <c r="L3766" t="s">
        <v>13149</v>
      </c>
      <c r="M3766" s="161" t="s">
        <v>19202</v>
      </c>
    </row>
    <row r="3767" spans="9:13" x14ac:dyDescent="0.25">
      <c r="I3767" t="s">
        <v>4834</v>
      </c>
      <c r="J3767" s="161" t="s">
        <v>19202</v>
      </c>
      <c r="K3767" t="s">
        <v>19203</v>
      </c>
      <c r="L3767" t="s">
        <v>4833</v>
      </c>
      <c r="M3767" s="161" t="s">
        <v>19202</v>
      </c>
    </row>
    <row r="3768" spans="9:13" x14ac:dyDescent="0.25">
      <c r="I3768" t="s">
        <v>4933</v>
      </c>
      <c r="J3768" s="161" t="s">
        <v>19202</v>
      </c>
      <c r="K3768" t="s">
        <v>19203</v>
      </c>
      <c r="L3768" t="s">
        <v>3562</v>
      </c>
      <c r="M3768" s="161" t="s">
        <v>19202</v>
      </c>
    </row>
    <row r="3769" spans="9:13" x14ac:dyDescent="0.25">
      <c r="I3769" t="s">
        <v>3356</v>
      </c>
      <c r="J3769" s="161" t="s">
        <v>19202</v>
      </c>
      <c r="K3769" t="s">
        <v>19203</v>
      </c>
      <c r="L3769" t="s">
        <v>3355</v>
      </c>
      <c r="M3769" s="161" t="s">
        <v>19202</v>
      </c>
    </row>
    <row r="3770" spans="9:13" x14ac:dyDescent="0.25">
      <c r="I3770" t="s">
        <v>13434</v>
      </c>
      <c r="J3770" s="161" t="s">
        <v>19202</v>
      </c>
      <c r="K3770" t="s">
        <v>19203</v>
      </c>
      <c r="L3770" t="s">
        <v>13433</v>
      </c>
      <c r="M3770" s="161" t="s">
        <v>19202</v>
      </c>
    </row>
    <row r="3771" spans="9:13" x14ac:dyDescent="0.25">
      <c r="I3771" t="s">
        <v>19673</v>
      </c>
      <c r="J3771" s="161" t="s">
        <v>19202</v>
      </c>
      <c r="K3771" t="s">
        <v>19203</v>
      </c>
      <c r="L3771" t="s">
        <v>934</v>
      </c>
      <c r="M3771" s="161" t="s">
        <v>19202</v>
      </c>
    </row>
    <row r="3772" spans="9:13" x14ac:dyDescent="0.25">
      <c r="I3772" t="s">
        <v>19674</v>
      </c>
      <c r="J3772" s="161" t="s">
        <v>19202</v>
      </c>
      <c r="K3772" t="s">
        <v>19203</v>
      </c>
      <c r="L3772" t="s">
        <v>19675</v>
      </c>
      <c r="M3772" s="161" t="s">
        <v>19202</v>
      </c>
    </row>
    <row r="3773" spans="9:13" x14ac:dyDescent="0.25">
      <c r="I3773" t="s">
        <v>10162</v>
      </c>
      <c r="J3773" s="161" t="s">
        <v>19202</v>
      </c>
      <c r="K3773" t="s">
        <v>19203</v>
      </c>
      <c r="L3773" t="s">
        <v>10161</v>
      </c>
      <c r="M3773" s="161" t="s">
        <v>19202</v>
      </c>
    </row>
    <row r="3774" spans="9:13" x14ac:dyDescent="0.25">
      <c r="I3774" t="s">
        <v>6565</v>
      </c>
      <c r="J3774" s="161" t="s">
        <v>19202</v>
      </c>
      <c r="K3774" t="s">
        <v>19203</v>
      </c>
      <c r="L3774" t="s">
        <v>6564</v>
      </c>
      <c r="M3774" s="161" t="s">
        <v>19202</v>
      </c>
    </row>
    <row r="3775" spans="9:13" x14ac:dyDescent="0.25">
      <c r="I3775" t="s">
        <v>10446</v>
      </c>
      <c r="J3775" s="161" t="s">
        <v>19202</v>
      </c>
      <c r="K3775" t="s">
        <v>19203</v>
      </c>
      <c r="L3775" t="s">
        <v>10445</v>
      </c>
      <c r="M3775" s="161" t="s">
        <v>19202</v>
      </c>
    </row>
    <row r="3776" spans="9:13" x14ac:dyDescent="0.25">
      <c r="I3776" t="s">
        <v>6808</v>
      </c>
      <c r="J3776" s="161" t="s">
        <v>19202</v>
      </c>
      <c r="K3776" t="s">
        <v>19203</v>
      </c>
      <c r="L3776" t="s">
        <v>6807</v>
      </c>
      <c r="M3776" s="161" t="s">
        <v>19202</v>
      </c>
    </row>
    <row r="3777" spans="9:13" x14ac:dyDescent="0.25">
      <c r="I3777" t="s">
        <v>3434</v>
      </c>
      <c r="J3777" s="161" t="s">
        <v>19202</v>
      </c>
      <c r="K3777" t="s">
        <v>19203</v>
      </c>
      <c r="L3777" t="s">
        <v>3433</v>
      </c>
      <c r="M3777" s="161" t="s">
        <v>19202</v>
      </c>
    </row>
    <row r="3778" spans="9:13" x14ac:dyDescent="0.25">
      <c r="I3778" t="s">
        <v>6525</v>
      </c>
      <c r="J3778" s="161" t="s">
        <v>19202</v>
      </c>
      <c r="K3778" t="s">
        <v>19203</v>
      </c>
      <c r="L3778" t="s">
        <v>6524</v>
      </c>
      <c r="M3778" s="161" t="s">
        <v>19202</v>
      </c>
    </row>
    <row r="3779" spans="9:13" x14ac:dyDescent="0.25">
      <c r="I3779" t="s">
        <v>7475</v>
      </c>
      <c r="J3779" s="161" t="s">
        <v>19202</v>
      </c>
      <c r="K3779" t="s">
        <v>19203</v>
      </c>
      <c r="L3779" t="s">
        <v>7474</v>
      </c>
      <c r="M3779" s="161" t="s">
        <v>19202</v>
      </c>
    </row>
    <row r="3780" spans="9:13" x14ac:dyDescent="0.25">
      <c r="I3780" t="s">
        <v>13836</v>
      </c>
      <c r="J3780" s="161" t="s">
        <v>19202</v>
      </c>
      <c r="K3780" t="s">
        <v>19203</v>
      </c>
      <c r="L3780" t="s">
        <v>13835</v>
      </c>
      <c r="M3780" s="161" t="s">
        <v>19202</v>
      </c>
    </row>
    <row r="3781" spans="9:13" x14ac:dyDescent="0.25">
      <c r="I3781" t="s">
        <v>1597</v>
      </c>
      <c r="J3781" s="161" t="s">
        <v>19202</v>
      </c>
      <c r="K3781" t="s">
        <v>19203</v>
      </c>
      <c r="L3781" t="s">
        <v>1596</v>
      </c>
      <c r="M3781" s="161" t="s">
        <v>19202</v>
      </c>
    </row>
    <row r="3782" spans="9:13" x14ac:dyDescent="0.25">
      <c r="I3782" t="s">
        <v>9076</v>
      </c>
      <c r="J3782" s="161" t="s">
        <v>19202</v>
      </c>
      <c r="K3782" t="s">
        <v>19203</v>
      </c>
      <c r="L3782" t="s">
        <v>9075</v>
      </c>
      <c r="M3782" s="161" t="s">
        <v>19202</v>
      </c>
    </row>
    <row r="3783" spans="9:13" x14ac:dyDescent="0.25">
      <c r="I3783" t="s">
        <v>1273</v>
      </c>
      <c r="J3783" s="161" t="s">
        <v>19202</v>
      </c>
      <c r="K3783" t="s">
        <v>19203</v>
      </c>
      <c r="L3783" t="s">
        <v>1272</v>
      </c>
      <c r="M3783" s="161" t="s">
        <v>19202</v>
      </c>
    </row>
    <row r="3784" spans="9:13" x14ac:dyDescent="0.25">
      <c r="I3784" t="s">
        <v>385</v>
      </c>
      <c r="J3784" s="161" t="s">
        <v>19202</v>
      </c>
      <c r="K3784" t="s">
        <v>19203</v>
      </c>
      <c r="L3784" t="s">
        <v>384</v>
      </c>
      <c r="M3784" s="161" t="s">
        <v>19202</v>
      </c>
    </row>
    <row r="3785" spans="9:13" x14ac:dyDescent="0.25">
      <c r="I3785" t="s">
        <v>17128</v>
      </c>
      <c r="J3785" s="161" t="s">
        <v>19202</v>
      </c>
      <c r="K3785" t="s">
        <v>19203</v>
      </c>
      <c r="L3785" t="s">
        <v>17127</v>
      </c>
      <c r="M3785" s="161" t="s">
        <v>19202</v>
      </c>
    </row>
    <row r="3786" spans="9:13" x14ac:dyDescent="0.25">
      <c r="I3786" t="s">
        <v>11991</v>
      </c>
      <c r="J3786" s="161" t="s">
        <v>19202</v>
      </c>
      <c r="K3786" t="s">
        <v>19203</v>
      </c>
      <c r="L3786" t="s">
        <v>11990</v>
      </c>
      <c r="M3786" s="161" t="s">
        <v>19202</v>
      </c>
    </row>
    <row r="3787" spans="9:13" x14ac:dyDescent="0.25">
      <c r="I3787" t="s">
        <v>19676</v>
      </c>
      <c r="J3787" s="161" t="s">
        <v>19202</v>
      </c>
      <c r="K3787" t="s">
        <v>19203</v>
      </c>
      <c r="L3787" t="s">
        <v>3522</v>
      </c>
      <c r="M3787" s="161" t="s">
        <v>19202</v>
      </c>
    </row>
    <row r="3788" spans="9:13" x14ac:dyDescent="0.25">
      <c r="I3788" t="s">
        <v>6835</v>
      </c>
      <c r="J3788" s="161" t="s">
        <v>19202</v>
      </c>
      <c r="K3788" t="s">
        <v>19203</v>
      </c>
      <c r="L3788" t="s">
        <v>6834</v>
      </c>
      <c r="M3788" s="161" t="s">
        <v>19202</v>
      </c>
    </row>
    <row r="3789" spans="9:13" x14ac:dyDescent="0.25">
      <c r="I3789" t="s">
        <v>6529</v>
      </c>
      <c r="J3789" s="161" t="s">
        <v>19202</v>
      </c>
      <c r="K3789" t="s">
        <v>19203</v>
      </c>
      <c r="L3789" t="s">
        <v>6528</v>
      </c>
      <c r="M3789" s="161" t="s">
        <v>19202</v>
      </c>
    </row>
    <row r="3790" spans="9:13" x14ac:dyDescent="0.25">
      <c r="I3790" t="s">
        <v>16697</v>
      </c>
      <c r="J3790" s="161" t="s">
        <v>19202</v>
      </c>
      <c r="K3790" t="s">
        <v>19203</v>
      </c>
      <c r="L3790" t="s">
        <v>16696</v>
      </c>
      <c r="M3790" s="161" t="s">
        <v>19202</v>
      </c>
    </row>
    <row r="3791" spans="9:13" x14ac:dyDescent="0.25">
      <c r="I3791" t="s">
        <v>16695</v>
      </c>
      <c r="J3791" s="161" t="s">
        <v>19202</v>
      </c>
      <c r="K3791" t="s">
        <v>19203</v>
      </c>
      <c r="L3791" t="s">
        <v>16694</v>
      </c>
      <c r="M3791" s="161" t="s">
        <v>19202</v>
      </c>
    </row>
    <row r="3792" spans="9:13" x14ac:dyDescent="0.25">
      <c r="I3792" t="s">
        <v>16759</v>
      </c>
      <c r="J3792" s="161" t="s">
        <v>19202</v>
      </c>
      <c r="K3792" t="s">
        <v>19203</v>
      </c>
      <c r="L3792" t="s">
        <v>758</v>
      </c>
      <c r="M3792" s="161" t="s">
        <v>19202</v>
      </c>
    </row>
    <row r="3793" spans="9:13" x14ac:dyDescent="0.25">
      <c r="I3793" t="s">
        <v>16758</v>
      </c>
      <c r="J3793" s="161" t="s">
        <v>19202</v>
      </c>
      <c r="K3793" t="s">
        <v>19203</v>
      </c>
      <c r="L3793" t="s">
        <v>15570</v>
      </c>
      <c r="M3793" s="161" t="s">
        <v>19202</v>
      </c>
    </row>
    <row r="3794" spans="9:13" x14ac:dyDescent="0.25">
      <c r="I3794" t="s">
        <v>16542</v>
      </c>
      <c r="J3794" s="161" t="s">
        <v>19202</v>
      </c>
      <c r="K3794" t="s">
        <v>19203</v>
      </c>
      <c r="L3794" t="s">
        <v>941</v>
      </c>
      <c r="M3794" s="161" t="s">
        <v>19202</v>
      </c>
    </row>
    <row r="3795" spans="9:13" x14ac:dyDescent="0.25">
      <c r="I3795" t="s">
        <v>16503</v>
      </c>
      <c r="J3795" s="161" t="s">
        <v>19202</v>
      </c>
      <c r="K3795" t="s">
        <v>19203</v>
      </c>
      <c r="L3795" t="s">
        <v>3632</v>
      </c>
      <c r="M3795" s="161" t="s">
        <v>19202</v>
      </c>
    </row>
    <row r="3796" spans="9:13" x14ac:dyDescent="0.25">
      <c r="I3796" t="s">
        <v>16067</v>
      </c>
      <c r="J3796" s="161" t="s">
        <v>19202</v>
      </c>
      <c r="K3796" t="s">
        <v>19203</v>
      </c>
      <c r="L3796" t="s">
        <v>16066</v>
      </c>
      <c r="M3796" s="161" t="s">
        <v>19202</v>
      </c>
    </row>
    <row r="3797" spans="9:13" x14ac:dyDescent="0.25">
      <c r="I3797" t="s">
        <v>15947</v>
      </c>
      <c r="J3797" s="161" t="s">
        <v>19202</v>
      </c>
      <c r="K3797" t="s">
        <v>19203</v>
      </c>
      <c r="L3797" t="s">
        <v>928</v>
      </c>
      <c r="M3797" s="161" t="s">
        <v>19202</v>
      </c>
    </row>
    <row r="3798" spans="9:13" x14ac:dyDescent="0.25">
      <c r="I3798" t="s">
        <v>16194</v>
      </c>
      <c r="J3798" s="161" t="s">
        <v>19202</v>
      </c>
      <c r="K3798" t="s">
        <v>19203</v>
      </c>
      <c r="L3798" t="s">
        <v>15482</v>
      </c>
      <c r="M3798" s="161" t="s">
        <v>19202</v>
      </c>
    </row>
    <row r="3799" spans="9:13" x14ac:dyDescent="0.25">
      <c r="I3799" t="s">
        <v>16541</v>
      </c>
      <c r="J3799" s="161" t="s">
        <v>19202</v>
      </c>
      <c r="K3799" t="s">
        <v>19203</v>
      </c>
      <c r="L3799" t="s">
        <v>1504</v>
      </c>
      <c r="M3799" s="161" t="s">
        <v>19202</v>
      </c>
    </row>
    <row r="3800" spans="9:13" x14ac:dyDescent="0.25">
      <c r="I3800" t="s">
        <v>15946</v>
      </c>
      <c r="J3800" s="161" t="s">
        <v>19202</v>
      </c>
      <c r="K3800" t="s">
        <v>19203</v>
      </c>
      <c r="L3800" t="s">
        <v>6773</v>
      </c>
      <c r="M3800" s="161" t="s">
        <v>19202</v>
      </c>
    </row>
    <row r="3801" spans="9:13" x14ac:dyDescent="0.25">
      <c r="I3801" t="s">
        <v>16641</v>
      </c>
      <c r="J3801" s="161" t="s">
        <v>19202</v>
      </c>
      <c r="K3801" t="s">
        <v>19203</v>
      </c>
      <c r="L3801" t="s">
        <v>1374</v>
      </c>
      <c r="M3801" s="161" t="s">
        <v>19202</v>
      </c>
    </row>
    <row r="3802" spans="9:13" x14ac:dyDescent="0.25">
      <c r="I3802" t="s">
        <v>15945</v>
      </c>
      <c r="J3802" s="161" t="s">
        <v>19202</v>
      </c>
      <c r="K3802" t="s">
        <v>19203</v>
      </c>
      <c r="L3802" t="s">
        <v>13156</v>
      </c>
      <c r="M3802" s="161" t="s">
        <v>19202</v>
      </c>
    </row>
    <row r="3803" spans="9:13" x14ac:dyDescent="0.25">
      <c r="I3803" t="s">
        <v>17043</v>
      </c>
      <c r="J3803" s="161" t="s">
        <v>19202</v>
      </c>
      <c r="K3803" t="s">
        <v>19203</v>
      </c>
      <c r="L3803" t="s">
        <v>934</v>
      </c>
      <c r="M3803" s="161" t="s">
        <v>19202</v>
      </c>
    </row>
    <row r="3804" spans="9:13" x14ac:dyDescent="0.25">
      <c r="I3804" t="s">
        <v>16311</v>
      </c>
      <c r="J3804" s="161" t="s">
        <v>19202</v>
      </c>
      <c r="K3804" t="s">
        <v>19203</v>
      </c>
      <c r="L3804" t="s">
        <v>16310</v>
      </c>
      <c r="M3804" s="161" t="s">
        <v>19202</v>
      </c>
    </row>
    <row r="3805" spans="9:13" x14ac:dyDescent="0.25">
      <c r="I3805" t="s">
        <v>16502</v>
      </c>
      <c r="J3805" s="161" t="s">
        <v>19202</v>
      </c>
      <c r="K3805" t="s">
        <v>19203</v>
      </c>
      <c r="L3805" t="s">
        <v>16501</v>
      </c>
      <c r="M3805" s="161" t="s">
        <v>19202</v>
      </c>
    </row>
    <row r="3806" spans="9:13" x14ac:dyDescent="0.25">
      <c r="I3806" t="s">
        <v>15943</v>
      </c>
      <c r="J3806" s="161" t="s">
        <v>19202</v>
      </c>
      <c r="K3806" t="s">
        <v>19203</v>
      </c>
      <c r="L3806" t="s">
        <v>15942</v>
      </c>
      <c r="M3806" s="161" t="s">
        <v>19202</v>
      </c>
    </row>
    <row r="3807" spans="9:13" x14ac:dyDescent="0.25">
      <c r="I3807" t="s">
        <v>16757</v>
      </c>
      <c r="J3807" s="161" t="s">
        <v>19202</v>
      </c>
      <c r="K3807" t="s">
        <v>19203</v>
      </c>
      <c r="L3807" t="s">
        <v>16756</v>
      </c>
      <c r="M3807" s="161" t="s">
        <v>19202</v>
      </c>
    </row>
    <row r="3808" spans="9:13" x14ac:dyDescent="0.25">
      <c r="I3808" t="s">
        <v>17040</v>
      </c>
      <c r="J3808" s="161" t="s">
        <v>19202</v>
      </c>
      <c r="K3808" t="s">
        <v>19203</v>
      </c>
      <c r="L3808" t="s">
        <v>17039</v>
      </c>
      <c r="M3808" s="161" t="s">
        <v>19202</v>
      </c>
    </row>
    <row r="3809" spans="9:13" x14ac:dyDescent="0.25">
      <c r="I3809" t="s">
        <v>16968</v>
      </c>
      <c r="J3809" s="161" t="s">
        <v>19202</v>
      </c>
      <c r="K3809" t="s">
        <v>19203</v>
      </c>
      <c r="L3809" t="s">
        <v>4369</v>
      </c>
      <c r="M3809" s="161" t="s">
        <v>19202</v>
      </c>
    </row>
    <row r="3810" spans="9:13" x14ac:dyDescent="0.25">
      <c r="I3810" t="s">
        <v>16595</v>
      </c>
      <c r="J3810" s="161" t="s">
        <v>19202</v>
      </c>
      <c r="K3810" t="s">
        <v>19203</v>
      </c>
      <c r="L3810" t="s">
        <v>16594</v>
      </c>
      <c r="M3810" s="161" t="s">
        <v>19202</v>
      </c>
    </row>
    <row r="3811" spans="9:13" x14ac:dyDescent="0.25">
      <c r="I3811" t="s">
        <v>16593</v>
      </c>
      <c r="J3811" s="161" t="s">
        <v>19202</v>
      </c>
      <c r="K3811" t="s">
        <v>19203</v>
      </c>
      <c r="L3811" t="s">
        <v>16276</v>
      </c>
      <c r="M3811" s="161" t="s">
        <v>19202</v>
      </c>
    </row>
    <row r="3812" spans="9:13" x14ac:dyDescent="0.25">
      <c r="I3812" t="s">
        <v>15913</v>
      </c>
      <c r="J3812" s="161" t="s">
        <v>19202</v>
      </c>
      <c r="K3812" t="s">
        <v>19203</v>
      </c>
      <c r="L3812" t="s">
        <v>15912</v>
      </c>
      <c r="M3812" s="161" t="s">
        <v>19202</v>
      </c>
    </row>
    <row r="3813" spans="9:13" x14ac:dyDescent="0.25">
      <c r="I3813" t="s">
        <v>16113</v>
      </c>
      <c r="J3813" s="161" t="s">
        <v>19202</v>
      </c>
      <c r="K3813" t="s">
        <v>19203</v>
      </c>
      <c r="L3813" t="s">
        <v>16112</v>
      </c>
      <c r="M3813" s="161" t="s">
        <v>19202</v>
      </c>
    </row>
    <row r="3814" spans="9:13" x14ac:dyDescent="0.25">
      <c r="I3814" t="s">
        <v>16348</v>
      </c>
      <c r="J3814" s="161" t="s">
        <v>19202</v>
      </c>
      <c r="K3814" t="s">
        <v>19203</v>
      </c>
      <c r="L3814" t="s">
        <v>6034</v>
      </c>
      <c r="M3814" s="161" t="s">
        <v>19202</v>
      </c>
    </row>
    <row r="3815" spans="9:13" x14ac:dyDescent="0.25">
      <c r="I3815" t="s">
        <v>15834</v>
      </c>
      <c r="J3815" s="161" t="s">
        <v>19202</v>
      </c>
      <c r="K3815" t="s">
        <v>19203</v>
      </c>
      <c r="L3815" t="s">
        <v>15833</v>
      </c>
      <c r="M3815" s="161" t="s">
        <v>19202</v>
      </c>
    </row>
    <row r="3816" spans="9:13" x14ac:dyDescent="0.25">
      <c r="I3816" t="s">
        <v>16592</v>
      </c>
      <c r="J3816" s="161" t="s">
        <v>19202</v>
      </c>
      <c r="K3816" t="s">
        <v>19203</v>
      </c>
      <c r="L3816" t="s">
        <v>16591</v>
      </c>
      <c r="M3816" s="161" t="s">
        <v>19202</v>
      </c>
    </row>
    <row r="3817" spans="9:13" x14ac:dyDescent="0.25">
      <c r="I3817" t="s">
        <v>17038</v>
      </c>
      <c r="J3817" s="161" t="s">
        <v>19202</v>
      </c>
      <c r="K3817" t="s">
        <v>19203</v>
      </c>
      <c r="L3817" t="s">
        <v>17037</v>
      </c>
      <c r="M3817" s="161" t="s">
        <v>19202</v>
      </c>
    </row>
    <row r="3818" spans="9:13" x14ac:dyDescent="0.25">
      <c r="I3818" t="s">
        <v>17036</v>
      </c>
      <c r="J3818" s="161" t="s">
        <v>19202</v>
      </c>
      <c r="K3818" t="s">
        <v>19203</v>
      </c>
      <c r="L3818" t="s">
        <v>15402</v>
      </c>
      <c r="M3818" s="161" t="s">
        <v>19202</v>
      </c>
    </row>
    <row r="3819" spans="9:13" x14ac:dyDescent="0.25">
      <c r="I3819" t="s">
        <v>16021</v>
      </c>
      <c r="J3819" s="161" t="s">
        <v>19202</v>
      </c>
      <c r="K3819" t="s">
        <v>19203</v>
      </c>
      <c r="L3819" t="s">
        <v>4472</v>
      </c>
      <c r="M3819" s="161" t="s">
        <v>19202</v>
      </c>
    </row>
    <row r="3820" spans="9:13" x14ac:dyDescent="0.25">
      <c r="I3820" t="s">
        <v>16020</v>
      </c>
      <c r="J3820" s="161" t="s">
        <v>19202</v>
      </c>
      <c r="K3820" t="s">
        <v>19203</v>
      </c>
      <c r="L3820" t="s">
        <v>16019</v>
      </c>
      <c r="M3820" s="161" t="s">
        <v>19202</v>
      </c>
    </row>
    <row r="3821" spans="9:13" x14ac:dyDescent="0.25">
      <c r="I3821" t="s">
        <v>16271</v>
      </c>
      <c r="J3821" s="161" t="s">
        <v>19202</v>
      </c>
      <c r="K3821" t="s">
        <v>19203</v>
      </c>
      <c r="L3821" t="s">
        <v>16270</v>
      </c>
      <c r="M3821" s="161" t="s">
        <v>19202</v>
      </c>
    </row>
    <row r="3822" spans="9:13" x14ac:dyDescent="0.25">
      <c r="I3822" t="s">
        <v>16693</v>
      </c>
      <c r="J3822" s="161" t="s">
        <v>19202</v>
      </c>
      <c r="K3822" t="s">
        <v>19203</v>
      </c>
      <c r="L3822" t="s">
        <v>16692</v>
      </c>
      <c r="M3822" s="161" t="s">
        <v>19202</v>
      </c>
    </row>
    <row r="3823" spans="9:13" x14ac:dyDescent="0.25">
      <c r="I3823" t="s">
        <v>16820</v>
      </c>
      <c r="J3823" s="161" t="s">
        <v>19202</v>
      </c>
      <c r="K3823" t="s">
        <v>19203</v>
      </c>
      <c r="L3823" t="s">
        <v>16819</v>
      </c>
      <c r="M3823" s="161" t="s">
        <v>19202</v>
      </c>
    </row>
    <row r="3824" spans="9:13" x14ac:dyDescent="0.25">
      <c r="I3824" t="s">
        <v>16967</v>
      </c>
      <c r="J3824" s="161" t="s">
        <v>19202</v>
      </c>
      <c r="K3824" t="s">
        <v>19203</v>
      </c>
      <c r="L3824" t="s">
        <v>16339</v>
      </c>
      <c r="M3824" s="161" t="s">
        <v>19202</v>
      </c>
    </row>
    <row r="3825" spans="9:13" x14ac:dyDescent="0.25">
      <c r="I3825" t="s">
        <v>16755</v>
      </c>
      <c r="J3825" s="161" t="s">
        <v>19202</v>
      </c>
      <c r="K3825" t="s">
        <v>19203</v>
      </c>
      <c r="L3825" t="s">
        <v>16754</v>
      </c>
      <c r="M3825" s="161" t="s">
        <v>19202</v>
      </c>
    </row>
    <row r="3826" spans="9:13" x14ac:dyDescent="0.25">
      <c r="I3826" t="s">
        <v>16689</v>
      </c>
      <c r="J3826" s="161" t="s">
        <v>19202</v>
      </c>
      <c r="K3826" t="s">
        <v>19203</v>
      </c>
      <c r="L3826" t="s">
        <v>3856</v>
      </c>
      <c r="M3826" s="161" t="s">
        <v>19202</v>
      </c>
    </row>
    <row r="3827" spans="9:13" x14ac:dyDescent="0.25">
      <c r="I3827" t="s">
        <v>16688</v>
      </c>
      <c r="J3827" s="161" t="s">
        <v>19202</v>
      </c>
      <c r="K3827" t="s">
        <v>19203</v>
      </c>
      <c r="L3827" t="s">
        <v>16687</v>
      </c>
      <c r="M3827" s="161" t="s">
        <v>19202</v>
      </c>
    </row>
    <row r="3828" spans="9:13" x14ac:dyDescent="0.25">
      <c r="I3828" t="s">
        <v>16686</v>
      </c>
      <c r="J3828" s="161" t="s">
        <v>19202</v>
      </c>
      <c r="K3828" t="s">
        <v>19203</v>
      </c>
      <c r="L3828" t="s">
        <v>5401</v>
      </c>
      <c r="M3828" s="161" t="s">
        <v>19202</v>
      </c>
    </row>
    <row r="3829" spans="9:13" x14ac:dyDescent="0.25">
      <c r="I3829" t="s">
        <v>15911</v>
      </c>
      <c r="J3829" s="161" t="s">
        <v>19202</v>
      </c>
      <c r="K3829" t="s">
        <v>19203</v>
      </c>
      <c r="L3829" t="s">
        <v>2068</v>
      </c>
      <c r="M3829" s="161" t="s">
        <v>19202</v>
      </c>
    </row>
    <row r="3830" spans="9:13" x14ac:dyDescent="0.25">
      <c r="I3830" t="s">
        <v>15185</v>
      </c>
      <c r="J3830" s="161" t="s">
        <v>19202</v>
      </c>
      <c r="K3830" t="s">
        <v>19203</v>
      </c>
      <c r="L3830" t="s">
        <v>610</v>
      </c>
      <c r="M3830" s="161" t="s">
        <v>19202</v>
      </c>
    </row>
    <row r="3831" spans="9:13" x14ac:dyDescent="0.25">
      <c r="I3831" t="s">
        <v>16425</v>
      </c>
      <c r="J3831" s="161" t="s">
        <v>19202</v>
      </c>
      <c r="K3831" t="s">
        <v>19203</v>
      </c>
      <c r="L3831" t="s">
        <v>16424</v>
      </c>
      <c r="M3831" s="161" t="s">
        <v>19202</v>
      </c>
    </row>
    <row r="3832" spans="9:13" x14ac:dyDescent="0.25">
      <c r="I3832" t="s">
        <v>16423</v>
      </c>
      <c r="J3832" s="161" t="s">
        <v>19202</v>
      </c>
      <c r="K3832" t="s">
        <v>19203</v>
      </c>
      <c r="L3832" t="s">
        <v>16422</v>
      </c>
      <c r="M3832" s="161" t="s">
        <v>19202</v>
      </c>
    </row>
    <row r="3833" spans="9:13" x14ac:dyDescent="0.25">
      <c r="I3833" t="s">
        <v>19677</v>
      </c>
      <c r="J3833" s="161" t="s">
        <v>19202</v>
      </c>
      <c r="K3833" t="s">
        <v>19203</v>
      </c>
      <c r="L3833" t="s">
        <v>19678</v>
      </c>
      <c r="M3833" s="161" t="s">
        <v>19202</v>
      </c>
    </row>
    <row r="3834" spans="9:13" x14ac:dyDescent="0.25">
      <c r="I3834" t="s">
        <v>16685</v>
      </c>
      <c r="J3834" s="161" t="s">
        <v>19202</v>
      </c>
      <c r="K3834" t="s">
        <v>19203</v>
      </c>
      <c r="L3834" t="s">
        <v>13156</v>
      </c>
      <c r="M3834" s="161" t="s">
        <v>19202</v>
      </c>
    </row>
    <row r="3835" spans="9:13" x14ac:dyDescent="0.25">
      <c r="I3835" t="s">
        <v>16065</v>
      </c>
      <c r="J3835" s="161" t="s">
        <v>19202</v>
      </c>
      <c r="K3835" t="s">
        <v>19203</v>
      </c>
      <c r="L3835" t="s">
        <v>16064</v>
      </c>
      <c r="M3835" s="161" t="s">
        <v>19202</v>
      </c>
    </row>
    <row r="3836" spans="9:13" x14ac:dyDescent="0.25">
      <c r="I3836" t="s">
        <v>15832</v>
      </c>
      <c r="J3836" s="161" t="s">
        <v>19202</v>
      </c>
      <c r="K3836" t="s">
        <v>19203</v>
      </c>
      <c r="L3836" t="s">
        <v>2700</v>
      </c>
      <c r="M3836" s="161" t="s">
        <v>19202</v>
      </c>
    </row>
    <row r="3837" spans="9:13" x14ac:dyDescent="0.25">
      <c r="I3837" t="s">
        <v>16966</v>
      </c>
      <c r="J3837" s="161" t="s">
        <v>19202</v>
      </c>
      <c r="K3837" t="s">
        <v>19203</v>
      </c>
      <c r="L3837" t="s">
        <v>16965</v>
      </c>
      <c r="M3837" s="161" t="s">
        <v>19202</v>
      </c>
    </row>
    <row r="3838" spans="9:13" x14ac:dyDescent="0.25">
      <c r="I3838" t="s">
        <v>4252</v>
      </c>
      <c r="J3838" s="161" t="s">
        <v>19202</v>
      </c>
      <c r="K3838" t="s">
        <v>19203</v>
      </c>
      <c r="L3838" t="s">
        <v>4251</v>
      </c>
      <c r="M3838" s="161" t="s">
        <v>19202</v>
      </c>
    </row>
    <row r="3839" spans="9:13" x14ac:dyDescent="0.25">
      <c r="I3839" t="s">
        <v>4250</v>
      </c>
      <c r="J3839" s="161" t="s">
        <v>19202</v>
      </c>
      <c r="K3839" t="s">
        <v>19203</v>
      </c>
      <c r="L3839" t="s">
        <v>4249</v>
      </c>
      <c r="M3839" s="161" t="s">
        <v>19202</v>
      </c>
    </row>
    <row r="3840" spans="9:13" x14ac:dyDescent="0.25">
      <c r="I3840" t="s">
        <v>4150</v>
      </c>
      <c r="J3840" s="161" t="s">
        <v>19202</v>
      </c>
      <c r="K3840" t="s">
        <v>19203</v>
      </c>
      <c r="L3840" t="s">
        <v>4149</v>
      </c>
      <c r="M3840" s="161" t="s">
        <v>19202</v>
      </c>
    </row>
    <row r="3841" spans="9:13" x14ac:dyDescent="0.25">
      <c r="I3841" t="s">
        <v>4699</v>
      </c>
      <c r="J3841" s="161" t="s">
        <v>19202</v>
      </c>
      <c r="K3841" t="s">
        <v>19203</v>
      </c>
      <c r="L3841" t="s">
        <v>4698</v>
      </c>
      <c r="M3841" s="161" t="s">
        <v>19202</v>
      </c>
    </row>
    <row r="3842" spans="9:13" x14ac:dyDescent="0.25">
      <c r="I3842" t="s">
        <v>5004</v>
      </c>
      <c r="J3842" s="161" t="s">
        <v>19202</v>
      </c>
      <c r="K3842" t="s">
        <v>19203</v>
      </c>
      <c r="L3842" t="s">
        <v>5003</v>
      </c>
      <c r="M3842" s="161" t="s">
        <v>19202</v>
      </c>
    </row>
    <row r="3843" spans="9:13" x14ac:dyDescent="0.25">
      <c r="I3843" t="s">
        <v>5002</v>
      </c>
      <c r="J3843" s="161" t="s">
        <v>19202</v>
      </c>
      <c r="K3843" t="s">
        <v>19203</v>
      </c>
      <c r="L3843" t="s">
        <v>1837</v>
      </c>
      <c r="M3843" s="161" t="s">
        <v>19202</v>
      </c>
    </row>
    <row r="3844" spans="9:13" x14ac:dyDescent="0.25">
      <c r="I3844" t="s">
        <v>4461</v>
      </c>
      <c r="J3844" s="161" t="s">
        <v>19202</v>
      </c>
      <c r="K3844" t="s">
        <v>19203</v>
      </c>
      <c r="L3844" t="s">
        <v>4460</v>
      </c>
      <c r="M3844" s="161" t="s">
        <v>19202</v>
      </c>
    </row>
    <row r="3845" spans="9:13" x14ac:dyDescent="0.25">
      <c r="I3845" t="s">
        <v>4055</v>
      </c>
      <c r="J3845" s="161" t="s">
        <v>19202</v>
      </c>
      <c r="K3845" t="s">
        <v>19203</v>
      </c>
      <c r="L3845" t="s">
        <v>4054</v>
      </c>
      <c r="M3845" s="161" t="s">
        <v>19202</v>
      </c>
    </row>
    <row r="3846" spans="9:13" x14ac:dyDescent="0.25">
      <c r="I3846" t="s">
        <v>4053</v>
      </c>
      <c r="J3846" s="161" t="s">
        <v>19202</v>
      </c>
      <c r="K3846" t="s">
        <v>19203</v>
      </c>
      <c r="L3846" t="s">
        <v>4052</v>
      </c>
      <c r="M3846" s="161" t="s">
        <v>19202</v>
      </c>
    </row>
    <row r="3847" spans="9:13" x14ac:dyDescent="0.25">
      <c r="I3847" t="s">
        <v>4051</v>
      </c>
      <c r="J3847" s="161" t="s">
        <v>19202</v>
      </c>
      <c r="K3847" t="s">
        <v>19203</v>
      </c>
      <c r="L3847" t="s">
        <v>4050</v>
      </c>
      <c r="M3847" s="161" t="s">
        <v>19202</v>
      </c>
    </row>
    <row r="3848" spans="9:13" x14ac:dyDescent="0.25">
      <c r="I3848" t="s">
        <v>19679</v>
      </c>
      <c r="J3848" s="161" t="s">
        <v>19202</v>
      </c>
      <c r="K3848" t="s">
        <v>19203</v>
      </c>
      <c r="L3848" t="s">
        <v>823</v>
      </c>
      <c r="M3848" s="161" t="s">
        <v>19202</v>
      </c>
    </row>
    <row r="3849" spans="9:13" x14ac:dyDescent="0.25">
      <c r="I3849" t="s">
        <v>4760</v>
      </c>
      <c r="J3849" s="161" t="s">
        <v>19202</v>
      </c>
      <c r="K3849" t="s">
        <v>19203</v>
      </c>
      <c r="L3849" t="s">
        <v>4759</v>
      </c>
      <c r="M3849" s="161" t="s">
        <v>19202</v>
      </c>
    </row>
    <row r="3850" spans="9:13" x14ac:dyDescent="0.25">
      <c r="I3850" t="s">
        <v>4624</v>
      </c>
      <c r="J3850" s="161" t="s">
        <v>19202</v>
      </c>
      <c r="K3850" t="s">
        <v>19203</v>
      </c>
      <c r="L3850" t="s">
        <v>4623</v>
      </c>
      <c r="M3850" s="161" t="s">
        <v>19202</v>
      </c>
    </row>
    <row r="3851" spans="9:13" x14ac:dyDescent="0.25">
      <c r="I3851" t="s">
        <v>4622</v>
      </c>
      <c r="J3851" s="161" t="s">
        <v>19202</v>
      </c>
      <c r="K3851" t="s">
        <v>19203</v>
      </c>
      <c r="L3851" t="s">
        <v>4621</v>
      </c>
      <c r="M3851" s="161" t="s">
        <v>19202</v>
      </c>
    </row>
    <row r="3852" spans="9:13" x14ac:dyDescent="0.25">
      <c r="I3852" t="s">
        <v>4534</v>
      </c>
      <c r="J3852" s="161" t="s">
        <v>19202</v>
      </c>
      <c r="K3852" t="s">
        <v>19203</v>
      </c>
      <c r="L3852" t="s">
        <v>4533</v>
      </c>
      <c r="M3852" s="161" t="s">
        <v>19202</v>
      </c>
    </row>
    <row r="3853" spans="9:13" x14ac:dyDescent="0.25">
      <c r="I3853" t="s">
        <v>4952</v>
      </c>
      <c r="J3853" s="161" t="s">
        <v>19202</v>
      </c>
      <c r="K3853" t="s">
        <v>19203</v>
      </c>
      <c r="L3853" t="s">
        <v>4457</v>
      </c>
      <c r="M3853" s="161" t="s">
        <v>19202</v>
      </c>
    </row>
    <row r="3854" spans="9:13" x14ac:dyDescent="0.25">
      <c r="I3854" t="s">
        <v>4130</v>
      </c>
      <c r="J3854" s="161" t="s">
        <v>19202</v>
      </c>
      <c r="K3854" t="s">
        <v>19203</v>
      </c>
      <c r="L3854" t="s">
        <v>4129</v>
      </c>
      <c r="M3854" s="161" t="s">
        <v>19202</v>
      </c>
    </row>
    <row r="3855" spans="9:13" x14ac:dyDescent="0.25">
      <c r="I3855" t="s">
        <v>4128</v>
      </c>
      <c r="J3855" s="161" t="s">
        <v>19202</v>
      </c>
      <c r="K3855" t="s">
        <v>19203</v>
      </c>
      <c r="L3855" t="s">
        <v>934</v>
      </c>
      <c r="M3855" s="161" t="s">
        <v>19202</v>
      </c>
    </row>
    <row r="3856" spans="9:13" x14ac:dyDescent="0.25">
      <c r="I3856" t="s">
        <v>4900</v>
      </c>
      <c r="J3856" s="161" t="s">
        <v>19202</v>
      </c>
      <c r="K3856" t="s">
        <v>19203</v>
      </c>
      <c r="L3856" t="s">
        <v>4899</v>
      </c>
      <c r="M3856" s="161" t="s">
        <v>19202</v>
      </c>
    </row>
    <row r="3857" spans="9:13" x14ac:dyDescent="0.25">
      <c r="I3857" t="s">
        <v>4758</v>
      </c>
      <c r="J3857" s="161" t="s">
        <v>19202</v>
      </c>
      <c r="K3857" t="s">
        <v>19203</v>
      </c>
      <c r="L3857" t="s">
        <v>4757</v>
      </c>
      <c r="M3857" s="161" t="s">
        <v>19202</v>
      </c>
    </row>
    <row r="3858" spans="9:13" x14ac:dyDescent="0.25">
      <c r="I3858" t="s">
        <v>4756</v>
      </c>
      <c r="J3858" s="161" t="s">
        <v>19202</v>
      </c>
      <c r="K3858" t="s">
        <v>19203</v>
      </c>
      <c r="L3858" t="s">
        <v>4755</v>
      </c>
      <c r="M3858" s="161" t="s">
        <v>19202</v>
      </c>
    </row>
    <row r="3859" spans="9:13" x14ac:dyDescent="0.25">
      <c r="I3859" t="s">
        <v>4532</v>
      </c>
      <c r="J3859" s="161" t="s">
        <v>19202</v>
      </c>
      <c r="K3859" t="s">
        <v>19203</v>
      </c>
      <c r="L3859" t="s">
        <v>4531</v>
      </c>
      <c r="M3859" s="161" t="s">
        <v>19202</v>
      </c>
    </row>
    <row r="3860" spans="9:13" x14ac:dyDescent="0.25">
      <c r="I3860" t="s">
        <v>4898</v>
      </c>
      <c r="J3860" s="161" t="s">
        <v>19202</v>
      </c>
      <c r="K3860" t="s">
        <v>19203</v>
      </c>
      <c r="L3860" t="s">
        <v>4897</v>
      </c>
      <c r="M3860" s="161" t="s">
        <v>19202</v>
      </c>
    </row>
    <row r="3861" spans="9:13" x14ac:dyDescent="0.25">
      <c r="I3861" t="s">
        <v>4025</v>
      </c>
      <c r="J3861" s="161" t="s">
        <v>19202</v>
      </c>
      <c r="K3861" t="s">
        <v>19203</v>
      </c>
      <c r="L3861" t="s">
        <v>4024</v>
      </c>
      <c r="M3861" s="161" t="s">
        <v>19202</v>
      </c>
    </row>
    <row r="3862" spans="9:13" x14ac:dyDescent="0.25">
      <c r="I3862" t="s">
        <v>4023</v>
      </c>
      <c r="J3862" s="161" t="s">
        <v>19202</v>
      </c>
      <c r="K3862" t="s">
        <v>19203</v>
      </c>
      <c r="L3862" t="s">
        <v>4022</v>
      </c>
      <c r="M3862" s="161" t="s">
        <v>19202</v>
      </c>
    </row>
    <row r="3863" spans="9:13" x14ac:dyDescent="0.25">
      <c r="I3863" t="s">
        <v>5069</v>
      </c>
      <c r="J3863" s="161" t="s">
        <v>19202</v>
      </c>
      <c r="K3863" t="s">
        <v>19203</v>
      </c>
      <c r="L3863" t="s">
        <v>5068</v>
      </c>
      <c r="M3863" s="161" t="s">
        <v>19202</v>
      </c>
    </row>
    <row r="3864" spans="9:13" x14ac:dyDescent="0.25">
      <c r="I3864" t="s">
        <v>5067</v>
      </c>
      <c r="J3864" s="161" t="s">
        <v>19202</v>
      </c>
      <c r="K3864" t="s">
        <v>19203</v>
      </c>
      <c r="L3864" t="s">
        <v>3507</v>
      </c>
      <c r="M3864" s="161" t="s">
        <v>19202</v>
      </c>
    </row>
    <row r="3865" spans="9:13" x14ac:dyDescent="0.25">
      <c r="I3865" t="s">
        <v>4019</v>
      </c>
      <c r="J3865" s="161" t="s">
        <v>19202</v>
      </c>
      <c r="K3865" t="s">
        <v>19203</v>
      </c>
      <c r="L3865" t="s">
        <v>4018</v>
      </c>
      <c r="M3865" s="161" t="s">
        <v>19202</v>
      </c>
    </row>
    <row r="3866" spans="9:13" x14ac:dyDescent="0.25">
      <c r="I3866" t="s">
        <v>4291</v>
      </c>
      <c r="J3866" s="161" t="s">
        <v>19202</v>
      </c>
      <c r="K3866" t="s">
        <v>19203</v>
      </c>
      <c r="L3866" t="s">
        <v>4290</v>
      </c>
      <c r="M3866" s="161" t="s">
        <v>19202</v>
      </c>
    </row>
    <row r="3867" spans="9:13" x14ac:dyDescent="0.25">
      <c r="I3867" t="s">
        <v>1069</v>
      </c>
      <c r="J3867" s="161" t="s">
        <v>19202</v>
      </c>
      <c r="K3867" t="s">
        <v>19203</v>
      </c>
      <c r="L3867" t="s">
        <v>1068</v>
      </c>
      <c r="M3867" s="161" t="s">
        <v>19202</v>
      </c>
    </row>
    <row r="3868" spans="9:13" x14ac:dyDescent="0.25">
      <c r="I3868" t="s">
        <v>7662</v>
      </c>
      <c r="J3868" s="161" t="s">
        <v>19202</v>
      </c>
      <c r="K3868" t="s">
        <v>19203</v>
      </c>
      <c r="L3868" t="s">
        <v>7661</v>
      </c>
      <c r="M3868" s="161" t="s">
        <v>19202</v>
      </c>
    </row>
    <row r="3869" spans="9:13" x14ac:dyDescent="0.25">
      <c r="I3869" t="s">
        <v>8471</v>
      </c>
      <c r="J3869" s="161" t="s">
        <v>19202</v>
      </c>
      <c r="K3869" t="s">
        <v>19203</v>
      </c>
      <c r="L3869" t="s">
        <v>8470</v>
      </c>
      <c r="M3869" s="161" t="s">
        <v>19202</v>
      </c>
    </row>
    <row r="3870" spans="9:13" x14ac:dyDescent="0.25">
      <c r="I3870" t="s">
        <v>7453</v>
      </c>
      <c r="J3870" s="161" t="s">
        <v>19202</v>
      </c>
      <c r="K3870" t="s">
        <v>19203</v>
      </c>
      <c r="L3870" t="s">
        <v>7452</v>
      </c>
      <c r="M3870" s="161" t="s">
        <v>19202</v>
      </c>
    </row>
    <row r="3871" spans="9:13" x14ac:dyDescent="0.25">
      <c r="I3871" t="s">
        <v>7451</v>
      </c>
      <c r="J3871" s="161" t="s">
        <v>19202</v>
      </c>
      <c r="K3871" t="s">
        <v>19203</v>
      </c>
      <c r="L3871" t="s">
        <v>7450</v>
      </c>
      <c r="M3871" s="161" t="s">
        <v>19202</v>
      </c>
    </row>
    <row r="3872" spans="9:13" x14ac:dyDescent="0.25">
      <c r="I3872" t="s">
        <v>7449</v>
      </c>
      <c r="J3872" s="161" t="s">
        <v>19202</v>
      </c>
      <c r="K3872" t="s">
        <v>19203</v>
      </c>
      <c r="L3872" t="s">
        <v>7448</v>
      </c>
      <c r="M3872" s="161" t="s">
        <v>19202</v>
      </c>
    </row>
    <row r="3873" spans="9:13" x14ac:dyDescent="0.25">
      <c r="I3873" t="s">
        <v>8216</v>
      </c>
      <c r="J3873" s="161" t="s">
        <v>19202</v>
      </c>
      <c r="K3873" t="s">
        <v>19203</v>
      </c>
      <c r="L3873" t="s">
        <v>8215</v>
      </c>
      <c r="M3873" s="161" t="s">
        <v>19202</v>
      </c>
    </row>
    <row r="3874" spans="9:13" x14ac:dyDescent="0.25">
      <c r="I3874" t="s">
        <v>7395</v>
      </c>
      <c r="J3874" s="161" t="s">
        <v>19202</v>
      </c>
      <c r="K3874" t="s">
        <v>19203</v>
      </c>
      <c r="L3874" t="s">
        <v>7394</v>
      </c>
      <c r="M3874" s="161" t="s">
        <v>19202</v>
      </c>
    </row>
    <row r="3875" spans="9:13" x14ac:dyDescent="0.25">
      <c r="I3875" t="s">
        <v>8301</v>
      </c>
      <c r="J3875" s="161" t="s">
        <v>19202</v>
      </c>
      <c r="K3875" t="s">
        <v>19203</v>
      </c>
      <c r="L3875" t="s">
        <v>8300</v>
      </c>
      <c r="M3875" s="161" t="s">
        <v>19202</v>
      </c>
    </row>
    <row r="3876" spans="9:13" x14ac:dyDescent="0.25">
      <c r="I3876" t="s">
        <v>7956</v>
      </c>
      <c r="J3876" s="161" t="s">
        <v>19202</v>
      </c>
      <c r="K3876" t="s">
        <v>19203</v>
      </c>
      <c r="L3876" t="s">
        <v>7955</v>
      </c>
      <c r="M3876" s="161" t="s">
        <v>19202</v>
      </c>
    </row>
    <row r="3877" spans="9:13" x14ac:dyDescent="0.25">
      <c r="I3877" t="s">
        <v>7579</v>
      </c>
      <c r="J3877" s="161" t="s">
        <v>19202</v>
      </c>
      <c r="K3877" t="s">
        <v>19203</v>
      </c>
      <c r="L3877" t="s">
        <v>7578</v>
      </c>
      <c r="M3877" s="161" t="s">
        <v>19202</v>
      </c>
    </row>
    <row r="3878" spans="9:13" x14ac:dyDescent="0.25">
      <c r="I3878" t="s">
        <v>7577</v>
      </c>
      <c r="J3878" s="161" t="s">
        <v>19202</v>
      </c>
      <c r="K3878" t="s">
        <v>19203</v>
      </c>
      <c r="L3878" t="s">
        <v>7576</v>
      </c>
      <c r="M3878" s="161" t="s">
        <v>19202</v>
      </c>
    </row>
    <row r="3879" spans="9:13" x14ac:dyDescent="0.25">
      <c r="I3879" t="s">
        <v>7575</v>
      </c>
      <c r="J3879" s="161" t="s">
        <v>19202</v>
      </c>
      <c r="K3879" t="s">
        <v>19203</v>
      </c>
      <c r="L3879" t="s">
        <v>7574</v>
      </c>
      <c r="M3879" s="161" t="s">
        <v>19202</v>
      </c>
    </row>
    <row r="3880" spans="9:13" x14ac:dyDescent="0.25">
      <c r="I3880" t="s">
        <v>7571</v>
      </c>
      <c r="J3880" s="161" t="s">
        <v>19202</v>
      </c>
      <c r="K3880" t="s">
        <v>19203</v>
      </c>
      <c r="L3880" t="s">
        <v>7570</v>
      </c>
      <c r="M3880" s="161" t="s">
        <v>19202</v>
      </c>
    </row>
    <row r="3881" spans="9:13" x14ac:dyDescent="0.25">
      <c r="I3881" t="s">
        <v>7569</v>
      </c>
      <c r="J3881" s="161" t="s">
        <v>19202</v>
      </c>
      <c r="K3881" t="s">
        <v>19203</v>
      </c>
      <c r="L3881" t="s">
        <v>7568</v>
      </c>
      <c r="M3881" s="161" t="s">
        <v>19202</v>
      </c>
    </row>
    <row r="3882" spans="9:13" x14ac:dyDescent="0.25">
      <c r="I3882" t="s">
        <v>7567</v>
      </c>
      <c r="J3882" s="161" t="s">
        <v>19202</v>
      </c>
      <c r="K3882" t="s">
        <v>19203</v>
      </c>
      <c r="L3882" t="s">
        <v>7566</v>
      </c>
      <c r="M3882" s="161" t="s">
        <v>19202</v>
      </c>
    </row>
    <row r="3883" spans="9:13" x14ac:dyDescent="0.25">
      <c r="I3883" t="s">
        <v>7565</v>
      </c>
      <c r="J3883" s="161" t="s">
        <v>19202</v>
      </c>
      <c r="K3883" t="s">
        <v>19203</v>
      </c>
      <c r="L3883" t="s">
        <v>7564</v>
      </c>
      <c r="M3883" s="161" t="s">
        <v>19202</v>
      </c>
    </row>
    <row r="3884" spans="9:13" x14ac:dyDescent="0.25">
      <c r="I3884" t="s">
        <v>8214</v>
      </c>
      <c r="J3884" s="161" t="s">
        <v>19202</v>
      </c>
      <c r="K3884" t="s">
        <v>19203</v>
      </c>
      <c r="L3884" t="s">
        <v>8213</v>
      </c>
      <c r="M3884" s="161" t="s">
        <v>19202</v>
      </c>
    </row>
    <row r="3885" spans="9:13" x14ac:dyDescent="0.25">
      <c r="I3885" t="s">
        <v>8598</v>
      </c>
      <c r="J3885" s="161" t="s">
        <v>19202</v>
      </c>
      <c r="K3885" t="s">
        <v>19203</v>
      </c>
      <c r="L3885" t="s">
        <v>8597</v>
      </c>
      <c r="M3885" s="161" t="s">
        <v>19202</v>
      </c>
    </row>
    <row r="3886" spans="9:13" x14ac:dyDescent="0.25">
      <c r="I3886" t="s">
        <v>7547</v>
      </c>
      <c r="J3886" s="161" t="s">
        <v>19202</v>
      </c>
      <c r="K3886" t="s">
        <v>19203</v>
      </c>
      <c r="L3886" t="s">
        <v>7546</v>
      </c>
      <c r="M3886" s="161" t="s">
        <v>19202</v>
      </c>
    </row>
    <row r="3887" spans="9:13" x14ac:dyDescent="0.25">
      <c r="I3887" t="s">
        <v>7545</v>
      </c>
      <c r="J3887" s="161" t="s">
        <v>19202</v>
      </c>
      <c r="K3887" t="s">
        <v>19203</v>
      </c>
      <c r="L3887" t="s">
        <v>7544</v>
      </c>
      <c r="M3887" s="161" t="s">
        <v>19202</v>
      </c>
    </row>
    <row r="3888" spans="9:13" x14ac:dyDescent="0.25">
      <c r="I3888" t="s">
        <v>7541</v>
      </c>
      <c r="J3888" s="161" t="s">
        <v>19202</v>
      </c>
      <c r="K3888" t="s">
        <v>19203</v>
      </c>
      <c r="L3888" t="s">
        <v>7540</v>
      </c>
      <c r="M3888" s="161" t="s">
        <v>19202</v>
      </c>
    </row>
    <row r="3889" spans="9:13" x14ac:dyDescent="0.25">
      <c r="I3889" t="s">
        <v>7539</v>
      </c>
      <c r="J3889" s="161" t="s">
        <v>19202</v>
      </c>
      <c r="K3889" t="s">
        <v>19203</v>
      </c>
      <c r="L3889" t="s">
        <v>7538</v>
      </c>
      <c r="M3889" s="161" t="s">
        <v>19202</v>
      </c>
    </row>
    <row r="3890" spans="9:13" x14ac:dyDescent="0.25">
      <c r="I3890" t="s">
        <v>7537</v>
      </c>
      <c r="J3890" s="161" t="s">
        <v>19202</v>
      </c>
      <c r="K3890" t="s">
        <v>19203</v>
      </c>
      <c r="L3890" t="s">
        <v>7536</v>
      </c>
      <c r="M3890" s="161" t="s">
        <v>19202</v>
      </c>
    </row>
    <row r="3891" spans="9:13" x14ac:dyDescent="0.25">
      <c r="I3891" t="s">
        <v>7535</v>
      </c>
      <c r="J3891" s="161" t="s">
        <v>19202</v>
      </c>
      <c r="K3891" t="s">
        <v>19203</v>
      </c>
      <c r="L3891" t="s">
        <v>7534</v>
      </c>
      <c r="M3891" s="161" t="s">
        <v>19202</v>
      </c>
    </row>
    <row r="3892" spans="9:13" x14ac:dyDescent="0.25">
      <c r="I3892" t="s">
        <v>7533</v>
      </c>
      <c r="J3892" s="161" t="s">
        <v>19202</v>
      </c>
      <c r="K3892" t="s">
        <v>19203</v>
      </c>
      <c r="L3892" t="s">
        <v>7532</v>
      </c>
      <c r="M3892" s="161" t="s">
        <v>19202</v>
      </c>
    </row>
    <row r="3893" spans="9:13" x14ac:dyDescent="0.25">
      <c r="I3893" t="s">
        <v>7875</v>
      </c>
      <c r="J3893" s="161" t="s">
        <v>19202</v>
      </c>
      <c r="K3893" t="s">
        <v>19203</v>
      </c>
      <c r="L3893" t="s">
        <v>7874</v>
      </c>
      <c r="M3893" s="161" t="s">
        <v>19202</v>
      </c>
    </row>
    <row r="3894" spans="9:13" x14ac:dyDescent="0.25">
      <c r="I3894" t="s">
        <v>8469</v>
      </c>
      <c r="J3894" s="161" t="s">
        <v>19202</v>
      </c>
      <c r="K3894" t="s">
        <v>19203</v>
      </c>
      <c r="L3894" t="s">
        <v>8468</v>
      </c>
      <c r="M3894" s="161" t="s">
        <v>19202</v>
      </c>
    </row>
    <row r="3895" spans="9:13" x14ac:dyDescent="0.25">
      <c r="I3895" t="s">
        <v>8596</v>
      </c>
      <c r="J3895" s="161" t="s">
        <v>19202</v>
      </c>
      <c r="K3895" t="s">
        <v>19203</v>
      </c>
      <c r="L3895" t="s">
        <v>8595</v>
      </c>
      <c r="M3895" s="161" t="s">
        <v>19202</v>
      </c>
    </row>
    <row r="3896" spans="9:13" x14ac:dyDescent="0.25">
      <c r="I3896" t="s">
        <v>7360</v>
      </c>
      <c r="J3896" s="161" t="s">
        <v>19202</v>
      </c>
      <c r="K3896" t="s">
        <v>19203</v>
      </c>
      <c r="L3896" t="s">
        <v>7359</v>
      </c>
      <c r="M3896" s="161" t="s">
        <v>19202</v>
      </c>
    </row>
    <row r="3897" spans="9:13" x14ac:dyDescent="0.25">
      <c r="I3897" t="s">
        <v>7358</v>
      </c>
      <c r="J3897" s="161" t="s">
        <v>19202</v>
      </c>
      <c r="K3897" t="s">
        <v>19203</v>
      </c>
      <c r="L3897" t="s">
        <v>7357</v>
      </c>
      <c r="M3897" s="161" t="s">
        <v>19202</v>
      </c>
    </row>
    <row r="3898" spans="9:13" x14ac:dyDescent="0.25">
      <c r="I3898" t="s">
        <v>7356</v>
      </c>
      <c r="J3898" s="161" t="s">
        <v>19202</v>
      </c>
      <c r="K3898" t="s">
        <v>19203</v>
      </c>
      <c r="L3898" t="s">
        <v>7355</v>
      </c>
      <c r="M3898" s="161" t="s">
        <v>19202</v>
      </c>
    </row>
    <row r="3899" spans="9:13" x14ac:dyDescent="0.25">
      <c r="I3899" t="s">
        <v>7354</v>
      </c>
      <c r="J3899" s="161" t="s">
        <v>19202</v>
      </c>
      <c r="K3899" t="s">
        <v>19203</v>
      </c>
      <c r="L3899" t="s">
        <v>7353</v>
      </c>
      <c r="M3899" s="161" t="s">
        <v>19202</v>
      </c>
    </row>
    <row r="3900" spans="9:13" x14ac:dyDescent="0.25">
      <c r="I3900" t="s">
        <v>7352</v>
      </c>
      <c r="J3900" s="161" t="s">
        <v>19202</v>
      </c>
      <c r="K3900" t="s">
        <v>19203</v>
      </c>
      <c r="L3900" t="s">
        <v>7351</v>
      </c>
      <c r="M3900" s="161" t="s">
        <v>19202</v>
      </c>
    </row>
    <row r="3901" spans="9:13" x14ac:dyDescent="0.25">
      <c r="I3901" t="s">
        <v>7350</v>
      </c>
      <c r="J3901" s="161" t="s">
        <v>19202</v>
      </c>
      <c r="K3901" t="s">
        <v>19203</v>
      </c>
      <c r="L3901" t="s">
        <v>7349</v>
      </c>
      <c r="M3901" s="161" t="s">
        <v>19202</v>
      </c>
    </row>
    <row r="3902" spans="9:13" x14ac:dyDescent="0.25">
      <c r="I3902" t="s">
        <v>7324</v>
      </c>
      <c r="J3902" s="161" t="s">
        <v>19202</v>
      </c>
      <c r="K3902" t="s">
        <v>19203</v>
      </c>
      <c r="L3902" t="s">
        <v>7323</v>
      </c>
      <c r="M3902" s="161" t="s">
        <v>19202</v>
      </c>
    </row>
    <row r="3903" spans="9:13" x14ac:dyDescent="0.25">
      <c r="I3903" t="s">
        <v>7322</v>
      </c>
      <c r="J3903" s="161" t="s">
        <v>19202</v>
      </c>
      <c r="K3903" t="s">
        <v>19203</v>
      </c>
      <c r="L3903" t="s">
        <v>7321</v>
      </c>
      <c r="M3903" s="161" t="s">
        <v>19202</v>
      </c>
    </row>
    <row r="3904" spans="9:13" x14ac:dyDescent="0.25">
      <c r="I3904" t="s">
        <v>7391</v>
      </c>
      <c r="J3904" s="161" t="s">
        <v>19202</v>
      </c>
      <c r="K3904" t="s">
        <v>19203</v>
      </c>
      <c r="L3904" t="s">
        <v>7390</v>
      </c>
      <c r="M3904" s="161" t="s">
        <v>19202</v>
      </c>
    </row>
    <row r="3905" spans="9:13" x14ac:dyDescent="0.25">
      <c r="I3905" t="s">
        <v>7320</v>
      </c>
      <c r="J3905" s="161" t="s">
        <v>19202</v>
      </c>
      <c r="K3905" t="s">
        <v>19203</v>
      </c>
      <c r="L3905" t="s">
        <v>7319</v>
      </c>
      <c r="M3905" s="161" t="s">
        <v>19202</v>
      </c>
    </row>
    <row r="3906" spans="9:13" x14ac:dyDescent="0.25">
      <c r="I3906" t="s">
        <v>7318</v>
      </c>
      <c r="J3906" s="161" t="s">
        <v>19202</v>
      </c>
      <c r="K3906" t="s">
        <v>19203</v>
      </c>
      <c r="L3906" t="s">
        <v>7317</v>
      </c>
      <c r="M3906" s="161" t="s">
        <v>19202</v>
      </c>
    </row>
    <row r="3907" spans="9:13" x14ac:dyDescent="0.25">
      <c r="I3907" t="s">
        <v>7815</v>
      </c>
      <c r="J3907" s="161" t="s">
        <v>19202</v>
      </c>
      <c r="K3907" t="s">
        <v>19203</v>
      </c>
      <c r="L3907" t="s">
        <v>7814</v>
      </c>
      <c r="M3907" s="161" t="s">
        <v>19202</v>
      </c>
    </row>
    <row r="3908" spans="9:13" x14ac:dyDescent="0.25">
      <c r="I3908" t="s">
        <v>7756</v>
      </c>
      <c r="J3908" s="161" t="s">
        <v>19202</v>
      </c>
      <c r="K3908" t="s">
        <v>19203</v>
      </c>
      <c r="L3908" t="s">
        <v>7755</v>
      </c>
      <c r="M3908" s="161" t="s">
        <v>19202</v>
      </c>
    </row>
    <row r="3909" spans="9:13" x14ac:dyDescent="0.25">
      <c r="I3909" t="s">
        <v>7481</v>
      </c>
      <c r="J3909" s="161" t="s">
        <v>19202</v>
      </c>
      <c r="K3909" t="s">
        <v>19203</v>
      </c>
      <c r="L3909" t="s">
        <v>7480</v>
      </c>
      <c r="M3909" s="161" t="s">
        <v>19202</v>
      </c>
    </row>
    <row r="3910" spans="9:13" x14ac:dyDescent="0.25">
      <c r="I3910" t="s">
        <v>7316</v>
      </c>
      <c r="J3910" s="161" t="s">
        <v>19202</v>
      </c>
      <c r="K3910" t="s">
        <v>19203</v>
      </c>
      <c r="L3910" t="s">
        <v>7315</v>
      </c>
      <c r="M3910" s="161" t="s">
        <v>19202</v>
      </c>
    </row>
    <row r="3911" spans="9:13" x14ac:dyDescent="0.25">
      <c r="I3911" t="s">
        <v>7314</v>
      </c>
      <c r="J3911" s="161" t="s">
        <v>19202</v>
      </c>
      <c r="K3911" t="s">
        <v>19203</v>
      </c>
      <c r="L3911" t="s">
        <v>7313</v>
      </c>
      <c r="M3911" s="161" t="s">
        <v>19202</v>
      </c>
    </row>
    <row r="3912" spans="9:13" x14ac:dyDescent="0.25">
      <c r="I3912" t="s">
        <v>7348</v>
      </c>
      <c r="J3912" s="161" t="s">
        <v>19202</v>
      </c>
      <c r="K3912" t="s">
        <v>19203</v>
      </c>
      <c r="L3912" t="s">
        <v>7347</v>
      </c>
      <c r="M3912" s="161" t="s">
        <v>19202</v>
      </c>
    </row>
    <row r="3913" spans="9:13" x14ac:dyDescent="0.25">
      <c r="I3913" t="s">
        <v>7310</v>
      </c>
      <c r="J3913" s="161" t="s">
        <v>19202</v>
      </c>
      <c r="K3913" t="s">
        <v>19203</v>
      </c>
      <c r="L3913" t="s">
        <v>7309</v>
      </c>
      <c r="M3913" s="161" t="s">
        <v>19202</v>
      </c>
    </row>
    <row r="3914" spans="9:13" x14ac:dyDescent="0.25">
      <c r="I3914" t="s">
        <v>8060</v>
      </c>
      <c r="J3914" s="161" t="s">
        <v>19202</v>
      </c>
      <c r="K3914" t="s">
        <v>19203</v>
      </c>
      <c r="L3914" t="s">
        <v>8059</v>
      </c>
      <c r="M3914" s="161" t="s">
        <v>19202</v>
      </c>
    </row>
    <row r="3915" spans="9:13" x14ac:dyDescent="0.25">
      <c r="I3915" t="s">
        <v>7441</v>
      </c>
      <c r="J3915" s="161" t="s">
        <v>19202</v>
      </c>
      <c r="K3915" t="s">
        <v>19203</v>
      </c>
      <c r="L3915" t="s">
        <v>7440</v>
      </c>
      <c r="M3915" s="161" t="s">
        <v>19202</v>
      </c>
    </row>
    <row r="3916" spans="9:13" x14ac:dyDescent="0.25">
      <c r="I3916" t="s">
        <v>7439</v>
      </c>
      <c r="J3916" s="161" t="s">
        <v>19202</v>
      </c>
      <c r="K3916" t="s">
        <v>19203</v>
      </c>
      <c r="L3916" t="s">
        <v>7438</v>
      </c>
      <c r="M3916" s="161" t="s">
        <v>19202</v>
      </c>
    </row>
    <row r="3917" spans="9:13" x14ac:dyDescent="0.25">
      <c r="I3917" t="s">
        <v>8054</v>
      </c>
      <c r="J3917" s="161" t="s">
        <v>19202</v>
      </c>
      <c r="K3917" t="s">
        <v>19203</v>
      </c>
      <c r="L3917" t="s">
        <v>8053</v>
      </c>
      <c r="M3917" s="161" t="s">
        <v>19202</v>
      </c>
    </row>
    <row r="3918" spans="9:13" x14ac:dyDescent="0.25">
      <c r="I3918" t="s">
        <v>7806</v>
      </c>
      <c r="J3918" s="161" t="s">
        <v>19202</v>
      </c>
      <c r="K3918" t="s">
        <v>19203</v>
      </c>
      <c r="L3918" t="s">
        <v>7805</v>
      </c>
      <c r="M3918" s="161" t="s">
        <v>19202</v>
      </c>
    </row>
    <row r="3919" spans="9:13" x14ac:dyDescent="0.25">
      <c r="I3919" t="s">
        <v>8467</v>
      </c>
      <c r="J3919" s="161" t="s">
        <v>19202</v>
      </c>
      <c r="K3919" t="s">
        <v>19203</v>
      </c>
      <c r="L3919" t="s">
        <v>8466</v>
      </c>
      <c r="M3919" s="161" t="s">
        <v>19202</v>
      </c>
    </row>
    <row r="3920" spans="9:13" x14ac:dyDescent="0.25">
      <c r="I3920" t="s">
        <v>8050</v>
      </c>
      <c r="J3920" s="161" t="s">
        <v>19202</v>
      </c>
      <c r="K3920" t="s">
        <v>19203</v>
      </c>
      <c r="L3920" t="s">
        <v>8049</v>
      </c>
      <c r="M3920" s="161" t="s">
        <v>19202</v>
      </c>
    </row>
    <row r="3921" spans="9:13" x14ac:dyDescent="0.25">
      <c r="I3921" t="s">
        <v>8299</v>
      </c>
      <c r="J3921" s="161" t="s">
        <v>19202</v>
      </c>
      <c r="K3921" t="s">
        <v>19203</v>
      </c>
      <c r="L3921" t="s">
        <v>8298</v>
      </c>
      <c r="M3921" s="161" t="s">
        <v>19202</v>
      </c>
    </row>
    <row r="3922" spans="9:13" x14ac:dyDescent="0.25">
      <c r="I3922" t="s">
        <v>8208</v>
      </c>
      <c r="J3922" s="161" t="s">
        <v>19202</v>
      </c>
      <c r="K3922" t="s">
        <v>19203</v>
      </c>
      <c r="L3922" t="s">
        <v>8207</v>
      </c>
      <c r="M3922" s="161" t="s">
        <v>19202</v>
      </c>
    </row>
    <row r="3923" spans="9:13" x14ac:dyDescent="0.25">
      <c r="I3923" t="s">
        <v>7272</v>
      </c>
      <c r="J3923" s="161" t="s">
        <v>19202</v>
      </c>
      <c r="K3923" t="s">
        <v>19203</v>
      </c>
      <c r="L3923" t="s">
        <v>7271</v>
      </c>
      <c r="M3923" s="161" t="s">
        <v>19202</v>
      </c>
    </row>
    <row r="3924" spans="9:13" x14ac:dyDescent="0.25">
      <c r="I3924" t="s">
        <v>7270</v>
      </c>
      <c r="J3924" s="161" t="s">
        <v>19202</v>
      </c>
      <c r="K3924" t="s">
        <v>19203</v>
      </c>
      <c r="L3924" t="s">
        <v>7269</v>
      </c>
      <c r="M3924" s="161" t="s">
        <v>19202</v>
      </c>
    </row>
    <row r="3925" spans="9:13" x14ac:dyDescent="0.25">
      <c r="I3925" t="s">
        <v>8297</v>
      </c>
      <c r="J3925" s="161" t="s">
        <v>19202</v>
      </c>
      <c r="K3925" t="s">
        <v>19203</v>
      </c>
      <c r="L3925" t="s">
        <v>8296</v>
      </c>
      <c r="M3925" s="161" t="s">
        <v>19202</v>
      </c>
    </row>
    <row r="3926" spans="9:13" x14ac:dyDescent="0.25">
      <c r="I3926" t="s">
        <v>7563</v>
      </c>
      <c r="J3926" s="161" t="s">
        <v>19202</v>
      </c>
      <c r="K3926" t="s">
        <v>19203</v>
      </c>
      <c r="L3926" t="s">
        <v>7562</v>
      </c>
      <c r="M3926" s="161" t="s">
        <v>19202</v>
      </c>
    </row>
    <row r="3927" spans="9:13" x14ac:dyDescent="0.25">
      <c r="I3927" t="s">
        <v>8046</v>
      </c>
      <c r="J3927" s="161" t="s">
        <v>19202</v>
      </c>
      <c r="K3927" t="s">
        <v>19203</v>
      </c>
      <c r="L3927" t="s">
        <v>8045</v>
      </c>
      <c r="M3927" s="161" t="s">
        <v>19202</v>
      </c>
    </row>
    <row r="3928" spans="9:13" x14ac:dyDescent="0.25">
      <c r="I3928" t="s">
        <v>15371</v>
      </c>
      <c r="J3928" s="161" t="s">
        <v>19202</v>
      </c>
      <c r="K3928" t="s">
        <v>19203</v>
      </c>
      <c r="L3928" t="s">
        <v>588</v>
      </c>
      <c r="M3928" s="161" t="s">
        <v>19202</v>
      </c>
    </row>
    <row r="3929" spans="9:13" x14ac:dyDescent="0.25">
      <c r="I3929" t="s">
        <v>19680</v>
      </c>
      <c r="J3929" s="161" t="s">
        <v>19202</v>
      </c>
      <c r="K3929" t="s">
        <v>19203</v>
      </c>
      <c r="L3929" t="s">
        <v>19681</v>
      </c>
      <c r="M3929" s="161" t="s">
        <v>19202</v>
      </c>
    </row>
    <row r="3930" spans="9:13" x14ac:dyDescent="0.25">
      <c r="I3930" t="s">
        <v>8964</v>
      </c>
      <c r="J3930" s="161" t="s">
        <v>19202</v>
      </c>
      <c r="K3930" t="s">
        <v>19203</v>
      </c>
      <c r="L3930" t="s">
        <v>8963</v>
      </c>
      <c r="M3930" s="161" t="s">
        <v>19202</v>
      </c>
    </row>
    <row r="3931" spans="9:13" x14ac:dyDescent="0.25">
      <c r="I3931" t="s">
        <v>13575</v>
      </c>
      <c r="J3931" s="161" t="s">
        <v>19202</v>
      </c>
      <c r="K3931" t="s">
        <v>19203</v>
      </c>
      <c r="L3931" t="s">
        <v>1837</v>
      </c>
      <c r="M3931" s="161" t="s">
        <v>19202</v>
      </c>
    </row>
    <row r="3932" spans="9:13" x14ac:dyDescent="0.25">
      <c r="I3932" t="s">
        <v>7425</v>
      </c>
      <c r="J3932" s="161" t="s">
        <v>19202</v>
      </c>
      <c r="K3932" t="s">
        <v>19203</v>
      </c>
      <c r="L3932" t="s">
        <v>7424</v>
      </c>
      <c r="M3932" s="161" t="s">
        <v>19202</v>
      </c>
    </row>
    <row r="3933" spans="9:13" x14ac:dyDescent="0.25">
      <c r="I3933" t="s">
        <v>14703</v>
      </c>
      <c r="J3933" s="161" t="s">
        <v>19202</v>
      </c>
      <c r="K3933" t="s">
        <v>19203</v>
      </c>
      <c r="L3933" t="s">
        <v>11746</v>
      </c>
      <c r="M3933" s="161" t="s">
        <v>19202</v>
      </c>
    </row>
    <row r="3934" spans="9:13" x14ac:dyDescent="0.25">
      <c r="I3934" t="s">
        <v>19682</v>
      </c>
      <c r="J3934" s="161" t="s">
        <v>19202</v>
      </c>
      <c r="K3934" t="s">
        <v>19203</v>
      </c>
      <c r="L3934" t="s">
        <v>13819</v>
      </c>
      <c r="M3934" s="161" t="s">
        <v>19202</v>
      </c>
    </row>
    <row r="3935" spans="9:13" x14ac:dyDescent="0.25">
      <c r="I3935" t="s">
        <v>2238</v>
      </c>
      <c r="J3935" s="161" t="s">
        <v>19202</v>
      </c>
      <c r="K3935" t="s">
        <v>19203</v>
      </c>
      <c r="L3935" t="s">
        <v>2237</v>
      </c>
      <c r="M3935" s="161" t="s">
        <v>19202</v>
      </c>
    </row>
    <row r="3936" spans="9:13" x14ac:dyDescent="0.25">
      <c r="I3936" t="s">
        <v>16233</v>
      </c>
      <c r="J3936" s="161" t="s">
        <v>19202</v>
      </c>
      <c r="K3936" t="s">
        <v>19203</v>
      </c>
      <c r="L3936" t="s">
        <v>13327</v>
      </c>
      <c r="M3936" s="161" t="s">
        <v>19202</v>
      </c>
    </row>
    <row r="3937" spans="9:13" x14ac:dyDescent="0.25">
      <c r="I3937" t="s">
        <v>4903</v>
      </c>
      <c r="J3937" s="161" t="s">
        <v>19202</v>
      </c>
      <c r="K3937" t="s">
        <v>19203</v>
      </c>
      <c r="L3937" t="s">
        <v>4902</v>
      </c>
      <c r="M3937" s="161" t="s">
        <v>19202</v>
      </c>
    </row>
    <row r="3938" spans="9:13" x14ac:dyDescent="0.25">
      <c r="I3938" t="s">
        <v>19683</v>
      </c>
      <c r="J3938" s="161" t="s">
        <v>19202</v>
      </c>
      <c r="K3938" t="s">
        <v>19203</v>
      </c>
      <c r="L3938" t="s">
        <v>19684</v>
      </c>
      <c r="M3938" s="161" t="s">
        <v>19202</v>
      </c>
    </row>
    <row r="3939" spans="9:13" x14ac:dyDescent="0.25">
      <c r="I3939" t="s">
        <v>7706</v>
      </c>
      <c r="J3939" s="161" t="s">
        <v>19202</v>
      </c>
      <c r="K3939" t="s">
        <v>19203</v>
      </c>
      <c r="L3939" t="s">
        <v>7705</v>
      </c>
      <c r="M3939" s="161" t="s">
        <v>19202</v>
      </c>
    </row>
    <row r="3940" spans="9:13" x14ac:dyDescent="0.25">
      <c r="I3940" t="s">
        <v>7443</v>
      </c>
      <c r="J3940" s="161" t="s">
        <v>19202</v>
      </c>
      <c r="K3940" t="s">
        <v>19203</v>
      </c>
      <c r="L3940" t="s">
        <v>7442</v>
      </c>
      <c r="M3940" s="161" t="s">
        <v>19202</v>
      </c>
    </row>
    <row r="3941" spans="9:13" x14ac:dyDescent="0.25">
      <c r="I3941" t="s">
        <v>8056</v>
      </c>
      <c r="J3941" s="161" t="s">
        <v>19202</v>
      </c>
      <c r="K3941" t="s">
        <v>19203</v>
      </c>
      <c r="L3941" t="s">
        <v>8055</v>
      </c>
      <c r="M3941" s="161" t="s">
        <v>19202</v>
      </c>
    </row>
    <row r="3942" spans="9:13" x14ac:dyDescent="0.25">
      <c r="I3942" t="s">
        <v>7913</v>
      </c>
      <c r="J3942" s="161" t="s">
        <v>19202</v>
      </c>
      <c r="K3942" t="s">
        <v>19203</v>
      </c>
      <c r="L3942" t="s">
        <v>7912</v>
      </c>
      <c r="M3942" s="161" t="s">
        <v>19202</v>
      </c>
    </row>
    <row r="3943" spans="9:13" x14ac:dyDescent="0.25">
      <c r="I3943" t="s">
        <v>7911</v>
      </c>
      <c r="J3943" s="161" t="s">
        <v>19202</v>
      </c>
      <c r="K3943" t="s">
        <v>19203</v>
      </c>
      <c r="L3943" t="s">
        <v>7910</v>
      </c>
      <c r="M3943" s="161" t="s">
        <v>19202</v>
      </c>
    </row>
    <row r="3944" spans="9:13" x14ac:dyDescent="0.25">
      <c r="I3944" t="s">
        <v>7909</v>
      </c>
      <c r="J3944" s="161" t="s">
        <v>19202</v>
      </c>
      <c r="K3944" t="s">
        <v>19203</v>
      </c>
      <c r="L3944" t="s">
        <v>7908</v>
      </c>
      <c r="M3944" s="161" t="s">
        <v>19202</v>
      </c>
    </row>
    <row r="3945" spans="9:13" x14ac:dyDescent="0.25">
      <c r="I3945" t="s">
        <v>7907</v>
      </c>
      <c r="J3945" s="161" t="s">
        <v>19202</v>
      </c>
      <c r="K3945" t="s">
        <v>19203</v>
      </c>
      <c r="L3945" t="s">
        <v>7906</v>
      </c>
      <c r="M3945" s="161" t="s">
        <v>19202</v>
      </c>
    </row>
    <row r="3946" spans="9:13" x14ac:dyDescent="0.25">
      <c r="I3946" t="s">
        <v>8212</v>
      </c>
      <c r="J3946" s="161" t="s">
        <v>19202</v>
      </c>
      <c r="K3946" t="s">
        <v>19203</v>
      </c>
      <c r="L3946" t="s">
        <v>8211</v>
      </c>
      <c r="M3946" s="161" t="s">
        <v>19202</v>
      </c>
    </row>
    <row r="3947" spans="9:13" x14ac:dyDescent="0.25">
      <c r="I3947" t="s">
        <v>7437</v>
      </c>
      <c r="J3947" s="161" t="s">
        <v>19202</v>
      </c>
      <c r="K3947" t="s">
        <v>19203</v>
      </c>
      <c r="L3947" t="s">
        <v>7436</v>
      </c>
      <c r="M3947" s="161" t="s">
        <v>19202</v>
      </c>
    </row>
    <row r="3948" spans="9:13" x14ac:dyDescent="0.25">
      <c r="I3948" t="s">
        <v>8408</v>
      </c>
      <c r="J3948" s="161" t="s">
        <v>19202</v>
      </c>
      <c r="K3948" t="s">
        <v>19203</v>
      </c>
      <c r="L3948" t="s">
        <v>8407</v>
      </c>
      <c r="M3948" s="161" t="s">
        <v>19202</v>
      </c>
    </row>
    <row r="3949" spans="9:13" x14ac:dyDescent="0.25">
      <c r="I3949" t="s">
        <v>7704</v>
      </c>
      <c r="J3949" s="161" t="s">
        <v>19202</v>
      </c>
      <c r="K3949" t="s">
        <v>19203</v>
      </c>
      <c r="L3949" t="s">
        <v>7703</v>
      </c>
      <c r="M3949" s="161" t="s">
        <v>19202</v>
      </c>
    </row>
    <row r="3950" spans="9:13" x14ac:dyDescent="0.25">
      <c r="I3950" t="s">
        <v>8210</v>
      </c>
      <c r="J3950" s="161" t="s">
        <v>19202</v>
      </c>
      <c r="K3950" t="s">
        <v>19203</v>
      </c>
      <c r="L3950" t="s">
        <v>8209</v>
      </c>
      <c r="M3950" s="161" t="s">
        <v>19202</v>
      </c>
    </row>
    <row r="3951" spans="9:13" x14ac:dyDescent="0.25">
      <c r="I3951" t="s">
        <v>8592</v>
      </c>
      <c r="J3951" s="161" t="s">
        <v>19202</v>
      </c>
      <c r="K3951" t="s">
        <v>19203</v>
      </c>
      <c r="L3951" t="s">
        <v>8591</v>
      </c>
      <c r="M3951" s="161" t="s">
        <v>19202</v>
      </c>
    </row>
    <row r="3952" spans="9:13" x14ac:dyDescent="0.25">
      <c r="I3952" t="s">
        <v>7812</v>
      </c>
      <c r="J3952" s="161" t="s">
        <v>19202</v>
      </c>
      <c r="K3952" t="s">
        <v>19203</v>
      </c>
      <c r="L3952" t="s">
        <v>7811</v>
      </c>
      <c r="M3952" s="161" t="s">
        <v>19202</v>
      </c>
    </row>
    <row r="3953" spans="9:13" x14ac:dyDescent="0.25">
      <c r="I3953" t="s">
        <v>7527</v>
      </c>
      <c r="J3953" s="161" t="s">
        <v>19202</v>
      </c>
      <c r="K3953" t="s">
        <v>19203</v>
      </c>
      <c r="L3953" t="s">
        <v>7526</v>
      </c>
      <c r="M3953" s="161" t="s">
        <v>19202</v>
      </c>
    </row>
    <row r="3954" spans="9:13" x14ac:dyDescent="0.25">
      <c r="I3954" t="s">
        <v>7810</v>
      </c>
      <c r="J3954" s="161" t="s">
        <v>19202</v>
      </c>
      <c r="K3954" t="s">
        <v>19203</v>
      </c>
      <c r="L3954" t="s">
        <v>7809</v>
      </c>
      <c r="M3954" s="161" t="s">
        <v>19202</v>
      </c>
    </row>
    <row r="3955" spans="9:13" x14ac:dyDescent="0.25">
      <c r="I3955" t="s">
        <v>7808</v>
      </c>
      <c r="J3955" s="161" t="s">
        <v>19202</v>
      </c>
      <c r="K3955" t="s">
        <v>19203</v>
      </c>
      <c r="L3955" t="s">
        <v>7807</v>
      </c>
      <c r="M3955" s="161" t="s">
        <v>19202</v>
      </c>
    </row>
    <row r="3956" spans="9:13" x14ac:dyDescent="0.25">
      <c r="I3956" t="s">
        <v>8520</v>
      </c>
      <c r="J3956" s="161" t="s">
        <v>19202</v>
      </c>
      <c r="K3956" t="s">
        <v>19203</v>
      </c>
      <c r="L3956" t="s">
        <v>8519</v>
      </c>
      <c r="M3956" s="161" t="s">
        <v>19202</v>
      </c>
    </row>
    <row r="3957" spans="9:13" x14ac:dyDescent="0.25">
      <c r="I3957" t="s">
        <v>7236</v>
      </c>
      <c r="J3957" s="161" t="s">
        <v>19202</v>
      </c>
      <c r="K3957" t="s">
        <v>19203</v>
      </c>
      <c r="L3957" t="s">
        <v>7235</v>
      </c>
      <c r="M3957" s="161" t="s">
        <v>19202</v>
      </c>
    </row>
    <row r="3958" spans="9:13" x14ac:dyDescent="0.25">
      <c r="I3958" t="s">
        <v>7234</v>
      </c>
      <c r="J3958" s="161" t="s">
        <v>19202</v>
      </c>
      <c r="K3958" t="s">
        <v>19203</v>
      </c>
      <c r="L3958" t="s">
        <v>7233</v>
      </c>
      <c r="M3958" s="161" t="s">
        <v>19202</v>
      </c>
    </row>
    <row r="3959" spans="9:13" x14ac:dyDescent="0.25">
      <c r="I3959" t="s">
        <v>7232</v>
      </c>
      <c r="J3959" s="161" t="s">
        <v>19202</v>
      </c>
      <c r="K3959" t="s">
        <v>19203</v>
      </c>
      <c r="L3959" t="s">
        <v>7231</v>
      </c>
      <c r="M3959" s="161" t="s">
        <v>19202</v>
      </c>
    </row>
    <row r="3960" spans="9:13" x14ac:dyDescent="0.25">
      <c r="I3960" t="s">
        <v>7230</v>
      </c>
      <c r="J3960" s="161" t="s">
        <v>19202</v>
      </c>
      <c r="K3960" t="s">
        <v>19203</v>
      </c>
      <c r="L3960" t="s">
        <v>7229</v>
      </c>
      <c r="M3960" s="161" t="s">
        <v>19202</v>
      </c>
    </row>
    <row r="3961" spans="9:13" x14ac:dyDescent="0.25">
      <c r="I3961" t="s">
        <v>7284</v>
      </c>
      <c r="J3961" s="161" t="s">
        <v>19202</v>
      </c>
      <c r="K3961" t="s">
        <v>19203</v>
      </c>
      <c r="L3961" t="s">
        <v>7283</v>
      </c>
      <c r="M3961" s="161" t="s">
        <v>19202</v>
      </c>
    </row>
    <row r="3962" spans="9:13" x14ac:dyDescent="0.25">
      <c r="I3962" t="s">
        <v>7228</v>
      </c>
      <c r="J3962" s="161" t="s">
        <v>19202</v>
      </c>
      <c r="K3962" t="s">
        <v>19203</v>
      </c>
      <c r="L3962" t="s">
        <v>7227</v>
      </c>
      <c r="M3962" s="161" t="s">
        <v>19202</v>
      </c>
    </row>
    <row r="3963" spans="9:13" x14ac:dyDescent="0.25">
      <c r="I3963" t="s">
        <v>7226</v>
      </c>
      <c r="J3963" s="161" t="s">
        <v>19202</v>
      </c>
      <c r="K3963" t="s">
        <v>19203</v>
      </c>
      <c r="L3963" t="s">
        <v>7225</v>
      </c>
      <c r="M3963" s="161" t="s">
        <v>19202</v>
      </c>
    </row>
    <row r="3964" spans="9:13" x14ac:dyDescent="0.25">
      <c r="I3964" t="s">
        <v>7224</v>
      </c>
      <c r="J3964" s="161" t="s">
        <v>19202</v>
      </c>
      <c r="K3964" t="s">
        <v>19203</v>
      </c>
      <c r="L3964" t="s">
        <v>7223</v>
      </c>
      <c r="M3964" s="161" t="s">
        <v>19202</v>
      </c>
    </row>
    <row r="3965" spans="9:13" x14ac:dyDescent="0.25">
      <c r="I3965" t="s">
        <v>7282</v>
      </c>
      <c r="J3965" s="161" t="s">
        <v>19202</v>
      </c>
      <c r="K3965" t="s">
        <v>19203</v>
      </c>
      <c r="L3965" t="s">
        <v>7281</v>
      </c>
      <c r="M3965" s="161" t="s">
        <v>19202</v>
      </c>
    </row>
    <row r="3966" spans="9:13" x14ac:dyDescent="0.25">
      <c r="I3966" t="s">
        <v>7992</v>
      </c>
      <c r="J3966" s="161" t="s">
        <v>19202</v>
      </c>
      <c r="K3966" t="s">
        <v>19203</v>
      </c>
      <c r="L3966" t="s">
        <v>7991</v>
      </c>
      <c r="M3966" s="161" t="s">
        <v>19202</v>
      </c>
    </row>
    <row r="3967" spans="9:13" x14ac:dyDescent="0.25">
      <c r="I3967" t="s">
        <v>7276</v>
      </c>
      <c r="J3967" s="161" t="s">
        <v>19202</v>
      </c>
      <c r="K3967" t="s">
        <v>19203</v>
      </c>
      <c r="L3967" t="s">
        <v>7275</v>
      </c>
      <c r="M3967" s="161" t="s">
        <v>19202</v>
      </c>
    </row>
    <row r="3968" spans="9:13" x14ac:dyDescent="0.25">
      <c r="I3968" t="s">
        <v>8359</v>
      </c>
      <c r="J3968" s="161" t="s">
        <v>19202</v>
      </c>
      <c r="K3968" t="s">
        <v>19203</v>
      </c>
      <c r="L3968" t="s">
        <v>7235</v>
      </c>
      <c r="M3968" s="161" t="s">
        <v>19202</v>
      </c>
    </row>
    <row r="3969" spans="9:13" x14ac:dyDescent="0.25">
      <c r="I3969" t="s">
        <v>8518</v>
      </c>
      <c r="J3969" s="161" t="s">
        <v>19202</v>
      </c>
      <c r="K3969" t="s">
        <v>19203</v>
      </c>
      <c r="L3969" t="s">
        <v>8517</v>
      </c>
      <c r="M3969" s="161" t="s">
        <v>19202</v>
      </c>
    </row>
    <row r="3970" spans="9:13" x14ac:dyDescent="0.25">
      <c r="I3970" t="s">
        <v>7867</v>
      </c>
      <c r="J3970" s="161" t="s">
        <v>19202</v>
      </c>
      <c r="K3970" t="s">
        <v>19203</v>
      </c>
      <c r="L3970" t="s">
        <v>7866</v>
      </c>
      <c r="M3970" s="161" t="s">
        <v>19202</v>
      </c>
    </row>
    <row r="3971" spans="9:13" x14ac:dyDescent="0.25">
      <c r="I3971" t="s">
        <v>16181</v>
      </c>
      <c r="J3971" s="161" t="s">
        <v>19202</v>
      </c>
      <c r="K3971" t="s">
        <v>19203</v>
      </c>
      <c r="L3971" t="s">
        <v>941</v>
      </c>
      <c r="M3971" s="161" t="s">
        <v>19202</v>
      </c>
    </row>
    <row r="3972" spans="9:13" x14ac:dyDescent="0.25">
      <c r="I3972" t="s">
        <v>6692</v>
      </c>
      <c r="J3972" s="161" t="s">
        <v>19202</v>
      </c>
      <c r="K3972" t="s">
        <v>19203</v>
      </c>
      <c r="L3972" t="s">
        <v>6691</v>
      </c>
      <c r="M3972" s="161" t="s">
        <v>19202</v>
      </c>
    </row>
    <row r="3973" spans="9:13" x14ac:dyDescent="0.25">
      <c r="I3973" t="s">
        <v>9778</v>
      </c>
      <c r="J3973" s="161" t="s">
        <v>19202</v>
      </c>
      <c r="K3973" t="s">
        <v>19203</v>
      </c>
      <c r="L3973" t="s">
        <v>9777</v>
      </c>
      <c r="M3973" s="161" t="s">
        <v>19202</v>
      </c>
    </row>
    <row r="3974" spans="9:13" x14ac:dyDescent="0.25">
      <c r="I3974" t="s">
        <v>6887</v>
      </c>
      <c r="J3974" s="161" t="s">
        <v>19202</v>
      </c>
      <c r="K3974" t="s">
        <v>19203</v>
      </c>
      <c r="L3974" t="s">
        <v>6886</v>
      </c>
      <c r="M3974" s="161" t="s">
        <v>19202</v>
      </c>
    </row>
    <row r="3975" spans="9:13" x14ac:dyDescent="0.25">
      <c r="I3975" t="s">
        <v>8052</v>
      </c>
      <c r="J3975" s="161" t="s">
        <v>19202</v>
      </c>
      <c r="K3975" t="s">
        <v>19203</v>
      </c>
      <c r="L3975" t="s">
        <v>8051</v>
      </c>
      <c r="M3975" s="161" t="s">
        <v>19202</v>
      </c>
    </row>
    <row r="3976" spans="9:13" x14ac:dyDescent="0.25">
      <c r="I3976" t="s">
        <v>19685</v>
      </c>
      <c r="J3976" s="161" t="s">
        <v>19202</v>
      </c>
      <c r="K3976" t="s">
        <v>19203</v>
      </c>
      <c r="L3976" t="s">
        <v>19686</v>
      </c>
      <c r="M3976" s="161" t="s">
        <v>19202</v>
      </c>
    </row>
    <row r="3977" spans="9:13" x14ac:dyDescent="0.25">
      <c r="I3977" t="s">
        <v>19687</v>
      </c>
      <c r="J3977" s="161" t="s">
        <v>19202</v>
      </c>
      <c r="K3977" t="s">
        <v>19203</v>
      </c>
      <c r="L3977" t="s">
        <v>19688</v>
      </c>
      <c r="M3977" s="161" t="s">
        <v>19202</v>
      </c>
    </row>
    <row r="3978" spans="9:13" x14ac:dyDescent="0.25">
      <c r="I3978" t="s">
        <v>6521</v>
      </c>
      <c r="J3978" s="161" t="s">
        <v>19202</v>
      </c>
      <c r="K3978" t="s">
        <v>19203</v>
      </c>
      <c r="L3978" t="s">
        <v>106</v>
      </c>
      <c r="M3978" s="161" t="s">
        <v>19202</v>
      </c>
    </row>
    <row r="3979" spans="9:13" x14ac:dyDescent="0.25">
      <c r="I3979" t="s">
        <v>2202</v>
      </c>
      <c r="J3979" s="161" t="s">
        <v>19202</v>
      </c>
      <c r="K3979" t="s">
        <v>19203</v>
      </c>
      <c r="L3979" t="s">
        <v>2201</v>
      </c>
      <c r="M3979" s="161" t="s">
        <v>19202</v>
      </c>
    </row>
    <row r="3980" spans="9:13" x14ac:dyDescent="0.25">
      <c r="I3980" t="s">
        <v>8255</v>
      </c>
      <c r="J3980" s="161" t="s">
        <v>19202</v>
      </c>
      <c r="K3980" t="s">
        <v>19203</v>
      </c>
      <c r="L3980" t="s">
        <v>8254</v>
      </c>
      <c r="M3980" s="161" t="s">
        <v>19202</v>
      </c>
    </row>
    <row r="3981" spans="9:13" x14ac:dyDescent="0.25">
      <c r="I3981" t="s">
        <v>8253</v>
      </c>
      <c r="J3981" s="161" t="s">
        <v>19202</v>
      </c>
      <c r="K3981" t="s">
        <v>19203</v>
      </c>
      <c r="L3981" t="s">
        <v>8252</v>
      </c>
      <c r="M3981" s="161" t="s">
        <v>19202</v>
      </c>
    </row>
    <row r="3982" spans="9:13" x14ac:dyDescent="0.25">
      <c r="I3982" t="s">
        <v>8514</v>
      </c>
      <c r="J3982" s="161" t="s">
        <v>19202</v>
      </c>
      <c r="K3982" t="s">
        <v>19203</v>
      </c>
      <c r="L3982" t="s">
        <v>8513</v>
      </c>
      <c r="M3982" s="161" t="s">
        <v>19202</v>
      </c>
    </row>
    <row r="3983" spans="9:13" x14ac:dyDescent="0.25">
      <c r="I3983" t="s">
        <v>19689</v>
      </c>
      <c r="J3983" s="161" t="s">
        <v>19202</v>
      </c>
      <c r="K3983" t="s">
        <v>19203</v>
      </c>
      <c r="L3983" t="s">
        <v>19690</v>
      </c>
      <c r="M3983" s="161" t="s">
        <v>19202</v>
      </c>
    </row>
    <row r="3984" spans="9:13" x14ac:dyDescent="0.25">
      <c r="I3984" t="s">
        <v>3593</v>
      </c>
      <c r="J3984" s="161" t="s">
        <v>19202</v>
      </c>
      <c r="K3984" t="s">
        <v>19203</v>
      </c>
      <c r="L3984" t="s">
        <v>3592</v>
      </c>
      <c r="M3984" s="161" t="s">
        <v>19202</v>
      </c>
    </row>
    <row r="3985" spans="9:13" x14ac:dyDescent="0.25">
      <c r="I3985" t="s">
        <v>7433</v>
      </c>
      <c r="J3985" s="161" t="s">
        <v>19202</v>
      </c>
      <c r="K3985" t="s">
        <v>19203</v>
      </c>
      <c r="L3985" t="s">
        <v>7432</v>
      </c>
      <c r="M3985" s="161" t="s">
        <v>19202</v>
      </c>
    </row>
    <row r="3986" spans="9:13" x14ac:dyDescent="0.25">
      <c r="I3986" t="s">
        <v>8048</v>
      </c>
      <c r="J3986" s="161" t="s">
        <v>19202</v>
      </c>
      <c r="K3986" t="s">
        <v>19203</v>
      </c>
      <c r="L3986" t="s">
        <v>8047</v>
      </c>
      <c r="M3986" s="161" t="s">
        <v>19202</v>
      </c>
    </row>
    <row r="3987" spans="9:13" x14ac:dyDescent="0.25">
      <c r="I3987" t="s">
        <v>7431</v>
      </c>
      <c r="J3987" s="161" t="s">
        <v>19202</v>
      </c>
      <c r="K3987" t="s">
        <v>19203</v>
      </c>
      <c r="L3987" t="s">
        <v>7430</v>
      </c>
      <c r="M3987" s="161" t="s">
        <v>19202</v>
      </c>
    </row>
    <row r="3988" spans="9:13" x14ac:dyDescent="0.25">
      <c r="I3988" t="s">
        <v>8295</v>
      </c>
      <c r="J3988" s="161" t="s">
        <v>19202</v>
      </c>
      <c r="K3988" t="s">
        <v>19203</v>
      </c>
      <c r="L3988" t="s">
        <v>8294</v>
      </c>
      <c r="M3988" s="161" t="s">
        <v>19202</v>
      </c>
    </row>
    <row r="3989" spans="9:13" x14ac:dyDescent="0.25">
      <c r="I3989" t="s">
        <v>8358</v>
      </c>
      <c r="J3989" s="161" t="s">
        <v>19202</v>
      </c>
      <c r="K3989" t="s">
        <v>19203</v>
      </c>
      <c r="L3989" t="s">
        <v>8357</v>
      </c>
      <c r="M3989" s="161" t="s">
        <v>19202</v>
      </c>
    </row>
    <row r="3990" spans="9:13" x14ac:dyDescent="0.25">
      <c r="I3990" t="s">
        <v>7266</v>
      </c>
      <c r="J3990" s="161" t="s">
        <v>19202</v>
      </c>
      <c r="K3990" t="s">
        <v>19203</v>
      </c>
      <c r="L3990" t="s">
        <v>7265</v>
      </c>
      <c r="M3990" s="161" t="s">
        <v>19202</v>
      </c>
    </row>
    <row r="3991" spans="9:13" x14ac:dyDescent="0.25">
      <c r="I3991" t="s">
        <v>7264</v>
      </c>
      <c r="J3991" s="161" t="s">
        <v>19202</v>
      </c>
      <c r="K3991" t="s">
        <v>19203</v>
      </c>
      <c r="L3991" t="s">
        <v>7263</v>
      </c>
      <c r="M3991" s="161" t="s">
        <v>19202</v>
      </c>
    </row>
    <row r="3992" spans="9:13" x14ac:dyDescent="0.25">
      <c r="I3992" t="s">
        <v>7702</v>
      </c>
      <c r="J3992" s="161" t="s">
        <v>19202</v>
      </c>
      <c r="K3992" t="s">
        <v>19203</v>
      </c>
      <c r="L3992" t="s">
        <v>7701</v>
      </c>
      <c r="M3992" s="161" t="s">
        <v>19202</v>
      </c>
    </row>
    <row r="3993" spans="9:13" x14ac:dyDescent="0.25">
      <c r="I3993" t="s">
        <v>7625</v>
      </c>
      <c r="J3993" s="161" t="s">
        <v>19202</v>
      </c>
      <c r="K3993" t="s">
        <v>19203</v>
      </c>
      <c r="L3993" t="s">
        <v>7624</v>
      </c>
      <c r="M3993" s="161" t="s">
        <v>19202</v>
      </c>
    </row>
    <row r="3994" spans="9:13" x14ac:dyDescent="0.25">
      <c r="I3994" t="s">
        <v>8044</v>
      </c>
      <c r="J3994" s="161" t="s">
        <v>19202</v>
      </c>
      <c r="K3994" t="s">
        <v>19203</v>
      </c>
      <c r="L3994" t="s">
        <v>8043</v>
      </c>
      <c r="M3994" s="161" t="s">
        <v>19202</v>
      </c>
    </row>
    <row r="3995" spans="9:13" x14ac:dyDescent="0.25">
      <c r="I3995" t="s">
        <v>8465</v>
      </c>
      <c r="J3995" s="161" t="s">
        <v>19202</v>
      </c>
      <c r="K3995" t="s">
        <v>19203</v>
      </c>
      <c r="L3995" t="s">
        <v>8464</v>
      </c>
      <c r="M3995" s="161" t="s">
        <v>19202</v>
      </c>
    </row>
    <row r="3996" spans="9:13" x14ac:dyDescent="0.25">
      <c r="I3996" t="s">
        <v>7262</v>
      </c>
      <c r="J3996" s="161" t="s">
        <v>19202</v>
      </c>
      <c r="K3996" t="s">
        <v>19203</v>
      </c>
      <c r="L3996" t="s">
        <v>7261</v>
      </c>
      <c r="M3996" s="161" t="s">
        <v>19202</v>
      </c>
    </row>
    <row r="3997" spans="9:13" x14ac:dyDescent="0.25">
      <c r="I3997" t="s">
        <v>7260</v>
      </c>
      <c r="J3997" s="161" t="s">
        <v>19202</v>
      </c>
      <c r="K3997" t="s">
        <v>19203</v>
      </c>
      <c r="L3997" t="s">
        <v>7259</v>
      </c>
      <c r="M3997" s="161" t="s">
        <v>19202</v>
      </c>
    </row>
    <row r="3998" spans="9:13" x14ac:dyDescent="0.25">
      <c r="I3998" t="s">
        <v>7623</v>
      </c>
      <c r="J3998" s="161" t="s">
        <v>19202</v>
      </c>
      <c r="K3998" t="s">
        <v>19203</v>
      </c>
      <c r="L3998" t="s">
        <v>7622</v>
      </c>
      <c r="M3998" s="161" t="s">
        <v>19202</v>
      </c>
    </row>
    <row r="3999" spans="9:13" x14ac:dyDescent="0.25">
      <c r="I3999" t="s">
        <v>8206</v>
      </c>
      <c r="J3999" s="161" t="s">
        <v>19202</v>
      </c>
      <c r="K3999" t="s">
        <v>19203</v>
      </c>
      <c r="L3999" t="s">
        <v>8205</v>
      </c>
      <c r="M3999" s="161" t="s">
        <v>19202</v>
      </c>
    </row>
    <row r="4000" spans="9:13" x14ac:dyDescent="0.25">
      <c r="I4000" t="s">
        <v>7754</v>
      </c>
      <c r="J4000" s="161" t="s">
        <v>19202</v>
      </c>
      <c r="K4000" t="s">
        <v>19203</v>
      </c>
      <c r="L4000" t="s">
        <v>7753</v>
      </c>
      <c r="M4000" s="161" t="s">
        <v>19202</v>
      </c>
    </row>
    <row r="4001" spans="9:13" x14ac:dyDescent="0.25">
      <c r="I4001" t="s">
        <v>8042</v>
      </c>
      <c r="J4001" s="161" t="s">
        <v>19202</v>
      </c>
      <c r="K4001" t="s">
        <v>19203</v>
      </c>
      <c r="L4001" t="s">
        <v>8041</v>
      </c>
      <c r="M4001" s="161" t="s">
        <v>19202</v>
      </c>
    </row>
    <row r="4002" spans="9:13" x14ac:dyDescent="0.25">
      <c r="I4002" t="s">
        <v>7619</v>
      </c>
      <c r="J4002" s="161" t="s">
        <v>19202</v>
      </c>
      <c r="K4002" t="s">
        <v>19203</v>
      </c>
      <c r="L4002" t="s">
        <v>7618</v>
      </c>
      <c r="M4002" s="161" t="s">
        <v>19202</v>
      </c>
    </row>
    <row r="4003" spans="9:13" x14ac:dyDescent="0.25">
      <c r="I4003" t="s">
        <v>7748</v>
      </c>
      <c r="J4003" s="161" t="s">
        <v>19202</v>
      </c>
      <c r="K4003" t="s">
        <v>19203</v>
      </c>
      <c r="L4003" t="s">
        <v>7747</v>
      </c>
      <c r="M4003" s="161" t="s">
        <v>19202</v>
      </c>
    </row>
    <row r="4004" spans="9:13" x14ac:dyDescent="0.25">
      <c r="I4004" t="s">
        <v>7617</v>
      </c>
      <c r="J4004" s="161" t="s">
        <v>19202</v>
      </c>
      <c r="K4004" t="s">
        <v>19203</v>
      </c>
      <c r="L4004" t="s">
        <v>7616</v>
      </c>
      <c r="M4004" s="161" t="s">
        <v>19202</v>
      </c>
    </row>
    <row r="4005" spans="9:13" x14ac:dyDescent="0.25">
      <c r="I4005" t="s">
        <v>8124</v>
      </c>
      <c r="J4005" s="161" t="s">
        <v>19202</v>
      </c>
      <c r="K4005" t="s">
        <v>19203</v>
      </c>
      <c r="L4005" t="s">
        <v>8123</v>
      </c>
      <c r="M4005" s="161" t="s">
        <v>19202</v>
      </c>
    </row>
    <row r="4006" spans="9:13" x14ac:dyDescent="0.25">
      <c r="I4006" t="s">
        <v>7615</v>
      </c>
      <c r="J4006" s="161" t="s">
        <v>19202</v>
      </c>
      <c r="K4006" t="s">
        <v>19203</v>
      </c>
      <c r="L4006" t="s">
        <v>7614</v>
      </c>
      <c r="M4006" s="161" t="s">
        <v>19202</v>
      </c>
    </row>
    <row r="4007" spans="9:13" x14ac:dyDescent="0.25">
      <c r="I4007" t="s">
        <v>7155</v>
      </c>
      <c r="J4007" s="161" t="s">
        <v>19202</v>
      </c>
      <c r="K4007" t="s">
        <v>19203</v>
      </c>
      <c r="L4007" t="s">
        <v>7154</v>
      </c>
      <c r="M4007" s="161" t="s">
        <v>19202</v>
      </c>
    </row>
    <row r="4008" spans="9:13" x14ac:dyDescent="0.25">
      <c r="I4008" t="s">
        <v>7153</v>
      </c>
      <c r="J4008" s="161" t="s">
        <v>19202</v>
      </c>
      <c r="K4008" t="s">
        <v>19203</v>
      </c>
      <c r="L4008" t="s">
        <v>7152</v>
      </c>
      <c r="M4008" s="161" t="s">
        <v>19202</v>
      </c>
    </row>
    <row r="4009" spans="9:13" x14ac:dyDescent="0.25">
      <c r="I4009" t="s">
        <v>7151</v>
      </c>
      <c r="J4009" s="161" t="s">
        <v>19202</v>
      </c>
      <c r="K4009" t="s">
        <v>19203</v>
      </c>
      <c r="L4009" t="s">
        <v>7150</v>
      </c>
      <c r="M4009" s="161" t="s">
        <v>19202</v>
      </c>
    </row>
    <row r="4010" spans="9:13" x14ac:dyDescent="0.25">
      <c r="I4010" t="s">
        <v>8459</v>
      </c>
      <c r="J4010" s="161" t="s">
        <v>19202</v>
      </c>
      <c r="K4010" t="s">
        <v>19203</v>
      </c>
      <c r="L4010" t="s">
        <v>8458</v>
      </c>
      <c r="M4010" s="161" t="s">
        <v>19202</v>
      </c>
    </row>
    <row r="4011" spans="9:13" x14ac:dyDescent="0.25">
      <c r="I4011" t="s">
        <v>7147</v>
      </c>
      <c r="J4011" s="161" t="s">
        <v>19202</v>
      </c>
      <c r="K4011" t="s">
        <v>19203</v>
      </c>
      <c r="L4011" t="s">
        <v>7146</v>
      </c>
      <c r="M4011" s="161" t="s">
        <v>19202</v>
      </c>
    </row>
    <row r="4012" spans="9:13" x14ac:dyDescent="0.25">
      <c r="I4012" t="s">
        <v>7145</v>
      </c>
      <c r="J4012" s="161" t="s">
        <v>19202</v>
      </c>
      <c r="K4012" t="s">
        <v>19203</v>
      </c>
      <c r="L4012" t="s">
        <v>7144</v>
      </c>
      <c r="M4012" s="161" t="s">
        <v>19202</v>
      </c>
    </row>
    <row r="4013" spans="9:13" x14ac:dyDescent="0.25">
      <c r="I4013" t="s">
        <v>7694</v>
      </c>
      <c r="J4013" s="161" t="s">
        <v>19202</v>
      </c>
      <c r="K4013" t="s">
        <v>19203</v>
      </c>
      <c r="L4013" t="s">
        <v>7693</v>
      </c>
      <c r="M4013" s="161" t="s">
        <v>19202</v>
      </c>
    </row>
    <row r="4014" spans="9:13" x14ac:dyDescent="0.25">
      <c r="I4014" t="s">
        <v>7141</v>
      </c>
      <c r="J4014" s="161" t="s">
        <v>19202</v>
      </c>
      <c r="K4014" t="s">
        <v>19203</v>
      </c>
      <c r="L4014" t="s">
        <v>7140</v>
      </c>
      <c r="M4014" s="161" t="s">
        <v>19202</v>
      </c>
    </row>
    <row r="4015" spans="9:13" x14ac:dyDescent="0.25">
      <c r="I4015" t="s">
        <v>8040</v>
      </c>
      <c r="J4015" s="161" t="s">
        <v>19202</v>
      </c>
      <c r="K4015" t="s">
        <v>19203</v>
      </c>
      <c r="L4015" t="s">
        <v>8039</v>
      </c>
      <c r="M4015" s="161" t="s">
        <v>19202</v>
      </c>
    </row>
    <row r="4016" spans="9:13" x14ac:dyDescent="0.25">
      <c r="I4016" t="s">
        <v>7613</v>
      </c>
      <c r="J4016" s="161" t="s">
        <v>19202</v>
      </c>
      <c r="K4016" t="s">
        <v>19203</v>
      </c>
      <c r="L4016" t="s">
        <v>7612</v>
      </c>
      <c r="M4016" s="161" t="s">
        <v>19202</v>
      </c>
    </row>
    <row r="4017" spans="9:13" x14ac:dyDescent="0.25">
      <c r="I4017" t="s">
        <v>8036</v>
      </c>
      <c r="J4017" s="161" t="s">
        <v>19202</v>
      </c>
      <c r="K4017" t="s">
        <v>19203</v>
      </c>
      <c r="L4017" t="s">
        <v>8035</v>
      </c>
      <c r="M4017" s="161" t="s">
        <v>19202</v>
      </c>
    </row>
    <row r="4018" spans="9:13" x14ac:dyDescent="0.25">
      <c r="I4018" t="s">
        <v>14737</v>
      </c>
      <c r="J4018" s="161" t="s">
        <v>19202</v>
      </c>
      <c r="K4018" t="s">
        <v>19203</v>
      </c>
      <c r="L4018" t="s">
        <v>14736</v>
      </c>
      <c r="M4018" s="161" t="s">
        <v>19202</v>
      </c>
    </row>
    <row r="4019" spans="9:13" x14ac:dyDescent="0.25">
      <c r="I4019" t="s">
        <v>14733</v>
      </c>
      <c r="J4019" s="161" t="s">
        <v>19202</v>
      </c>
      <c r="K4019" t="s">
        <v>19203</v>
      </c>
      <c r="L4019" t="s">
        <v>14732</v>
      </c>
      <c r="M4019" s="161" t="s">
        <v>19202</v>
      </c>
    </row>
    <row r="4020" spans="9:13" x14ac:dyDescent="0.25">
      <c r="I4020" t="s">
        <v>7216</v>
      </c>
      <c r="J4020" s="161" t="s">
        <v>19202</v>
      </c>
      <c r="K4020" t="s">
        <v>19203</v>
      </c>
      <c r="L4020" t="s">
        <v>7215</v>
      </c>
      <c r="M4020" s="161" t="s">
        <v>19202</v>
      </c>
    </row>
    <row r="4021" spans="9:13" x14ac:dyDescent="0.25">
      <c r="I4021" t="s">
        <v>788</v>
      </c>
      <c r="J4021" s="161" t="s">
        <v>19202</v>
      </c>
      <c r="K4021" t="s">
        <v>19203</v>
      </c>
      <c r="L4021" t="s">
        <v>787</v>
      </c>
      <c r="M4021" s="161" t="s">
        <v>19202</v>
      </c>
    </row>
    <row r="4022" spans="9:13" x14ac:dyDescent="0.25">
      <c r="I4022" t="s">
        <v>8838</v>
      </c>
      <c r="J4022" s="161" t="s">
        <v>19202</v>
      </c>
      <c r="K4022" t="s">
        <v>19203</v>
      </c>
      <c r="L4022" t="s">
        <v>8837</v>
      </c>
      <c r="M4022" s="161" t="s">
        <v>19202</v>
      </c>
    </row>
    <row r="4023" spans="9:13" x14ac:dyDescent="0.25">
      <c r="I4023" t="s">
        <v>5454</v>
      </c>
      <c r="J4023" s="161" t="s">
        <v>19202</v>
      </c>
      <c r="K4023" t="s">
        <v>19203</v>
      </c>
      <c r="L4023" t="s">
        <v>5453</v>
      </c>
      <c r="M4023" s="161" t="s">
        <v>19202</v>
      </c>
    </row>
    <row r="4024" spans="9:13" x14ac:dyDescent="0.25">
      <c r="I4024" t="s">
        <v>13291</v>
      </c>
      <c r="J4024" s="161" t="s">
        <v>19202</v>
      </c>
      <c r="K4024" t="s">
        <v>19203</v>
      </c>
      <c r="L4024" t="s">
        <v>13290</v>
      </c>
      <c r="M4024" s="161" t="s">
        <v>19202</v>
      </c>
    </row>
    <row r="4025" spans="9:13" x14ac:dyDescent="0.25">
      <c r="I4025" t="s">
        <v>12939</v>
      </c>
      <c r="J4025" s="161" t="s">
        <v>19202</v>
      </c>
      <c r="K4025" t="s">
        <v>19203</v>
      </c>
      <c r="L4025" t="s">
        <v>12938</v>
      </c>
      <c r="M4025" s="161" t="s">
        <v>19202</v>
      </c>
    </row>
    <row r="4026" spans="9:13" x14ac:dyDescent="0.25">
      <c r="I4026" t="s">
        <v>10486</v>
      </c>
      <c r="J4026" s="161" t="s">
        <v>19202</v>
      </c>
      <c r="K4026" t="s">
        <v>19203</v>
      </c>
      <c r="L4026" t="s">
        <v>10485</v>
      </c>
      <c r="M4026" s="161" t="s">
        <v>19202</v>
      </c>
    </row>
    <row r="4027" spans="9:13" x14ac:dyDescent="0.25">
      <c r="I4027" t="s">
        <v>6726</v>
      </c>
      <c r="J4027" s="161" t="s">
        <v>19202</v>
      </c>
      <c r="K4027" t="s">
        <v>19203</v>
      </c>
      <c r="L4027" t="s">
        <v>6725</v>
      </c>
      <c r="M4027" s="161" t="s">
        <v>19202</v>
      </c>
    </row>
    <row r="4028" spans="9:13" x14ac:dyDescent="0.25">
      <c r="I4028" t="s">
        <v>6724</v>
      </c>
      <c r="J4028" s="161" t="s">
        <v>19202</v>
      </c>
      <c r="K4028" t="s">
        <v>19203</v>
      </c>
      <c r="L4028" t="s">
        <v>6723</v>
      </c>
      <c r="M4028" s="161" t="s">
        <v>19202</v>
      </c>
    </row>
    <row r="4029" spans="9:13" x14ac:dyDescent="0.25">
      <c r="I4029" t="s">
        <v>6722</v>
      </c>
      <c r="J4029" s="161" t="s">
        <v>19202</v>
      </c>
      <c r="K4029" t="s">
        <v>19203</v>
      </c>
      <c r="L4029" t="s">
        <v>6721</v>
      </c>
      <c r="M4029" s="161" t="s">
        <v>19202</v>
      </c>
    </row>
    <row r="4030" spans="9:13" x14ac:dyDescent="0.25">
      <c r="I4030" t="s">
        <v>7143</v>
      </c>
      <c r="J4030" s="161" t="s">
        <v>19202</v>
      </c>
      <c r="K4030" t="s">
        <v>19203</v>
      </c>
      <c r="L4030" t="s">
        <v>7142</v>
      </c>
      <c r="M4030" s="161" t="s">
        <v>19202</v>
      </c>
    </row>
    <row r="4031" spans="9:13" x14ac:dyDescent="0.25">
      <c r="I4031" t="s">
        <v>9681</v>
      </c>
      <c r="J4031" s="161" t="s">
        <v>19202</v>
      </c>
      <c r="K4031" t="s">
        <v>19203</v>
      </c>
      <c r="L4031" t="s">
        <v>9680</v>
      </c>
      <c r="M4031" s="161" t="s">
        <v>19202</v>
      </c>
    </row>
    <row r="4032" spans="9:13" x14ac:dyDescent="0.25">
      <c r="I4032" t="s">
        <v>975</v>
      </c>
      <c r="J4032" s="161" t="s">
        <v>19202</v>
      </c>
      <c r="K4032" t="s">
        <v>19203</v>
      </c>
      <c r="L4032" t="s">
        <v>974</v>
      </c>
      <c r="M4032" s="161" t="s">
        <v>19202</v>
      </c>
    </row>
    <row r="4033" spans="9:13" x14ac:dyDescent="0.25">
      <c r="I4033" t="s">
        <v>13732</v>
      </c>
      <c r="J4033" s="161" t="s">
        <v>19202</v>
      </c>
      <c r="K4033" t="s">
        <v>19203</v>
      </c>
      <c r="L4033" t="s">
        <v>13731</v>
      </c>
      <c r="M4033" s="161" t="s">
        <v>19202</v>
      </c>
    </row>
    <row r="4034" spans="9:13" x14ac:dyDescent="0.25">
      <c r="I4034" t="s">
        <v>19691</v>
      </c>
      <c r="J4034" s="161" t="s">
        <v>19202</v>
      </c>
      <c r="K4034" t="s">
        <v>19203</v>
      </c>
      <c r="L4034" t="s">
        <v>19692</v>
      </c>
      <c r="M4034" s="161" t="s">
        <v>19202</v>
      </c>
    </row>
    <row r="4035" spans="9:13" x14ac:dyDescent="0.25">
      <c r="I4035" t="s">
        <v>7393</v>
      </c>
      <c r="J4035" s="161" t="s">
        <v>19202</v>
      </c>
      <c r="K4035" t="s">
        <v>19203</v>
      </c>
      <c r="L4035" t="s">
        <v>7392</v>
      </c>
      <c r="M4035" s="161" t="s">
        <v>19202</v>
      </c>
    </row>
    <row r="4036" spans="9:13" x14ac:dyDescent="0.25">
      <c r="I4036" t="s">
        <v>7105</v>
      </c>
      <c r="J4036" s="161" t="s">
        <v>19202</v>
      </c>
      <c r="K4036" t="s">
        <v>19203</v>
      </c>
      <c r="L4036" t="s">
        <v>7104</v>
      </c>
      <c r="M4036" s="161" t="s">
        <v>19202</v>
      </c>
    </row>
    <row r="4037" spans="9:13" x14ac:dyDescent="0.25">
      <c r="I4037" t="s">
        <v>10483</v>
      </c>
      <c r="J4037" s="161" t="s">
        <v>19202</v>
      </c>
      <c r="K4037" t="s">
        <v>19203</v>
      </c>
      <c r="L4037" t="s">
        <v>10482</v>
      </c>
      <c r="M4037" s="161" t="s">
        <v>19202</v>
      </c>
    </row>
    <row r="4038" spans="9:13" x14ac:dyDescent="0.25">
      <c r="I4038" t="s">
        <v>10484</v>
      </c>
      <c r="J4038" s="161" t="s">
        <v>19202</v>
      </c>
      <c r="K4038" t="s">
        <v>19203</v>
      </c>
      <c r="L4038" t="s">
        <v>4860</v>
      </c>
      <c r="M4038" s="161" t="s">
        <v>19202</v>
      </c>
    </row>
    <row r="4039" spans="9:13" x14ac:dyDescent="0.25">
      <c r="I4039" t="s">
        <v>13881</v>
      </c>
      <c r="J4039" s="161" t="s">
        <v>19202</v>
      </c>
      <c r="K4039" t="s">
        <v>19203</v>
      </c>
      <c r="L4039" t="s">
        <v>4847</v>
      </c>
      <c r="M4039" s="161" t="s">
        <v>19202</v>
      </c>
    </row>
    <row r="4040" spans="9:13" x14ac:dyDescent="0.25">
      <c r="I4040" t="s">
        <v>9204</v>
      </c>
      <c r="J4040" s="161" t="s">
        <v>19202</v>
      </c>
      <c r="K4040" t="s">
        <v>19203</v>
      </c>
      <c r="L4040" t="s">
        <v>9203</v>
      </c>
      <c r="M4040" s="161" t="s">
        <v>19202</v>
      </c>
    </row>
    <row r="4041" spans="9:13" x14ac:dyDescent="0.25">
      <c r="I4041" t="s">
        <v>7220</v>
      </c>
      <c r="J4041" s="161" t="s">
        <v>19202</v>
      </c>
      <c r="K4041" t="s">
        <v>19203</v>
      </c>
      <c r="L4041" t="s">
        <v>7219</v>
      </c>
      <c r="M4041" s="161" t="s">
        <v>19202</v>
      </c>
    </row>
    <row r="4042" spans="9:13" x14ac:dyDescent="0.25">
      <c r="I4042" t="s">
        <v>7990</v>
      </c>
      <c r="J4042" s="161" t="s">
        <v>19202</v>
      </c>
      <c r="K4042" t="s">
        <v>19203</v>
      </c>
      <c r="L4042" t="s">
        <v>7989</v>
      </c>
      <c r="M4042" s="161" t="s">
        <v>19202</v>
      </c>
    </row>
    <row r="4043" spans="9:13" x14ac:dyDescent="0.25">
      <c r="I4043" t="s">
        <v>8257</v>
      </c>
      <c r="J4043" s="161" t="s">
        <v>19202</v>
      </c>
      <c r="K4043" t="s">
        <v>19203</v>
      </c>
      <c r="L4043" t="s">
        <v>8256</v>
      </c>
      <c r="M4043" s="161" t="s">
        <v>19202</v>
      </c>
    </row>
    <row r="4044" spans="9:13" x14ac:dyDescent="0.25">
      <c r="I4044" t="s">
        <v>7218</v>
      </c>
      <c r="J4044" s="161" t="s">
        <v>19202</v>
      </c>
      <c r="K4044" t="s">
        <v>19203</v>
      </c>
      <c r="L4044" t="s">
        <v>7217</v>
      </c>
      <c r="M4044" s="161" t="s">
        <v>19202</v>
      </c>
    </row>
    <row r="4045" spans="9:13" x14ac:dyDescent="0.25">
      <c r="I4045" t="s">
        <v>7988</v>
      </c>
      <c r="J4045" s="161" t="s">
        <v>19202</v>
      </c>
      <c r="K4045" t="s">
        <v>19203</v>
      </c>
      <c r="L4045" t="s">
        <v>7987</v>
      </c>
      <c r="M4045" s="161" t="s">
        <v>19202</v>
      </c>
    </row>
    <row r="4046" spans="9:13" x14ac:dyDescent="0.25">
      <c r="I4046" t="s">
        <v>8590</v>
      </c>
      <c r="J4046" s="161" t="s">
        <v>19202</v>
      </c>
      <c r="K4046" t="s">
        <v>19203</v>
      </c>
      <c r="L4046" t="s">
        <v>8589</v>
      </c>
      <c r="M4046" s="161" t="s">
        <v>19202</v>
      </c>
    </row>
    <row r="4047" spans="9:13" x14ac:dyDescent="0.25">
      <c r="I4047" t="s">
        <v>8128</v>
      </c>
      <c r="J4047" s="161" t="s">
        <v>19202</v>
      </c>
      <c r="K4047" t="s">
        <v>19203</v>
      </c>
      <c r="L4047" t="s">
        <v>8127</v>
      </c>
      <c r="M4047" s="161" t="s">
        <v>19202</v>
      </c>
    </row>
    <row r="4048" spans="9:13" x14ac:dyDescent="0.25">
      <c r="I4048" t="s">
        <v>8354</v>
      </c>
      <c r="J4048" s="161" t="s">
        <v>19202</v>
      </c>
      <c r="K4048" t="s">
        <v>19203</v>
      </c>
      <c r="L4048" t="s">
        <v>8353</v>
      </c>
      <c r="M4048" s="161" t="s">
        <v>19202</v>
      </c>
    </row>
    <row r="4049" spans="9:13" x14ac:dyDescent="0.25">
      <c r="I4049" t="s">
        <v>8516</v>
      </c>
      <c r="J4049" s="161" t="s">
        <v>19202</v>
      </c>
      <c r="K4049" t="s">
        <v>19203</v>
      </c>
      <c r="L4049" t="s">
        <v>8515</v>
      </c>
      <c r="M4049" s="161" t="s">
        <v>19202</v>
      </c>
    </row>
    <row r="4050" spans="9:13" x14ac:dyDescent="0.25">
      <c r="I4050" t="s">
        <v>8126</v>
      </c>
      <c r="J4050" s="161" t="s">
        <v>19202</v>
      </c>
      <c r="K4050" t="s">
        <v>19203</v>
      </c>
      <c r="L4050" t="s">
        <v>8125</v>
      </c>
      <c r="M4050" s="161" t="s">
        <v>19202</v>
      </c>
    </row>
    <row r="4051" spans="9:13" x14ac:dyDescent="0.25">
      <c r="I4051" t="s">
        <v>7258</v>
      </c>
      <c r="J4051" s="161" t="s">
        <v>19202</v>
      </c>
      <c r="K4051" t="s">
        <v>19203</v>
      </c>
      <c r="L4051" t="s">
        <v>7257</v>
      </c>
      <c r="M4051" s="161" t="s">
        <v>19202</v>
      </c>
    </row>
    <row r="4052" spans="9:13" x14ac:dyDescent="0.25">
      <c r="I4052" t="s">
        <v>7804</v>
      </c>
      <c r="J4052" s="161" t="s">
        <v>19202</v>
      </c>
      <c r="K4052" t="s">
        <v>19203</v>
      </c>
      <c r="L4052" t="s">
        <v>7803</v>
      </c>
      <c r="M4052" s="161" t="s">
        <v>19202</v>
      </c>
    </row>
    <row r="4053" spans="9:13" x14ac:dyDescent="0.25">
      <c r="I4053" t="s">
        <v>7698</v>
      </c>
      <c r="J4053" s="161" t="s">
        <v>19202</v>
      </c>
      <c r="K4053" t="s">
        <v>19203</v>
      </c>
      <c r="L4053" t="s">
        <v>7697</v>
      </c>
      <c r="M4053" s="161" t="s">
        <v>19202</v>
      </c>
    </row>
    <row r="4054" spans="9:13" x14ac:dyDescent="0.25">
      <c r="I4054" t="s">
        <v>7696</v>
      </c>
      <c r="J4054" s="161" t="s">
        <v>19202</v>
      </c>
      <c r="K4054" t="s">
        <v>19203</v>
      </c>
      <c r="L4054" t="s">
        <v>7695</v>
      </c>
      <c r="M4054" s="161" t="s">
        <v>19202</v>
      </c>
    </row>
    <row r="4055" spans="9:13" x14ac:dyDescent="0.25">
      <c r="I4055" t="s">
        <v>8352</v>
      </c>
      <c r="J4055" s="161" t="s">
        <v>19202</v>
      </c>
      <c r="K4055" t="s">
        <v>19203</v>
      </c>
      <c r="L4055" t="s">
        <v>8351</v>
      </c>
      <c r="M4055" s="161" t="s">
        <v>19202</v>
      </c>
    </row>
    <row r="4056" spans="9:13" x14ac:dyDescent="0.25">
      <c r="I4056" t="s">
        <v>7342</v>
      </c>
      <c r="J4056" s="161" t="s">
        <v>19202</v>
      </c>
      <c r="K4056" t="s">
        <v>19203</v>
      </c>
      <c r="L4056" t="s">
        <v>7341</v>
      </c>
      <c r="M4056" s="161" t="s">
        <v>19202</v>
      </c>
    </row>
    <row r="4057" spans="9:13" x14ac:dyDescent="0.25">
      <c r="I4057" t="s">
        <v>7340</v>
      </c>
      <c r="J4057" s="161" t="s">
        <v>19202</v>
      </c>
      <c r="K4057" t="s">
        <v>19203</v>
      </c>
      <c r="L4057" t="s">
        <v>7339</v>
      </c>
      <c r="M4057" s="161" t="s">
        <v>19202</v>
      </c>
    </row>
    <row r="4058" spans="9:13" x14ac:dyDescent="0.25">
      <c r="I4058" t="s">
        <v>7336</v>
      </c>
      <c r="J4058" s="161" t="s">
        <v>19202</v>
      </c>
      <c r="K4058" t="s">
        <v>19203</v>
      </c>
      <c r="L4058" t="s">
        <v>7335</v>
      </c>
      <c r="M4058" s="161" t="s">
        <v>19202</v>
      </c>
    </row>
    <row r="4059" spans="9:13" x14ac:dyDescent="0.25">
      <c r="I4059" t="s">
        <v>7386</v>
      </c>
      <c r="J4059" s="161" t="s">
        <v>19202</v>
      </c>
      <c r="K4059" t="s">
        <v>19203</v>
      </c>
      <c r="L4059" t="s">
        <v>7385</v>
      </c>
      <c r="M4059" s="161" t="s">
        <v>19202</v>
      </c>
    </row>
    <row r="4060" spans="9:13" x14ac:dyDescent="0.25">
      <c r="I4060" t="s">
        <v>7384</v>
      </c>
      <c r="J4060" s="161" t="s">
        <v>19202</v>
      </c>
      <c r="K4060" t="s">
        <v>19203</v>
      </c>
      <c r="L4060" t="s">
        <v>7383</v>
      </c>
      <c r="M4060" s="161" t="s">
        <v>19202</v>
      </c>
    </row>
    <row r="4061" spans="9:13" x14ac:dyDescent="0.25">
      <c r="I4061" t="s">
        <v>7382</v>
      </c>
      <c r="J4061" s="161" t="s">
        <v>19202</v>
      </c>
      <c r="K4061" t="s">
        <v>19203</v>
      </c>
      <c r="L4061" t="s">
        <v>7381</v>
      </c>
      <c r="M4061" s="161" t="s">
        <v>19202</v>
      </c>
    </row>
    <row r="4062" spans="9:13" x14ac:dyDescent="0.25">
      <c r="I4062" t="s">
        <v>19693</v>
      </c>
      <c r="J4062" s="161" t="s">
        <v>19202</v>
      </c>
      <c r="K4062" t="s">
        <v>19203</v>
      </c>
      <c r="L4062" t="s">
        <v>19694</v>
      </c>
      <c r="M4062" s="161" t="s">
        <v>19202</v>
      </c>
    </row>
    <row r="4063" spans="9:13" x14ac:dyDescent="0.25">
      <c r="I4063" t="s">
        <v>7901</v>
      </c>
      <c r="J4063" s="161" t="s">
        <v>19202</v>
      </c>
      <c r="K4063" t="s">
        <v>19203</v>
      </c>
      <c r="L4063" t="s">
        <v>7900</v>
      </c>
      <c r="M4063" s="161" t="s">
        <v>19202</v>
      </c>
    </row>
    <row r="4064" spans="9:13" x14ac:dyDescent="0.25">
      <c r="I4064" t="s">
        <v>7800</v>
      </c>
      <c r="J4064" s="161" t="s">
        <v>19202</v>
      </c>
      <c r="K4064" t="s">
        <v>19203</v>
      </c>
      <c r="L4064" t="s">
        <v>7799</v>
      </c>
      <c r="M4064" s="161" t="s">
        <v>19202</v>
      </c>
    </row>
    <row r="4065" spans="9:13" x14ac:dyDescent="0.25">
      <c r="I4065" t="s">
        <v>7559</v>
      </c>
      <c r="J4065" s="161" t="s">
        <v>19202</v>
      </c>
      <c r="K4065" t="s">
        <v>19203</v>
      </c>
      <c r="L4065" t="s">
        <v>7558</v>
      </c>
      <c r="M4065" s="161" t="s">
        <v>19202</v>
      </c>
    </row>
    <row r="4066" spans="9:13" x14ac:dyDescent="0.25">
      <c r="I4066" t="s">
        <v>7204</v>
      </c>
      <c r="J4066" s="161" t="s">
        <v>19202</v>
      </c>
      <c r="K4066" t="s">
        <v>19203</v>
      </c>
      <c r="L4066" t="s">
        <v>7203</v>
      </c>
      <c r="M4066" s="161" t="s">
        <v>19202</v>
      </c>
    </row>
    <row r="4067" spans="9:13" x14ac:dyDescent="0.25">
      <c r="I4067" t="s">
        <v>7202</v>
      </c>
      <c r="J4067" s="161" t="s">
        <v>19202</v>
      </c>
      <c r="K4067" t="s">
        <v>19203</v>
      </c>
      <c r="L4067" t="s">
        <v>7201</v>
      </c>
      <c r="M4067" s="161" t="s">
        <v>19202</v>
      </c>
    </row>
    <row r="4068" spans="9:13" x14ac:dyDescent="0.25">
      <c r="I4068" t="s">
        <v>7198</v>
      </c>
      <c r="J4068" s="161" t="s">
        <v>19202</v>
      </c>
      <c r="K4068" t="s">
        <v>19203</v>
      </c>
      <c r="L4068" t="s">
        <v>7197</v>
      </c>
      <c r="M4068" s="161" t="s">
        <v>19202</v>
      </c>
    </row>
    <row r="4069" spans="9:13" x14ac:dyDescent="0.25">
      <c r="I4069" t="s">
        <v>7196</v>
      </c>
      <c r="J4069" s="161" t="s">
        <v>19202</v>
      </c>
      <c r="K4069" t="s">
        <v>19203</v>
      </c>
      <c r="L4069" t="s">
        <v>7195</v>
      </c>
      <c r="M4069" s="161" t="s">
        <v>19202</v>
      </c>
    </row>
    <row r="4070" spans="9:13" x14ac:dyDescent="0.25">
      <c r="I4070" t="s">
        <v>7194</v>
      </c>
      <c r="J4070" s="161" t="s">
        <v>19202</v>
      </c>
      <c r="K4070" t="s">
        <v>19203</v>
      </c>
      <c r="L4070" t="s">
        <v>7193</v>
      </c>
      <c r="M4070" s="161" t="s">
        <v>19202</v>
      </c>
    </row>
    <row r="4071" spans="9:13" x14ac:dyDescent="0.25">
      <c r="I4071" t="s">
        <v>7899</v>
      </c>
      <c r="J4071" s="161" t="s">
        <v>19202</v>
      </c>
      <c r="K4071" t="s">
        <v>19203</v>
      </c>
      <c r="L4071" t="s">
        <v>7898</v>
      </c>
      <c r="M4071" s="161" t="s">
        <v>19202</v>
      </c>
    </row>
    <row r="4072" spans="9:13" x14ac:dyDescent="0.25">
      <c r="I4072" t="s">
        <v>7192</v>
      </c>
      <c r="J4072" s="161" t="s">
        <v>19202</v>
      </c>
      <c r="K4072" t="s">
        <v>19203</v>
      </c>
      <c r="L4072" t="s">
        <v>7191</v>
      </c>
      <c r="M4072" s="161" t="s">
        <v>19202</v>
      </c>
    </row>
    <row r="4073" spans="9:13" x14ac:dyDescent="0.25">
      <c r="I4073" t="s">
        <v>12706</v>
      </c>
      <c r="J4073" s="161" t="s">
        <v>19202</v>
      </c>
      <c r="K4073" t="s">
        <v>19203</v>
      </c>
      <c r="L4073" t="s">
        <v>12705</v>
      </c>
      <c r="M4073" s="161" t="s">
        <v>19202</v>
      </c>
    </row>
    <row r="4074" spans="9:13" x14ac:dyDescent="0.25">
      <c r="I4074" t="s">
        <v>12927</v>
      </c>
      <c r="J4074" s="161" t="s">
        <v>19202</v>
      </c>
      <c r="K4074" t="s">
        <v>19203</v>
      </c>
      <c r="L4074" t="s">
        <v>12926</v>
      </c>
      <c r="M4074" s="161" t="s">
        <v>19202</v>
      </c>
    </row>
    <row r="4075" spans="9:13" x14ac:dyDescent="0.25">
      <c r="I4075" t="s">
        <v>4998</v>
      </c>
      <c r="J4075" s="161" t="s">
        <v>19202</v>
      </c>
      <c r="K4075" t="s">
        <v>19203</v>
      </c>
      <c r="L4075" t="s">
        <v>4997</v>
      </c>
      <c r="M4075" s="161" t="s">
        <v>19202</v>
      </c>
    </row>
    <row r="4076" spans="9:13" x14ac:dyDescent="0.25">
      <c r="I4076" t="s">
        <v>13892</v>
      </c>
      <c r="J4076" s="161" t="s">
        <v>19202</v>
      </c>
      <c r="K4076" t="s">
        <v>19203</v>
      </c>
      <c r="L4076" t="s">
        <v>1837</v>
      </c>
      <c r="M4076" s="161" t="s">
        <v>19202</v>
      </c>
    </row>
    <row r="4077" spans="9:13" x14ac:dyDescent="0.25">
      <c r="I4077" t="s">
        <v>13891</v>
      </c>
      <c r="J4077" s="161" t="s">
        <v>19202</v>
      </c>
      <c r="K4077" t="s">
        <v>19203</v>
      </c>
      <c r="L4077" t="s">
        <v>884</v>
      </c>
      <c r="M4077" s="161" t="s">
        <v>19202</v>
      </c>
    </row>
    <row r="4078" spans="9:13" x14ac:dyDescent="0.25">
      <c r="I4078" t="s">
        <v>13888</v>
      </c>
      <c r="J4078" s="161" t="s">
        <v>19202</v>
      </c>
      <c r="K4078" t="s">
        <v>19203</v>
      </c>
      <c r="L4078" t="s">
        <v>2085</v>
      </c>
      <c r="M4078" s="161" t="s">
        <v>19202</v>
      </c>
    </row>
    <row r="4079" spans="9:13" x14ac:dyDescent="0.25">
      <c r="I4079" t="s">
        <v>5187</v>
      </c>
      <c r="J4079" s="161" t="s">
        <v>19202</v>
      </c>
      <c r="K4079" t="s">
        <v>19203</v>
      </c>
      <c r="L4079" t="s">
        <v>5186</v>
      </c>
      <c r="M4079" s="161" t="s">
        <v>19202</v>
      </c>
    </row>
    <row r="4080" spans="9:13" x14ac:dyDescent="0.25">
      <c r="I4080" t="s">
        <v>2236</v>
      </c>
      <c r="J4080" s="161" t="s">
        <v>19202</v>
      </c>
      <c r="K4080" t="s">
        <v>19203</v>
      </c>
      <c r="L4080" t="s">
        <v>2235</v>
      </c>
      <c r="M4080" s="161" t="s">
        <v>19202</v>
      </c>
    </row>
    <row r="4081" spans="9:13" x14ac:dyDescent="0.25">
      <c r="I4081" t="s">
        <v>19695</v>
      </c>
      <c r="J4081" s="161" t="s">
        <v>19202</v>
      </c>
      <c r="K4081" t="s">
        <v>19203</v>
      </c>
      <c r="L4081" t="s">
        <v>19696</v>
      </c>
      <c r="M4081" s="161" t="s">
        <v>19202</v>
      </c>
    </row>
    <row r="4082" spans="9:13" x14ac:dyDescent="0.25">
      <c r="I4082" t="s">
        <v>8356</v>
      </c>
      <c r="J4082" s="161" t="s">
        <v>19202</v>
      </c>
      <c r="K4082" t="s">
        <v>19203</v>
      </c>
      <c r="L4082" t="s">
        <v>8355</v>
      </c>
      <c r="M4082" s="161" t="s">
        <v>19202</v>
      </c>
    </row>
    <row r="4083" spans="9:13" x14ac:dyDescent="0.25">
      <c r="I4083" t="s">
        <v>8982</v>
      </c>
      <c r="J4083" s="161" t="s">
        <v>19202</v>
      </c>
      <c r="K4083" t="s">
        <v>19203</v>
      </c>
      <c r="L4083" t="s">
        <v>8981</v>
      </c>
      <c r="M4083" s="161" t="s">
        <v>19202</v>
      </c>
    </row>
    <row r="4084" spans="9:13" x14ac:dyDescent="0.25">
      <c r="I4084" t="s">
        <v>13879</v>
      </c>
      <c r="J4084" s="161" t="s">
        <v>19202</v>
      </c>
      <c r="K4084" t="s">
        <v>19203</v>
      </c>
      <c r="L4084" t="s">
        <v>13878</v>
      </c>
      <c r="M4084" s="161" t="s">
        <v>19202</v>
      </c>
    </row>
    <row r="4085" spans="9:13" x14ac:dyDescent="0.25">
      <c r="I4085" t="s">
        <v>3454</v>
      </c>
      <c r="J4085" s="161" t="s">
        <v>19202</v>
      </c>
      <c r="K4085" t="s">
        <v>19203</v>
      </c>
      <c r="L4085" t="s">
        <v>3453</v>
      </c>
      <c r="M4085" s="161" t="s">
        <v>19202</v>
      </c>
    </row>
    <row r="4086" spans="9:13" x14ac:dyDescent="0.25">
      <c r="I4086" t="s">
        <v>19697</v>
      </c>
      <c r="J4086" s="161" t="s">
        <v>19202</v>
      </c>
      <c r="K4086" t="s">
        <v>19203</v>
      </c>
      <c r="L4086" t="s">
        <v>19698</v>
      </c>
      <c r="M4086" s="161" t="s">
        <v>19202</v>
      </c>
    </row>
    <row r="4087" spans="9:13" x14ac:dyDescent="0.25">
      <c r="I4087" t="s">
        <v>7157</v>
      </c>
      <c r="J4087" s="161" t="s">
        <v>19202</v>
      </c>
      <c r="K4087" t="s">
        <v>19203</v>
      </c>
      <c r="L4087" t="s">
        <v>7156</v>
      </c>
      <c r="M4087" s="161" t="s">
        <v>19202</v>
      </c>
    </row>
    <row r="4088" spans="9:13" x14ac:dyDescent="0.25">
      <c r="I4088" t="s">
        <v>7473</v>
      </c>
      <c r="J4088" s="161" t="s">
        <v>19202</v>
      </c>
      <c r="K4088" t="s">
        <v>19203</v>
      </c>
      <c r="L4088" t="s">
        <v>7472</v>
      </c>
      <c r="M4088" s="161" t="s">
        <v>19202</v>
      </c>
    </row>
    <row r="4089" spans="9:13" x14ac:dyDescent="0.25">
      <c r="I4089" t="s">
        <v>9202</v>
      </c>
      <c r="J4089" s="161" t="s">
        <v>19202</v>
      </c>
      <c r="K4089" t="s">
        <v>19203</v>
      </c>
      <c r="L4089" t="s">
        <v>9201</v>
      </c>
      <c r="M4089" s="161" t="s">
        <v>19202</v>
      </c>
    </row>
    <row r="4090" spans="9:13" x14ac:dyDescent="0.25">
      <c r="I4090" t="s">
        <v>6919</v>
      </c>
      <c r="J4090" s="161" t="s">
        <v>19202</v>
      </c>
      <c r="K4090" t="s">
        <v>19203</v>
      </c>
      <c r="L4090" t="s">
        <v>6918</v>
      </c>
      <c r="M4090" s="161" t="s">
        <v>19202</v>
      </c>
    </row>
    <row r="4091" spans="9:13" x14ac:dyDescent="0.25">
      <c r="I4091" t="s">
        <v>6917</v>
      </c>
      <c r="J4091" s="161" t="s">
        <v>19202</v>
      </c>
      <c r="K4091" t="s">
        <v>19203</v>
      </c>
      <c r="L4091" t="s">
        <v>6916</v>
      </c>
      <c r="M4091" s="161" t="s">
        <v>19202</v>
      </c>
    </row>
    <row r="4092" spans="9:13" x14ac:dyDescent="0.25">
      <c r="I4092" t="s">
        <v>6913</v>
      </c>
      <c r="J4092" s="161" t="s">
        <v>19202</v>
      </c>
      <c r="K4092" t="s">
        <v>19203</v>
      </c>
      <c r="L4092" t="s">
        <v>6912</v>
      </c>
      <c r="M4092" s="161" t="s">
        <v>19202</v>
      </c>
    </row>
    <row r="4093" spans="9:13" x14ac:dyDescent="0.25">
      <c r="I4093" t="s">
        <v>6884</v>
      </c>
      <c r="J4093" s="161" t="s">
        <v>19202</v>
      </c>
      <c r="K4093" t="s">
        <v>19203</v>
      </c>
      <c r="L4093" t="s">
        <v>6883</v>
      </c>
      <c r="M4093" s="161" t="s">
        <v>19202</v>
      </c>
    </row>
    <row r="4094" spans="9:13" x14ac:dyDescent="0.25">
      <c r="I4094" t="s">
        <v>6876</v>
      </c>
      <c r="J4094" s="161" t="s">
        <v>19202</v>
      </c>
      <c r="K4094" t="s">
        <v>19203</v>
      </c>
      <c r="L4094" t="s">
        <v>6875</v>
      </c>
      <c r="M4094" s="161" t="s">
        <v>19202</v>
      </c>
    </row>
    <row r="4095" spans="9:13" x14ac:dyDescent="0.25">
      <c r="I4095" t="s">
        <v>13001</v>
      </c>
      <c r="J4095" s="161" t="s">
        <v>19202</v>
      </c>
      <c r="K4095" t="s">
        <v>19203</v>
      </c>
      <c r="L4095" t="s">
        <v>13000</v>
      </c>
      <c r="M4095" s="161" t="s">
        <v>19202</v>
      </c>
    </row>
    <row r="4096" spans="9:13" x14ac:dyDescent="0.25">
      <c r="I4096" t="s">
        <v>14151</v>
      </c>
      <c r="J4096" s="161" t="s">
        <v>19202</v>
      </c>
      <c r="K4096" t="s">
        <v>19203</v>
      </c>
      <c r="L4096" t="s">
        <v>3797</v>
      </c>
      <c r="M4096" s="161" t="s">
        <v>19202</v>
      </c>
    </row>
    <row r="4097" spans="9:13" x14ac:dyDescent="0.25">
      <c r="I4097" t="s">
        <v>2651</v>
      </c>
      <c r="J4097" s="161" t="s">
        <v>19202</v>
      </c>
      <c r="K4097" t="s">
        <v>19203</v>
      </c>
      <c r="L4097" t="s">
        <v>2650</v>
      </c>
      <c r="M4097" s="161" t="s">
        <v>19202</v>
      </c>
    </row>
    <row r="4098" spans="9:13" x14ac:dyDescent="0.25">
      <c r="I4098" t="s">
        <v>19699</v>
      </c>
      <c r="J4098" s="161" t="s">
        <v>19202</v>
      </c>
      <c r="K4098" t="s">
        <v>19203</v>
      </c>
      <c r="L4098" t="s">
        <v>19700</v>
      </c>
      <c r="M4098" s="161" t="s">
        <v>19202</v>
      </c>
    </row>
    <row r="4099" spans="9:13" x14ac:dyDescent="0.25">
      <c r="I4099" t="s">
        <v>14818</v>
      </c>
      <c r="J4099" s="161" t="s">
        <v>19202</v>
      </c>
      <c r="K4099" t="s">
        <v>19203</v>
      </c>
      <c r="L4099" t="s">
        <v>14817</v>
      </c>
      <c r="M4099" s="161" t="s">
        <v>19202</v>
      </c>
    </row>
    <row r="4100" spans="9:13" x14ac:dyDescent="0.25">
      <c r="I4100" t="s">
        <v>10671</v>
      </c>
      <c r="J4100" s="161" t="s">
        <v>19202</v>
      </c>
      <c r="K4100" t="s">
        <v>19203</v>
      </c>
      <c r="L4100" t="s">
        <v>10670</v>
      </c>
      <c r="M4100" s="161" t="s">
        <v>19202</v>
      </c>
    </row>
    <row r="4101" spans="9:13" x14ac:dyDescent="0.25">
      <c r="I4101" t="s">
        <v>14816</v>
      </c>
      <c r="J4101" s="161" t="s">
        <v>19202</v>
      </c>
      <c r="K4101" t="s">
        <v>19203</v>
      </c>
      <c r="L4101" t="s">
        <v>14815</v>
      </c>
      <c r="M4101" s="161" t="s">
        <v>19202</v>
      </c>
    </row>
    <row r="4102" spans="9:13" x14ac:dyDescent="0.25">
      <c r="I4102" t="s">
        <v>10666</v>
      </c>
      <c r="J4102" s="161" t="s">
        <v>19202</v>
      </c>
      <c r="K4102" t="s">
        <v>19203</v>
      </c>
      <c r="L4102" t="s">
        <v>10665</v>
      </c>
      <c r="M4102" s="161" t="s">
        <v>19202</v>
      </c>
    </row>
    <row r="4103" spans="9:13" x14ac:dyDescent="0.25">
      <c r="I4103" t="s">
        <v>11076</v>
      </c>
      <c r="J4103" s="161" t="s">
        <v>19202</v>
      </c>
      <c r="K4103" t="s">
        <v>19203</v>
      </c>
      <c r="L4103" t="s">
        <v>11075</v>
      </c>
      <c r="M4103" s="161" t="s">
        <v>19202</v>
      </c>
    </row>
    <row r="4104" spans="9:13" x14ac:dyDescent="0.25">
      <c r="I4104" t="s">
        <v>6562</v>
      </c>
      <c r="J4104" s="161" t="s">
        <v>19202</v>
      </c>
      <c r="K4104" t="s">
        <v>19203</v>
      </c>
      <c r="L4104" t="s">
        <v>6561</v>
      </c>
      <c r="M4104" s="161" t="s">
        <v>19202</v>
      </c>
    </row>
    <row r="4105" spans="9:13" x14ac:dyDescent="0.25">
      <c r="I4105" t="s">
        <v>9901</v>
      </c>
      <c r="J4105" s="161" t="s">
        <v>19202</v>
      </c>
      <c r="K4105" t="s">
        <v>19203</v>
      </c>
      <c r="L4105" t="s">
        <v>9900</v>
      </c>
      <c r="M4105" s="161" t="s">
        <v>19202</v>
      </c>
    </row>
    <row r="4106" spans="9:13" x14ac:dyDescent="0.25">
      <c r="I4106" t="s">
        <v>9899</v>
      </c>
      <c r="J4106" s="161" t="s">
        <v>19202</v>
      </c>
      <c r="K4106" t="s">
        <v>19203</v>
      </c>
      <c r="L4106" t="s">
        <v>9898</v>
      </c>
      <c r="M4106" s="161" t="s">
        <v>19202</v>
      </c>
    </row>
    <row r="4107" spans="9:13" x14ac:dyDescent="0.25">
      <c r="I4107" t="s">
        <v>9895</v>
      </c>
      <c r="J4107" s="161" t="s">
        <v>19202</v>
      </c>
      <c r="K4107" t="s">
        <v>19203</v>
      </c>
      <c r="L4107" t="s">
        <v>9894</v>
      </c>
      <c r="M4107" s="161" t="s">
        <v>19202</v>
      </c>
    </row>
    <row r="4108" spans="9:13" x14ac:dyDescent="0.25">
      <c r="I4108" t="s">
        <v>13883</v>
      </c>
      <c r="J4108" s="161" t="s">
        <v>19202</v>
      </c>
      <c r="K4108" t="s">
        <v>19203</v>
      </c>
      <c r="L4108" t="s">
        <v>13882</v>
      </c>
      <c r="M4108" s="161" t="s">
        <v>19202</v>
      </c>
    </row>
    <row r="4109" spans="9:13" x14ac:dyDescent="0.25">
      <c r="I4109" t="s">
        <v>6730</v>
      </c>
      <c r="J4109" s="161" t="s">
        <v>19202</v>
      </c>
      <c r="K4109" t="s">
        <v>19203</v>
      </c>
      <c r="L4109" t="s">
        <v>6729</v>
      </c>
      <c r="M4109" s="161" t="s">
        <v>19202</v>
      </c>
    </row>
    <row r="4110" spans="9:13" x14ac:dyDescent="0.25">
      <c r="I4110" t="s">
        <v>4984</v>
      </c>
      <c r="J4110" s="161" t="s">
        <v>19202</v>
      </c>
      <c r="K4110" t="s">
        <v>19203</v>
      </c>
      <c r="L4110" t="s">
        <v>4983</v>
      </c>
      <c r="M4110" s="161" t="s">
        <v>19202</v>
      </c>
    </row>
    <row r="4111" spans="9:13" x14ac:dyDescent="0.25">
      <c r="I4111" t="s">
        <v>12925</v>
      </c>
      <c r="J4111" s="161" t="s">
        <v>19202</v>
      </c>
      <c r="K4111" t="s">
        <v>19203</v>
      </c>
      <c r="L4111" t="s">
        <v>12924</v>
      </c>
      <c r="M4111" s="161" t="s">
        <v>19202</v>
      </c>
    </row>
    <row r="4112" spans="9:13" x14ac:dyDescent="0.25">
      <c r="I4112" t="s">
        <v>7750</v>
      </c>
      <c r="J4112" s="161" t="s">
        <v>19202</v>
      </c>
      <c r="K4112" t="s">
        <v>19203</v>
      </c>
      <c r="L4112" t="s">
        <v>7749</v>
      </c>
      <c r="M4112" s="161" t="s">
        <v>19202</v>
      </c>
    </row>
    <row r="4113" spans="9:13" x14ac:dyDescent="0.25">
      <c r="I4113" t="s">
        <v>6532</v>
      </c>
      <c r="J4113" s="161" t="s">
        <v>19202</v>
      </c>
      <c r="K4113" t="s">
        <v>19203</v>
      </c>
      <c r="L4113" t="s">
        <v>6531</v>
      </c>
      <c r="M4113" s="161" t="s">
        <v>19202</v>
      </c>
    </row>
    <row r="4114" spans="9:13" x14ac:dyDescent="0.25">
      <c r="I4114" t="s">
        <v>3167</v>
      </c>
      <c r="J4114" s="161" t="s">
        <v>19202</v>
      </c>
      <c r="K4114" t="s">
        <v>19203</v>
      </c>
      <c r="L4114" t="s">
        <v>3166</v>
      </c>
      <c r="M4114" s="161" t="s">
        <v>19202</v>
      </c>
    </row>
    <row r="4115" spans="9:13" x14ac:dyDescent="0.25">
      <c r="I4115" t="s">
        <v>7521</v>
      </c>
      <c r="J4115" s="161" t="s">
        <v>19202</v>
      </c>
      <c r="K4115" t="s">
        <v>19203</v>
      </c>
      <c r="L4115" t="s">
        <v>7520</v>
      </c>
      <c r="M4115" s="161" t="s">
        <v>19202</v>
      </c>
    </row>
    <row r="4116" spans="9:13" x14ac:dyDescent="0.25">
      <c r="I4116" t="s">
        <v>567</v>
      </c>
      <c r="J4116" s="161" t="s">
        <v>19202</v>
      </c>
      <c r="K4116" t="s">
        <v>19203</v>
      </c>
      <c r="L4116" t="s">
        <v>566</v>
      </c>
      <c r="M4116" s="161" t="s">
        <v>19202</v>
      </c>
    </row>
    <row r="4117" spans="9:13" x14ac:dyDescent="0.25">
      <c r="I4117" t="s">
        <v>4325</v>
      </c>
      <c r="J4117" s="161" t="s">
        <v>19202</v>
      </c>
      <c r="K4117" t="s">
        <v>19203</v>
      </c>
      <c r="L4117" t="s">
        <v>4324</v>
      </c>
      <c r="M4117" s="161" t="s">
        <v>19202</v>
      </c>
    </row>
    <row r="4118" spans="9:13" x14ac:dyDescent="0.25">
      <c r="I4118" t="s">
        <v>10848</v>
      </c>
      <c r="J4118" s="161" t="s">
        <v>19202</v>
      </c>
      <c r="K4118" t="s">
        <v>19203</v>
      </c>
      <c r="L4118" t="s">
        <v>10847</v>
      </c>
      <c r="M4118" s="161" t="s">
        <v>19202</v>
      </c>
    </row>
    <row r="4119" spans="9:13" x14ac:dyDescent="0.25">
      <c r="I4119" t="s">
        <v>11988</v>
      </c>
      <c r="J4119" s="161" t="s">
        <v>19202</v>
      </c>
      <c r="K4119" t="s">
        <v>19203</v>
      </c>
      <c r="L4119" t="s">
        <v>11987</v>
      </c>
      <c r="M4119" s="161" t="s">
        <v>19202</v>
      </c>
    </row>
    <row r="4120" spans="9:13" x14ac:dyDescent="0.25">
      <c r="I4120" t="s">
        <v>7700</v>
      </c>
      <c r="J4120" s="161" t="s">
        <v>19202</v>
      </c>
      <c r="K4120" t="s">
        <v>19203</v>
      </c>
      <c r="L4120" t="s">
        <v>7699</v>
      </c>
      <c r="M4120" s="161" t="s">
        <v>19202</v>
      </c>
    </row>
    <row r="4121" spans="9:13" x14ac:dyDescent="0.25">
      <c r="I4121" t="s">
        <v>7387</v>
      </c>
      <c r="J4121" s="161" t="s">
        <v>19202</v>
      </c>
      <c r="K4121" t="s">
        <v>19203</v>
      </c>
      <c r="L4121" t="s">
        <v>7168</v>
      </c>
      <c r="M4121" s="161" t="s">
        <v>19202</v>
      </c>
    </row>
    <row r="4122" spans="9:13" x14ac:dyDescent="0.25">
      <c r="I4122" t="s">
        <v>13887</v>
      </c>
      <c r="J4122" s="161" t="s">
        <v>19202</v>
      </c>
      <c r="K4122" t="s">
        <v>19203</v>
      </c>
      <c r="L4122" t="s">
        <v>6176</v>
      </c>
      <c r="M4122" s="161" t="s">
        <v>19202</v>
      </c>
    </row>
    <row r="4123" spans="9:13" x14ac:dyDescent="0.25">
      <c r="I4123" t="s">
        <v>7312</v>
      </c>
      <c r="J4123" s="161" t="s">
        <v>19202</v>
      </c>
      <c r="K4123" t="s">
        <v>19203</v>
      </c>
      <c r="L4123" t="s">
        <v>7311</v>
      </c>
      <c r="M4123" s="161" t="s">
        <v>19202</v>
      </c>
    </row>
    <row r="4124" spans="9:13" x14ac:dyDescent="0.25">
      <c r="I4124" t="s">
        <v>13829</v>
      </c>
      <c r="J4124" s="161" t="s">
        <v>19202</v>
      </c>
      <c r="K4124" t="s">
        <v>19203</v>
      </c>
      <c r="L4124" t="s">
        <v>13682</v>
      </c>
      <c r="M4124" s="161" t="s">
        <v>19202</v>
      </c>
    </row>
    <row r="4125" spans="9:13" x14ac:dyDescent="0.25">
      <c r="I4125" t="s">
        <v>990</v>
      </c>
      <c r="J4125" s="161" t="s">
        <v>19202</v>
      </c>
      <c r="K4125" t="s">
        <v>19203</v>
      </c>
      <c r="L4125" t="s">
        <v>989</v>
      </c>
      <c r="M4125" s="161" t="s">
        <v>19202</v>
      </c>
    </row>
    <row r="4126" spans="9:13" x14ac:dyDescent="0.25">
      <c r="I4126" t="s">
        <v>10480</v>
      </c>
      <c r="J4126" s="161" t="s">
        <v>19202</v>
      </c>
      <c r="K4126" t="s">
        <v>19203</v>
      </c>
      <c r="L4126" t="s">
        <v>10479</v>
      </c>
      <c r="M4126" s="161" t="s">
        <v>19202</v>
      </c>
    </row>
    <row r="4127" spans="9:13" x14ac:dyDescent="0.25">
      <c r="I4127" t="s">
        <v>10478</v>
      </c>
      <c r="J4127" s="161" t="s">
        <v>19202</v>
      </c>
      <c r="K4127" t="s">
        <v>19203</v>
      </c>
      <c r="L4127" t="s">
        <v>10477</v>
      </c>
      <c r="M4127" s="161" t="s">
        <v>19202</v>
      </c>
    </row>
    <row r="4128" spans="9:13" x14ac:dyDescent="0.25">
      <c r="I4128" t="s">
        <v>19701</v>
      </c>
      <c r="J4128" s="161" t="s">
        <v>19202</v>
      </c>
      <c r="K4128" t="s">
        <v>19203</v>
      </c>
      <c r="L4128" t="s">
        <v>16419</v>
      </c>
      <c r="M4128" s="161" t="s">
        <v>19202</v>
      </c>
    </row>
    <row r="4129" spans="9:13" x14ac:dyDescent="0.25">
      <c r="I4129" t="s">
        <v>1164</v>
      </c>
      <c r="J4129" s="161" t="s">
        <v>19202</v>
      </c>
      <c r="K4129" t="s">
        <v>19203</v>
      </c>
      <c r="L4129" t="s">
        <v>440</v>
      </c>
      <c r="M4129" s="161" t="s">
        <v>19202</v>
      </c>
    </row>
    <row r="4130" spans="9:13" x14ac:dyDescent="0.25">
      <c r="I4130" t="s">
        <v>5950</v>
      </c>
      <c r="J4130" s="161" t="s">
        <v>19202</v>
      </c>
      <c r="K4130" t="s">
        <v>19203</v>
      </c>
      <c r="L4130" t="s">
        <v>5949</v>
      </c>
      <c r="M4130" s="161" t="s">
        <v>19202</v>
      </c>
    </row>
    <row r="4131" spans="9:13" x14ac:dyDescent="0.25">
      <c r="I4131" t="s">
        <v>14998</v>
      </c>
      <c r="J4131" s="161" t="s">
        <v>19202</v>
      </c>
      <c r="K4131" t="s">
        <v>19203</v>
      </c>
      <c r="L4131" t="s">
        <v>14997</v>
      </c>
      <c r="M4131" s="161" t="s">
        <v>19202</v>
      </c>
    </row>
    <row r="4132" spans="9:13" x14ac:dyDescent="0.25">
      <c r="I4132" t="s">
        <v>6915</v>
      </c>
      <c r="J4132" s="161" t="s">
        <v>19202</v>
      </c>
      <c r="K4132" t="s">
        <v>19203</v>
      </c>
      <c r="L4132" t="s">
        <v>6914</v>
      </c>
      <c r="M4132" s="161" t="s">
        <v>19202</v>
      </c>
    </row>
    <row r="4133" spans="9:13" x14ac:dyDescent="0.25">
      <c r="I4133" t="s">
        <v>7188</v>
      </c>
      <c r="J4133" s="161" t="s">
        <v>19202</v>
      </c>
      <c r="K4133" t="s">
        <v>19203</v>
      </c>
      <c r="L4133" t="s">
        <v>7090</v>
      </c>
      <c r="M4133" s="161" t="s">
        <v>19202</v>
      </c>
    </row>
    <row r="4134" spans="9:13" x14ac:dyDescent="0.25">
      <c r="I4134" t="s">
        <v>19702</v>
      </c>
      <c r="J4134" s="161" t="s">
        <v>19202</v>
      </c>
      <c r="K4134" t="s">
        <v>19203</v>
      </c>
      <c r="L4134" t="s">
        <v>19703</v>
      </c>
      <c r="M4134" s="161" t="s">
        <v>19202</v>
      </c>
    </row>
    <row r="4135" spans="9:13" x14ac:dyDescent="0.25">
      <c r="I4135" t="s">
        <v>6302</v>
      </c>
      <c r="J4135" s="161" t="s">
        <v>19202</v>
      </c>
      <c r="K4135" t="s">
        <v>19203</v>
      </c>
      <c r="L4135" t="s">
        <v>6301</v>
      </c>
      <c r="M4135" s="161" t="s">
        <v>19202</v>
      </c>
    </row>
    <row r="4136" spans="9:13" x14ac:dyDescent="0.25">
      <c r="I4136" t="s">
        <v>17248</v>
      </c>
      <c r="J4136" s="161" t="s">
        <v>19202</v>
      </c>
      <c r="K4136" t="s">
        <v>19203</v>
      </c>
      <c r="L4136" t="s">
        <v>17247</v>
      </c>
      <c r="M4136" s="161" t="s">
        <v>19202</v>
      </c>
    </row>
    <row r="4137" spans="9:13" x14ac:dyDescent="0.25">
      <c r="I4137" t="s">
        <v>2495</v>
      </c>
      <c r="J4137" s="161" t="s">
        <v>19202</v>
      </c>
      <c r="K4137" t="s">
        <v>19203</v>
      </c>
      <c r="L4137" t="s">
        <v>2494</v>
      </c>
      <c r="M4137" s="161" t="s">
        <v>19202</v>
      </c>
    </row>
    <row r="4138" spans="9:13" x14ac:dyDescent="0.25">
      <c r="I4138" t="s">
        <v>7802</v>
      </c>
      <c r="J4138" s="161" t="s">
        <v>19202</v>
      </c>
      <c r="K4138" t="s">
        <v>19203</v>
      </c>
      <c r="L4138" t="s">
        <v>7801</v>
      </c>
      <c r="M4138" s="161" t="s">
        <v>19202</v>
      </c>
    </row>
    <row r="4139" spans="9:13" x14ac:dyDescent="0.25">
      <c r="I4139" t="s">
        <v>7523</v>
      </c>
      <c r="J4139" s="161" t="s">
        <v>19202</v>
      </c>
      <c r="K4139" t="s">
        <v>19203</v>
      </c>
      <c r="L4139" t="s">
        <v>7522</v>
      </c>
      <c r="M4139" s="161" t="s">
        <v>19202</v>
      </c>
    </row>
    <row r="4140" spans="9:13" x14ac:dyDescent="0.25">
      <c r="I4140" t="s">
        <v>6802</v>
      </c>
      <c r="J4140" s="161" t="s">
        <v>19202</v>
      </c>
      <c r="K4140" t="s">
        <v>19203</v>
      </c>
      <c r="L4140" t="s">
        <v>6801</v>
      </c>
      <c r="M4140" s="161" t="s">
        <v>19202</v>
      </c>
    </row>
    <row r="4141" spans="9:13" x14ac:dyDescent="0.25">
      <c r="I4141" t="s">
        <v>10474</v>
      </c>
      <c r="J4141" s="161" t="s">
        <v>19202</v>
      </c>
      <c r="K4141" t="s">
        <v>19203</v>
      </c>
      <c r="L4141" t="s">
        <v>10473</v>
      </c>
      <c r="M4141" s="161" t="s">
        <v>19202</v>
      </c>
    </row>
    <row r="4142" spans="9:13" x14ac:dyDescent="0.25">
      <c r="I4142" t="s">
        <v>10464</v>
      </c>
      <c r="J4142" s="161" t="s">
        <v>19202</v>
      </c>
      <c r="K4142" t="s">
        <v>19203</v>
      </c>
      <c r="L4142" t="s">
        <v>10463</v>
      </c>
      <c r="M4142" s="161" t="s">
        <v>19202</v>
      </c>
    </row>
    <row r="4143" spans="9:13" x14ac:dyDescent="0.25">
      <c r="I4143" t="s">
        <v>17862</v>
      </c>
      <c r="J4143" s="161" t="s">
        <v>19202</v>
      </c>
      <c r="K4143" t="s">
        <v>19203</v>
      </c>
      <c r="L4143" t="s">
        <v>17861</v>
      </c>
      <c r="M4143" s="161" t="s">
        <v>19202</v>
      </c>
    </row>
    <row r="4144" spans="9:13" x14ac:dyDescent="0.25">
      <c r="I4144" t="s">
        <v>13890</v>
      </c>
      <c r="J4144" s="161" t="s">
        <v>19202</v>
      </c>
      <c r="K4144" t="s">
        <v>19203</v>
      </c>
      <c r="L4144" t="s">
        <v>13889</v>
      </c>
      <c r="M4144" s="161" t="s">
        <v>19202</v>
      </c>
    </row>
    <row r="4145" spans="9:13" x14ac:dyDescent="0.25">
      <c r="I4145" t="s">
        <v>7471</v>
      </c>
      <c r="J4145" s="161" t="s">
        <v>19202</v>
      </c>
      <c r="K4145" t="s">
        <v>19203</v>
      </c>
      <c r="L4145" t="s">
        <v>7470</v>
      </c>
      <c r="M4145" s="161" t="s">
        <v>19202</v>
      </c>
    </row>
    <row r="4146" spans="9:13" x14ac:dyDescent="0.25">
      <c r="I4146" t="s">
        <v>8738</v>
      </c>
      <c r="J4146" s="161" t="s">
        <v>19202</v>
      </c>
      <c r="K4146" t="s">
        <v>19203</v>
      </c>
      <c r="L4146" t="s">
        <v>8737</v>
      </c>
      <c r="M4146" s="161" t="s">
        <v>19202</v>
      </c>
    </row>
    <row r="4147" spans="9:13" x14ac:dyDescent="0.25">
      <c r="I4147" t="s">
        <v>8736</v>
      </c>
      <c r="J4147" s="161" t="s">
        <v>19202</v>
      </c>
      <c r="K4147" t="s">
        <v>19203</v>
      </c>
      <c r="L4147" t="s">
        <v>8735</v>
      </c>
      <c r="M4147" s="161" t="s">
        <v>19202</v>
      </c>
    </row>
    <row r="4148" spans="9:13" x14ac:dyDescent="0.25">
      <c r="I4148" t="s">
        <v>8730</v>
      </c>
      <c r="J4148" s="161" t="s">
        <v>19202</v>
      </c>
      <c r="K4148" t="s">
        <v>19203</v>
      </c>
      <c r="L4148" t="s">
        <v>8729</v>
      </c>
      <c r="M4148" s="161" t="s">
        <v>19202</v>
      </c>
    </row>
    <row r="4149" spans="9:13" x14ac:dyDescent="0.25">
      <c r="I4149" t="s">
        <v>14810</v>
      </c>
      <c r="J4149" s="161" t="s">
        <v>19202</v>
      </c>
      <c r="K4149" t="s">
        <v>19203</v>
      </c>
      <c r="L4149" t="s">
        <v>14809</v>
      </c>
      <c r="M4149" s="161" t="s">
        <v>19202</v>
      </c>
    </row>
    <row r="4150" spans="9:13" x14ac:dyDescent="0.25">
      <c r="I4150" t="s">
        <v>8724</v>
      </c>
      <c r="J4150" s="161" t="s">
        <v>19202</v>
      </c>
      <c r="K4150" t="s">
        <v>19203</v>
      </c>
      <c r="L4150" t="s">
        <v>8723</v>
      </c>
      <c r="M4150" s="161" t="s">
        <v>19202</v>
      </c>
    </row>
    <row r="4151" spans="9:13" x14ac:dyDescent="0.25">
      <c r="I4151" t="s">
        <v>17418</v>
      </c>
      <c r="J4151" s="161" t="s">
        <v>19202</v>
      </c>
      <c r="K4151" t="s">
        <v>19203</v>
      </c>
      <c r="L4151" t="s">
        <v>3232</v>
      </c>
      <c r="M4151" s="161" t="s">
        <v>19202</v>
      </c>
    </row>
    <row r="4152" spans="9:13" x14ac:dyDescent="0.25">
      <c r="I4152" t="s">
        <v>7573</v>
      </c>
      <c r="J4152" s="161" t="s">
        <v>19202</v>
      </c>
      <c r="K4152" t="s">
        <v>19203</v>
      </c>
      <c r="L4152" t="s">
        <v>7572</v>
      </c>
      <c r="M4152" s="161" t="s">
        <v>19202</v>
      </c>
    </row>
    <row r="4153" spans="9:13" x14ac:dyDescent="0.25">
      <c r="I4153" t="s">
        <v>615</v>
      </c>
      <c r="J4153" s="161" t="s">
        <v>19202</v>
      </c>
      <c r="K4153" t="s">
        <v>19203</v>
      </c>
      <c r="L4153" t="s">
        <v>614</v>
      </c>
      <c r="M4153" s="161" t="s">
        <v>19202</v>
      </c>
    </row>
    <row r="4154" spans="9:13" x14ac:dyDescent="0.25">
      <c r="I4154" t="s">
        <v>7334</v>
      </c>
      <c r="J4154" s="161" t="s">
        <v>19202</v>
      </c>
      <c r="K4154" t="s">
        <v>19203</v>
      </c>
      <c r="L4154" t="s">
        <v>7333</v>
      </c>
      <c r="M4154" s="161" t="s">
        <v>19202</v>
      </c>
    </row>
    <row r="4155" spans="9:13" x14ac:dyDescent="0.25">
      <c r="I4155" t="s">
        <v>10468</v>
      </c>
      <c r="J4155" s="161" t="s">
        <v>19202</v>
      </c>
      <c r="K4155" t="s">
        <v>19203</v>
      </c>
      <c r="L4155" t="s">
        <v>10467</v>
      </c>
      <c r="M4155" s="161" t="s">
        <v>19202</v>
      </c>
    </row>
    <row r="4156" spans="9:13" x14ac:dyDescent="0.25">
      <c r="I4156" t="s">
        <v>10466</v>
      </c>
      <c r="J4156" s="161" t="s">
        <v>19202</v>
      </c>
      <c r="K4156" t="s">
        <v>19203</v>
      </c>
      <c r="L4156" t="s">
        <v>10465</v>
      </c>
      <c r="M4156" s="161" t="s">
        <v>19202</v>
      </c>
    </row>
    <row r="4157" spans="9:13" x14ac:dyDescent="0.25">
      <c r="I4157" t="s">
        <v>10470</v>
      </c>
      <c r="J4157" s="161" t="s">
        <v>19202</v>
      </c>
      <c r="K4157" t="s">
        <v>19203</v>
      </c>
      <c r="L4157" t="s">
        <v>10469</v>
      </c>
      <c r="M4157" s="161" t="s">
        <v>19202</v>
      </c>
    </row>
    <row r="4158" spans="9:13" x14ac:dyDescent="0.25">
      <c r="I4158" t="s">
        <v>11107</v>
      </c>
      <c r="J4158" s="161" t="s">
        <v>19202</v>
      </c>
      <c r="K4158" t="s">
        <v>19203</v>
      </c>
      <c r="L4158" t="s">
        <v>11106</v>
      </c>
      <c r="M4158" s="161" t="s">
        <v>19202</v>
      </c>
    </row>
    <row r="4159" spans="9:13" x14ac:dyDescent="0.25">
      <c r="I4159" t="s">
        <v>16691</v>
      </c>
      <c r="J4159" s="161" t="s">
        <v>19202</v>
      </c>
      <c r="K4159" t="s">
        <v>19203</v>
      </c>
      <c r="L4159" t="s">
        <v>16690</v>
      </c>
      <c r="M4159" s="161" t="s">
        <v>19202</v>
      </c>
    </row>
    <row r="4160" spans="9:13" x14ac:dyDescent="0.25">
      <c r="I4160" t="s">
        <v>17327</v>
      </c>
      <c r="J4160" s="161" t="s">
        <v>19202</v>
      </c>
      <c r="K4160" t="s">
        <v>19203</v>
      </c>
      <c r="L4160" t="s">
        <v>107</v>
      </c>
      <c r="M4160" s="161" t="s">
        <v>19202</v>
      </c>
    </row>
    <row r="4161" spans="9:13" x14ac:dyDescent="0.25">
      <c r="I4161" t="s">
        <v>6878</v>
      </c>
      <c r="J4161" s="161" t="s">
        <v>19202</v>
      </c>
      <c r="K4161" t="s">
        <v>19203</v>
      </c>
      <c r="L4161" t="s">
        <v>6877</v>
      </c>
      <c r="M4161" s="161" t="s">
        <v>19202</v>
      </c>
    </row>
    <row r="4162" spans="9:13" x14ac:dyDescent="0.25">
      <c r="I4162" t="s">
        <v>14759</v>
      </c>
      <c r="J4162" s="161" t="s">
        <v>19202</v>
      </c>
      <c r="K4162" t="s">
        <v>19203</v>
      </c>
      <c r="L4162" t="s">
        <v>3949</v>
      </c>
      <c r="M4162" s="161" t="s">
        <v>19202</v>
      </c>
    </row>
    <row r="4163" spans="9:13" x14ac:dyDescent="0.25">
      <c r="I4163" t="s">
        <v>6894</v>
      </c>
      <c r="J4163" s="161" t="s">
        <v>19202</v>
      </c>
      <c r="K4163" t="s">
        <v>19203</v>
      </c>
      <c r="L4163" t="s">
        <v>6893</v>
      </c>
      <c r="M4163" s="161" t="s">
        <v>19202</v>
      </c>
    </row>
    <row r="4164" spans="9:13" x14ac:dyDescent="0.25">
      <c r="I4164" t="s">
        <v>7954</v>
      </c>
      <c r="J4164" s="161" t="s">
        <v>19202</v>
      </c>
      <c r="K4164" t="s">
        <v>19203</v>
      </c>
      <c r="L4164" t="s">
        <v>7953</v>
      </c>
      <c r="M4164" s="161" t="s">
        <v>19202</v>
      </c>
    </row>
    <row r="4165" spans="9:13" x14ac:dyDescent="0.25">
      <c r="I4165" t="s">
        <v>4101</v>
      </c>
      <c r="J4165" s="161" t="s">
        <v>19202</v>
      </c>
      <c r="K4165" t="s">
        <v>19203</v>
      </c>
      <c r="L4165" t="s">
        <v>4100</v>
      </c>
      <c r="M4165" s="161" t="s">
        <v>19202</v>
      </c>
    </row>
    <row r="4166" spans="9:13" x14ac:dyDescent="0.25">
      <c r="I4166" t="s">
        <v>3955</v>
      </c>
      <c r="J4166" s="161" t="s">
        <v>19202</v>
      </c>
      <c r="K4166" t="s">
        <v>19203</v>
      </c>
      <c r="L4166" t="s">
        <v>3954</v>
      </c>
      <c r="M4166" s="161" t="s">
        <v>19202</v>
      </c>
    </row>
    <row r="4167" spans="9:13" x14ac:dyDescent="0.25">
      <c r="I4167" t="s">
        <v>4697</v>
      </c>
      <c r="J4167" s="161" t="s">
        <v>19202</v>
      </c>
      <c r="K4167" t="s">
        <v>19203</v>
      </c>
      <c r="L4167" t="s">
        <v>4696</v>
      </c>
      <c r="M4167" s="161" t="s">
        <v>19202</v>
      </c>
    </row>
    <row r="4168" spans="9:13" x14ac:dyDescent="0.25">
      <c r="I4168" t="s">
        <v>3953</v>
      </c>
      <c r="J4168" s="161" t="s">
        <v>19202</v>
      </c>
      <c r="K4168" t="s">
        <v>19203</v>
      </c>
      <c r="L4168" t="s">
        <v>1344</v>
      </c>
      <c r="M4168" s="161" t="s">
        <v>19202</v>
      </c>
    </row>
    <row r="4169" spans="9:13" x14ac:dyDescent="0.25">
      <c r="I4169" t="s">
        <v>3952</v>
      </c>
      <c r="J4169" s="161" t="s">
        <v>19202</v>
      </c>
      <c r="K4169" t="s">
        <v>19203</v>
      </c>
      <c r="L4169" t="s">
        <v>3951</v>
      </c>
      <c r="M4169" s="161" t="s">
        <v>19202</v>
      </c>
    </row>
    <row r="4170" spans="9:13" x14ac:dyDescent="0.25">
      <c r="I4170" t="s">
        <v>3950</v>
      </c>
      <c r="J4170" s="161" t="s">
        <v>19202</v>
      </c>
      <c r="K4170" t="s">
        <v>19203</v>
      </c>
      <c r="L4170" t="s">
        <v>3949</v>
      </c>
      <c r="M4170" s="161" t="s">
        <v>19202</v>
      </c>
    </row>
    <row r="4171" spans="9:13" x14ac:dyDescent="0.25">
      <c r="I4171" t="s">
        <v>3948</v>
      </c>
      <c r="J4171" s="161" t="s">
        <v>19202</v>
      </c>
      <c r="K4171" t="s">
        <v>19203</v>
      </c>
      <c r="L4171" t="s">
        <v>3947</v>
      </c>
      <c r="M4171" s="161" t="s">
        <v>19202</v>
      </c>
    </row>
    <row r="4172" spans="9:13" x14ac:dyDescent="0.25">
      <c r="I4172" t="s">
        <v>10444</v>
      </c>
      <c r="J4172" s="161" t="s">
        <v>19202</v>
      </c>
      <c r="K4172" t="s">
        <v>19203</v>
      </c>
      <c r="L4172" t="s">
        <v>10443</v>
      </c>
      <c r="M4172" s="161" t="s">
        <v>19202</v>
      </c>
    </row>
    <row r="4173" spans="9:13" x14ac:dyDescent="0.25">
      <c r="I4173" t="s">
        <v>14735</v>
      </c>
      <c r="J4173" s="161" t="s">
        <v>19202</v>
      </c>
      <c r="K4173" t="s">
        <v>19203</v>
      </c>
      <c r="L4173" t="s">
        <v>14734</v>
      </c>
      <c r="M4173" s="161" t="s">
        <v>19202</v>
      </c>
    </row>
    <row r="4174" spans="9:13" x14ac:dyDescent="0.25">
      <c r="I4174" t="s">
        <v>5220</v>
      </c>
      <c r="J4174" s="161" t="s">
        <v>19202</v>
      </c>
      <c r="K4174" t="s">
        <v>19203</v>
      </c>
      <c r="L4174" t="s">
        <v>5219</v>
      </c>
      <c r="M4174" s="161" t="s">
        <v>19202</v>
      </c>
    </row>
    <row r="4175" spans="9:13" x14ac:dyDescent="0.25">
      <c r="I4175" t="s">
        <v>13650</v>
      </c>
      <c r="J4175" s="161" t="s">
        <v>19202</v>
      </c>
      <c r="K4175" t="s">
        <v>19203</v>
      </c>
      <c r="L4175" t="s">
        <v>13636</v>
      </c>
      <c r="M4175" s="161" t="s">
        <v>19202</v>
      </c>
    </row>
    <row r="4176" spans="9:13" x14ac:dyDescent="0.25">
      <c r="I4176" t="s">
        <v>14820</v>
      </c>
      <c r="J4176" s="161" t="s">
        <v>19202</v>
      </c>
      <c r="K4176" t="s">
        <v>19203</v>
      </c>
      <c r="L4176" t="s">
        <v>14819</v>
      </c>
      <c r="M4176" s="161" t="s">
        <v>19202</v>
      </c>
    </row>
    <row r="4177" spans="9:13" x14ac:dyDescent="0.25">
      <c r="I4177" t="s">
        <v>8350</v>
      </c>
      <c r="J4177" s="161" t="s">
        <v>19202</v>
      </c>
      <c r="K4177" t="s">
        <v>19203</v>
      </c>
      <c r="L4177" t="s">
        <v>8349</v>
      </c>
      <c r="M4177" s="161" t="s">
        <v>19202</v>
      </c>
    </row>
    <row r="4178" spans="9:13" x14ac:dyDescent="0.25">
      <c r="I4178" t="s">
        <v>2316</v>
      </c>
      <c r="J4178" s="161" t="s">
        <v>19202</v>
      </c>
      <c r="K4178" t="s">
        <v>19203</v>
      </c>
      <c r="L4178" t="s">
        <v>2315</v>
      </c>
      <c r="M4178" s="161" t="s">
        <v>19202</v>
      </c>
    </row>
    <row r="4179" spans="9:13" x14ac:dyDescent="0.25">
      <c r="I4179" t="s">
        <v>8732</v>
      </c>
      <c r="J4179" s="161" t="s">
        <v>19202</v>
      </c>
      <c r="K4179" t="s">
        <v>19203</v>
      </c>
      <c r="L4179" t="s">
        <v>8731</v>
      </c>
      <c r="M4179" s="161" t="s">
        <v>19202</v>
      </c>
    </row>
    <row r="4180" spans="9:13" x14ac:dyDescent="0.25">
      <c r="I4180" t="s">
        <v>19704</v>
      </c>
      <c r="J4180" s="161" t="s">
        <v>19202</v>
      </c>
      <c r="K4180" t="s">
        <v>19203</v>
      </c>
      <c r="L4180" t="s">
        <v>19705</v>
      </c>
      <c r="M4180" s="161" t="s">
        <v>19202</v>
      </c>
    </row>
    <row r="4181" spans="9:13" x14ac:dyDescent="0.25">
      <c r="I4181" t="s">
        <v>8038</v>
      </c>
      <c r="J4181" s="161" t="s">
        <v>19202</v>
      </c>
      <c r="K4181" t="s">
        <v>19203</v>
      </c>
      <c r="L4181" t="s">
        <v>8037</v>
      </c>
      <c r="M4181" s="161" t="s">
        <v>19202</v>
      </c>
    </row>
    <row r="4182" spans="9:13" x14ac:dyDescent="0.25">
      <c r="I4182" t="s">
        <v>7746</v>
      </c>
      <c r="J4182" s="161" t="s">
        <v>19202</v>
      </c>
      <c r="K4182" t="s">
        <v>19203</v>
      </c>
      <c r="L4182" t="s">
        <v>7745</v>
      </c>
      <c r="M4182" s="161" t="s">
        <v>19202</v>
      </c>
    </row>
    <row r="4183" spans="9:13" x14ac:dyDescent="0.25">
      <c r="I4183" t="s">
        <v>2312</v>
      </c>
      <c r="J4183" s="161" t="s">
        <v>19202</v>
      </c>
      <c r="K4183" t="s">
        <v>19203</v>
      </c>
      <c r="L4183" t="s">
        <v>2311</v>
      </c>
      <c r="M4183" s="161" t="s">
        <v>19202</v>
      </c>
    </row>
    <row r="4184" spans="9:13" x14ac:dyDescent="0.25">
      <c r="I4184" t="s">
        <v>15807</v>
      </c>
      <c r="J4184" s="161" t="s">
        <v>19202</v>
      </c>
      <c r="K4184" t="s">
        <v>19203</v>
      </c>
      <c r="L4184" t="s">
        <v>15806</v>
      </c>
      <c r="M4184" s="161" t="s">
        <v>19202</v>
      </c>
    </row>
    <row r="4185" spans="9:13" x14ac:dyDescent="0.25">
      <c r="I4185" t="s">
        <v>15805</v>
      </c>
      <c r="J4185" s="161" t="s">
        <v>19202</v>
      </c>
      <c r="K4185" t="s">
        <v>19203</v>
      </c>
      <c r="L4185" t="s">
        <v>14187</v>
      </c>
      <c r="M4185" s="161" t="s">
        <v>19202</v>
      </c>
    </row>
    <row r="4186" spans="9:13" x14ac:dyDescent="0.25">
      <c r="I4186" t="s">
        <v>16818</v>
      </c>
      <c r="J4186" s="161" t="s">
        <v>19202</v>
      </c>
      <c r="K4186" t="s">
        <v>19203</v>
      </c>
      <c r="L4186" t="s">
        <v>16300</v>
      </c>
      <c r="M4186" s="161" t="s">
        <v>19202</v>
      </c>
    </row>
    <row r="4187" spans="9:13" x14ac:dyDescent="0.25">
      <c r="I4187" t="s">
        <v>15804</v>
      </c>
      <c r="J4187" s="161" t="s">
        <v>19202</v>
      </c>
      <c r="K4187" t="s">
        <v>19203</v>
      </c>
      <c r="L4187" t="s">
        <v>1344</v>
      </c>
      <c r="M4187" s="161" t="s">
        <v>19202</v>
      </c>
    </row>
    <row r="4188" spans="9:13" x14ac:dyDescent="0.25">
      <c r="I4188" t="s">
        <v>16421</v>
      </c>
      <c r="J4188" s="161" t="s">
        <v>19202</v>
      </c>
      <c r="K4188" t="s">
        <v>19203</v>
      </c>
      <c r="L4188" t="s">
        <v>685</v>
      </c>
      <c r="M4188" s="161" t="s">
        <v>19202</v>
      </c>
    </row>
    <row r="4189" spans="9:13" x14ac:dyDescent="0.25">
      <c r="I4189" t="s">
        <v>16469</v>
      </c>
      <c r="J4189" s="161" t="s">
        <v>19202</v>
      </c>
      <c r="K4189" t="s">
        <v>19203</v>
      </c>
      <c r="L4189" t="s">
        <v>3984</v>
      </c>
      <c r="M4189" s="161" t="s">
        <v>19202</v>
      </c>
    </row>
    <row r="4190" spans="9:13" x14ac:dyDescent="0.25">
      <c r="I4190" t="s">
        <v>16964</v>
      </c>
      <c r="J4190" s="161" t="s">
        <v>19202</v>
      </c>
      <c r="K4190" t="s">
        <v>19203</v>
      </c>
      <c r="L4190" t="s">
        <v>16963</v>
      </c>
      <c r="M4190" s="161" t="s">
        <v>19202</v>
      </c>
    </row>
    <row r="4191" spans="9:13" x14ac:dyDescent="0.25">
      <c r="I4191" t="s">
        <v>17035</v>
      </c>
      <c r="J4191" s="161" t="s">
        <v>19202</v>
      </c>
      <c r="K4191" t="s">
        <v>19203</v>
      </c>
      <c r="L4191" t="s">
        <v>17034</v>
      </c>
      <c r="M4191" s="161" t="s">
        <v>19202</v>
      </c>
    </row>
    <row r="4192" spans="9:13" x14ac:dyDescent="0.25">
      <c r="I4192" t="s">
        <v>15803</v>
      </c>
      <c r="J4192" s="161" t="s">
        <v>19202</v>
      </c>
      <c r="K4192" t="s">
        <v>19203</v>
      </c>
      <c r="L4192" t="s">
        <v>15611</v>
      </c>
      <c r="M4192" s="161" t="s">
        <v>19202</v>
      </c>
    </row>
    <row r="4193" spans="9:13" x14ac:dyDescent="0.25">
      <c r="I4193" t="s">
        <v>16016</v>
      </c>
      <c r="J4193" s="161" t="s">
        <v>19202</v>
      </c>
      <c r="K4193" t="s">
        <v>19203</v>
      </c>
      <c r="L4193" t="s">
        <v>1154</v>
      </c>
      <c r="M4193" s="161" t="s">
        <v>19202</v>
      </c>
    </row>
    <row r="4194" spans="9:13" x14ac:dyDescent="0.25">
      <c r="I4194" t="s">
        <v>15972</v>
      </c>
      <c r="J4194" s="161" t="s">
        <v>19202</v>
      </c>
      <c r="K4194" t="s">
        <v>19203</v>
      </c>
      <c r="L4194" t="s">
        <v>15971</v>
      </c>
      <c r="M4194" s="161" t="s">
        <v>19202</v>
      </c>
    </row>
    <row r="4195" spans="9:13" x14ac:dyDescent="0.25">
      <c r="I4195" t="s">
        <v>16418</v>
      </c>
      <c r="J4195" s="161" t="s">
        <v>19202</v>
      </c>
      <c r="K4195" t="s">
        <v>19203</v>
      </c>
      <c r="L4195" t="s">
        <v>4913</v>
      </c>
      <c r="M4195" s="161" t="s">
        <v>19202</v>
      </c>
    </row>
    <row r="4196" spans="9:13" x14ac:dyDescent="0.25">
      <c r="I4196" t="s">
        <v>16417</v>
      </c>
      <c r="J4196" s="161" t="s">
        <v>19202</v>
      </c>
      <c r="K4196" t="s">
        <v>19203</v>
      </c>
      <c r="L4196" t="s">
        <v>13327</v>
      </c>
      <c r="M4196" s="161" t="s">
        <v>19202</v>
      </c>
    </row>
    <row r="4197" spans="9:13" x14ac:dyDescent="0.25">
      <c r="I4197" t="s">
        <v>16386</v>
      </c>
      <c r="J4197" s="161" t="s">
        <v>19202</v>
      </c>
      <c r="K4197" t="s">
        <v>19203</v>
      </c>
      <c r="L4197" t="s">
        <v>440</v>
      </c>
      <c r="M4197" s="161" t="s">
        <v>19202</v>
      </c>
    </row>
    <row r="4198" spans="9:13" x14ac:dyDescent="0.25">
      <c r="I4198" t="s">
        <v>16749</v>
      </c>
      <c r="J4198" s="161" t="s">
        <v>19202</v>
      </c>
      <c r="K4198" t="s">
        <v>19203</v>
      </c>
      <c r="L4198" t="s">
        <v>621</v>
      </c>
      <c r="M4198" s="161" t="s">
        <v>19202</v>
      </c>
    </row>
    <row r="4199" spans="9:13" x14ac:dyDescent="0.25">
      <c r="I4199" t="s">
        <v>15721</v>
      </c>
      <c r="J4199" s="161" t="s">
        <v>19202</v>
      </c>
      <c r="K4199" t="s">
        <v>19203</v>
      </c>
      <c r="L4199" t="s">
        <v>1314</v>
      </c>
      <c r="M4199" s="161" t="s">
        <v>19202</v>
      </c>
    </row>
    <row r="4200" spans="9:13" x14ac:dyDescent="0.25">
      <c r="I4200" t="s">
        <v>16307</v>
      </c>
      <c r="J4200" s="161" t="s">
        <v>19202</v>
      </c>
      <c r="K4200" t="s">
        <v>19203</v>
      </c>
      <c r="L4200" t="s">
        <v>3632</v>
      </c>
      <c r="M4200" s="161" t="s">
        <v>19202</v>
      </c>
    </row>
    <row r="4201" spans="9:13" x14ac:dyDescent="0.25">
      <c r="I4201" t="s">
        <v>15686</v>
      </c>
      <c r="J4201" s="161" t="s">
        <v>19202</v>
      </c>
      <c r="K4201" t="s">
        <v>19203</v>
      </c>
      <c r="L4201" t="s">
        <v>15685</v>
      </c>
      <c r="M4201" s="161" t="s">
        <v>19202</v>
      </c>
    </row>
    <row r="4202" spans="9:13" x14ac:dyDescent="0.25">
      <c r="I4202" t="s">
        <v>15577</v>
      </c>
      <c r="J4202" s="161" t="s">
        <v>19202</v>
      </c>
      <c r="K4202" t="s">
        <v>19203</v>
      </c>
      <c r="L4202" t="s">
        <v>14187</v>
      </c>
      <c r="M4202" s="161" t="s">
        <v>19202</v>
      </c>
    </row>
    <row r="4203" spans="9:13" x14ac:dyDescent="0.25">
      <c r="I4203" t="s">
        <v>15576</v>
      </c>
      <c r="J4203" s="161" t="s">
        <v>19202</v>
      </c>
      <c r="K4203" t="s">
        <v>19203</v>
      </c>
      <c r="L4203" t="s">
        <v>15575</v>
      </c>
      <c r="M4203" s="161" t="s">
        <v>19202</v>
      </c>
    </row>
    <row r="4204" spans="9:13" x14ac:dyDescent="0.25">
      <c r="I4204" t="s">
        <v>15574</v>
      </c>
      <c r="J4204" s="161" t="s">
        <v>19202</v>
      </c>
      <c r="K4204" t="s">
        <v>19203</v>
      </c>
      <c r="L4204" t="s">
        <v>15573</v>
      </c>
      <c r="M4204" s="161" t="s">
        <v>19202</v>
      </c>
    </row>
    <row r="4205" spans="9:13" x14ac:dyDescent="0.25">
      <c r="I4205" t="s">
        <v>15571</v>
      </c>
      <c r="J4205" s="161" t="s">
        <v>19202</v>
      </c>
      <c r="K4205" t="s">
        <v>19203</v>
      </c>
      <c r="L4205" t="s">
        <v>15570</v>
      </c>
      <c r="M4205" s="161" t="s">
        <v>19202</v>
      </c>
    </row>
    <row r="4206" spans="9:13" x14ac:dyDescent="0.25">
      <c r="I4206" t="s">
        <v>17031</v>
      </c>
      <c r="J4206" s="161" t="s">
        <v>19202</v>
      </c>
      <c r="K4206" t="s">
        <v>19203</v>
      </c>
      <c r="L4206" t="s">
        <v>3632</v>
      </c>
      <c r="M4206" s="161" t="s">
        <v>19202</v>
      </c>
    </row>
    <row r="4207" spans="9:13" x14ac:dyDescent="0.25">
      <c r="I4207" t="s">
        <v>15569</v>
      </c>
      <c r="J4207" s="161" t="s">
        <v>19202</v>
      </c>
      <c r="K4207" t="s">
        <v>19203</v>
      </c>
      <c r="L4207" t="s">
        <v>2436</v>
      </c>
      <c r="M4207" s="161" t="s">
        <v>19202</v>
      </c>
    </row>
    <row r="4208" spans="9:13" x14ac:dyDescent="0.25">
      <c r="I4208" t="s">
        <v>15568</v>
      </c>
      <c r="J4208" s="161" t="s">
        <v>19202</v>
      </c>
      <c r="K4208" t="s">
        <v>19203</v>
      </c>
      <c r="L4208" t="s">
        <v>15567</v>
      </c>
      <c r="M4208" s="161" t="s">
        <v>19202</v>
      </c>
    </row>
    <row r="4209" spans="9:13" x14ac:dyDescent="0.25">
      <c r="I4209" t="s">
        <v>16468</v>
      </c>
      <c r="J4209" s="161" t="s">
        <v>19202</v>
      </c>
      <c r="K4209" t="s">
        <v>19203</v>
      </c>
      <c r="L4209" t="s">
        <v>16467</v>
      </c>
      <c r="M4209" s="161" t="s">
        <v>19202</v>
      </c>
    </row>
    <row r="4210" spans="9:13" x14ac:dyDescent="0.25">
      <c r="I4210" t="s">
        <v>16346</v>
      </c>
      <c r="J4210" s="161" t="s">
        <v>19202</v>
      </c>
      <c r="K4210" t="s">
        <v>19203</v>
      </c>
      <c r="L4210" t="s">
        <v>16345</v>
      </c>
      <c r="M4210" s="161" t="s">
        <v>19202</v>
      </c>
    </row>
    <row r="4211" spans="9:13" x14ac:dyDescent="0.25">
      <c r="I4211" t="s">
        <v>16384</v>
      </c>
      <c r="J4211" s="161" t="s">
        <v>19202</v>
      </c>
      <c r="K4211" t="s">
        <v>19203</v>
      </c>
      <c r="L4211" t="s">
        <v>13547</v>
      </c>
      <c r="M4211" s="161" t="s">
        <v>19202</v>
      </c>
    </row>
    <row r="4212" spans="9:13" x14ac:dyDescent="0.25">
      <c r="I4212" t="s">
        <v>16383</v>
      </c>
      <c r="J4212" s="161" t="s">
        <v>19202</v>
      </c>
      <c r="K4212" t="s">
        <v>19203</v>
      </c>
      <c r="L4212" t="s">
        <v>13332</v>
      </c>
      <c r="M4212" s="161" t="s">
        <v>19202</v>
      </c>
    </row>
    <row r="4213" spans="9:13" x14ac:dyDescent="0.25">
      <c r="I4213" t="s">
        <v>16191</v>
      </c>
      <c r="J4213" s="161" t="s">
        <v>19202</v>
      </c>
      <c r="K4213" t="s">
        <v>19203</v>
      </c>
      <c r="L4213" t="s">
        <v>16190</v>
      </c>
      <c r="M4213" s="161" t="s">
        <v>19202</v>
      </c>
    </row>
    <row r="4214" spans="9:13" x14ac:dyDescent="0.25">
      <c r="I4214" t="s">
        <v>16959</v>
      </c>
      <c r="J4214" s="161" t="s">
        <v>19202</v>
      </c>
      <c r="K4214" t="s">
        <v>19203</v>
      </c>
      <c r="L4214" t="s">
        <v>970</v>
      </c>
      <c r="M4214" s="161" t="s">
        <v>19202</v>
      </c>
    </row>
    <row r="4215" spans="9:13" x14ac:dyDescent="0.25">
      <c r="I4215" t="s">
        <v>16306</v>
      </c>
      <c r="J4215" s="161" t="s">
        <v>19202</v>
      </c>
      <c r="K4215" t="s">
        <v>19203</v>
      </c>
      <c r="L4215" t="s">
        <v>758</v>
      </c>
      <c r="M4215" s="161" t="s">
        <v>19202</v>
      </c>
    </row>
    <row r="4216" spans="9:13" x14ac:dyDescent="0.25">
      <c r="I4216" t="s">
        <v>15534</v>
      </c>
      <c r="J4216" s="161" t="s">
        <v>19202</v>
      </c>
      <c r="K4216" t="s">
        <v>19203</v>
      </c>
      <c r="L4216" t="s">
        <v>12605</v>
      </c>
      <c r="M4216" s="161" t="s">
        <v>19202</v>
      </c>
    </row>
    <row r="4217" spans="9:13" x14ac:dyDescent="0.25">
      <c r="I4217" t="s">
        <v>15875</v>
      </c>
      <c r="J4217" s="161" t="s">
        <v>19202</v>
      </c>
      <c r="K4217" t="s">
        <v>19203</v>
      </c>
      <c r="L4217" t="s">
        <v>15874</v>
      </c>
      <c r="M4217" s="161" t="s">
        <v>19202</v>
      </c>
    </row>
    <row r="4218" spans="9:13" x14ac:dyDescent="0.25">
      <c r="I4218" t="s">
        <v>16816</v>
      </c>
      <c r="J4218" s="161" t="s">
        <v>19202</v>
      </c>
      <c r="K4218" t="s">
        <v>19203</v>
      </c>
      <c r="L4218" t="s">
        <v>16815</v>
      </c>
      <c r="M4218" s="161" t="s">
        <v>19202</v>
      </c>
    </row>
    <row r="4219" spans="9:13" x14ac:dyDescent="0.25">
      <c r="I4219" t="s">
        <v>16466</v>
      </c>
      <c r="J4219" s="161" t="s">
        <v>19202</v>
      </c>
      <c r="K4219" t="s">
        <v>19203</v>
      </c>
      <c r="L4219" t="s">
        <v>16465</v>
      </c>
      <c r="M4219" s="161" t="s">
        <v>19202</v>
      </c>
    </row>
    <row r="4220" spans="9:13" x14ac:dyDescent="0.25">
      <c r="I4220" t="s">
        <v>16464</v>
      </c>
      <c r="J4220" s="161" t="s">
        <v>19202</v>
      </c>
      <c r="K4220" t="s">
        <v>19203</v>
      </c>
      <c r="L4220" t="s">
        <v>16463</v>
      </c>
      <c r="M4220" s="161" t="s">
        <v>19202</v>
      </c>
    </row>
    <row r="4221" spans="9:13" x14ac:dyDescent="0.25">
      <c r="I4221" t="s">
        <v>15682</v>
      </c>
      <c r="J4221" s="161" t="s">
        <v>19202</v>
      </c>
      <c r="K4221" t="s">
        <v>19203</v>
      </c>
      <c r="L4221" t="s">
        <v>15681</v>
      </c>
      <c r="M4221" s="161" t="s">
        <v>19202</v>
      </c>
    </row>
    <row r="4222" spans="9:13" x14ac:dyDescent="0.25">
      <c r="I4222" t="s">
        <v>15638</v>
      </c>
      <c r="J4222" s="161" t="s">
        <v>19202</v>
      </c>
      <c r="K4222" t="s">
        <v>19203</v>
      </c>
      <c r="L4222" t="s">
        <v>3945</v>
      </c>
      <c r="M4222" s="161" t="s">
        <v>19202</v>
      </c>
    </row>
    <row r="4223" spans="9:13" x14ac:dyDescent="0.25">
      <c r="I4223" t="s">
        <v>15637</v>
      </c>
      <c r="J4223" s="161" t="s">
        <v>19202</v>
      </c>
      <c r="K4223" t="s">
        <v>19203</v>
      </c>
      <c r="L4223" t="s">
        <v>13151</v>
      </c>
      <c r="M4223" s="161" t="s">
        <v>19202</v>
      </c>
    </row>
    <row r="4224" spans="9:13" x14ac:dyDescent="0.25">
      <c r="I4224" t="s">
        <v>15532</v>
      </c>
      <c r="J4224" s="161" t="s">
        <v>19202</v>
      </c>
      <c r="K4224" t="s">
        <v>19203</v>
      </c>
      <c r="L4224" t="s">
        <v>5752</v>
      </c>
      <c r="M4224" s="161" t="s">
        <v>19202</v>
      </c>
    </row>
    <row r="4225" spans="9:13" x14ac:dyDescent="0.25">
      <c r="I4225" t="s">
        <v>15531</v>
      </c>
      <c r="J4225" s="161" t="s">
        <v>19202</v>
      </c>
      <c r="K4225" t="s">
        <v>19203</v>
      </c>
      <c r="L4225" t="s">
        <v>15530</v>
      </c>
      <c r="M4225" s="161" t="s">
        <v>19202</v>
      </c>
    </row>
    <row r="4226" spans="9:13" x14ac:dyDescent="0.25">
      <c r="I4226" t="s">
        <v>16305</v>
      </c>
      <c r="J4226" s="161" t="s">
        <v>19202</v>
      </c>
      <c r="K4226" t="s">
        <v>19203</v>
      </c>
      <c r="L4226" t="s">
        <v>13443</v>
      </c>
      <c r="M4226" s="161" t="s">
        <v>19202</v>
      </c>
    </row>
    <row r="4227" spans="9:13" x14ac:dyDescent="0.25">
      <c r="I4227" t="s">
        <v>16344</v>
      </c>
      <c r="J4227" s="161" t="s">
        <v>19202</v>
      </c>
      <c r="K4227" t="s">
        <v>19203</v>
      </c>
      <c r="L4227" t="s">
        <v>1387</v>
      </c>
      <c r="M4227" s="161" t="s">
        <v>19202</v>
      </c>
    </row>
    <row r="4228" spans="9:13" x14ac:dyDescent="0.25">
      <c r="I4228" t="s">
        <v>15529</v>
      </c>
      <c r="J4228" s="161" t="s">
        <v>19202</v>
      </c>
      <c r="K4228" t="s">
        <v>19203</v>
      </c>
      <c r="L4228" t="s">
        <v>15528</v>
      </c>
      <c r="M4228" s="161" t="s">
        <v>19202</v>
      </c>
    </row>
    <row r="4229" spans="9:13" x14ac:dyDescent="0.25">
      <c r="I4229" t="s">
        <v>15527</v>
      </c>
      <c r="J4229" s="161" t="s">
        <v>19202</v>
      </c>
      <c r="K4229" t="s">
        <v>19203</v>
      </c>
      <c r="L4229" t="s">
        <v>542</v>
      </c>
      <c r="M4229" s="161" t="s">
        <v>19202</v>
      </c>
    </row>
    <row r="4230" spans="9:13" x14ac:dyDescent="0.25">
      <c r="I4230" t="s">
        <v>16814</v>
      </c>
      <c r="J4230" s="161" t="s">
        <v>19202</v>
      </c>
      <c r="K4230" t="s">
        <v>19203</v>
      </c>
      <c r="L4230" t="s">
        <v>970</v>
      </c>
      <c r="M4230" s="161" t="s">
        <v>19202</v>
      </c>
    </row>
    <row r="4231" spans="9:13" x14ac:dyDescent="0.25">
      <c r="I4231" t="s">
        <v>16813</v>
      </c>
      <c r="J4231" s="161" t="s">
        <v>19202</v>
      </c>
      <c r="K4231" t="s">
        <v>19203</v>
      </c>
      <c r="L4231" t="s">
        <v>16812</v>
      </c>
      <c r="M4231" s="161" t="s">
        <v>19202</v>
      </c>
    </row>
    <row r="4232" spans="9:13" x14ac:dyDescent="0.25">
      <c r="I4232" t="s">
        <v>15938</v>
      </c>
      <c r="J4232" s="161" t="s">
        <v>19202</v>
      </c>
      <c r="K4232" t="s">
        <v>19203</v>
      </c>
      <c r="L4232" t="s">
        <v>15937</v>
      </c>
      <c r="M4232" s="161" t="s">
        <v>19202</v>
      </c>
    </row>
    <row r="4233" spans="9:13" x14ac:dyDescent="0.25">
      <c r="I4233" t="s">
        <v>16232</v>
      </c>
      <c r="J4233" s="161" t="s">
        <v>19202</v>
      </c>
      <c r="K4233" t="s">
        <v>19203</v>
      </c>
      <c r="L4233" t="s">
        <v>16231</v>
      </c>
      <c r="M4233" s="161" t="s">
        <v>19202</v>
      </c>
    </row>
    <row r="4234" spans="9:13" x14ac:dyDescent="0.25">
      <c r="I4234" t="s">
        <v>16230</v>
      </c>
      <c r="J4234" s="161" t="s">
        <v>19202</v>
      </c>
      <c r="K4234" t="s">
        <v>19203</v>
      </c>
      <c r="L4234" t="s">
        <v>16229</v>
      </c>
      <c r="M4234" s="161" t="s">
        <v>19202</v>
      </c>
    </row>
    <row r="4235" spans="9:13" x14ac:dyDescent="0.25">
      <c r="I4235" t="s">
        <v>16343</v>
      </c>
      <c r="J4235" s="161" t="s">
        <v>19202</v>
      </c>
      <c r="K4235" t="s">
        <v>19203</v>
      </c>
      <c r="L4235" t="s">
        <v>16342</v>
      </c>
      <c r="M4235" s="161" t="s">
        <v>19202</v>
      </c>
    </row>
    <row r="4236" spans="9:13" x14ac:dyDescent="0.25">
      <c r="I4236" t="s">
        <v>16540</v>
      </c>
      <c r="J4236" s="161" t="s">
        <v>19202</v>
      </c>
      <c r="K4236" t="s">
        <v>19203</v>
      </c>
      <c r="L4236" t="s">
        <v>928</v>
      </c>
      <c r="M4236" s="161" t="s">
        <v>19202</v>
      </c>
    </row>
    <row r="4237" spans="9:13" x14ac:dyDescent="0.25">
      <c r="I4237" t="s">
        <v>16228</v>
      </c>
      <c r="J4237" s="161" t="s">
        <v>19202</v>
      </c>
      <c r="K4237" t="s">
        <v>19203</v>
      </c>
      <c r="L4237" t="s">
        <v>16227</v>
      </c>
      <c r="M4237" s="161" t="s">
        <v>19202</v>
      </c>
    </row>
    <row r="4238" spans="9:13" x14ac:dyDescent="0.25">
      <c r="I4238" t="s">
        <v>16958</v>
      </c>
      <c r="J4238" s="161" t="s">
        <v>19202</v>
      </c>
      <c r="K4238" t="s">
        <v>19203</v>
      </c>
      <c r="L4238" t="s">
        <v>16957</v>
      </c>
      <c r="M4238" s="161" t="s">
        <v>19202</v>
      </c>
    </row>
    <row r="4239" spans="9:13" x14ac:dyDescent="0.25">
      <c r="I4239" t="s">
        <v>16011</v>
      </c>
      <c r="J4239" s="161" t="s">
        <v>19202</v>
      </c>
      <c r="K4239" t="s">
        <v>19203</v>
      </c>
      <c r="L4239" t="s">
        <v>16010</v>
      </c>
      <c r="M4239" s="161" t="s">
        <v>19202</v>
      </c>
    </row>
    <row r="4240" spans="9:13" x14ac:dyDescent="0.25">
      <c r="I4240" t="s">
        <v>15634</v>
      </c>
      <c r="J4240" s="161" t="s">
        <v>19202</v>
      </c>
      <c r="K4240" t="s">
        <v>19203</v>
      </c>
      <c r="L4240" t="s">
        <v>15633</v>
      </c>
      <c r="M4240" s="161" t="s">
        <v>19202</v>
      </c>
    </row>
    <row r="4241" spans="9:13" x14ac:dyDescent="0.25">
      <c r="I4241" t="s">
        <v>16304</v>
      </c>
      <c r="J4241" s="161" t="s">
        <v>19202</v>
      </c>
      <c r="K4241" t="s">
        <v>19203</v>
      </c>
      <c r="L4241" t="s">
        <v>1350</v>
      </c>
      <c r="M4241" s="161" t="s">
        <v>19202</v>
      </c>
    </row>
    <row r="4242" spans="9:13" x14ac:dyDescent="0.25">
      <c r="I4242" t="s">
        <v>16539</v>
      </c>
      <c r="J4242" s="161" t="s">
        <v>19202</v>
      </c>
      <c r="K4242" t="s">
        <v>19203</v>
      </c>
      <c r="L4242" t="s">
        <v>16538</v>
      </c>
      <c r="M4242" s="161" t="s">
        <v>19202</v>
      </c>
    </row>
    <row r="4243" spans="9:13" x14ac:dyDescent="0.25">
      <c r="I4243" t="s">
        <v>16956</v>
      </c>
      <c r="J4243" s="161" t="s">
        <v>19202</v>
      </c>
      <c r="K4243" t="s">
        <v>19203</v>
      </c>
      <c r="L4243" t="s">
        <v>16955</v>
      </c>
      <c r="M4243" s="161" t="s">
        <v>19202</v>
      </c>
    </row>
    <row r="4244" spans="9:13" x14ac:dyDescent="0.25">
      <c r="I4244" t="s">
        <v>17030</v>
      </c>
      <c r="J4244" s="161" t="s">
        <v>19202</v>
      </c>
      <c r="K4244" t="s">
        <v>19203</v>
      </c>
      <c r="L4244" t="s">
        <v>7838</v>
      </c>
      <c r="M4244" s="161" t="s">
        <v>19202</v>
      </c>
    </row>
    <row r="4245" spans="9:13" x14ac:dyDescent="0.25">
      <c r="I4245" t="s">
        <v>16954</v>
      </c>
      <c r="J4245" s="161" t="s">
        <v>19202</v>
      </c>
      <c r="K4245" t="s">
        <v>19203</v>
      </c>
      <c r="L4245" t="s">
        <v>16953</v>
      </c>
      <c r="M4245" s="161" t="s">
        <v>19202</v>
      </c>
    </row>
    <row r="4246" spans="9:13" x14ac:dyDescent="0.25">
      <c r="I4246" t="s">
        <v>15566</v>
      </c>
      <c r="J4246" s="161" t="s">
        <v>19202</v>
      </c>
      <c r="K4246" t="s">
        <v>19203</v>
      </c>
      <c r="L4246" t="s">
        <v>15565</v>
      </c>
      <c r="M4246" s="161" t="s">
        <v>19202</v>
      </c>
    </row>
    <row r="4247" spans="9:13" x14ac:dyDescent="0.25">
      <c r="I4247" t="s">
        <v>9631</v>
      </c>
      <c r="J4247" s="161" t="s">
        <v>19202</v>
      </c>
      <c r="K4247" t="s">
        <v>19203</v>
      </c>
      <c r="L4247" t="s">
        <v>9630</v>
      </c>
      <c r="M4247" s="161" t="s">
        <v>19202</v>
      </c>
    </row>
    <row r="4248" spans="9:13" x14ac:dyDescent="0.25">
      <c r="I4248" t="s">
        <v>8500</v>
      </c>
      <c r="J4248" s="161" t="s">
        <v>19202</v>
      </c>
      <c r="K4248" t="s">
        <v>19203</v>
      </c>
      <c r="L4248" t="s">
        <v>8499</v>
      </c>
      <c r="M4248" s="161" t="s">
        <v>19202</v>
      </c>
    </row>
    <row r="4249" spans="9:13" x14ac:dyDescent="0.25">
      <c r="I4249" t="s">
        <v>16930</v>
      </c>
      <c r="J4249" s="161" t="s">
        <v>19202</v>
      </c>
      <c r="K4249" t="s">
        <v>19203</v>
      </c>
      <c r="L4249" t="s">
        <v>16929</v>
      </c>
      <c r="M4249" s="161" t="s">
        <v>19202</v>
      </c>
    </row>
    <row r="4250" spans="9:13" x14ac:dyDescent="0.25">
      <c r="I4250" t="s">
        <v>7601</v>
      </c>
      <c r="J4250" s="161" t="s">
        <v>19202</v>
      </c>
      <c r="K4250" t="s">
        <v>19203</v>
      </c>
      <c r="L4250" t="s">
        <v>7600</v>
      </c>
      <c r="M4250" s="161" t="s">
        <v>19202</v>
      </c>
    </row>
    <row r="4251" spans="9:13" x14ac:dyDescent="0.25">
      <c r="I4251" t="s">
        <v>8920</v>
      </c>
      <c r="J4251" s="161" t="s">
        <v>19202</v>
      </c>
      <c r="K4251" t="s">
        <v>19203</v>
      </c>
      <c r="L4251" t="s">
        <v>8919</v>
      </c>
      <c r="M4251" s="161" t="s">
        <v>19202</v>
      </c>
    </row>
    <row r="4252" spans="9:13" x14ac:dyDescent="0.25">
      <c r="I4252" t="s">
        <v>17192</v>
      </c>
      <c r="J4252" s="161" t="s">
        <v>19202</v>
      </c>
      <c r="K4252" t="s">
        <v>19203</v>
      </c>
      <c r="L4252" t="s">
        <v>17191</v>
      </c>
      <c r="M4252" s="161" t="s">
        <v>19202</v>
      </c>
    </row>
    <row r="4253" spans="9:13" x14ac:dyDescent="0.25">
      <c r="I4253" t="s">
        <v>5066</v>
      </c>
      <c r="J4253" s="161" t="s">
        <v>19202</v>
      </c>
      <c r="K4253" t="s">
        <v>19203</v>
      </c>
      <c r="L4253" t="s">
        <v>5065</v>
      </c>
      <c r="M4253" s="161" t="s">
        <v>19202</v>
      </c>
    </row>
    <row r="4254" spans="9:13" x14ac:dyDescent="0.25">
      <c r="I4254" t="s">
        <v>4618</v>
      </c>
      <c r="J4254" s="161" t="s">
        <v>19202</v>
      </c>
      <c r="K4254" t="s">
        <v>19203</v>
      </c>
      <c r="L4254" t="s">
        <v>4617</v>
      </c>
      <c r="M4254" s="161" t="s">
        <v>19202</v>
      </c>
    </row>
    <row r="4255" spans="9:13" x14ac:dyDescent="0.25">
      <c r="I4255" t="s">
        <v>4894</v>
      </c>
      <c r="J4255" s="161" t="s">
        <v>19202</v>
      </c>
      <c r="K4255" t="s">
        <v>19203</v>
      </c>
      <c r="L4255" t="s">
        <v>542</v>
      </c>
      <c r="M4255" s="161" t="s">
        <v>19202</v>
      </c>
    </row>
    <row r="4256" spans="9:13" x14ac:dyDescent="0.25">
      <c r="I4256" t="s">
        <v>4805</v>
      </c>
      <c r="J4256" s="161" t="s">
        <v>19202</v>
      </c>
      <c r="K4256" t="s">
        <v>19203</v>
      </c>
      <c r="L4256" t="s">
        <v>4804</v>
      </c>
      <c r="M4256" s="161" t="s">
        <v>19202</v>
      </c>
    </row>
    <row r="4257" spans="9:13" x14ac:dyDescent="0.25">
      <c r="I4257" t="s">
        <v>5064</v>
      </c>
      <c r="J4257" s="161" t="s">
        <v>19202</v>
      </c>
      <c r="K4257" t="s">
        <v>19203</v>
      </c>
      <c r="L4257" t="s">
        <v>5063</v>
      </c>
      <c r="M4257" s="161" t="s">
        <v>19202</v>
      </c>
    </row>
    <row r="4258" spans="9:13" x14ac:dyDescent="0.25">
      <c r="I4258" t="s">
        <v>4893</v>
      </c>
      <c r="J4258" s="161" t="s">
        <v>19202</v>
      </c>
      <c r="K4258" t="s">
        <v>19203</v>
      </c>
      <c r="L4258" t="s">
        <v>4892</v>
      </c>
      <c r="M4258" s="161" t="s">
        <v>19202</v>
      </c>
    </row>
    <row r="4259" spans="9:13" x14ac:dyDescent="0.25">
      <c r="I4259" t="s">
        <v>4891</v>
      </c>
      <c r="J4259" s="161" t="s">
        <v>19202</v>
      </c>
      <c r="K4259" t="s">
        <v>19203</v>
      </c>
      <c r="L4259" t="s">
        <v>4890</v>
      </c>
      <c r="M4259" s="161" t="s">
        <v>19202</v>
      </c>
    </row>
    <row r="4260" spans="9:13" x14ac:dyDescent="0.25">
      <c r="I4260" t="s">
        <v>4289</v>
      </c>
      <c r="J4260" s="161" t="s">
        <v>19202</v>
      </c>
      <c r="K4260" t="s">
        <v>19203</v>
      </c>
      <c r="L4260" t="s">
        <v>4288</v>
      </c>
      <c r="M4260" s="161" t="s">
        <v>19202</v>
      </c>
    </row>
    <row r="4261" spans="9:13" x14ac:dyDescent="0.25">
      <c r="I4261" t="s">
        <v>5061</v>
      </c>
      <c r="J4261" s="161" t="s">
        <v>19202</v>
      </c>
      <c r="K4261" t="s">
        <v>19203</v>
      </c>
      <c r="L4261" t="s">
        <v>5060</v>
      </c>
      <c r="M4261" s="161" t="s">
        <v>19202</v>
      </c>
    </row>
    <row r="4262" spans="9:13" x14ac:dyDescent="0.25">
      <c r="I4262" t="s">
        <v>4748</v>
      </c>
      <c r="J4262" s="161" t="s">
        <v>19202</v>
      </c>
      <c r="K4262" t="s">
        <v>19203</v>
      </c>
      <c r="L4262" t="s">
        <v>2057</v>
      </c>
      <c r="M4262" s="161" t="s">
        <v>19202</v>
      </c>
    </row>
    <row r="4263" spans="9:13" x14ac:dyDescent="0.25">
      <c r="I4263" t="s">
        <v>4889</v>
      </c>
      <c r="J4263" s="161" t="s">
        <v>19202</v>
      </c>
      <c r="K4263" t="s">
        <v>19203</v>
      </c>
      <c r="L4263" t="s">
        <v>4888</v>
      </c>
      <c r="M4263" s="161" t="s">
        <v>19202</v>
      </c>
    </row>
    <row r="4264" spans="9:13" x14ac:dyDescent="0.25">
      <c r="I4264" t="s">
        <v>4530</v>
      </c>
      <c r="J4264" s="161" t="s">
        <v>19202</v>
      </c>
      <c r="K4264" t="s">
        <v>19203</v>
      </c>
      <c r="L4264" t="s">
        <v>4529</v>
      </c>
      <c r="M4264" s="161" t="s">
        <v>19202</v>
      </c>
    </row>
    <row r="4265" spans="9:13" x14ac:dyDescent="0.25">
      <c r="I4265" t="s">
        <v>4951</v>
      </c>
      <c r="J4265" s="161" t="s">
        <v>19202</v>
      </c>
      <c r="K4265" t="s">
        <v>19203</v>
      </c>
      <c r="L4265" t="s">
        <v>3758</v>
      </c>
      <c r="M4265" s="161" t="s">
        <v>19202</v>
      </c>
    </row>
    <row r="4266" spans="9:13" x14ac:dyDescent="0.25">
      <c r="I4266" t="s">
        <v>4575</v>
      </c>
      <c r="J4266" s="161" t="s">
        <v>19202</v>
      </c>
      <c r="K4266" t="s">
        <v>19203</v>
      </c>
      <c r="L4266" t="s">
        <v>3641</v>
      </c>
      <c r="M4266" s="161" t="s">
        <v>19202</v>
      </c>
    </row>
    <row r="4267" spans="9:13" x14ac:dyDescent="0.25">
      <c r="I4267" t="s">
        <v>4528</v>
      </c>
      <c r="J4267" s="161" t="s">
        <v>19202</v>
      </c>
      <c r="K4267" t="s">
        <v>19203</v>
      </c>
      <c r="L4267" t="s">
        <v>4527</v>
      </c>
      <c r="M4267" s="161" t="s">
        <v>19202</v>
      </c>
    </row>
    <row r="4268" spans="9:13" x14ac:dyDescent="0.25">
      <c r="I4268" t="s">
        <v>4526</v>
      </c>
      <c r="J4268" s="161" t="s">
        <v>19202</v>
      </c>
      <c r="K4268" t="s">
        <v>19203</v>
      </c>
      <c r="L4268" t="s">
        <v>934</v>
      </c>
      <c r="M4268" s="161" t="s">
        <v>19202</v>
      </c>
    </row>
    <row r="4269" spans="9:13" x14ac:dyDescent="0.25">
      <c r="I4269" t="s">
        <v>19706</v>
      </c>
      <c r="J4269" s="161" t="s">
        <v>19202</v>
      </c>
      <c r="K4269" t="s">
        <v>19203</v>
      </c>
      <c r="L4269" t="s">
        <v>1108</v>
      </c>
      <c r="M4269" s="161" t="s">
        <v>19202</v>
      </c>
    </row>
    <row r="4270" spans="9:13" x14ac:dyDescent="0.25">
      <c r="I4270" t="s">
        <v>10490</v>
      </c>
      <c r="J4270" s="161" t="s">
        <v>19202</v>
      </c>
      <c r="K4270" t="s">
        <v>19203</v>
      </c>
      <c r="L4270" t="s">
        <v>10489</v>
      </c>
      <c r="M4270" s="161" t="s">
        <v>19202</v>
      </c>
    </row>
    <row r="4271" spans="9:13" x14ac:dyDescent="0.25">
      <c r="I4271" t="s">
        <v>14812</v>
      </c>
      <c r="J4271" s="161" t="s">
        <v>19202</v>
      </c>
      <c r="K4271" t="s">
        <v>19203</v>
      </c>
      <c r="L4271" t="s">
        <v>14811</v>
      </c>
      <c r="M4271" s="161" t="s">
        <v>19202</v>
      </c>
    </row>
    <row r="4272" spans="9:13" x14ac:dyDescent="0.25">
      <c r="I4272" t="s">
        <v>3426</v>
      </c>
      <c r="J4272" s="161" t="s">
        <v>19202</v>
      </c>
      <c r="K4272" t="s">
        <v>19203</v>
      </c>
      <c r="L4272" t="s">
        <v>3425</v>
      </c>
      <c r="M4272" s="161" t="s">
        <v>19202</v>
      </c>
    </row>
    <row r="4273" spans="9:13" x14ac:dyDescent="0.25">
      <c r="I4273" t="s">
        <v>4144</v>
      </c>
      <c r="J4273" s="161" t="s">
        <v>19202</v>
      </c>
      <c r="K4273" t="s">
        <v>19203</v>
      </c>
      <c r="L4273" t="s">
        <v>4143</v>
      </c>
      <c r="M4273" s="161" t="s">
        <v>19202</v>
      </c>
    </row>
    <row r="4274" spans="9:13" x14ac:dyDescent="0.25">
      <c r="I4274" t="s">
        <v>7149</v>
      </c>
      <c r="J4274" s="161" t="s">
        <v>19202</v>
      </c>
      <c r="K4274" t="s">
        <v>19203</v>
      </c>
      <c r="L4274" t="s">
        <v>7148</v>
      </c>
      <c r="M4274" s="161" t="s">
        <v>19202</v>
      </c>
    </row>
    <row r="4275" spans="9:13" x14ac:dyDescent="0.25">
      <c r="I4275" t="s">
        <v>19707</v>
      </c>
      <c r="J4275" s="161" t="s">
        <v>19202</v>
      </c>
      <c r="K4275" t="s">
        <v>19203</v>
      </c>
      <c r="L4275" t="s">
        <v>19708</v>
      </c>
      <c r="M4275" s="161" t="s">
        <v>19202</v>
      </c>
    </row>
    <row r="4276" spans="9:13" x14ac:dyDescent="0.25">
      <c r="I4276" t="s">
        <v>503</v>
      </c>
      <c r="J4276" s="161" t="s">
        <v>19202</v>
      </c>
      <c r="K4276" t="s">
        <v>19203</v>
      </c>
      <c r="L4276" t="s">
        <v>502</v>
      </c>
      <c r="M4276" s="161" t="s">
        <v>19202</v>
      </c>
    </row>
    <row r="4277" spans="9:13" x14ac:dyDescent="0.25">
      <c r="I4277" t="s">
        <v>19709</v>
      </c>
      <c r="J4277" s="161" t="s">
        <v>19202</v>
      </c>
      <c r="K4277" t="s">
        <v>19203</v>
      </c>
      <c r="L4277" t="s">
        <v>970</v>
      </c>
      <c r="M4277" s="161" t="s">
        <v>19202</v>
      </c>
    </row>
    <row r="4278" spans="9:13" x14ac:dyDescent="0.25">
      <c r="I4278" t="s">
        <v>5737</v>
      </c>
      <c r="J4278" s="161" t="s">
        <v>19202</v>
      </c>
      <c r="K4278" t="s">
        <v>19203</v>
      </c>
      <c r="L4278" t="s">
        <v>5736</v>
      </c>
      <c r="M4278" s="161" t="s">
        <v>19202</v>
      </c>
    </row>
    <row r="4279" spans="9:13" x14ac:dyDescent="0.25">
      <c r="I4279" t="s">
        <v>10531</v>
      </c>
      <c r="J4279" s="161" t="s">
        <v>19202</v>
      </c>
      <c r="K4279" t="s">
        <v>19203</v>
      </c>
      <c r="L4279" t="s">
        <v>588</v>
      </c>
      <c r="M4279" s="161" t="s">
        <v>19202</v>
      </c>
    </row>
    <row r="4280" spans="9:13" x14ac:dyDescent="0.25">
      <c r="I4280" t="s">
        <v>14780</v>
      </c>
      <c r="J4280" s="161" t="s">
        <v>19202</v>
      </c>
      <c r="K4280" t="s">
        <v>19203</v>
      </c>
      <c r="L4280" t="s">
        <v>14779</v>
      </c>
      <c r="M4280" s="161" t="s">
        <v>19202</v>
      </c>
    </row>
    <row r="4281" spans="9:13" x14ac:dyDescent="0.25">
      <c r="I4281" t="s">
        <v>14772</v>
      </c>
      <c r="J4281" s="161" t="s">
        <v>19202</v>
      </c>
      <c r="K4281" t="s">
        <v>19203</v>
      </c>
      <c r="L4281" t="s">
        <v>14771</v>
      </c>
      <c r="M4281" s="161" t="s">
        <v>19202</v>
      </c>
    </row>
    <row r="4282" spans="9:13" x14ac:dyDescent="0.25">
      <c r="I4282" t="s">
        <v>14770</v>
      </c>
      <c r="J4282" s="161" t="s">
        <v>19202</v>
      </c>
      <c r="K4282" t="s">
        <v>19203</v>
      </c>
      <c r="L4282" t="s">
        <v>14769</v>
      </c>
      <c r="M4282" s="161" t="s">
        <v>19202</v>
      </c>
    </row>
    <row r="4283" spans="9:13" x14ac:dyDescent="0.25">
      <c r="I4283" t="s">
        <v>14764</v>
      </c>
      <c r="J4283" s="161" t="s">
        <v>19202</v>
      </c>
      <c r="K4283" t="s">
        <v>19203</v>
      </c>
      <c r="L4283" t="s">
        <v>3941</v>
      </c>
      <c r="M4283" s="161" t="s">
        <v>19202</v>
      </c>
    </row>
    <row r="4284" spans="9:13" x14ac:dyDescent="0.25">
      <c r="I4284" t="s">
        <v>14763</v>
      </c>
      <c r="J4284" s="161" t="s">
        <v>19202</v>
      </c>
      <c r="K4284" t="s">
        <v>19203</v>
      </c>
      <c r="L4284" t="s">
        <v>14762</v>
      </c>
      <c r="M4284" s="161" t="s">
        <v>19202</v>
      </c>
    </row>
    <row r="4285" spans="9:13" x14ac:dyDescent="0.25">
      <c r="I4285" t="s">
        <v>14756</v>
      </c>
      <c r="J4285" s="161" t="s">
        <v>19202</v>
      </c>
      <c r="K4285" t="s">
        <v>19203</v>
      </c>
      <c r="L4285" t="s">
        <v>14755</v>
      </c>
      <c r="M4285" s="161" t="s">
        <v>19202</v>
      </c>
    </row>
    <row r="4286" spans="9:13" x14ac:dyDescent="0.25">
      <c r="I4286" t="s">
        <v>14754</v>
      </c>
      <c r="J4286" s="161" t="s">
        <v>19202</v>
      </c>
      <c r="K4286" t="s">
        <v>19203</v>
      </c>
      <c r="L4286" t="s">
        <v>14753</v>
      </c>
      <c r="M4286" s="161" t="s">
        <v>19202</v>
      </c>
    </row>
    <row r="4287" spans="9:13" x14ac:dyDescent="0.25">
      <c r="I4287" t="s">
        <v>6837</v>
      </c>
      <c r="J4287" s="161" t="s">
        <v>19202</v>
      </c>
      <c r="K4287" t="s">
        <v>19203</v>
      </c>
      <c r="L4287" t="s">
        <v>6836</v>
      </c>
      <c r="M4287" s="161" t="s">
        <v>19202</v>
      </c>
    </row>
    <row r="4288" spans="9:13" x14ac:dyDescent="0.25">
      <c r="I4288" t="s">
        <v>5998</v>
      </c>
      <c r="J4288" s="161" t="s">
        <v>19202</v>
      </c>
      <c r="K4288" t="s">
        <v>19203</v>
      </c>
      <c r="L4288" t="s">
        <v>5997</v>
      </c>
      <c r="M4288" s="161" t="s">
        <v>19202</v>
      </c>
    </row>
    <row r="4289" spans="9:13" x14ac:dyDescent="0.25">
      <c r="I4289" t="s">
        <v>4124</v>
      </c>
      <c r="J4289" s="161" t="s">
        <v>19202</v>
      </c>
      <c r="K4289" t="s">
        <v>19203</v>
      </c>
      <c r="L4289" t="s">
        <v>3752</v>
      </c>
      <c r="M4289" s="161" t="s">
        <v>19202</v>
      </c>
    </row>
    <row r="4290" spans="9:13" x14ac:dyDescent="0.25">
      <c r="I4290" t="s">
        <v>15404</v>
      </c>
      <c r="J4290" s="161" t="s">
        <v>19202</v>
      </c>
      <c r="K4290" t="s">
        <v>19203</v>
      </c>
      <c r="L4290" t="s">
        <v>4472</v>
      </c>
      <c r="M4290" s="161" t="s">
        <v>19202</v>
      </c>
    </row>
    <row r="4291" spans="9:13" x14ac:dyDescent="0.25">
      <c r="I4291" t="s">
        <v>9995</v>
      </c>
      <c r="J4291" s="161" t="s">
        <v>19202</v>
      </c>
      <c r="K4291" t="s">
        <v>19203</v>
      </c>
      <c r="L4291" t="s">
        <v>9994</v>
      </c>
      <c r="M4291" s="161" t="s">
        <v>19202</v>
      </c>
    </row>
    <row r="4292" spans="9:13" x14ac:dyDescent="0.25">
      <c r="I4292" t="s">
        <v>771</v>
      </c>
      <c r="J4292" s="161" t="s">
        <v>19202</v>
      </c>
      <c r="K4292" t="s">
        <v>19203</v>
      </c>
      <c r="L4292" t="s">
        <v>770</v>
      </c>
      <c r="M4292" s="161" t="s">
        <v>19202</v>
      </c>
    </row>
    <row r="4293" spans="9:13" x14ac:dyDescent="0.25">
      <c r="I4293" t="s">
        <v>14824</v>
      </c>
      <c r="J4293" s="161" t="s">
        <v>19202</v>
      </c>
      <c r="K4293" t="s">
        <v>19203</v>
      </c>
      <c r="L4293" t="s">
        <v>14823</v>
      </c>
      <c r="M4293" s="161" t="s">
        <v>19202</v>
      </c>
    </row>
    <row r="4294" spans="9:13" x14ac:dyDescent="0.25">
      <c r="I4294" t="s">
        <v>2314</v>
      </c>
      <c r="J4294" s="161" t="s">
        <v>19202</v>
      </c>
      <c r="K4294" t="s">
        <v>19203</v>
      </c>
      <c r="L4294" t="s">
        <v>2313</v>
      </c>
      <c r="M4294" s="161" t="s">
        <v>19202</v>
      </c>
    </row>
    <row r="4295" spans="9:13" x14ac:dyDescent="0.25">
      <c r="I4295" t="s">
        <v>7190</v>
      </c>
      <c r="J4295" s="161" t="s">
        <v>19202</v>
      </c>
      <c r="K4295" t="s">
        <v>19203</v>
      </c>
      <c r="L4295" t="s">
        <v>7189</v>
      </c>
      <c r="M4295" s="161" t="s">
        <v>19202</v>
      </c>
    </row>
    <row r="4296" spans="9:13" x14ac:dyDescent="0.25">
      <c r="I4296" t="s">
        <v>1061</v>
      </c>
      <c r="J4296" s="161" t="s">
        <v>19202</v>
      </c>
      <c r="K4296" t="s">
        <v>19203</v>
      </c>
      <c r="L4296" t="s">
        <v>1060</v>
      </c>
      <c r="M4296" s="161" t="s">
        <v>19202</v>
      </c>
    </row>
    <row r="4297" spans="9:13" x14ac:dyDescent="0.25">
      <c r="I4297" t="s">
        <v>19710</v>
      </c>
      <c r="J4297" s="161" t="s">
        <v>19202</v>
      </c>
      <c r="K4297" t="s">
        <v>19203</v>
      </c>
      <c r="L4297" t="s">
        <v>19711</v>
      </c>
      <c r="M4297" s="161" t="s">
        <v>19202</v>
      </c>
    </row>
    <row r="4298" spans="9:13" x14ac:dyDescent="0.25">
      <c r="I4298" t="s">
        <v>7873</v>
      </c>
      <c r="J4298" s="161" t="s">
        <v>19202</v>
      </c>
      <c r="K4298" t="s">
        <v>19203</v>
      </c>
      <c r="L4298" t="s">
        <v>7872</v>
      </c>
      <c r="M4298" s="161" t="s">
        <v>19202</v>
      </c>
    </row>
    <row r="4299" spans="9:13" x14ac:dyDescent="0.25">
      <c r="I4299" t="s">
        <v>5426</v>
      </c>
      <c r="J4299" s="161" t="s">
        <v>19202</v>
      </c>
      <c r="K4299" t="s">
        <v>19203</v>
      </c>
      <c r="L4299" t="s">
        <v>5425</v>
      </c>
      <c r="M4299" s="161" t="s">
        <v>19202</v>
      </c>
    </row>
    <row r="4300" spans="9:13" x14ac:dyDescent="0.25">
      <c r="I4300" t="s">
        <v>6642</v>
      </c>
      <c r="J4300" s="161" t="s">
        <v>19202</v>
      </c>
      <c r="K4300" t="s">
        <v>19203</v>
      </c>
      <c r="L4300" t="s">
        <v>6641</v>
      </c>
      <c r="M4300" s="161" t="s">
        <v>19202</v>
      </c>
    </row>
    <row r="4301" spans="9:13" x14ac:dyDescent="0.25">
      <c r="I4301" t="s">
        <v>6720</v>
      </c>
      <c r="J4301" s="161" t="s">
        <v>19202</v>
      </c>
      <c r="K4301" t="s">
        <v>19203</v>
      </c>
      <c r="L4301" t="s">
        <v>6719</v>
      </c>
      <c r="M4301" s="161" t="s">
        <v>19202</v>
      </c>
    </row>
    <row r="4302" spans="9:13" x14ac:dyDescent="0.25">
      <c r="I4302" t="s">
        <v>9677</v>
      </c>
      <c r="J4302" s="161" t="s">
        <v>19202</v>
      </c>
      <c r="K4302" t="s">
        <v>19203</v>
      </c>
      <c r="L4302" t="s">
        <v>9676</v>
      </c>
      <c r="M4302" s="161" t="s">
        <v>19202</v>
      </c>
    </row>
    <row r="4303" spans="9:13" x14ac:dyDescent="0.25">
      <c r="I4303" t="s">
        <v>9635</v>
      </c>
      <c r="J4303" s="161" t="s">
        <v>19202</v>
      </c>
      <c r="K4303" t="s">
        <v>19203</v>
      </c>
      <c r="L4303" t="s">
        <v>9634</v>
      </c>
      <c r="M4303" s="161" t="s">
        <v>19202</v>
      </c>
    </row>
    <row r="4304" spans="9:13" x14ac:dyDescent="0.25">
      <c r="I4304" t="s">
        <v>9633</v>
      </c>
      <c r="J4304" s="161" t="s">
        <v>19202</v>
      </c>
      <c r="K4304" t="s">
        <v>19203</v>
      </c>
      <c r="L4304" t="s">
        <v>9632</v>
      </c>
      <c r="M4304" s="161" t="s">
        <v>19202</v>
      </c>
    </row>
    <row r="4305" spans="9:13" x14ac:dyDescent="0.25">
      <c r="I4305" t="s">
        <v>9893</v>
      </c>
      <c r="J4305" s="161" t="s">
        <v>19202</v>
      </c>
      <c r="K4305" t="s">
        <v>19203</v>
      </c>
      <c r="L4305" t="s">
        <v>9892</v>
      </c>
      <c r="M4305" s="161" t="s">
        <v>19202</v>
      </c>
    </row>
    <row r="4306" spans="9:13" x14ac:dyDescent="0.25">
      <c r="I4306" t="s">
        <v>9629</v>
      </c>
      <c r="J4306" s="161" t="s">
        <v>19202</v>
      </c>
      <c r="K4306" t="s">
        <v>19203</v>
      </c>
      <c r="L4306" t="s">
        <v>9628</v>
      </c>
      <c r="M4306" s="161" t="s">
        <v>19202</v>
      </c>
    </row>
    <row r="4307" spans="9:13" x14ac:dyDescent="0.25">
      <c r="I4307" t="s">
        <v>9627</v>
      </c>
      <c r="J4307" s="161" t="s">
        <v>19202</v>
      </c>
      <c r="K4307" t="s">
        <v>19203</v>
      </c>
      <c r="L4307" t="s">
        <v>9626</v>
      </c>
      <c r="M4307" s="161" t="s">
        <v>19202</v>
      </c>
    </row>
    <row r="4308" spans="9:13" x14ac:dyDescent="0.25">
      <c r="I4308" t="s">
        <v>9623</v>
      </c>
      <c r="J4308" s="161" t="s">
        <v>19202</v>
      </c>
      <c r="K4308" t="s">
        <v>19203</v>
      </c>
      <c r="L4308" t="s">
        <v>9622</v>
      </c>
      <c r="M4308" s="161" t="s">
        <v>19202</v>
      </c>
    </row>
    <row r="4309" spans="9:13" x14ac:dyDescent="0.25">
      <c r="I4309" t="s">
        <v>9965</v>
      </c>
      <c r="J4309" s="161" t="s">
        <v>19202</v>
      </c>
      <c r="K4309" t="s">
        <v>19203</v>
      </c>
      <c r="L4309" t="s">
        <v>9964</v>
      </c>
      <c r="M4309" s="161" t="s">
        <v>19202</v>
      </c>
    </row>
    <row r="4310" spans="9:13" x14ac:dyDescent="0.25">
      <c r="I4310" t="s">
        <v>9589</v>
      </c>
      <c r="J4310" s="161" t="s">
        <v>19202</v>
      </c>
      <c r="K4310" t="s">
        <v>19203</v>
      </c>
      <c r="L4310" t="s">
        <v>9588</v>
      </c>
      <c r="M4310" s="161" t="s">
        <v>19202</v>
      </c>
    </row>
    <row r="4311" spans="9:13" x14ac:dyDescent="0.25">
      <c r="I4311" t="s">
        <v>9587</v>
      </c>
      <c r="J4311" s="161" t="s">
        <v>19202</v>
      </c>
      <c r="K4311" t="s">
        <v>19203</v>
      </c>
      <c r="L4311" t="s">
        <v>9586</v>
      </c>
      <c r="M4311" s="161" t="s">
        <v>19202</v>
      </c>
    </row>
    <row r="4312" spans="9:13" x14ac:dyDescent="0.25">
      <c r="I4312" t="s">
        <v>9585</v>
      </c>
      <c r="J4312" s="161" t="s">
        <v>19202</v>
      </c>
      <c r="K4312" t="s">
        <v>19203</v>
      </c>
      <c r="L4312" t="s">
        <v>9584</v>
      </c>
      <c r="M4312" s="161" t="s">
        <v>19202</v>
      </c>
    </row>
    <row r="4313" spans="9:13" x14ac:dyDescent="0.25">
      <c r="I4313" t="s">
        <v>4451</v>
      </c>
      <c r="J4313" s="161" t="s">
        <v>19202</v>
      </c>
      <c r="K4313" t="s">
        <v>19203</v>
      </c>
      <c r="L4313" t="s">
        <v>4450</v>
      </c>
      <c r="M4313" s="161" t="s">
        <v>19202</v>
      </c>
    </row>
    <row r="4314" spans="9:13" x14ac:dyDescent="0.25">
      <c r="I4314" t="s">
        <v>4693</v>
      </c>
      <c r="J4314" s="161" t="s">
        <v>19202</v>
      </c>
      <c r="K4314" t="s">
        <v>19203</v>
      </c>
      <c r="L4314" t="s">
        <v>2129</v>
      </c>
      <c r="M4314" s="161" t="s">
        <v>19202</v>
      </c>
    </row>
    <row r="4315" spans="9:13" x14ac:dyDescent="0.25">
      <c r="I4315" t="s">
        <v>19712</v>
      </c>
      <c r="J4315" s="161" t="s">
        <v>19202</v>
      </c>
      <c r="K4315" t="s">
        <v>19203</v>
      </c>
      <c r="L4315" t="s">
        <v>2082</v>
      </c>
      <c r="M4315" s="161" t="s">
        <v>19202</v>
      </c>
    </row>
    <row r="4316" spans="9:13" x14ac:dyDescent="0.25">
      <c r="I4316" t="s">
        <v>4449</v>
      </c>
      <c r="J4316" s="161" t="s">
        <v>19202</v>
      </c>
      <c r="K4316" t="s">
        <v>19203</v>
      </c>
      <c r="L4316" t="s">
        <v>4448</v>
      </c>
      <c r="M4316" s="161" t="s">
        <v>19202</v>
      </c>
    </row>
    <row r="4317" spans="9:13" x14ac:dyDescent="0.25">
      <c r="I4317" t="s">
        <v>4692</v>
      </c>
      <c r="J4317" s="161" t="s">
        <v>19202</v>
      </c>
      <c r="K4317" t="s">
        <v>19203</v>
      </c>
      <c r="L4317" t="s">
        <v>4691</v>
      </c>
      <c r="M4317" s="161" t="s">
        <v>19202</v>
      </c>
    </row>
    <row r="4318" spans="9:13" x14ac:dyDescent="0.25">
      <c r="I4318" t="s">
        <v>4246</v>
      </c>
      <c r="J4318" s="161" t="s">
        <v>19202</v>
      </c>
      <c r="K4318" t="s">
        <v>19203</v>
      </c>
      <c r="L4318" t="s">
        <v>4245</v>
      </c>
      <c r="M4318" s="161" t="s">
        <v>19202</v>
      </c>
    </row>
    <row r="4319" spans="9:13" x14ac:dyDescent="0.25">
      <c r="I4319" t="s">
        <v>3757</v>
      </c>
      <c r="J4319" s="161" t="s">
        <v>19202</v>
      </c>
      <c r="K4319" t="s">
        <v>19203</v>
      </c>
      <c r="L4319" t="s">
        <v>3756</v>
      </c>
      <c r="M4319" s="161" t="s">
        <v>19202</v>
      </c>
    </row>
    <row r="4320" spans="9:13" x14ac:dyDescent="0.25">
      <c r="I4320" t="s">
        <v>4999</v>
      </c>
      <c r="J4320" s="161" t="s">
        <v>19202</v>
      </c>
      <c r="K4320" t="s">
        <v>19203</v>
      </c>
      <c r="L4320" t="s">
        <v>4851</v>
      </c>
      <c r="M4320" s="161" t="s">
        <v>19202</v>
      </c>
    </row>
    <row r="4321" spans="9:13" x14ac:dyDescent="0.25">
      <c r="I4321" t="s">
        <v>4335</v>
      </c>
      <c r="J4321" s="161" t="s">
        <v>19202</v>
      </c>
      <c r="K4321" t="s">
        <v>19203</v>
      </c>
      <c r="L4321" t="s">
        <v>4334</v>
      </c>
      <c r="M4321" s="161" t="s">
        <v>19202</v>
      </c>
    </row>
    <row r="4322" spans="9:13" x14ac:dyDescent="0.25">
      <c r="I4322" t="s">
        <v>4043</v>
      </c>
      <c r="J4322" s="161" t="s">
        <v>19202</v>
      </c>
      <c r="K4322" t="s">
        <v>19203</v>
      </c>
      <c r="L4322" t="s">
        <v>4042</v>
      </c>
      <c r="M4322" s="161" t="s">
        <v>19202</v>
      </c>
    </row>
    <row r="4323" spans="9:13" x14ac:dyDescent="0.25">
      <c r="I4323" t="s">
        <v>3642</v>
      </c>
      <c r="J4323" s="161" t="s">
        <v>19202</v>
      </c>
      <c r="K4323" t="s">
        <v>19203</v>
      </c>
      <c r="L4323" t="s">
        <v>3641</v>
      </c>
      <c r="M4323" s="161" t="s">
        <v>19202</v>
      </c>
    </row>
    <row r="4324" spans="9:13" x14ac:dyDescent="0.25">
      <c r="I4324" t="s">
        <v>4242</v>
      </c>
      <c r="J4324" s="161" t="s">
        <v>19202</v>
      </c>
      <c r="K4324" t="s">
        <v>19203</v>
      </c>
      <c r="L4324" t="s">
        <v>4241</v>
      </c>
      <c r="M4324" s="161" t="s">
        <v>19202</v>
      </c>
    </row>
    <row r="4325" spans="9:13" x14ac:dyDescent="0.25">
      <c r="I4325" t="s">
        <v>3640</v>
      </c>
      <c r="J4325" s="161" t="s">
        <v>19202</v>
      </c>
      <c r="K4325" t="s">
        <v>19203</v>
      </c>
      <c r="L4325" t="s">
        <v>3639</v>
      </c>
      <c r="M4325" s="161" t="s">
        <v>19202</v>
      </c>
    </row>
    <row r="4326" spans="9:13" x14ac:dyDescent="0.25">
      <c r="I4326" t="s">
        <v>4240</v>
      </c>
      <c r="J4326" s="161" t="s">
        <v>19202</v>
      </c>
      <c r="K4326" t="s">
        <v>19203</v>
      </c>
      <c r="L4326" t="s">
        <v>4239</v>
      </c>
      <c r="M4326" s="161" t="s">
        <v>19202</v>
      </c>
    </row>
    <row r="4327" spans="9:13" x14ac:dyDescent="0.25">
      <c r="I4327" t="s">
        <v>3638</v>
      </c>
      <c r="J4327" s="161" t="s">
        <v>19202</v>
      </c>
      <c r="K4327" t="s">
        <v>19203</v>
      </c>
      <c r="L4327" t="s">
        <v>405</v>
      </c>
      <c r="M4327" s="161" t="s">
        <v>19202</v>
      </c>
    </row>
    <row r="4328" spans="9:13" x14ac:dyDescent="0.25">
      <c r="I4328" t="s">
        <v>4364</v>
      </c>
      <c r="J4328" s="161" t="s">
        <v>19202</v>
      </c>
      <c r="K4328" t="s">
        <v>19203</v>
      </c>
      <c r="L4328" t="s">
        <v>4363</v>
      </c>
      <c r="M4328" s="161" t="s">
        <v>19202</v>
      </c>
    </row>
    <row r="4329" spans="9:13" x14ac:dyDescent="0.25">
      <c r="I4329" t="s">
        <v>4236</v>
      </c>
      <c r="J4329" s="161" t="s">
        <v>19202</v>
      </c>
      <c r="K4329" t="s">
        <v>19203</v>
      </c>
      <c r="L4329" t="s">
        <v>3778</v>
      </c>
      <c r="M4329" s="161" t="s">
        <v>19202</v>
      </c>
    </row>
    <row r="4330" spans="9:13" x14ac:dyDescent="0.25">
      <c r="I4330" t="s">
        <v>3747</v>
      </c>
      <c r="J4330" s="161" t="s">
        <v>19202</v>
      </c>
      <c r="K4330" t="s">
        <v>19203</v>
      </c>
      <c r="L4330" t="s">
        <v>3746</v>
      </c>
      <c r="M4330" s="161" t="s">
        <v>19202</v>
      </c>
    </row>
    <row r="4331" spans="9:13" x14ac:dyDescent="0.25">
      <c r="I4331" t="s">
        <v>3745</v>
      </c>
      <c r="J4331" s="161" t="s">
        <v>19202</v>
      </c>
      <c r="K4331" t="s">
        <v>19203</v>
      </c>
      <c r="L4331" t="s">
        <v>3744</v>
      </c>
      <c r="M4331" s="161" t="s">
        <v>19202</v>
      </c>
    </row>
    <row r="4332" spans="9:13" x14ac:dyDescent="0.25">
      <c r="I4332" t="s">
        <v>3743</v>
      </c>
      <c r="J4332" s="161" t="s">
        <v>19202</v>
      </c>
      <c r="K4332" t="s">
        <v>19203</v>
      </c>
      <c r="L4332" t="s">
        <v>3742</v>
      </c>
      <c r="M4332" s="161" t="s">
        <v>19202</v>
      </c>
    </row>
    <row r="4333" spans="9:13" x14ac:dyDescent="0.25">
      <c r="I4333" t="s">
        <v>3944</v>
      </c>
      <c r="J4333" s="161" t="s">
        <v>19202</v>
      </c>
      <c r="K4333" t="s">
        <v>19203</v>
      </c>
      <c r="L4333" t="s">
        <v>3943</v>
      </c>
      <c r="M4333" s="161" t="s">
        <v>19202</v>
      </c>
    </row>
    <row r="4334" spans="9:13" x14ac:dyDescent="0.25">
      <c r="I4334" t="s">
        <v>3942</v>
      </c>
      <c r="J4334" s="161" t="s">
        <v>19202</v>
      </c>
      <c r="K4334" t="s">
        <v>19203</v>
      </c>
      <c r="L4334" t="s">
        <v>3941</v>
      </c>
      <c r="M4334" s="161" t="s">
        <v>19202</v>
      </c>
    </row>
    <row r="4335" spans="9:13" x14ac:dyDescent="0.25">
      <c r="I4335" t="s">
        <v>4657</v>
      </c>
      <c r="J4335" s="161" t="s">
        <v>19202</v>
      </c>
      <c r="K4335" t="s">
        <v>19203</v>
      </c>
      <c r="L4335" t="s">
        <v>4656</v>
      </c>
      <c r="M4335" s="161" t="s">
        <v>19202</v>
      </c>
    </row>
    <row r="4336" spans="9:13" x14ac:dyDescent="0.25">
      <c r="I4336" t="s">
        <v>3598</v>
      </c>
      <c r="J4336" s="161" t="s">
        <v>19202</v>
      </c>
      <c r="K4336" t="s">
        <v>19203</v>
      </c>
      <c r="L4336" t="s">
        <v>970</v>
      </c>
      <c r="M4336" s="161" t="s">
        <v>19202</v>
      </c>
    </row>
    <row r="4337" spans="9:13" x14ac:dyDescent="0.25">
      <c r="I4337" t="s">
        <v>3739</v>
      </c>
      <c r="J4337" s="161" t="s">
        <v>19202</v>
      </c>
      <c r="K4337" t="s">
        <v>19203</v>
      </c>
      <c r="L4337" t="s">
        <v>3738</v>
      </c>
      <c r="M4337" s="161" t="s">
        <v>19202</v>
      </c>
    </row>
    <row r="4338" spans="9:13" x14ac:dyDescent="0.25">
      <c r="I4338" t="s">
        <v>4148</v>
      </c>
      <c r="J4338" s="161" t="s">
        <v>19202</v>
      </c>
      <c r="K4338" t="s">
        <v>19203</v>
      </c>
      <c r="L4338" t="s">
        <v>4147</v>
      </c>
      <c r="M4338" s="161" t="s">
        <v>19202</v>
      </c>
    </row>
    <row r="4339" spans="9:13" x14ac:dyDescent="0.25">
      <c r="I4339" t="s">
        <v>3633</v>
      </c>
      <c r="J4339" s="161" t="s">
        <v>19202</v>
      </c>
      <c r="K4339" t="s">
        <v>19203</v>
      </c>
      <c r="L4339" t="s">
        <v>3632</v>
      </c>
      <c r="M4339" s="161" t="s">
        <v>19202</v>
      </c>
    </row>
    <row r="4340" spans="9:13" x14ac:dyDescent="0.25">
      <c r="I4340" t="s">
        <v>3940</v>
      </c>
      <c r="J4340" s="161" t="s">
        <v>19202</v>
      </c>
      <c r="K4340" t="s">
        <v>19203</v>
      </c>
      <c r="L4340" t="s">
        <v>3862</v>
      </c>
      <c r="M4340" s="161" t="s">
        <v>19202</v>
      </c>
    </row>
    <row r="4341" spans="9:13" x14ac:dyDescent="0.25">
      <c r="I4341" t="s">
        <v>3939</v>
      </c>
      <c r="J4341" s="161" t="s">
        <v>19202</v>
      </c>
      <c r="K4341" t="s">
        <v>19203</v>
      </c>
      <c r="L4341" t="s">
        <v>3938</v>
      </c>
      <c r="M4341" s="161" t="s">
        <v>19202</v>
      </c>
    </row>
    <row r="4342" spans="9:13" x14ac:dyDescent="0.25">
      <c r="I4342" t="s">
        <v>3937</v>
      </c>
      <c r="J4342" s="161" t="s">
        <v>19202</v>
      </c>
      <c r="K4342" t="s">
        <v>19203</v>
      </c>
      <c r="L4342" t="s">
        <v>3936</v>
      </c>
      <c r="M4342" s="161" t="s">
        <v>19202</v>
      </c>
    </row>
    <row r="4343" spans="9:13" x14ac:dyDescent="0.25">
      <c r="I4343" t="s">
        <v>4328</v>
      </c>
      <c r="J4343" s="161" t="s">
        <v>19202</v>
      </c>
      <c r="K4343" t="s">
        <v>19203</v>
      </c>
      <c r="L4343" t="s">
        <v>4327</v>
      </c>
      <c r="M4343" s="161" t="s">
        <v>19202</v>
      </c>
    </row>
    <row r="4344" spans="9:13" x14ac:dyDescent="0.25">
      <c r="I4344" t="s">
        <v>4041</v>
      </c>
      <c r="J4344" s="161" t="s">
        <v>19202</v>
      </c>
      <c r="K4344" t="s">
        <v>19203</v>
      </c>
      <c r="L4344" t="s">
        <v>4040</v>
      </c>
      <c r="M4344" s="161" t="s">
        <v>19202</v>
      </c>
    </row>
    <row r="4345" spans="9:13" x14ac:dyDescent="0.25">
      <c r="I4345" t="s">
        <v>3735</v>
      </c>
      <c r="J4345" s="161" t="s">
        <v>19202</v>
      </c>
      <c r="K4345" t="s">
        <v>19203</v>
      </c>
      <c r="L4345" t="s">
        <v>3734</v>
      </c>
      <c r="M4345" s="161" t="s">
        <v>19202</v>
      </c>
    </row>
    <row r="4346" spans="9:13" x14ac:dyDescent="0.25">
      <c r="I4346" t="s">
        <v>3733</v>
      </c>
      <c r="J4346" s="161" t="s">
        <v>19202</v>
      </c>
      <c r="K4346" t="s">
        <v>19203</v>
      </c>
      <c r="L4346" t="s">
        <v>3732</v>
      </c>
      <c r="M4346" s="161" t="s">
        <v>19202</v>
      </c>
    </row>
    <row r="4347" spans="9:13" x14ac:dyDescent="0.25">
      <c r="I4347" t="s">
        <v>4233</v>
      </c>
      <c r="J4347" s="161" t="s">
        <v>19202</v>
      </c>
      <c r="K4347" t="s">
        <v>19203</v>
      </c>
      <c r="L4347" t="s">
        <v>4232</v>
      </c>
      <c r="M4347" s="161" t="s">
        <v>19202</v>
      </c>
    </row>
    <row r="4348" spans="9:13" x14ac:dyDescent="0.25">
      <c r="I4348" t="s">
        <v>3731</v>
      </c>
      <c r="J4348" s="161" t="s">
        <v>19202</v>
      </c>
      <c r="K4348" t="s">
        <v>19203</v>
      </c>
      <c r="L4348" t="s">
        <v>3730</v>
      </c>
      <c r="M4348" s="161" t="s">
        <v>19202</v>
      </c>
    </row>
    <row r="4349" spans="9:13" x14ac:dyDescent="0.25">
      <c r="I4349" t="s">
        <v>4655</v>
      </c>
      <c r="J4349" s="161" t="s">
        <v>19202</v>
      </c>
      <c r="K4349" t="s">
        <v>19203</v>
      </c>
      <c r="L4349" t="s">
        <v>3630</v>
      </c>
      <c r="M4349" s="161" t="s">
        <v>19202</v>
      </c>
    </row>
    <row r="4350" spans="9:13" x14ac:dyDescent="0.25">
      <c r="I4350" t="s">
        <v>19713</v>
      </c>
      <c r="J4350" s="161" t="s">
        <v>19202</v>
      </c>
      <c r="K4350" t="s">
        <v>19203</v>
      </c>
      <c r="L4350" t="s">
        <v>19714</v>
      </c>
      <c r="M4350" s="161" t="s">
        <v>19202</v>
      </c>
    </row>
    <row r="4351" spans="9:13" x14ac:dyDescent="0.25">
      <c r="I4351" t="s">
        <v>531</v>
      </c>
      <c r="J4351" s="161" t="s">
        <v>19202</v>
      </c>
      <c r="K4351" t="s">
        <v>19203</v>
      </c>
      <c r="L4351" t="s">
        <v>530</v>
      </c>
      <c r="M4351" s="161" t="s">
        <v>19202</v>
      </c>
    </row>
    <row r="4352" spans="9:13" x14ac:dyDescent="0.25">
      <c r="I4352" t="s">
        <v>19715</v>
      </c>
      <c r="J4352" s="161" t="s">
        <v>19202</v>
      </c>
      <c r="K4352" t="s">
        <v>19203</v>
      </c>
      <c r="L4352" t="s">
        <v>15319</v>
      </c>
      <c r="M4352" s="161" t="s">
        <v>19202</v>
      </c>
    </row>
    <row r="4353" spans="9:13" x14ac:dyDescent="0.25">
      <c r="I4353" t="s">
        <v>19716</v>
      </c>
      <c r="J4353" s="161" t="s">
        <v>19202</v>
      </c>
      <c r="K4353" t="s">
        <v>19203</v>
      </c>
      <c r="L4353" t="s">
        <v>19717</v>
      </c>
      <c r="M4353" s="161" t="s">
        <v>19202</v>
      </c>
    </row>
    <row r="4354" spans="9:13" x14ac:dyDescent="0.25">
      <c r="I4354" t="s">
        <v>9673</v>
      </c>
      <c r="J4354" s="161" t="s">
        <v>19202</v>
      </c>
      <c r="K4354" t="s">
        <v>19203</v>
      </c>
      <c r="L4354" t="s">
        <v>9672</v>
      </c>
      <c r="M4354" s="161" t="s">
        <v>19202</v>
      </c>
    </row>
    <row r="4355" spans="9:13" x14ac:dyDescent="0.25">
      <c r="I4355" t="s">
        <v>14814</v>
      </c>
      <c r="J4355" s="161" t="s">
        <v>19202</v>
      </c>
      <c r="K4355" t="s">
        <v>19203</v>
      </c>
      <c r="L4355" t="s">
        <v>14813</v>
      </c>
      <c r="M4355" s="161" t="s">
        <v>19202</v>
      </c>
    </row>
    <row r="4356" spans="9:13" x14ac:dyDescent="0.25">
      <c r="I4356" t="s">
        <v>7519</v>
      </c>
      <c r="J4356" s="161" t="s">
        <v>19202</v>
      </c>
      <c r="K4356" t="s">
        <v>19203</v>
      </c>
      <c r="L4356" t="s">
        <v>7518</v>
      </c>
      <c r="M4356" s="161" t="s">
        <v>19202</v>
      </c>
    </row>
    <row r="4357" spans="9:13" x14ac:dyDescent="0.25">
      <c r="I4357" t="s">
        <v>3987</v>
      </c>
      <c r="J4357" s="161" t="s">
        <v>19202</v>
      </c>
      <c r="K4357" t="s">
        <v>19203</v>
      </c>
      <c r="L4357" t="s">
        <v>3986</v>
      </c>
      <c r="M4357" s="161" t="s">
        <v>19202</v>
      </c>
    </row>
    <row r="4358" spans="9:13" x14ac:dyDescent="0.25">
      <c r="I4358" t="s">
        <v>4684</v>
      </c>
      <c r="J4358" s="161" t="s">
        <v>19202</v>
      </c>
      <c r="K4358" t="s">
        <v>19203</v>
      </c>
      <c r="L4358" t="s">
        <v>4683</v>
      </c>
      <c r="M4358" s="161" t="s">
        <v>19202</v>
      </c>
    </row>
    <row r="4359" spans="9:13" x14ac:dyDescent="0.25">
      <c r="I4359" t="s">
        <v>4988</v>
      </c>
      <c r="J4359" s="161" t="s">
        <v>19202</v>
      </c>
      <c r="K4359" t="s">
        <v>19203</v>
      </c>
      <c r="L4359" t="s">
        <v>4987</v>
      </c>
      <c r="M4359" s="161" t="s">
        <v>19202</v>
      </c>
    </row>
    <row r="4360" spans="9:13" x14ac:dyDescent="0.25">
      <c r="I4360" t="s">
        <v>4323</v>
      </c>
      <c r="J4360" s="161" t="s">
        <v>19202</v>
      </c>
      <c r="K4360" t="s">
        <v>19203</v>
      </c>
      <c r="L4360" t="s">
        <v>4322</v>
      </c>
      <c r="M4360" s="161" t="s">
        <v>19202</v>
      </c>
    </row>
    <row r="4361" spans="9:13" x14ac:dyDescent="0.25">
      <c r="I4361" t="s">
        <v>4650</v>
      </c>
      <c r="J4361" s="161" t="s">
        <v>19202</v>
      </c>
      <c r="K4361" t="s">
        <v>19203</v>
      </c>
      <c r="L4361" t="s">
        <v>4649</v>
      </c>
      <c r="M4361" s="161" t="s">
        <v>19202</v>
      </c>
    </row>
    <row r="4362" spans="9:13" x14ac:dyDescent="0.25">
      <c r="I4362" t="s">
        <v>719</v>
      </c>
      <c r="J4362" s="161" t="s">
        <v>19202</v>
      </c>
      <c r="K4362" t="s">
        <v>19203</v>
      </c>
      <c r="L4362" t="s">
        <v>718</v>
      </c>
      <c r="M4362" s="161" t="s">
        <v>19202</v>
      </c>
    </row>
    <row r="4363" spans="9:13" x14ac:dyDescent="0.25">
      <c r="I4363" t="s">
        <v>4982</v>
      </c>
      <c r="J4363" s="161" t="s">
        <v>19202</v>
      </c>
      <c r="K4363" t="s">
        <v>19203</v>
      </c>
      <c r="L4363" t="s">
        <v>4981</v>
      </c>
      <c r="M4363" s="161" t="s">
        <v>19202</v>
      </c>
    </row>
    <row r="4364" spans="9:13" x14ac:dyDescent="0.25">
      <c r="I4364" t="s">
        <v>573</v>
      </c>
      <c r="J4364" s="161" t="s">
        <v>19202</v>
      </c>
      <c r="K4364" t="s">
        <v>19203</v>
      </c>
      <c r="L4364" t="s">
        <v>572</v>
      </c>
      <c r="M4364" s="161" t="s">
        <v>19202</v>
      </c>
    </row>
    <row r="4365" spans="9:13" x14ac:dyDescent="0.25">
      <c r="I4365" t="s">
        <v>4682</v>
      </c>
      <c r="J4365" s="161" t="s">
        <v>19202</v>
      </c>
      <c r="K4365" t="s">
        <v>19203</v>
      </c>
      <c r="L4365" t="s">
        <v>4681</v>
      </c>
      <c r="M4365" s="161" t="s">
        <v>19202</v>
      </c>
    </row>
    <row r="4366" spans="9:13" x14ac:dyDescent="0.25">
      <c r="I4366" t="s">
        <v>4140</v>
      </c>
      <c r="J4366" s="161" t="s">
        <v>19202</v>
      </c>
      <c r="K4366" t="s">
        <v>19203</v>
      </c>
      <c r="L4366" t="s">
        <v>4139</v>
      </c>
      <c r="M4366" s="161" t="s">
        <v>19202</v>
      </c>
    </row>
    <row r="4367" spans="9:13" x14ac:dyDescent="0.25">
      <c r="I4367" t="s">
        <v>834</v>
      </c>
      <c r="J4367" s="161" t="s">
        <v>19202</v>
      </c>
      <c r="K4367" t="s">
        <v>19203</v>
      </c>
      <c r="L4367" t="s">
        <v>728</v>
      </c>
      <c r="M4367" s="161" t="s">
        <v>19202</v>
      </c>
    </row>
    <row r="4368" spans="9:13" x14ac:dyDescent="0.25">
      <c r="I4368" t="s">
        <v>4659</v>
      </c>
      <c r="J4368" s="161" t="s">
        <v>19202</v>
      </c>
      <c r="K4368" t="s">
        <v>19203</v>
      </c>
      <c r="L4368" t="s">
        <v>4658</v>
      </c>
      <c r="M4368" s="161" t="s">
        <v>19202</v>
      </c>
    </row>
    <row r="4369" spans="9:13" x14ac:dyDescent="0.25">
      <c r="I4369" t="s">
        <v>14778</v>
      </c>
      <c r="J4369" s="161" t="s">
        <v>19202</v>
      </c>
      <c r="K4369" t="s">
        <v>19203</v>
      </c>
      <c r="L4369" t="s">
        <v>14777</v>
      </c>
      <c r="M4369" s="161" t="s">
        <v>19202</v>
      </c>
    </row>
    <row r="4370" spans="9:13" x14ac:dyDescent="0.25">
      <c r="I4370" t="s">
        <v>587</v>
      </c>
      <c r="J4370" s="161" t="s">
        <v>19202</v>
      </c>
      <c r="K4370" t="s">
        <v>19203</v>
      </c>
      <c r="L4370" t="s">
        <v>586</v>
      </c>
      <c r="M4370" s="161" t="s">
        <v>19202</v>
      </c>
    </row>
    <row r="4371" spans="9:13" x14ac:dyDescent="0.25">
      <c r="I4371" t="s">
        <v>585</v>
      </c>
      <c r="J4371" s="161" t="s">
        <v>19202</v>
      </c>
      <c r="K4371" t="s">
        <v>19203</v>
      </c>
      <c r="L4371" t="s">
        <v>584</v>
      </c>
      <c r="M4371" s="161" t="s">
        <v>19202</v>
      </c>
    </row>
    <row r="4372" spans="9:13" x14ac:dyDescent="0.25">
      <c r="I4372" t="s">
        <v>583</v>
      </c>
      <c r="J4372" s="161" t="s">
        <v>19202</v>
      </c>
      <c r="K4372" t="s">
        <v>19203</v>
      </c>
      <c r="L4372" t="s">
        <v>582</v>
      </c>
      <c r="M4372" s="161" t="s">
        <v>19202</v>
      </c>
    </row>
    <row r="4373" spans="9:13" x14ac:dyDescent="0.25">
      <c r="I4373" t="s">
        <v>581</v>
      </c>
      <c r="J4373" s="161" t="s">
        <v>19202</v>
      </c>
      <c r="K4373" t="s">
        <v>19203</v>
      </c>
      <c r="L4373" t="s">
        <v>580</v>
      </c>
      <c r="M4373" s="161" t="s">
        <v>19202</v>
      </c>
    </row>
    <row r="4374" spans="9:13" x14ac:dyDescent="0.25">
      <c r="I4374" t="s">
        <v>579</v>
      </c>
      <c r="J4374" s="161" t="s">
        <v>19202</v>
      </c>
      <c r="K4374" t="s">
        <v>19203</v>
      </c>
      <c r="L4374" t="s">
        <v>578</v>
      </c>
      <c r="M4374" s="161" t="s">
        <v>19202</v>
      </c>
    </row>
    <row r="4375" spans="9:13" x14ac:dyDescent="0.25">
      <c r="I4375" t="s">
        <v>577</v>
      </c>
      <c r="J4375" s="161" t="s">
        <v>19202</v>
      </c>
      <c r="K4375" t="s">
        <v>19203</v>
      </c>
      <c r="L4375" t="s">
        <v>576</v>
      </c>
      <c r="M4375" s="161" t="s">
        <v>19202</v>
      </c>
    </row>
    <row r="4376" spans="9:13" x14ac:dyDescent="0.25">
      <c r="I4376" t="s">
        <v>575</v>
      </c>
      <c r="J4376" s="161" t="s">
        <v>19202</v>
      </c>
      <c r="K4376" t="s">
        <v>19203</v>
      </c>
      <c r="L4376" t="s">
        <v>574</v>
      </c>
      <c r="M4376" s="161" t="s">
        <v>19202</v>
      </c>
    </row>
    <row r="4377" spans="9:13" x14ac:dyDescent="0.25">
      <c r="I4377" t="s">
        <v>731</v>
      </c>
      <c r="J4377" s="161" t="s">
        <v>19202</v>
      </c>
      <c r="K4377" t="s">
        <v>19203</v>
      </c>
      <c r="L4377" t="s">
        <v>730</v>
      </c>
      <c r="M4377" s="161" t="s">
        <v>19202</v>
      </c>
    </row>
    <row r="4378" spans="9:13" x14ac:dyDescent="0.25">
      <c r="I4378" t="s">
        <v>727</v>
      </c>
      <c r="J4378" s="161" t="s">
        <v>19202</v>
      </c>
      <c r="K4378" t="s">
        <v>19203</v>
      </c>
      <c r="L4378" t="s">
        <v>726</v>
      </c>
      <c r="M4378" s="161" t="s">
        <v>19202</v>
      </c>
    </row>
    <row r="4379" spans="9:13" x14ac:dyDescent="0.25">
      <c r="I4379" t="s">
        <v>723</v>
      </c>
      <c r="J4379" s="161" t="s">
        <v>19202</v>
      </c>
      <c r="K4379" t="s">
        <v>19203</v>
      </c>
      <c r="L4379" t="s">
        <v>722</v>
      </c>
      <c r="M4379" s="161" t="s">
        <v>19202</v>
      </c>
    </row>
    <row r="4380" spans="9:13" x14ac:dyDescent="0.25">
      <c r="I4380" t="s">
        <v>848</v>
      </c>
      <c r="J4380" s="161" t="s">
        <v>19202</v>
      </c>
      <c r="K4380" t="s">
        <v>19203</v>
      </c>
      <c r="L4380" t="s">
        <v>776</v>
      </c>
      <c r="M4380" s="161" t="s">
        <v>19202</v>
      </c>
    </row>
    <row r="4381" spans="9:13" x14ac:dyDescent="0.25">
      <c r="I4381" t="s">
        <v>847</v>
      </c>
      <c r="J4381" s="161" t="s">
        <v>19202</v>
      </c>
      <c r="K4381" t="s">
        <v>19203</v>
      </c>
      <c r="L4381" t="s">
        <v>846</v>
      </c>
      <c r="M4381" s="161" t="s">
        <v>19202</v>
      </c>
    </row>
    <row r="4382" spans="9:13" x14ac:dyDescent="0.25">
      <c r="I4382" t="s">
        <v>845</v>
      </c>
      <c r="J4382" s="161" t="s">
        <v>19202</v>
      </c>
      <c r="K4382" t="s">
        <v>19203</v>
      </c>
      <c r="L4382" t="s">
        <v>844</v>
      </c>
      <c r="M4382" s="161" t="s">
        <v>19202</v>
      </c>
    </row>
    <row r="4383" spans="9:13" x14ac:dyDescent="0.25">
      <c r="I4383" t="s">
        <v>839</v>
      </c>
      <c r="J4383" s="161" t="s">
        <v>19202</v>
      </c>
      <c r="K4383" t="s">
        <v>19203</v>
      </c>
      <c r="L4383" t="s">
        <v>838</v>
      </c>
      <c r="M4383" s="161" t="s">
        <v>19202</v>
      </c>
    </row>
    <row r="4384" spans="9:13" x14ac:dyDescent="0.25">
      <c r="I4384" t="s">
        <v>1042</v>
      </c>
      <c r="J4384" s="161" t="s">
        <v>19202</v>
      </c>
      <c r="K4384" t="s">
        <v>19203</v>
      </c>
      <c r="L4384" t="s">
        <v>1041</v>
      </c>
      <c r="M4384" s="161" t="s">
        <v>19202</v>
      </c>
    </row>
    <row r="4385" spans="9:13" x14ac:dyDescent="0.25">
      <c r="I4385" t="s">
        <v>729</v>
      </c>
      <c r="J4385" s="161" t="s">
        <v>19202</v>
      </c>
      <c r="K4385" t="s">
        <v>19203</v>
      </c>
      <c r="L4385" t="s">
        <v>728</v>
      </c>
      <c r="M4385" s="161" t="s">
        <v>19202</v>
      </c>
    </row>
    <row r="4386" spans="9:13" x14ac:dyDescent="0.25">
      <c r="I4386" t="s">
        <v>6523</v>
      </c>
      <c r="J4386" s="161" t="s">
        <v>19202</v>
      </c>
      <c r="K4386" t="s">
        <v>19203</v>
      </c>
      <c r="L4386" t="s">
        <v>6522</v>
      </c>
      <c r="M4386" s="161" t="s">
        <v>19202</v>
      </c>
    </row>
    <row r="4387" spans="9:13" x14ac:dyDescent="0.25">
      <c r="I4387" t="s">
        <v>8740</v>
      </c>
      <c r="J4387" s="161" t="s">
        <v>19202</v>
      </c>
      <c r="K4387" t="s">
        <v>19203</v>
      </c>
      <c r="L4387" t="s">
        <v>8739</v>
      </c>
      <c r="M4387" s="161" t="s">
        <v>19202</v>
      </c>
    </row>
    <row r="4388" spans="9:13" x14ac:dyDescent="0.25">
      <c r="I4388" t="s">
        <v>4799</v>
      </c>
      <c r="J4388" s="161" t="s">
        <v>19202</v>
      </c>
      <c r="K4388" t="s">
        <v>19203</v>
      </c>
      <c r="L4388" t="s">
        <v>4798</v>
      </c>
      <c r="M4388" s="161" t="s">
        <v>19202</v>
      </c>
    </row>
    <row r="4389" spans="9:13" x14ac:dyDescent="0.25">
      <c r="I4389" t="s">
        <v>6640</v>
      </c>
      <c r="J4389" s="161" t="s">
        <v>19202</v>
      </c>
      <c r="K4389" t="s">
        <v>19203</v>
      </c>
      <c r="L4389" t="s">
        <v>6639</v>
      </c>
      <c r="M4389" s="161" t="s">
        <v>19202</v>
      </c>
    </row>
    <row r="4390" spans="9:13" x14ac:dyDescent="0.25">
      <c r="I4390" t="s">
        <v>19718</v>
      </c>
      <c r="J4390" s="161" t="s">
        <v>19202</v>
      </c>
      <c r="K4390" t="s">
        <v>19203</v>
      </c>
      <c r="L4390" t="s">
        <v>19719</v>
      </c>
      <c r="M4390" s="161" t="s">
        <v>19202</v>
      </c>
    </row>
    <row r="4391" spans="9:13" x14ac:dyDescent="0.25">
      <c r="I4391" t="s">
        <v>4494</v>
      </c>
      <c r="J4391" s="161" t="s">
        <v>19202</v>
      </c>
      <c r="K4391" t="s">
        <v>19203</v>
      </c>
      <c r="L4391" t="s">
        <v>4493</v>
      </c>
      <c r="M4391" s="161" t="s">
        <v>19202</v>
      </c>
    </row>
    <row r="4392" spans="9:13" x14ac:dyDescent="0.25">
      <c r="I4392" t="s">
        <v>4525</v>
      </c>
      <c r="J4392" s="161" t="s">
        <v>19202</v>
      </c>
      <c r="K4392" t="s">
        <v>19203</v>
      </c>
      <c r="L4392" t="s">
        <v>4524</v>
      </c>
      <c r="M4392" s="161" t="s">
        <v>19202</v>
      </c>
    </row>
    <row r="4393" spans="9:13" x14ac:dyDescent="0.25">
      <c r="I4393" t="s">
        <v>4948</v>
      </c>
      <c r="J4393" s="161" t="s">
        <v>19202</v>
      </c>
      <c r="K4393" t="s">
        <v>19203</v>
      </c>
      <c r="L4393" t="s">
        <v>941</v>
      </c>
      <c r="M4393" s="161" t="s">
        <v>19202</v>
      </c>
    </row>
    <row r="4394" spans="9:13" x14ac:dyDescent="0.25">
      <c r="I4394" t="s">
        <v>4523</v>
      </c>
      <c r="J4394" s="161" t="s">
        <v>19202</v>
      </c>
      <c r="K4394" t="s">
        <v>19203</v>
      </c>
      <c r="L4394" t="s">
        <v>4522</v>
      </c>
      <c r="M4394" s="161" t="s">
        <v>19202</v>
      </c>
    </row>
    <row r="4395" spans="9:13" x14ac:dyDescent="0.25">
      <c r="I4395" t="s">
        <v>3904</v>
      </c>
      <c r="J4395" s="161" t="s">
        <v>19202</v>
      </c>
      <c r="K4395" t="s">
        <v>19203</v>
      </c>
      <c r="L4395" t="s">
        <v>1208</v>
      </c>
      <c r="M4395" s="161" t="s">
        <v>19202</v>
      </c>
    </row>
    <row r="4396" spans="9:13" x14ac:dyDescent="0.25">
      <c r="I4396" t="s">
        <v>3903</v>
      </c>
      <c r="J4396" s="161" t="s">
        <v>19202</v>
      </c>
      <c r="K4396" t="s">
        <v>19203</v>
      </c>
      <c r="L4396" t="s">
        <v>3902</v>
      </c>
      <c r="M4396" s="161" t="s">
        <v>19202</v>
      </c>
    </row>
    <row r="4397" spans="9:13" x14ac:dyDescent="0.25">
      <c r="I4397" t="s">
        <v>3901</v>
      </c>
      <c r="J4397" s="161" t="s">
        <v>19202</v>
      </c>
      <c r="K4397" t="s">
        <v>19203</v>
      </c>
      <c r="L4397" t="s">
        <v>3900</v>
      </c>
      <c r="M4397" s="161" t="s">
        <v>19202</v>
      </c>
    </row>
    <row r="4398" spans="9:13" x14ac:dyDescent="0.25">
      <c r="I4398" t="s">
        <v>3899</v>
      </c>
      <c r="J4398" s="161" t="s">
        <v>19202</v>
      </c>
      <c r="K4398" t="s">
        <v>19203</v>
      </c>
      <c r="L4398" t="s">
        <v>3898</v>
      </c>
      <c r="M4398" s="161" t="s">
        <v>19202</v>
      </c>
    </row>
    <row r="4399" spans="9:13" x14ac:dyDescent="0.25">
      <c r="I4399" t="s">
        <v>4947</v>
      </c>
      <c r="J4399" s="161" t="s">
        <v>19202</v>
      </c>
      <c r="K4399" t="s">
        <v>19203</v>
      </c>
      <c r="L4399" t="s">
        <v>4946</v>
      </c>
      <c r="M4399" s="161" t="s">
        <v>19202</v>
      </c>
    </row>
    <row r="4400" spans="9:13" x14ac:dyDescent="0.25">
      <c r="I4400" t="s">
        <v>3895</v>
      </c>
      <c r="J4400" s="161" t="s">
        <v>19202</v>
      </c>
      <c r="K4400" t="s">
        <v>19203</v>
      </c>
      <c r="L4400" t="s">
        <v>3894</v>
      </c>
      <c r="M4400" s="161" t="s">
        <v>19202</v>
      </c>
    </row>
    <row r="4401" spans="9:13" x14ac:dyDescent="0.25">
      <c r="I4401" t="s">
        <v>3893</v>
      </c>
      <c r="J4401" s="161" t="s">
        <v>19202</v>
      </c>
      <c r="K4401" t="s">
        <v>19203</v>
      </c>
      <c r="L4401" t="s">
        <v>3892</v>
      </c>
      <c r="M4401" s="161" t="s">
        <v>19202</v>
      </c>
    </row>
    <row r="4402" spans="9:13" x14ac:dyDescent="0.25">
      <c r="I4402" t="s">
        <v>3866</v>
      </c>
      <c r="J4402" s="161" t="s">
        <v>19202</v>
      </c>
      <c r="K4402" t="s">
        <v>19203</v>
      </c>
      <c r="L4402" t="s">
        <v>1736</v>
      </c>
      <c r="M4402" s="161" t="s">
        <v>19202</v>
      </c>
    </row>
    <row r="4403" spans="9:13" x14ac:dyDescent="0.25">
      <c r="I4403" t="s">
        <v>3865</v>
      </c>
      <c r="J4403" s="161" t="s">
        <v>19202</v>
      </c>
      <c r="K4403" t="s">
        <v>19203</v>
      </c>
      <c r="L4403" t="s">
        <v>3864</v>
      </c>
      <c r="M4403" s="161" t="s">
        <v>19202</v>
      </c>
    </row>
    <row r="4404" spans="9:13" x14ac:dyDescent="0.25">
      <c r="I4404" t="s">
        <v>3863</v>
      </c>
      <c r="J4404" s="161" t="s">
        <v>19202</v>
      </c>
      <c r="K4404" t="s">
        <v>19203</v>
      </c>
      <c r="L4404" t="s">
        <v>3862</v>
      </c>
      <c r="M4404" s="161" t="s">
        <v>19202</v>
      </c>
    </row>
    <row r="4405" spans="9:13" x14ac:dyDescent="0.25">
      <c r="I4405" t="s">
        <v>3861</v>
      </c>
      <c r="J4405" s="161" t="s">
        <v>19202</v>
      </c>
      <c r="K4405" t="s">
        <v>19203</v>
      </c>
      <c r="L4405" t="s">
        <v>3860</v>
      </c>
      <c r="M4405" s="161" t="s">
        <v>19202</v>
      </c>
    </row>
    <row r="4406" spans="9:13" x14ac:dyDescent="0.25">
      <c r="I4406" t="s">
        <v>3857</v>
      </c>
      <c r="J4406" s="161" t="s">
        <v>19202</v>
      </c>
      <c r="K4406" t="s">
        <v>19203</v>
      </c>
      <c r="L4406" t="s">
        <v>3856</v>
      </c>
      <c r="M4406" s="161" t="s">
        <v>19202</v>
      </c>
    </row>
    <row r="4407" spans="9:13" x14ac:dyDescent="0.25">
      <c r="I4407" t="s">
        <v>3855</v>
      </c>
      <c r="J4407" s="161" t="s">
        <v>19202</v>
      </c>
      <c r="K4407" t="s">
        <v>19203</v>
      </c>
      <c r="L4407" t="s">
        <v>3854</v>
      </c>
      <c r="M4407" s="161" t="s">
        <v>19202</v>
      </c>
    </row>
    <row r="4408" spans="9:13" x14ac:dyDescent="0.25">
      <c r="I4408" t="s">
        <v>3891</v>
      </c>
      <c r="J4408" s="161" t="s">
        <v>19202</v>
      </c>
      <c r="K4408" t="s">
        <v>19203</v>
      </c>
      <c r="L4408" t="s">
        <v>3890</v>
      </c>
      <c r="M4408" s="161" t="s">
        <v>19202</v>
      </c>
    </row>
    <row r="4409" spans="9:13" x14ac:dyDescent="0.25">
      <c r="I4409" t="s">
        <v>3889</v>
      </c>
      <c r="J4409" s="161" t="s">
        <v>19202</v>
      </c>
      <c r="K4409" t="s">
        <v>19203</v>
      </c>
      <c r="L4409" t="s">
        <v>3888</v>
      </c>
      <c r="M4409" s="161" t="s">
        <v>19202</v>
      </c>
    </row>
    <row r="4410" spans="9:13" x14ac:dyDescent="0.25">
      <c r="I4410" t="s">
        <v>3853</v>
      </c>
      <c r="J4410" s="161" t="s">
        <v>19202</v>
      </c>
      <c r="K4410" t="s">
        <v>19203</v>
      </c>
      <c r="L4410" t="s">
        <v>1497</v>
      </c>
      <c r="M4410" s="161" t="s">
        <v>19202</v>
      </c>
    </row>
    <row r="4411" spans="9:13" x14ac:dyDescent="0.25">
      <c r="I4411" t="s">
        <v>4845</v>
      </c>
      <c r="J4411" s="161" t="s">
        <v>19202</v>
      </c>
      <c r="K4411" t="s">
        <v>19203</v>
      </c>
      <c r="L4411" t="s">
        <v>4844</v>
      </c>
      <c r="M4411" s="161" t="s">
        <v>19202</v>
      </c>
    </row>
    <row r="4412" spans="9:13" x14ac:dyDescent="0.25">
      <c r="I4412" t="s">
        <v>971</v>
      </c>
      <c r="J4412" s="161" t="s">
        <v>19202</v>
      </c>
      <c r="K4412" t="s">
        <v>19203</v>
      </c>
      <c r="L4412" t="s">
        <v>970</v>
      </c>
      <c r="M4412" s="161" t="s">
        <v>19202</v>
      </c>
    </row>
    <row r="4413" spans="9:13" x14ac:dyDescent="0.25">
      <c r="I4413" t="s">
        <v>4572</v>
      </c>
      <c r="J4413" s="161" t="s">
        <v>19202</v>
      </c>
      <c r="K4413" t="s">
        <v>19203</v>
      </c>
      <c r="L4413" t="s">
        <v>4571</v>
      </c>
      <c r="M4413" s="161" t="s">
        <v>19202</v>
      </c>
    </row>
    <row r="4414" spans="9:13" x14ac:dyDescent="0.25">
      <c r="I4414" t="s">
        <v>4405</v>
      </c>
      <c r="J4414" s="161" t="s">
        <v>19202</v>
      </c>
      <c r="K4414" t="s">
        <v>19203</v>
      </c>
      <c r="L4414" t="s">
        <v>4404</v>
      </c>
      <c r="M4414" s="161" t="s">
        <v>19202</v>
      </c>
    </row>
    <row r="4415" spans="9:13" x14ac:dyDescent="0.25">
      <c r="I4415" t="s">
        <v>4521</v>
      </c>
      <c r="J4415" s="161" t="s">
        <v>19202</v>
      </c>
      <c r="K4415" t="s">
        <v>19203</v>
      </c>
      <c r="L4415" t="s">
        <v>4520</v>
      </c>
      <c r="M4415" s="161" t="s">
        <v>19202</v>
      </c>
    </row>
    <row r="4416" spans="9:13" x14ac:dyDescent="0.25">
      <c r="I4416" t="s">
        <v>4945</v>
      </c>
      <c r="J4416" s="161" t="s">
        <v>19202</v>
      </c>
      <c r="K4416" t="s">
        <v>19203</v>
      </c>
      <c r="L4416" t="s">
        <v>4944</v>
      </c>
      <c r="M4416" s="161" t="s">
        <v>19202</v>
      </c>
    </row>
    <row r="4417" spans="9:13" x14ac:dyDescent="0.25">
      <c r="I4417" t="s">
        <v>4747</v>
      </c>
      <c r="J4417" s="161" t="s">
        <v>19202</v>
      </c>
      <c r="K4417" t="s">
        <v>19203</v>
      </c>
      <c r="L4417" t="s">
        <v>4746</v>
      </c>
      <c r="M4417" s="161" t="s">
        <v>19202</v>
      </c>
    </row>
    <row r="4418" spans="9:13" x14ac:dyDescent="0.25">
      <c r="I4418" t="s">
        <v>5059</v>
      </c>
      <c r="J4418" s="161" t="s">
        <v>19202</v>
      </c>
      <c r="K4418" t="s">
        <v>19203</v>
      </c>
      <c r="L4418" t="s">
        <v>5058</v>
      </c>
      <c r="M4418" s="161" t="s">
        <v>19202</v>
      </c>
    </row>
    <row r="4419" spans="9:13" x14ac:dyDescent="0.25">
      <c r="I4419" t="s">
        <v>3887</v>
      </c>
      <c r="J4419" s="161" t="s">
        <v>19202</v>
      </c>
      <c r="K4419" t="s">
        <v>19203</v>
      </c>
      <c r="L4419" t="s">
        <v>3886</v>
      </c>
      <c r="M4419" s="161" t="s">
        <v>19202</v>
      </c>
    </row>
    <row r="4420" spans="9:13" x14ac:dyDescent="0.25">
      <c r="I4420" t="s">
        <v>4887</v>
      </c>
      <c r="J4420" s="161" t="s">
        <v>19202</v>
      </c>
      <c r="K4420" t="s">
        <v>19203</v>
      </c>
      <c r="L4420" t="s">
        <v>632</v>
      </c>
      <c r="M4420" s="161" t="s">
        <v>19202</v>
      </c>
    </row>
    <row r="4421" spans="9:13" x14ac:dyDescent="0.25">
      <c r="I4421" t="s">
        <v>3786</v>
      </c>
      <c r="J4421" s="161" t="s">
        <v>19202</v>
      </c>
      <c r="K4421" t="s">
        <v>19203</v>
      </c>
      <c r="L4421" t="s">
        <v>3785</v>
      </c>
      <c r="M4421" s="161" t="s">
        <v>19202</v>
      </c>
    </row>
    <row r="4422" spans="9:13" x14ac:dyDescent="0.25">
      <c r="I4422" t="s">
        <v>3784</v>
      </c>
      <c r="J4422" s="161" t="s">
        <v>19202</v>
      </c>
      <c r="K4422" t="s">
        <v>19203</v>
      </c>
      <c r="L4422" t="s">
        <v>1415</v>
      </c>
      <c r="M4422" s="161" t="s">
        <v>19202</v>
      </c>
    </row>
    <row r="4423" spans="9:13" x14ac:dyDescent="0.25">
      <c r="I4423" t="s">
        <v>3783</v>
      </c>
      <c r="J4423" s="161" t="s">
        <v>19202</v>
      </c>
      <c r="K4423" t="s">
        <v>19203</v>
      </c>
      <c r="L4423" t="s">
        <v>3782</v>
      </c>
      <c r="M4423" s="161" t="s">
        <v>19202</v>
      </c>
    </row>
    <row r="4424" spans="9:13" x14ac:dyDescent="0.25">
      <c r="I4424" t="s">
        <v>4403</v>
      </c>
      <c r="J4424" s="161" t="s">
        <v>19202</v>
      </c>
      <c r="K4424" t="s">
        <v>19203</v>
      </c>
      <c r="L4424" t="s">
        <v>3799</v>
      </c>
      <c r="M4424" s="161" t="s">
        <v>19202</v>
      </c>
    </row>
    <row r="4425" spans="9:13" x14ac:dyDescent="0.25">
      <c r="I4425" t="s">
        <v>4402</v>
      </c>
      <c r="J4425" s="161" t="s">
        <v>19202</v>
      </c>
      <c r="K4425" t="s">
        <v>19203</v>
      </c>
      <c r="L4425" t="s">
        <v>697</v>
      </c>
      <c r="M4425" s="161" t="s">
        <v>19202</v>
      </c>
    </row>
    <row r="4426" spans="9:13" x14ac:dyDescent="0.25">
      <c r="I4426" t="s">
        <v>4519</v>
      </c>
      <c r="J4426" s="161" t="s">
        <v>19202</v>
      </c>
      <c r="K4426" t="s">
        <v>19203</v>
      </c>
      <c r="L4426" t="s">
        <v>2652</v>
      </c>
      <c r="M4426" s="161" t="s">
        <v>19202</v>
      </c>
    </row>
    <row r="4427" spans="9:13" x14ac:dyDescent="0.25">
      <c r="I4427" t="s">
        <v>4401</v>
      </c>
      <c r="J4427" s="161" t="s">
        <v>19202</v>
      </c>
      <c r="K4427" t="s">
        <v>19203</v>
      </c>
      <c r="L4427" t="s">
        <v>4400</v>
      </c>
      <c r="M4427" s="161" t="s">
        <v>19202</v>
      </c>
    </row>
    <row r="4428" spans="9:13" x14ac:dyDescent="0.25">
      <c r="I4428" t="s">
        <v>3781</v>
      </c>
      <c r="J4428" s="161" t="s">
        <v>19202</v>
      </c>
      <c r="K4428" t="s">
        <v>19203</v>
      </c>
      <c r="L4428" t="s">
        <v>3738</v>
      </c>
      <c r="M4428" s="161" t="s">
        <v>19202</v>
      </c>
    </row>
    <row r="4429" spans="9:13" x14ac:dyDescent="0.25">
      <c r="I4429" t="s">
        <v>5057</v>
      </c>
      <c r="J4429" s="161" t="s">
        <v>19202</v>
      </c>
      <c r="K4429" t="s">
        <v>19203</v>
      </c>
      <c r="L4429" t="s">
        <v>5056</v>
      </c>
      <c r="M4429" s="161" t="s">
        <v>19202</v>
      </c>
    </row>
    <row r="4430" spans="9:13" x14ac:dyDescent="0.25">
      <c r="I4430" t="s">
        <v>4745</v>
      </c>
      <c r="J4430" s="161" t="s">
        <v>19202</v>
      </c>
      <c r="K4430" t="s">
        <v>19203</v>
      </c>
      <c r="L4430" t="s">
        <v>4744</v>
      </c>
      <c r="M4430" s="161" t="s">
        <v>19202</v>
      </c>
    </row>
    <row r="4431" spans="9:13" x14ac:dyDescent="0.25">
      <c r="I4431" t="s">
        <v>4803</v>
      </c>
      <c r="J4431" s="161" t="s">
        <v>19202</v>
      </c>
      <c r="K4431" t="s">
        <v>19203</v>
      </c>
      <c r="L4431" t="s">
        <v>4802</v>
      </c>
      <c r="M4431" s="161" t="s">
        <v>19202</v>
      </c>
    </row>
    <row r="4432" spans="9:13" x14ac:dyDescent="0.25">
      <c r="I4432" t="s">
        <v>4399</v>
      </c>
      <c r="J4432" s="161" t="s">
        <v>19202</v>
      </c>
      <c r="K4432" t="s">
        <v>19203</v>
      </c>
      <c r="L4432" t="s">
        <v>4398</v>
      </c>
      <c r="M4432" s="161" t="s">
        <v>19202</v>
      </c>
    </row>
    <row r="4433" spans="9:13" x14ac:dyDescent="0.25">
      <c r="I4433" t="s">
        <v>4886</v>
      </c>
      <c r="J4433" s="161" t="s">
        <v>19202</v>
      </c>
      <c r="K4433" t="s">
        <v>19203</v>
      </c>
      <c r="L4433" t="s">
        <v>4885</v>
      </c>
      <c r="M4433" s="161" t="s">
        <v>19202</v>
      </c>
    </row>
    <row r="4434" spans="9:13" x14ac:dyDescent="0.25">
      <c r="I4434" t="s">
        <v>3780</v>
      </c>
      <c r="J4434" s="161" t="s">
        <v>19202</v>
      </c>
      <c r="K4434" t="s">
        <v>19203</v>
      </c>
      <c r="L4434" t="s">
        <v>538</v>
      </c>
      <c r="M4434" s="161" t="s">
        <v>19202</v>
      </c>
    </row>
    <row r="4435" spans="9:13" x14ac:dyDescent="0.25">
      <c r="I4435" t="s">
        <v>4884</v>
      </c>
      <c r="J4435" s="161" t="s">
        <v>19202</v>
      </c>
      <c r="K4435" t="s">
        <v>19203</v>
      </c>
      <c r="L4435" t="s">
        <v>1374</v>
      </c>
      <c r="M4435" s="161" t="s">
        <v>19202</v>
      </c>
    </row>
    <row r="4436" spans="9:13" x14ac:dyDescent="0.25">
      <c r="I4436" t="s">
        <v>4397</v>
      </c>
      <c r="J4436" s="161" t="s">
        <v>19202</v>
      </c>
      <c r="K4436" t="s">
        <v>19203</v>
      </c>
      <c r="L4436" t="s">
        <v>4396</v>
      </c>
      <c r="M4436" s="161" t="s">
        <v>19202</v>
      </c>
    </row>
    <row r="4437" spans="9:13" x14ac:dyDescent="0.25">
      <c r="I4437" t="s">
        <v>4801</v>
      </c>
      <c r="J4437" s="161" t="s">
        <v>19202</v>
      </c>
      <c r="K4437" t="s">
        <v>19203</v>
      </c>
      <c r="L4437" t="s">
        <v>4800</v>
      </c>
      <c r="M4437" s="161" t="s">
        <v>19202</v>
      </c>
    </row>
    <row r="4438" spans="9:13" x14ac:dyDescent="0.25">
      <c r="I4438" t="s">
        <v>4287</v>
      </c>
      <c r="J4438" s="161" t="s">
        <v>19202</v>
      </c>
      <c r="K4438" t="s">
        <v>19203</v>
      </c>
      <c r="L4438" t="s">
        <v>4286</v>
      </c>
      <c r="M4438" s="161" t="s">
        <v>19202</v>
      </c>
    </row>
    <row r="4439" spans="9:13" x14ac:dyDescent="0.25">
      <c r="I4439" t="s">
        <v>4492</v>
      </c>
      <c r="J4439" s="161" t="s">
        <v>19202</v>
      </c>
      <c r="K4439" t="s">
        <v>19203</v>
      </c>
      <c r="L4439" t="s">
        <v>4491</v>
      </c>
      <c r="M4439" s="161" t="s">
        <v>19202</v>
      </c>
    </row>
    <row r="4440" spans="9:13" x14ac:dyDescent="0.25">
      <c r="I4440" t="s">
        <v>4490</v>
      </c>
      <c r="J4440" s="161" t="s">
        <v>19202</v>
      </c>
      <c r="K4440" t="s">
        <v>19203</v>
      </c>
      <c r="L4440" t="s">
        <v>4489</v>
      </c>
      <c r="M4440" s="161" t="s">
        <v>19202</v>
      </c>
    </row>
    <row r="4441" spans="9:13" x14ac:dyDescent="0.25">
      <c r="I4441" t="s">
        <v>3846</v>
      </c>
      <c r="J4441" s="161" t="s">
        <v>19202</v>
      </c>
      <c r="K4441" t="s">
        <v>19203</v>
      </c>
      <c r="L4441" t="s">
        <v>3845</v>
      </c>
      <c r="M4441" s="161" t="s">
        <v>19202</v>
      </c>
    </row>
    <row r="4442" spans="9:13" x14ac:dyDescent="0.25">
      <c r="I4442" t="s">
        <v>4839</v>
      </c>
      <c r="J4442" s="161" t="s">
        <v>19202</v>
      </c>
      <c r="K4442" t="s">
        <v>19203</v>
      </c>
      <c r="L4442" t="s">
        <v>4838</v>
      </c>
      <c r="M4442" s="161" t="s">
        <v>19202</v>
      </c>
    </row>
    <row r="4443" spans="9:13" x14ac:dyDescent="0.25">
      <c r="I4443" t="s">
        <v>4395</v>
      </c>
      <c r="J4443" s="161" t="s">
        <v>19202</v>
      </c>
      <c r="K4443" t="s">
        <v>19203</v>
      </c>
      <c r="L4443" t="s">
        <v>4394</v>
      </c>
      <c r="M4443" s="161" t="s">
        <v>19202</v>
      </c>
    </row>
    <row r="4444" spans="9:13" x14ac:dyDescent="0.25">
      <c r="I4444" t="s">
        <v>4943</v>
      </c>
      <c r="J4444" s="161" t="s">
        <v>19202</v>
      </c>
      <c r="K4444" t="s">
        <v>19203</v>
      </c>
      <c r="L4444" t="s">
        <v>4942</v>
      </c>
      <c r="M4444" s="161" t="s">
        <v>19202</v>
      </c>
    </row>
    <row r="4445" spans="9:13" x14ac:dyDescent="0.25">
      <c r="I4445" t="s">
        <v>4941</v>
      </c>
      <c r="J4445" s="161" t="s">
        <v>19202</v>
      </c>
      <c r="K4445" t="s">
        <v>19203</v>
      </c>
      <c r="L4445" t="s">
        <v>4940</v>
      </c>
      <c r="M4445" s="161" t="s">
        <v>19202</v>
      </c>
    </row>
    <row r="4446" spans="9:13" x14ac:dyDescent="0.25">
      <c r="I4446" t="s">
        <v>4939</v>
      </c>
      <c r="J4446" s="161" t="s">
        <v>19202</v>
      </c>
      <c r="K4446" t="s">
        <v>19203</v>
      </c>
      <c r="L4446" t="s">
        <v>181</v>
      </c>
      <c r="M4446" s="161" t="s">
        <v>19202</v>
      </c>
    </row>
    <row r="4447" spans="9:13" x14ac:dyDescent="0.25">
      <c r="I4447" t="s">
        <v>3844</v>
      </c>
      <c r="J4447" s="161" t="s">
        <v>19202</v>
      </c>
      <c r="K4447" t="s">
        <v>19203</v>
      </c>
      <c r="L4447" t="s">
        <v>3843</v>
      </c>
      <c r="M4447" s="161" t="s">
        <v>19202</v>
      </c>
    </row>
    <row r="4448" spans="9:13" x14ac:dyDescent="0.25">
      <c r="I4448" t="s">
        <v>4014</v>
      </c>
      <c r="J4448" s="161" t="s">
        <v>19202</v>
      </c>
      <c r="K4448" t="s">
        <v>19203</v>
      </c>
      <c r="L4448" t="s">
        <v>4013</v>
      </c>
      <c r="M4448" s="161" t="s">
        <v>19202</v>
      </c>
    </row>
    <row r="4449" spans="9:13" x14ac:dyDescent="0.25">
      <c r="I4449" t="s">
        <v>4797</v>
      </c>
      <c r="J4449" s="161" t="s">
        <v>19202</v>
      </c>
      <c r="K4449" t="s">
        <v>19203</v>
      </c>
      <c r="L4449" t="s">
        <v>4796</v>
      </c>
      <c r="M4449" s="161" t="s">
        <v>19202</v>
      </c>
    </row>
    <row r="4450" spans="9:13" x14ac:dyDescent="0.25">
      <c r="I4450" t="s">
        <v>4488</v>
      </c>
      <c r="J4450" s="161" t="s">
        <v>19202</v>
      </c>
      <c r="K4450" t="s">
        <v>19203</v>
      </c>
      <c r="L4450" t="s">
        <v>4487</v>
      </c>
      <c r="M4450" s="161" t="s">
        <v>19202</v>
      </c>
    </row>
    <row r="4451" spans="9:13" x14ac:dyDescent="0.25">
      <c r="I4451" t="s">
        <v>3885</v>
      </c>
      <c r="J4451" s="161" t="s">
        <v>19202</v>
      </c>
      <c r="K4451" t="s">
        <v>19203</v>
      </c>
      <c r="L4451" t="s">
        <v>3884</v>
      </c>
      <c r="M4451" s="161" t="s">
        <v>19202</v>
      </c>
    </row>
    <row r="4452" spans="9:13" x14ac:dyDescent="0.25">
      <c r="I4452" t="s">
        <v>4938</v>
      </c>
      <c r="J4452" s="161" t="s">
        <v>19202</v>
      </c>
      <c r="K4452" t="s">
        <v>19203</v>
      </c>
      <c r="L4452" t="s">
        <v>4937</v>
      </c>
      <c r="M4452" s="161" t="s">
        <v>19202</v>
      </c>
    </row>
    <row r="4453" spans="9:13" x14ac:dyDescent="0.25">
      <c r="I4453" t="s">
        <v>4882</v>
      </c>
      <c r="J4453" s="161" t="s">
        <v>19202</v>
      </c>
      <c r="K4453" t="s">
        <v>19203</v>
      </c>
      <c r="L4453" t="s">
        <v>4881</v>
      </c>
      <c r="M4453" s="161" t="s">
        <v>19202</v>
      </c>
    </row>
    <row r="4454" spans="9:13" x14ac:dyDescent="0.25">
      <c r="I4454" t="s">
        <v>4570</v>
      </c>
      <c r="J4454" s="161" t="s">
        <v>19202</v>
      </c>
      <c r="K4454" t="s">
        <v>19203</v>
      </c>
      <c r="L4454" t="s">
        <v>4569</v>
      </c>
      <c r="M4454" s="161" t="s">
        <v>19202</v>
      </c>
    </row>
    <row r="4455" spans="9:13" x14ac:dyDescent="0.25">
      <c r="I4455" t="s">
        <v>4743</v>
      </c>
      <c r="J4455" s="161" t="s">
        <v>19202</v>
      </c>
      <c r="K4455" t="s">
        <v>19203</v>
      </c>
      <c r="L4455" t="s">
        <v>4742</v>
      </c>
      <c r="M4455" s="161" t="s">
        <v>19202</v>
      </c>
    </row>
    <row r="4456" spans="9:13" x14ac:dyDescent="0.25">
      <c r="I4456" t="s">
        <v>10005</v>
      </c>
      <c r="J4456" s="161" t="s">
        <v>19202</v>
      </c>
      <c r="K4456" t="s">
        <v>19203</v>
      </c>
      <c r="L4456" t="s">
        <v>10004</v>
      </c>
      <c r="M4456" s="161" t="s">
        <v>19202</v>
      </c>
    </row>
    <row r="4457" spans="9:13" x14ac:dyDescent="0.25">
      <c r="I4457" t="s">
        <v>10001</v>
      </c>
      <c r="J4457" s="161" t="s">
        <v>19202</v>
      </c>
      <c r="K4457" t="s">
        <v>19203</v>
      </c>
      <c r="L4457" t="s">
        <v>10000</v>
      </c>
      <c r="M4457" s="161" t="s">
        <v>19202</v>
      </c>
    </row>
    <row r="4458" spans="9:13" x14ac:dyDescent="0.25">
      <c r="I4458" t="s">
        <v>9813</v>
      </c>
      <c r="J4458" s="161" t="s">
        <v>19202</v>
      </c>
      <c r="K4458" t="s">
        <v>19203</v>
      </c>
      <c r="L4458" t="s">
        <v>9812</v>
      </c>
      <c r="M4458" s="161" t="s">
        <v>19202</v>
      </c>
    </row>
    <row r="4459" spans="9:13" x14ac:dyDescent="0.25">
      <c r="I4459" t="s">
        <v>9997</v>
      </c>
      <c r="J4459" s="161" t="s">
        <v>19202</v>
      </c>
      <c r="K4459" t="s">
        <v>19203</v>
      </c>
      <c r="L4459" t="s">
        <v>9996</v>
      </c>
      <c r="M4459" s="161" t="s">
        <v>19202</v>
      </c>
    </row>
    <row r="4460" spans="9:13" x14ac:dyDescent="0.25">
      <c r="I4460" t="s">
        <v>3087</v>
      </c>
      <c r="J4460" s="161" t="s">
        <v>19202</v>
      </c>
      <c r="K4460" t="s">
        <v>19203</v>
      </c>
      <c r="L4460" t="s">
        <v>3086</v>
      </c>
      <c r="M4460" s="161" t="s">
        <v>19202</v>
      </c>
    </row>
    <row r="4461" spans="9:13" x14ac:dyDescent="0.25">
      <c r="I4461" t="s">
        <v>3366</v>
      </c>
      <c r="J4461" s="161" t="s">
        <v>19202</v>
      </c>
      <c r="K4461" t="s">
        <v>19203</v>
      </c>
      <c r="L4461" t="s">
        <v>3365</v>
      </c>
      <c r="M4461" s="161" t="s">
        <v>19202</v>
      </c>
    </row>
    <row r="4462" spans="9:13" x14ac:dyDescent="0.25">
      <c r="I4462" t="s">
        <v>15771</v>
      </c>
      <c r="J4462" s="161" t="s">
        <v>19202</v>
      </c>
      <c r="K4462" t="s">
        <v>19203</v>
      </c>
      <c r="L4462" t="s">
        <v>15770</v>
      </c>
      <c r="M4462" s="161" t="s">
        <v>19202</v>
      </c>
    </row>
    <row r="4463" spans="9:13" x14ac:dyDescent="0.25">
      <c r="I4463" t="s">
        <v>15769</v>
      </c>
      <c r="J4463" s="161" t="s">
        <v>19202</v>
      </c>
      <c r="K4463" t="s">
        <v>19203</v>
      </c>
      <c r="L4463" t="s">
        <v>15768</v>
      </c>
      <c r="M4463" s="161" t="s">
        <v>19202</v>
      </c>
    </row>
    <row r="4464" spans="9:13" x14ac:dyDescent="0.25">
      <c r="I4464" t="s">
        <v>15767</v>
      </c>
      <c r="J4464" s="161" t="s">
        <v>19202</v>
      </c>
      <c r="K4464" t="s">
        <v>19203</v>
      </c>
      <c r="L4464" t="s">
        <v>15766</v>
      </c>
      <c r="M4464" s="161" t="s">
        <v>19202</v>
      </c>
    </row>
    <row r="4465" spans="9:13" x14ac:dyDescent="0.25">
      <c r="I4465" t="s">
        <v>16416</v>
      </c>
      <c r="J4465" s="161" t="s">
        <v>19202</v>
      </c>
      <c r="K4465" t="s">
        <v>19203</v>
      </c>
      <c r="L4465" t="s">
        <v>3507</v>
      </c>
      <c r="M4465" s="161" t="s">
        <v>19202</v>
      </c>
    </row>
    <row r="4466" spans="9:13" x14ac:dyDescent="0.25">
      <c r="I4466" t="s">
        <v>15720</v>
      </c>
      <c r="J4466" s="161" t="s">
        <v>19202</v>
      </c>
      <c r="K4466" t="s">
        <v>19203</v>
      </c>
      <c r="L4466" t="s">
        <v>15719</v>
      </c>
      <c r="M4466" s="161" t="s">
        <v>19202</v>
      </c>
    </row>
    <row r="4467" spans="9:13" x14ac:dyDescent="0.25">
      <c r="I4467" t="s">
        <v>16952</v>
      </c>
      <c r="J4467" s="161" t="s">
        <v>19202</v>
      </c>
      <c r="K4467" t="s">
        <v>19203</v>
      </c>
      <c r="L4467" t="s">
        <v>15611</v>
      </c>
      <c r="M4467" s="161" t="s">
        <v>19202</v>
      </c>
    </row>
    <row r="4468" spans="9:13" x14ac:dyDescent="0.25">
      <c r="I4468" t="s">
        <v>15763</v>
      </c>
      <c r="J4468" s="161" t="s">
        <v>19202</v>
      </c>
      <c r="K4468" t="s">
        <v>19203</v>
      </c>
      <c r="L4468" t="s">
        <v>15762</v>
      </c>
      <c r="M4468" s="161" t="s">
        <v>19202</v>
      </c>
    </row>
    <row r="4469" spans="9:13" x14ac:dyDescent="0.25">
      <c r="I4469" t="s">
        <v>15492</v>
      </c>
      <c r="J4469" s="161" t="s">
        <v>19202</v>
      </c>
      <c r="K4469" t="s">
        <v>19203</v>
      </c>
      <c r="L4469" t="s">
        <v>970</v>
      </c>
      <c r="M4469" s="161" t="s">
        <v>19202</v>
      </c>
    </row>
    <row r="4470" spans="9:13" x14ac:dyDescent="0.25">
      <c r="I4470" t="s">
        <v>15491</v>
      </c>
      <c r="J4470" s="161" t="s">
        <v>19202</v>
      </c>
      <c r="K4470" t="s">
        <v>19203</v>
      </c>
      <c r="L4470" t="s">
        <v>15490</v>
      </c>
      <c r="M4470" s="161" t="s">
        <v>19202</v>
      </c>
    </row>
    <row r="4471" spans="9:13" x14ac:dyDescent="0.25">
      <c r="I4471" t="s">
        <v>15761</v>
      </c>
      <c r="J4471" s="161" t="s">
        <v>19202</v>
      </c>
      <c r="K4471" t="s">
        <v>19203</v>
      </c>
      <c r="L4471" t="s">
        <v>15760</v>
      </c>
      <c r="M4471" s="161" t="s">
        <v>19202</v>
      </c>
    </row>
    <row r="4472" spans="9:13" x14ac:dyDescent="0.25">
      <c r="I4472" t="s">
        <v>15759</v>
      </c>
      <c r="J4472" s="161" t="s">
        <v>19202</v>
      </c>
      <c r="K4472" t="s">
        <v>19203</v>
      </c>
      <c r="L4472" t="s">
        <v>15758</v>
      </c>
      <c r="M4472" s="161" t="s">
        <v>19202</v>
      </c>
    </row>
    <row r="4473" spans="9:13" x14ac:dyDescent="0.25">
      <c r="I4473" t="s">
        <v>15757</v>
      </c>
      <c r="J4473" s="161" t="s">
        <v>19202</v>
      </c>
      <c r="K4473" t="s">
        <v>19203</v>
      </c>
      <c r="L4473" t="s">
        <v>15756</v>
      </c>
      <c r="M4473" s="161" t="s">
        <v>19202</v>
      </c>
    </row>
    <row r="4474" spans="9:13" x14ac:dyDescent="0.25">
      <c r="I4474" t="s">
        <v>16341</v>
      </c>
      <c r="J4474" s="161" t="s">
        <v>19202</v>
      </c>
      <c r="K4474" t="s">
        <v>19203</v>
      </c>
      <c r="L4474" t="s">
        <v>14152</v>
      </c>
      <c r="M4474" s="161" t="s">
        <v>19202</v>
      </c>
    </row>
    <row r="4475" spans="9:13" x14ac:dyDescent="0.25">
      <c r="I4475" t="s">
        <v>15968</v>
      </c>
      <c r="J4475" s="161" t="s">
        <v>19202</v>
      </c>
      <c r="K4475" t="s">
        <v>19203</v>
      </c>
      <c r="L4475" t="s">
        <v>3560</v>
      </c>
      <c r="M4475" s="161" t="s">
        <v>19202</v>
      </c>
    </row>
    <row r="4476" spans="9:13" x14ac:dyDescent="0.25">
      <c r="I4476" t="s">
        <v>16340</v>
      </c>
      <c r="J4476" s="161" t="s">
        <v>19202</v>
      </c>
      <c r="K4476" t="s">
        <v>19203</v>
      </c>
      <c r="L4476" t="s">
        <v>16339</v>
      </c>
      <c r="M4476" s="161" t="s">
        <v>19202</v>
      </c>
    </row>
    <row r="4477" spans="9:13" x14ac:dyDescent="0.25">
      <c r="I4477" t="s">
        <v>16589</v>
      </c>
      <c r="J4477" s="161" t="s">
        <v>19202</v>
      </c>
      <c r="K4477" t="s">
        <v>19203</v>
      </c>
      <c r="L4477" t="s">
        <v>16588</v>
      </c>
      <c r="M4477" s="161" t="s">
        <v>19202</v>
      </c>
    </row>
    <row r="4478" spans="9:13" x14ac:dyDescent="0.25">
      <c r="I4478" t="s">
        <v>15456</v>
      </c>
      <c r="J4478" s="161" t="s">
        <v>19202</v>
      </c>
      <c r="K4478" t="s">
        <v>19203</v>
      </c>
      <c r="L4478" t="s">
        <v>15455</v>
      </c>
      <c r="M4478" s="161" t="s">
        <v>19202</v>
      </c>
    </row>
    <row r="4479" spans="9:13" x14ac:dyDescent="0.25">
      <c r="I4479" t="s">
        <v>16497</v>
      </c>
      <c r="J4479" s="161" t="s">
        <v>19202</v>
      </c>
      <c r="K4479" t="s">
        <v>19203</v>
      </c>
      <c r="L4479" t="s">
        <v>16496</v>
      </c>
      <c r="M4479" s="161" t="s">
        <v>19202</v>
      </c>
    </row>
    <row r="4480" spans="9:13" x14ac:dyDescent="0.25">
      <c r="I4480" t="s">
        <v>15454</v>
      </c>
      <c r="J4480" s="161" t="s">
        <v>19202</v>
      </c>
      <c r="K4480" t="s">
        <v>19203</v>
      </c>
      <c r="L4480" t="s">
        <v>15319</v>
      </c>
      <c r="M4480" s="161" t="s">
        <v>19202</v>
      </c>
    </row>
    <row r="4481" spans="9:13" x14ac:dyDescent="0.25">
      <c r="I4481" t="s">
        <v>15453</v>
      </c>
      <c r="J4481" s="161" t="s">
        <v>19202</v>
      </c>
      <c r="K4481" t="s">
        <v>19203</v>
      </c>
      <c r="L4481" t="s">
        <v>1344</v>
      </c>
      <c r="M4481" s="161" t="s">
        <v>19202</v>
      </c>
    </row>
    <row r="4482" spans="9:13" x14ac:dyDescent="0.25">
      <c r="I4482" t="s">
        <v>19720</v>
      </c>
      <c r="J4482" s="161" t="s">
        <v>19202</v>
      </c>
      <c r="K4482" t="s">
        <v>19203</v>
      </c>
      <c r="L4482" t="s">
        <v>19721</v>
      </c>
      <c r="M4482" s="161" t="s">
        <v>19202</v>
      </c>
    </row>
    <row r="4483" spans="9:13" x14ac:dyDescent="0.25">
      <c r="I4483" t="s">
        <v>16810</v>
      </c>
      <c r="J4483" s="161" t="s">
        <v>19202</v>
      </c>
      <c r="K4483" t="s">
        <v>19203</v>
      </c>
      <c r="L4483" t="s">
        <v>16809</v>
      </c>
      <c r="M4483" s="161" t="s">
        <v>19202</v>
      </c>
    </row>
    <row r="4484" spans="9:13" x14ac:dyDescent="0.25">
      <c r="I4484" t="s">
        <v>16537</v>
      </c>
      <c r="J4484" s="161" t="s">
        <v>19202</v>
      </c>
      <c r="K4484" t="s">
        <v>19203</v>
      </c>
      <c r="L4484" t="s">
        <v>4060</v>
      </c>
      <c r="M4484" s="161" t="s">
        <v>19202</v>
      </c>
    </row>
    <row r="4485" spans="9:13" x14ac:dyDescent="0.25">
      <c r="I4485" t="s">
        <v>16152</v>
      </c>
      <c r="J4485" s="161" t="s">
        <v>19202</v>
      </c>
      <c r="K4485" t="s">
        <v>19203</v>
      </c>
      <c r="L4485" t="s">
        <v>16151</v>
      </c>
      <c r="M4485" s="161" t="s">
        <v>19202</v>
      </c>
    </row>
    <row r="4486" spans="9:13" x14ac:dyDescent="0.25">
      <c r="I4486" t="s">
        <v>16951</v>
      </c>
      <c r="J4486" s="161" t="s">
        <v>19202</v>
      </c>
      <c r="K4486" t="s">
        <v>19203</v>
      </c>
      <c r="L4486" t="s">
        <v>16950</v>
      </c>
      <c r="M4486" s="161" t="s">
        <v>19202</v>
      </c>
    </row>
    <row r="4487" spans="9:13" x14ac:dyDescent="0.25">
      <c r="I4487" t="s">
        <v>16949</v>
      </c>
      <c r="J4487" s="161" t="s">
        <v>19202</v>
      </c>
      <c r="K4487" t="s">
        <v>19203</v>
      </c>
      <c r="L4487" t="s">
        <v>16948</v>
      </c>
      <c r="M4487" s="161" t="s">
        <v>19202</v>
      </c>
    </row>
    <row r="4488" spans="9:13" x14ac:dyDescent="0.25">
      <c r="I4488" t="s">
        <v>16303</v>
      </c>
      <c r="J4488" s="161" t="s">
        <v>19202</v>
      </c>
      <c r="K4488" t="s">
        <v>19203</v>
      </c>
      <c r="L4488" t="s">
        <v>1350</v>
      </c>
      <c r="M4488" s="161" t="s">
        <v>19202</v>
      </c>
    </row>
    <row r="4489" spans="9:13" x14ac:dyDescent="0.25">
      <c r="I4489" t="s">
        <v>16107</v>
      </c>
      <c r="J4489" s="161" t="s">
        <v>19202</v>
      </c>
      <c r="K4489" t="s">
        <v>19203</v>
      </c>
      <c r="L4489" t="s">
        <v>13364</v>
      </c>
      <c r="M4489" s="161" t="s">
        <v>19202</v>
      </c>
    </row>
    <row r="4490" spans="9:13" x14ac:dyDescent="0.25">
      <c r="I4490" t="s">
        <v>15873</v>
      </c>
      <c r="J4490" s="161" t="s">
        <v>19202</v>
      </c>
      <c r="K4490" t="s">
        <v>19203</v>
      </c>
      <c r="L4490" t="s">
        <v>15872</v>
      </c>
      <c r="M4490" s="161" t="s">
        <v>19202</v>
      </c>
    </row>
    <row r="4491" spans="9:13" x14ac:dyDescent="0.25">
      <c r="I4491" t="s">
        <v>15755</v>
      </c>
      <c r="J4491" s="161" t="s">
        <v>19202</v>
      </c>
      <c r="K4491" t="s">
        <v>19203</v>
      </c>
      <c r="L4491" t="s">
        <v>15754</v>
      </c>
      <c r="M4491" s="161" t="s">
        <v>19202</v>
      </c>
    </row>
    <row r="4492" spans="9:13" x14ac:dyDescent="0.25">
      <c r="I4492" t="s">
        <v>15609</v>
      </c>
      <c r="J4492" s="161" t="s">
        <v>19202</v>
      </c>
      <c r="K4492" t="s">
        <v>19203</v>
      </c>
      <c r="L4492" t="s">
        <v>15608</v>
      </c>
      <c r="M4492" s="161" t="s">
        <v>19202</v>
      </c>
    </row>
    <row r="4493" spans="9:13" x14ac:dyDescent="0.25">
      <c r="I4493" t="s">
        <v>15607</v>
      </c>
      <c r="J4493" s="161" t="s">
        <v>19202</v>
      </c>
      <c r="K4493" t="s">
        <v>19203</v>
      </c>
      <c r="L4493" t="s">
        <v>15606</v>
      </c>
      <c r="M4493" s="161" t="s">
        <v>19202</v>
      </c>
    </row>
    <row r="4494" spans="9:13" x14ac:dyDescent="0.25">
      <c r="I4494" t="s">
        <v>15605</v>
      </c>
      <c r="J4494" s="161" t="s">
        <v>19202</v>
      </c>
      <c r="K4494" t="s">
        <v>19203</v>
      </c>
      <c r="L4494" t="s">
        <v>15604</v>
      </c>
      <c r="M4494" s="161" t="s">
        <v>19202</v>
      </c>
    </row>
    <row r="4495" spans="9:13" x14ac:dyDescent="0.25">
      <c r="I4495" t="s">
        <v>16746</v>
      </c>
      <c r="J4495" s="161" t="s">
        <v>19202</v>
      </c>
      <c r="K4495" t="s">
        <v>19203</v>
      </c>
      <c r="L4495" t="s">
        <v>1344</v>
      </c>
      <c r="M4495" s="161" t="s">
        <v>19202</v>
      </c>
    </row>
    <row r="4496" spans="9:13" x14ac:dyDescent="0.25">
      <c r="I4496" t="s">
        <v>16745</v>
      </c>
      <c r="J4496" s="161" t="s">
        <v>19202</v>
      </c>
      <c r="K4496" t="s">
        <v>19203</v>
      </c>
      <c r="L4496" t="s">
        <v>16744</v>
      </c>
      <c r="M4496" s="161" t="s">
        <v>19202</v>
      </c>
    </row>
    <row r="4497" spans="9:13" x14ac:dyDescent="0.25">
      <c r="I4497" t="s">
        <v>15603</v>
      </c>
      <c r="J4497" s="161" t="s">
        <v>19202</v>
      </c>
      <c r="K4497" t="s">
        <v>19203</v>
      </c>
      <c r="L4497" t="s">
        <v>15602</v>
      </c>
      <c r="M4497" s="161" t="s">
        <v>19202</v>
      </c>
    </row>
    <row r="4498" spans="9:13" x14ac:dyDescent="0.25">
      <c r="I4498" t="s">
        <v>16682</v>
      </c>
      <c r="J4498" s="161" t="s">
        <v>19202</v>
      </c>
      <c r="K4498" t="s">
        <v>19203</v>
      </c>
      <c r="L4498" t="s">
        <v>1639</v>
      </c>
      <c r="M4498" s="161" t="s">
        <v>19202</v>
      </c>
    </row>
    <row r="4499" spans="9:13" x14ac:dyDescent="0.25">
      <c r="I4499" t="s">
        <v>16302</v>
      </c>
      <c r="J4499" s="161" t="s">
        <v>19202</v>
      </c>
      <c r="K4499" t="s">
        <v>19203</v>
      </c>
      <c r="L4499" t="s">
        <v>1546</v>
      </c>
      <c r="M4499" s="161" t="s">
        <v>19202</v>
      </c>
    </row>
    <row r="4500" spans="9:13" x14ac:dyDescent="0.25">
      <c r="I4500" t="s">
        <v>16301</v>
      </c>
      <c r="J4500" s="161" t="s">
        <v>19202</v>
      </c>
      <c r="K4500" t="s">
        <v>19203</v>
      </c>
      <c r="L4500" t="s">
        <v>16300</v>
      </c>
      <c r="M4500" s="161" t="s">
        <v>19202</v>
      </c>
    </row>
    <row r="4501" spans="9:13" x14ac:dyDescent="0.25">
      <c r="I4501" t="s">
        <v>15871</v>
      </c>
      <c r="J4501" s="161" t="s">
        <v>19202</v>
      </c>
      <c r="K4501" t="s">
        <v>19203</v>
      </c>
      <c r="L4501" t="s">
        <v>2436</v>
      </c>
      <c r="M4501" s="161" t="s">
        <v>19202</v>
      </c>
    </row>
    <row r="4502" spans="9:13" x14ac:dyDescent="0.25">
      <c r="I4502" t="s">
        <v>16382</v>
      </c>
      <c r="J4502" s="161" t="s">
        <v>19202</v>
      </c>
      <c r="K4502" t="s">
        <v>19203</v>
      </c>
      <c r="L4502" t="s">
        <v>16381</v>
      </c>
      <c r="M4502" s="161" t="s">
        <v>19202</v>
      </c>
    </row>
    <row r="4503" spans="9:13" x14ac:dyDescent="0.25">
      <c r="I4503" t="s">
        <v>16743</v>
      </c>
      <c r="J4503" s="161" t="s">
        <v>19202</v>
      </c>
      <c r="K4503" t="s">
        <v>19203</v>
      </c>
      <c r="L4503" t="s">
        <v>183</v>
      </c>
      <c r="M4503" s="161" t="s">
        <v>19202</v>
      </c>
    </row>
    <row r="4504" spans="9:13" x14ac:dyDescent="0.25">
      <c r="I4504" t="s">
        <v>15829</v>
      </c>
      <c r="J4504" s="161" t="s">
        <v>19202</v>
      </c>
      <c r="K4504" t="s">
        <v>19203</v>
      </c>
      <c r="L4504" t="s">
        <v>3562</v>
      </c>
      <c r="M4504" s="161" t="s">
        <v>19202</v>
      </c>
    </row>
    <row r="4505" spans="9:13" x14ac:dyDescent="0.25">
      <c r="I4505" t="s">
        <v>15564</v>
      </c>
      <c r="J4505" s="161" t="s">
        <v>19202</v>
      </c>
      <c r="K4505" t="s">
        <v>19203</v>
      </c>
      <c r="L4505" t="s">
        <v>15563</v>
      </c>
      <c r="M4505" s="161" t="s">
        <v>19202</v>
      </c>
    </row>
    <row r="4506" spans="9:13" x14ac:dyDescent="0.25">
      <c r="I4506" t="s">
        <v>16495</v>
      </c>
      <c r="J4506" s="161" t="s">
        <v>19202</v>
      </c>
      <c r="K4506" t="s">
        <v>19203</v>
      </c>
      <c r="L4506" t="s">
        <v>1220</v>
      </c>
      <c r="M4506" s="161" t="s">
        <v>19202</v>
      </c>
    </row>
    <row r="4507" spans="9:13" x14ac:dyDescent="0.25">
      <c r="I4507" t="s">
        <v>16638</v>
      </c>
      <c r="J4507" s="161" t="s">
        <v>19202</v>
      </c>
      <c r="K4507" t="s">
        <v>19203</v>
      </c>
      <c r="L4507" t="s">
        <v>16637</v>
      </c>
      <c r="M4507" s="161" t="s">
        <v>19202</v>
      </c>
    </row>
    <row r="4508" spans="9:13" x14ac:dyDescent="0.25">
      <c r="I4508" t="s">
        <v>16494</v>
      </c>
      <c r="J4508" s="161" t="s">
        <v>19202</v>
      </c>
      <c r="K4508" t="s">
        <v>19203</v>
      </c>
      <c r="L4508" t="s">
        <v>1387</v>
      </c>
      <c r="M4508" s="161" t="s">
        <v>19202</v>
      </c>
    </row>
    <row r="4509" spans="9:13" x14ac:dyDescent="0.25">
      <c r="I4509" t="s">
        <v>15332</v>
      </c>
      <c r="J4509" s="161" t="s">
        <v>19202</v>
      </c>
      <c r="K4509" t="s">
        <v>19203</v>
      </c>
      <c r="L4509" t="s">
        <v>14892</v>
      </c>
      <c r="M4509" s="161" t="s">
        <v>19202</v>
      </c>
    </row>
    <row r="4510" spans="9:13" x14ac:dyDescent="0.25">
      <c r="I4510" t="s">
        <v>15331</v>
      </c>
      <c r="J4510" s="161" t="s">
        <v>19202</v>
      </c>
      <c r="K4510" t="s">
        <v>19203</v>
      </c>
      <c r="L4510" t="s">
        <v>15330</v>
      </c>
      <c r="M4510" s="161" t="s">
        <v>19202</v>
      </c>
    </row>
    <row r="4511" spans="9:13" x14ac:dyDescent="0.25">
      <c r="I4511" t="s">
        <v>15329</v>
      </c>
      <c r="J4511" s="161" t="s">
        <v>19202</v>
      </c>
      <c r="K4511" t="s">
        <v>19203</v>
      </c>
      <c r="L4511" t="s">
        <v>405</v>
      </c>
      <c r="M4511" s="161" t="s">
        <v>19202</v>
      </c>
    </row>
    <row r="4512" spans="9:13" x14ac:dyDescent="0.25">
      <c r="I4512" t="s">
        <v>15328</v>
      </c>
      <c r="J4512" s="161" t="s">
        <v>19202</v>
      </c>
      <c r="K4512" t="s">
        <v>19203</v>
      </c>
      <c r="L4512" t="s">
        <v>15327</v>
      </c>
      <c r="M4512" s="161" t="s">
        <v>19202</v>
      </c>
    </row>
    <row r="4513" spans="9:13" x14ac:dyDescent="0.25">
      <c r="I4513" t="s">
        <v>15183</v>
      </c>
      <c r="J4513" s="161" t="s">
        <v>19202</v>
      </c>
      <c r="K4513" t="s">
        <v>19203</v>
      </c>
      <c r="L4513" t="s">
        <v>15182</v>
      </c>
      <c r="M4513" s="161" t="s">
        <v>19202</v>
      </c>
    </row>
    <row r="4514" spans="9:13" x14ac:dyDescent="0.25">
      <c r="I4514" t="s">
        <v>19722</v>
      </c>
      <c r="J4514" s="161" t="s">
        <v>19202</v>
      </c>
      <c r="K4514" t="s">
        <v>19203</v>
      </c>
      <c r="L4514" t="s">
        <v>1546</v>
      </c>
      <c r="M4514" s="161" t="s">
        <v>19202</v>
      </c>
    </row>
    <row r="4515" spans="9:13" x14ac:dyDescent="0.25">
      <c r="I4515" t="s">
        <v>15326</v>
      </c>
      <c r="J4515" s="161" t="s">
        <v>19202</v>
      </c>
      <c r="K4515" t="s">
        <v>19203</v>
      </c>
      <c r="L4515" t="s">
        <v>941</v>
      </c>
      <c r="M4515" s="161" t="s">
        <v>19202</v>
      </c>
    </row>
    <row r="4516" spans="9:13" x14ac:dyDescent="0.25">
      <c r="I4516" t="s">
        <v>17029</v>
      </c>
      <c r="J4516" s="161" t="s">
        <v>19202</v>
      </c>
      <c r="K4516" t="s">
        <v>19203</v>
      </c>
      <c r="L4516" t="s">
        <v>405</v>
      </c>
      <c r="M4516" s="161" t="s">
        <v>19202</v>
      </c>
    </row>
    <row r="4517" spans="9:13" x14ac:dyDescent="0.25">
      <c r="I4517" t="s">
        <v>16226</v>
      </c>
      <c r="J4517" s="161" t="s">
        <v>19202</v>
      </c>
      <c r="K4517" t="s">
        <v>19203</v>
      </c>
      <c r="L4517" t="s">
        <v>16225</v>
      </c>
      <c r="M4517" s="161" t="s">
        <v>19202</v>
      </c>
    </row>
    <row r="4518" spans="9:13" x14ac:dyDescent="0.25">
      <c r="I4518" t="s">
        <v>16493</v>
      </c>
      <c r="J4518" s="161" t="s">
        <v>19202</v>
      </c>
      <c r="K4518" t="s">
        <v>19203</v>
      </c>
      <c r="L4518" t="s">
        <v>13234</v>
      </c>
      <c r="M4518" s="161" t="s">
        <v>19202</v>
      </c>
    </row>
    <row r="4519" spans="9:13" x14ac:dyDescent="0.25">
      <c r="I4519" t="s">
        <v>16947</v>
      </c>
      <c r="J4519" s="161" t="s">
        <v>19202</v>
      </c>
      <c r="K4519" t="s">
        <v>19203</v>
      </c>
      <c r="L4519" t="s">
        <v>16946</v>
      </c>
      <c r="M4519" s="161" t="s">
        <v>19202</v>
      </c>
    </row>
    <row r="4520" spans="9:13" x14ac:dyDescent="0.25">
      <c r="I4520" t="s">
        <v>16268</v>
      </c>
      <c r="J4520" s="161" t="s">
        <v>19202</v>
      </c>
      <c r="K4520" t="s">
        <v>19203</v>
      </c>
      <c r="L4520" t="s">
        <v>16267</v>
      </c>
      <c r="M4520" s="161" t="s">
        <v>19202</v>
      </c>
    </row>
    <row r="4521" spans="9:13" x14ac:dyDescent="0.25">
      <c r="I4521" t="s">
        <v>16063</v>
      </c>
      <c r="J4521" s="161" t="s">
        <v>19202</v>
      </c>
      <c r="K4521" t="s">
        <v>19203</v>
      </c>
      <c r="L4521" t="s">
        <v>16062</v>
      </c>
      <c r="M4521" s="161" t="s">
        <v>19202</v>
      </c>
    </row>
    <row r="4522" spans="9:13" x14ac:dyDescent="0.25">
      <c r="I4522" t="s">
        <v>15562</v>
      </c>
      <c r="J4522" s="161" t="s">
        <v>19202</v>
      </c>
      <c r="K4522" t="s">
        <v>19203</v>
      </c>
      <c r="L4522" t="s">
        <v>15561</v>
      </c>
      <c r="M4522" s="161" t="s">
        <v>19202</v>
      </c>
    </row>
    <row r="4523" spans="9:13" x14ac:dyDescent="0.25">
      <c r="I4523" t="s">
        <v>16536</v>
      </c>
      <c r="J4523" s="161" t="s">
        <v>19202</v>
      </c>
      <c r="K4523" t="s">
        <v>19203</v>
      </c>
      <c r="L4523" t="s">
        <v>1208</v>
      </c>
      <c r="M4523" s="161" t="s">
        <v>19202</v>
      </c>
    </row>
    <row r="4524" spans="9:13" x14ac:dyDescent="0.25">
      <c r="I4524" t="s">
        <v>16535</v>
      </c>
      <c r="J4524" s="161" t="s">
        <v>19202</v>
      </c>
      <c r="K4524" t="s">
        <v>19203</v>
      </c>
      <c r="L4524" t="s">
        <v>1484</v>
      </c>
      <c r="M4524" s="161" t="s">
        <v>19202</v>
      </c>
    </row>
    <row r="4525" spans="9:13" x14ac:dyDescent="0.25">
      <c r="I4525" t="s">
        <v>15452</v>
      </c>
      <c r="J4525" s="161" t="s">
        <v>19202</v>
      </c>
      <c r="K4525" t="s">
        <v>19203</v>
      </c>
      <c r="L4525" t="s">
        <v>14830</v>
      </c>
      <c r="M4525" s="161" t="s">
        <v>19202</v>
      </c>
    </row>
    <row r="4526" spans="9:13" x14ac:dyDescent="0.25">
      <c r="I4526" t="s">
        <v>15451</v>
      </c>
      <c r="J4526" s="161" t="s">
        <v>19202</v>
      </c>
      <c r="K4526" t="s">
        <v>19203</v>
      </c>
      <c r="L4526" t="s">
        <v>15450</v>
      </c>
      <c r="M4526" s="161" t="s">
        <v>19202</v>
      </c>
    </row>
    <row r="4527" spans="9:13" x14ac:dyDescent="0.25">
      <c r="I4527" t="s">
        <v>16890</v>
      </c>
      <c r="J4527" s="161" t="s">
        <v>19202</v>
      </c>
      <c r="K4527" t="s">
        <v>19203</v>
      </c>
      <c r="L4527" t="s">
        <v>3738</v>
      </c>
      <c r="M4527" s="161" t="s">
        <v>19202</v>
      </c>
    </row>
    <row r="4528" spans="9:13" x14ac:dyDescent="0.25">
      <c r="I4528" t="s">
        <v>17028</v>
      </c>
      <c r="J4528" s="161" t="s">
        <v>19202</v>
      </c>
      <c r="K4528" t="s">
        <v>19203</v>
      </c>
      <c r="L4528" t="s">
        <v>13234</v>
      </c>
      <c r="M4528" s="161" t="s">
        <v>19202</v>
      </c>
    </row>
    <row r="4529" spans="9:13" x14ac:dyDescent="0.25">
      <c r="I4529" t="s">
        <v>16459</v>
      </c>
      <c r="J4529" s="161" t="s">
        <v>19202</v>
      </c>
      <c r="K4529" t="s">
        <v>19203</v>
      </c>
      <c r="L4529" t="s">
        <v>15092</v>
      </c>
      <c r="M4529" s="161" t="s">
        <v>19202</v>
      </c>
    </row>
    <row r="4530" spans="9:13" x14ac:dyDescent="0.25">
      <c r="I4530" t="s">
        <v>15560</v>
      </c>
      <c r="J4530" s="161" t="s">
        <v>19202</v>
      </c>
      <c r="K4530" t="s">
        <v>19203</v>
      </c>
      <c r="L4530" t="s">
        <v>14356</v>
      </c>
      <c r="M4530" s="161" t="s">
        <v>19202</v>
      </c>
    </row>
    <row r="4531" spans="9:13" x14ac:dyDescent="0.25">
      <c r="I4531" t="s">
        <v>15752</v>
      </c>
      <c r="J4531" s="161" t="s">
        <v>19202</v>
      </c>
      <c r="K4531" t="s">
        <v>19203</v>
      </c>
      <c r="L4531" t="s">
        <v>15751</v>
      </c>
      <c r="M4531" s="161" t="s">
        <v>19202</v>
      </c>
    </row>
    <row r="4532" spans="9:13" x14ac:dyDescent="0.25">
      <c r="I4532" t="s">
        <v>16224</v>
      </c>
      <c r="J4532" s="161" t="s">
        <v>19202</v>
      </c>
      <c r="K4532" t="s">
        <v>19203</v>
      </c>
      <c r="L4532" t="s">
        <v>16223</v>
      </c>
      <c r="M4532" s="161" t="s">
        <v>19202</v>
      </c>
    </row>
    <row r="4533" spans="9:13" x14ac:dyDescent="0.25">
      <c r="I4533" t="s">
        <v>15601</v>
      </c>
      <c r="J4533" s="161" t="s">
        <v>19202</v>
      </c>
      <c r="K4533" t="s">
        <v>19203</v>
      </c>
      <c r="L4533" t="s">
        <v>3752</v>
      </c>
      <c r="M4533" s="161" t="s">
        <v>19202</v>
      </c>
    </row>
    <row r="4534" spans="9:13" x14ac:dyDescent="0.25">
      <c r="I4534" t="s">
        <v>15526</v>
      </c>
      <c r="J4534" s="161" t="s">
        <v>19202</v>
      </c>
      <c r="K4534" t="s">
        <v>19203</v>
      </c>
      <c r="L4534" t="s">
        <v>4592</v>
      </c>
      <c r="M4534" s="161" t="s">
        <v>19202</v>
      </c>
    </row>
    <row r="4535" spans="9:13" x14ac:dyDescent="0.25">
      <c r="I4535" t="s">
        <v>15559</v>
      </c>
      <c r="J4535" s="161" t="s">
        <v>19202</v>
      </c>
      <c r="K4535" t="s">
        <v>19203</v>
      </c>
      <c r="L4535" t="s">
        <v>15558</v>
      </c>
      <c r="M4535" s="161" t="s">
        <v>19202</v>
      </c>
    </row>
    <row r="4536" spans="9:13" x14ac:dyDescent="0.25">
      <c r="I4536" t="s">
        <v>16742</v>
      </c>
      <c r="J4536" s="161" t="s">
        <v>19202</v>
      </c>
      <c r="K4536" t="s">
        <v>19203</v>
      </c>
      <c r="L4536" t="s">
        <v>16741</v>
      </c>
      <c r="M4536" s="161" t="s">
        <v>19202</v>
      </c>
    </row>
    <row r="4537" spans="9:13" x14ac:dyDescent="0.25">
      <c r="I4537" t="s">
        <v>15750</v>
      </c>
      <c r="J4537" s="161" t="s">
        <v>19202</v>
      </c>
      <c r="K4537" t="s">
        <v>19203</v>
      </c>
      <c r="L4537" t="s">
        <v>934</v>
      </c>
      <c r="M4537" s="161" t="s">
        <v>19202</v>
      </c>
    </row>
    <row r="4538" spans="9:13" x14ac:dyDescent="0.25">
      <c r="I4538" t="s">
        <v>16009</v>
      </c>
      <c r="J4538" s="161" t="s">
        <v>19202</v>
      </c>
      <c r="K4538" t="s">
        <v>19203</v>
      </c>
      <c r="L4538" t="s">
        <v>16008</v>
      </c>
      <c r="M4538" s="161" t="s">
        <v>19202</v>
      </c>
    </row>
    <row r="4539" spans="9:13" x14ac:dyDescent="0.25">
      <c r="I4539" t="s">
        <v>15749</v>
      </c>
      <c r="J4539" s="161" t="s">
        <v>19202</v>
      </c>
      <c r="K4539" t="s">
        <v>19203</v>
      </c>
      <c r="L4539" t="s">
        <v>13234</v>
      </c>
      <c r="M4539" s="161" t="s">
        <v>19202</v>
      </c>
    </row>
    <row r="4540" spans="9:13" x14ac:dyDescent="0.25">
      <c r="I4540" t="s">
        <v>15325</v>
      </c>
      <c r="J4540" s="161" t="s">
        <v>19202</v>
      </c>
      <c r="K4540" t="s">
        <v>19203</v>
      </c>
      <c r="L4540" t="s">
        <v>13156</v>
      </c>
      <c r="M4540" s="161" t="s">
        <v>19202</v>
      </c>
    </row>
    <row r="4541" spans="9:13" x14ac:dyDescent="0.25">
      <c r="I4541" t="s">
        <v>16380</v>
      </c>
      <c r="J4541" s="161" t="s">
        <v>19202</v>
      </c>
      <c r="K4541" t="s">
        <v>19203</v>
      </c>
      <c r="L4541" t="s">
        <v>1484</v>
      </c>
      <c r="M4541" s="161" t="s">
        <v>19202</v>
      </c>
    </row>
    <row r="4542" spans="9:13" x14ac:dyDescent="0.25">
      <c r="I4542" t="s">
        <v>16534</v>
      </c>
      <c r="J4542" s="161" t="s">
        <v>19202</v>
      </c>
      <c r="K4542" t="s">
        <v>19203</v>
      </c>
      <c r="L4542" t="s">
        <v>1306</v>
      </c>
      <c r="M4542" s="161" t="s">
        <v>19202</v>
      </c>
    </row>
    <row r="4543" spans="9:13" x14ac:dyDescent="0.25">
      <c r="I4543" t="s">
        <v>17027</v>
      </c>
      <c r="J4543" s="161" t="s">
        <v>19202</v>
      </c>
      <c r="K4543" t="s">
        <v>19203</v>
      </c>
      <c r="L4543" t="s">
        <v>1617</v>
      </c>
      <c r="M4543" s="161" t="s">
        <v>19202</v>
      </c>
    </row>
    <row r="4544" spans="9:13" x14ac:dyDescent="0.25">
      <c r="I4544" t="s">
        <v>15100</v>
      </c>
      <c r="J4544" s="161" t="s">
        <v>19202</v>
      </c>
      <c r="K4544" t="s">
        <v>19203</v>
      </c>
      <c r="L4544" t="s">
        <v>15099</v>
      </c>
      <c r="M4544" s="161" t="s">
        <v>19202</v>
      </c>
    </row>
    <row r="4545" spans="9:13" x14ac:dyDescent="0.25">
      <c r="I4545" t="s">
        <v>16886</v>
      </c>
      <c r="J4545" s="161" t="s">
        <v>19202</v>
      </c>
      <c r="K4545" t="s">
        <v>19203</v>
      </c>
      <c r="L4545" t="s">
        <v>15971</v>
      </c>
      <c r="M4545" s="161" t="s">
        <v>19202</v>
      </c>
    </row>
    <row r="4546" spans="9:13" x14ac:dyDescent="0.25">
      <c r="I4546" t="s">
        <v>16379</v>
      </c>
      <c r="J4546" s="161" t="s">
        <v>19202</v>
      </c>
      <c r="K4546" t="s">
        <v>19203</v>
      </c>
      <c r="L4546" t="s">
        <v>15027</v>
      </c>
      <c r="M4546" s="161" t="s">
        <v>19202</v>
      </c>
    </row>
    <row r="4547" spans="9:13" x14ac:dyDescent="0.25">
      <c r="I4547" t="s">
        <v>16681</v>
      </c>
      <c r="J4547" s="161" t="s">
        <v>19202</v>
      </c>
      <c r="K4547" t="s">
        <v>19203</v>
      </c>
      <c r="L4547" t="s">
        <v>15390</v>
      </c>
      <c r="M4547" s="161" t="s">
        <v>19202</v>
      </c>
    </row>
    <row r="4548" spans="9:13" x14ac:dyDescent="0.25">
      <c r="I4548" t="s">
        <v>19723</v>
      </c>
      <c r="J4548" s="161" t="s">
        <v>19202</v>
      </c>
      <c r="K4548" t="s">
        <v>19203</v>
      </c>
      <c r="L4548" t="s">
        <v>19724</v>
      </c>
      <c r="M4548" s="161" t="s">
        <v>19202</v>
      </c>
    </row>
    <row r="4549" spans="9:13" x14ac:dyDescent="0.25">
      <c r="I4549" t="s">
        <v>16533</v>
      </c>
      <c r="J4549" s="161" t="s">
        <v>19202</v>
      </c>
      <c r="K4549" t="s">
        <v>19203</v>
      </c>
      <c r="L4549" t="s">
        <v>1690</v>
      </c>
      <c r="M4549" s="161" t="s">
        <v>19202</v>
      </c>
    </row>
    <row r="4550" spans="9:13" x14ac:dyDescent="0.25">
      <c r="I4550" t="s">
        <v>15324</v>
      </c>
      <c r="J4550" s="161" t="s">
        <v>19202</v>
      </c>
      <c r="K4550" t="s">
        <v>19203</v>
      </c>
      <c r="L4550" t="s">
        <v>970</v>
      </c>
      <c r="M4550" s="161" t="s">
        <v>19202</v>
      </c>
    </row>
    <row r="4551" spans="9:13" x14ac:dyDescent="0.25">
      <c r="I4551" t="s">
        <v>15600</v>
      </c>
      <c r="J4551" s="161" t="s">
        <v>19202</v>
      </c>
      <c r="K4551" t="s">
        <v>19203</v>
      </c>
      <c r="L4551" t="s">
        <v>884</v>
      </c>
      <c r="M4551" s="161" t="s">
        <v>19202</v>
      </c>
    </row>
    <row r="4552" spans="9:13" x14ac:dyDescent="0.25">
      <c r="I4552" t="s">
        <v>15870</v>
      </c>
      <c r="J4552" s="161" t="s">
        <v>19202</v>
      </c>
      <c r="K4552" t="s">
        <v>19203</v>
      </c>
      <c r="L4552" t="s">
        <v>15869</v>
      </c>
      <c r="M4552" s="161" t="s">
        <v>19202</v>
      </c>
    </row>
    <row r="4553" spans="9:13" x14ac:dyDescent="0.25">
      <c r="I4553" t="s">
        <v>15868</v>
      </c>
      <c r="J4553" s="161" t="s">
        <v>19202</v>
      </c>
      <c r="K4553" t="s">
        <v>19203</v>
      </c>
      <c r="L4553" t="s">
        <v>2116</v>
      </c>
      <c r="M4553" s="161" t="s">
        <v>19202</v>
      </c>
    </row>
    <row r="4554" spans="9:13" x14ac:dyDescent="0.25">
      <c r="I4554" t="s">
        <v>15905</v>
      </c>
      <c r="J4554" s="161" t="s">
        <v>19202</v>
      </c>
      <c r="K4554" t="s">
        <v>19203</v>
      </c>
      <c r="L4554" t="s">
        <v>15904</v>
      </c>
      <c r="M4554" s="161" t="s">
        <v>19202</v>
      </c>
    </row>
    <row r="4555" spans="9:13" x14ac:dyDescent="0.25">
      <c r="I4555" t="s">
        <v>17026</v>
      </c>
      <c r="J4555" s="161" t="s">
        <v>19202</v>
      </c>
      <c r="K4555" t="s">
        <v>19203</v>
      </c>
      <c r="L4555" t="s">
        <v>13019</v>
      </c>
      <c r="M4555" s="161" t="s">
        <v>19202</v>
      </c>
    </row>
    <row r="4556" spans="9:13" x14ac:dyDescent="0.25">
      <c r="I4556" t="s">
        <v>15630</v>
      </c>
      <c r="J4556" s="161" t="s">
        <v>19202</v>
      </c>
      <c r="K4556" t="s">
        <v>19203</v>
      </c>
      <c r="L4556" t="s">
        <v>970</v>
      </c>
      <c r="M4556" s="161" t="s">
        <v>19202</v>
      </c>
    </row>
    <row r="4557" spans="9:13" x14ac:dyDescent="0.25">
      <c r="I4557" t="s">
        <v>17025</v>
      </c>
      <c r="J4557" s="161" t="s">
        <v>19202</v>
      </c>
      <c r="K4557" t="s">
        <v>19203</v>
      </c>
      <c r="L4557" t="s">
        <v>17024</v>
      </c>
      <c r="M4557" s="161" t="s">
        <v>19202</v>
      </c>
    </row>
    <row r="4558" spans="9:13" x14ac:dyDescent="0.25">
      <c r="I4558" t="s">
        <v>15936</v>
      </c>
      <c r="J4558" s="161" t="s">
        <v>19202</v>
      </c>
      <c r="K4558" t="s">
        <v>19203</v>
      </c>
      <c r="L4558" t="s">
        <v>15935</v>
      </c>
      <c r="M4558" s="161" t="s">
        <v>19202</v>
      </c>
    </row>
    <row r="4559" spans="9:13" x14ac:dyDescent="0.25">
      <c r="I4559" t="s">
        <v>16738</v>
      </c>
      <c r="J4559" s="161" t="s">
        <v>19202</v>
      </c>
      <c r="K4559" t="s">
        <v>19203</v>
      </c>
      <c r="L4559" t="s">
        <v>823</v>
      </c>
      <c r="M4559" s="161" t="s">
        <v>19202</v>
      </c>
    </row>
    <row r="4560" spans="9:13" x14ac:dyDescent="0.25">
      <c r="I4560" t="s">
        <v>16104</v>
      </c>
      <c r="J4560" s="161" t="s">
        <v>19202</v>
      </c>
      <c r="K4560" t="s">
        <v>19203</v>
      </c>
      <c r="L4560" t="s">
        <v>16103</v>
      </c>
      <c r="M4560" s="161" t="s">
        <v>19202</v>
      </c>
    </row>
    <row r="4561" spans="9:13" x14ac:dyDescent="0.25">
      <c r="I4561" t="s">
        <v>16587</v>
      </c>
      <c r="J4561" s="161" t="s">
        <v>19202</v>
      </c>
      <c r="K4561" t="s">
        <v>19203</v>
      </c>
      <c r="L4561" t="s">
        <v>425</v>
      </c>
      <c r="M4561" s="161" t="s">
        <v>19202</v>
      </c>
    </row>
    <row r="4562" spans="9:13" x14ac:dyDescent="0.25">
      <c r="I4562" t="s">
        <v>15867</v>
      </c>
      <c r="J4562" s="161" t="s">
        <v>19202</v>
      </c>
      <c r="K4562" t="s">
        <v>19203</v>
      </c>
      <c r="L4562" t="s">
        <v>2618</v>
      </c>
      <c r="M4562" s="161" t="s">
        <v>19202</v>
      </c>
    </row>
    <row r="4563" spans="9:13" x14ac:dyDescent="0.25">
      <c r="I4563" t="s">
        <v>19725</v>
      </c>
      <c r="J4563" s="161" t="s">
        <v>19202</v>
      </c>
      <c r="K4563" t="s">
        <v>19203</v>
      </c>
      <c r="L4563" t="s">
        <v>19726</v>
      </c>
      <c r="M4563" s="161" t="s">
        <v>19202</v>
      </c>
    </row>
    <row r="4564" spans="9:13" x14ac:dyDescent="0.25">
      <c r="I4564" t="s">
        <v>6872</v>
      </c>
      <c r="J4564" s="161" t="s">
        <v>19202</v>
      </c>
      <c r="K4564" t="s">
        <v>19203</v>
      </c>
      <c r="L4564" t="s">
        <v>6871</v>
      </c>
      <c r="M4564" s="161" t="s">
        <v>19202</v>
      </c>
    </row>
    <row r="4565" spans="9:13" x14ac:dyDescent="0.25">
      <c r="I4565" t="s">
        <v>6870</v>
      </c>
      <c r="J4565" s="161" t="s">
        <v>19202</v>
      </c>
      <c r="K4565" t="s">
        <v>19203</v>
      </c>
      <c r="L4565" t="s">
        <v>6869</v>
      </c>
      <c r="M4565" s="161" t="s">
        <v>19202</v>
      </c>
    </row>
    <row r="4566" spans="9:13" x14ac:dyDescent="0.25">
      <c r="I4566" t="s">
        <v>6733</v>
      </c>
      <c r="J4566" s="161" t="s">
        <v>19202</v>
      </c>
      <c r="K4566" t="s">
        <v>19203</v>
      </c>
      <c r="L4566" t="s">
        <v>6247</v>
      </c>
      <c r="M4566" s="161" t="s">
        <v>19202</v>
      </c>
    </row>
    <row r="4567" spans="9:13" x14ac:dyDescent="0.25">
      <c r="I4567" t="s">
        <v>19727</v>
      </c>
      <c r="J4567" s="161" t="s">
        <v>19202</v>
      </c>
      <c r="K4567" t="s">
        <v>19203</v>
      </c>
      <c r="L4567" t="s">
        <v>19728</v>
      </c>
      <c r="M4567" s="161" t="s">
        <v>19202</v>
      </c>
    </row>
    <row r="4568" spans="9:13" x14ac:dyDescent="0.25">
      <c r="I4568" t="s">
        <v>721</v>
      </c>
      <c r="J4568" s="161" t="s">
        <v>19202</v>
      </c>
      <c r="K4568" t="s">
        <v>19203</v>
      </c>
      <c r="L4568" t="s">
        <v>720</v>
      </c>
      <c r="M4568" s="161" t="s">
        <v>19202</v>
      </c>
    </row>
    <row r="4569" spans="9:13" x14ac:dyDescent="0.25">
      <c r="I4569" t="s">
        <v>2647</v>
      </c>
      <c r="J4569" s="161" t="s">
        <v>19202</v>
      </c>
      <c r="K4569" t="s">
        <v>19203</v>
      </c>
      <c r="L4569" t="s">
        <v>2646</v>
      </c>
      <c r="M4569" s="161" t="s">
        <v>19202</v>
      </c>
    </row>
    <row r="4570" spans="9:13" x14ac:dyDescent="0.25">
      <c r="I4570" t="s">
        <v>19729</v>
      </c>
      <c r="J4570" s="161" t="s">
        <v>19202</v>
      </c>
      <c r="K4570" t="s">
        <v>19203</v>
      </c>
      <c r="L4570" t="s">
        <v>4321</v>
      </c>
      <c r="M4570" s="161" t="s">
        <v>19202</v>
      </c>
    </row>
    <row r="4571" spans="9:13" x14ac:dyDescent="0.25">
      <c r="I4571" t="s">
        <v>13893</v>
      </c>
      <c r="J4571" s="161" t="s">
        <v>19202</v>
      </c>
      <c r="K4571" t="s">
        <v>19203</v>
      </c>
      <c r="L4571" t="s">
        <v>1837</v>
      </c>
      <c r="M4571" s="161" t="s">
        <v>19202</v>
      </c>
    </row>
    <row r="4572" spans="9:13" x14ac:dyDescent="0.25">
      <c r="I4572" t="s">
        <v>14994</v>
      </c>
      <c r="J4572" s="161" t="s">
        <v>19202</v>
      </c>
      <c r="K4572" t="s">
        <v>19203</v>
      </c>
      <c r="L4572" t="s">
        <v>14993</v>
      </c>
      <c r="M4572" s="161" t="s">
        <v>19202</v>
      </c>
    </row>
    <row r="4573" spans="9:13" x14ac:dyDescent="0.25">
      <c r="I4573" t="s">
        <v>4441</v>
      </c>
      <c r="J4573" s="161" t="s">
        <v>19202</v>
      </c>
      <c r="K4573" t="s">
        <v>19203</v>
      </c>
      <c r="L4573" t="s">
        <v>4440</v>
      </c>
      <c r="M4573" s="161" t="s">
        <v>19202</v>
      </c>
    </row>
    <row r="4574" spans="9:13" x14ac:dyDescent="0.25">
      <c r="I4574" t="s">
        <v>19730</v>
      </c>
      <c r="J4574" s="161" t="s">
        <v>19202</v>
      </c>
      <c r="K4574" t="s">
        <v>19203</v>
      </c>
      <c r="L4574" t="s">
        <v>2023</v>
      </c>
      <c r="M4574" s="161" t="s">
        <v>19202</v>
      </c>
    </row>
    <row r="4575" spans="9:13" x14ac:dyDescent="0.25">
      <c r="I4575" t="s">
        <v>19731</v>
      </c>
      <c r="J4575" s="161" t="s">
        <v>19202</v>
      </c>
      <c r="K4575" t="s">
        <v>19203</v>
      </c>
      <c r="L4575" t="s">
        <v>6385</v>
      </c>
      <c r="M4575" s="161" t="s">
        <v>19202</v>
      </c>
    </row>
    <row r="4576" spans="9:13" x14ac:dyDescent="0.25">
      <c r="I4576" t="s">
        <v>19732</v>
      </c>
      <c r="J4576" s="161" t="s">
        <v>19202</v>
      </c>
      <c r="K4576" t="s">
        <v>19203</v>
      </c>
      <c r="L4576" t="s">
        <v>19733</v>
      </c>
      <c r="M4576" s="161" t="s">
        <v>19202</v>
      </c>
    </row>
    <row r="4577" spans="9:13" x14ac:dyDescent="0.25">
      <c r="I4577" t="s">
        <v>9665</v>
      </c>
      <c r="J4577" s="161" t="s">
        <v>19202</v>
      </c>
      <c r="K4577" t="s">
        <v>19203</v>
      </c>
      <c r="L4577" t="s">
        <v>9664</v>
      </c>
      <c r="M4577" s="161" t="s">
        <v>19202</v>
      </c>
    </row>
    <row r="4578" spans="9:13" x14ac:dyDescent="0.25">
      <c r="I4578" t="s">
        <v>2691</v>
      </c>
      <c r="J4578" s="161" t="s">
        <v>19202</v>
      </c>
      <c r="K4578" t="s">
        <v>19203</v>
      </c>
      <c r="L4578" t="s">
        <v>2690</v>
      </c>
      <c r="M4578" s="161" t="s">
        <v>19202</v>
      </c>
    </row>
    <row r="4579" spans="9:13" x14ac:dyDescent="0.25">
      <c r="I4579" t="s">
        <v>6150</v>
      </c>
      <c r="J4579" s="161" t="s">
        <v>19202</v>
      </c>
      <c r="K4579" t="s">
        <v>19203</v>
      </c>
      <c r="L4579" t="s">
        <v>6149</v>
      </c>
      <c r="M4579" s="161" t="s">
        <v>19202</v>
      </c>
    </row>
    <row r="4580" spans="9:13" x14ac:dyDescent="0.25">
      <c r="I4580" t="s">
        <v>15250</v>
      </c>
      <c r="J4580" s="161" t="s">
        <v>19202</v>
      </c>
      <c r="K4580" t="s">
        <v>19203</v>
      </c>
      <c r="L4580" t="s">
        <v>15249</v>
      </c>
      <c r="M4580" s="161" t="s">
        <v>19202</v>
      </c>
    </row>
    <row r="4581" spans="9:13" x14ac:dyDescent="0.25">
      <c r="I4581" t="s">
        <v>17023</v>
      </c>
      <c r="J4581" s="161" t="s">
        <v>19202</v>
      </c>
      <c r="K4581" t="s">
        <v>19203</v>
      </c>
      <c r="L4581" t="s">
        <v>17022</v>
      </c>
      <c r="M4581" s="161" t="s">
        <v>19202</v>
      </c>
    </row>
    <row r="4582" spans="9:13" x14ac:dyDescent="0.25">
      <c r="I4582" t="s">
        <v>19734</v>
      </c>
      <c r="J4582" s="161" t="s">
        <v>19202</v>
      </c>
      <c r="K4582" t="s">
        <v>19203</v>
      </c>
      <c r="L4582" t="s">
        <v>350</v>
      </c>
      <c r="M4582" s="161" t="s">
        <v>19202</v>
      </c>
    </row>
    <row r="4583" spans="9:13" x14ac:dyDescent="0.25">
      <c r="I4583" t="s">
        <v>3753</v>
      </c>
      <c r="J4583" s="161" t="s">
        <v>19202</v>
      </c>
      <c r="K4583" t="s">
        <v>19203</v>
      </c>
      <c r="L4583" t="s">
        <v>3752</v>
      </c>
      <c r="M4583" s="161" t="s">
        <v>19202</v>
      </c>
    </row>
    <row r="4584" spans="9:13" x14ac:dyDescent="0.25">
      <c r="I4584" t="s">
        <v>3749</v>
      </c>
      <c r="J4584" s="161" t="s">
        <v>19202</v>
      </c>
      <c r="K4584" t="s">
        <v>19203</v>
      </c>
      <c r="L4584" t="s">
        <v>3748</v>
      </c>
      <c r="M4584" s="161" t="s">
        <v>19202</v>
      </c>
    </row>
    <row r="4585" spans="9:13" x14ac:dyDescent="0.25">
      <c r="I4585" t="s">
        <v>3741</v>
      </c>
      <c r="J4585" s="161" t="s">
        <v>19202</v>
      </c>
      <c r="K4585" t="s">
        <v>19203</v>
      </c>
      <c r="L4585" t="s">
        <v>3740</v>
      </c>
      <c r="M4585" s="161" t="s">
        <v>19202</v>
      </c>
    </row>
    <row r="4586" spans="9:13" x14ac:dyDescent="0.25">
      <c r="I4586" t="s">
        <v>3737</v>
      </c>
      <c r="J4586" s="161" t="s">
        <v>19202</v>
      </c>
      <c r="K4586" t="s">
        <v>19203</v>
      </c>
      <c r="L4586" t="s">
        <v>3736</v>
      </c>
      <c r="M4586" s="161" t="s">
        <v>19202</v>
      </c>
    </row>
    <row r="4587" spans="9:13" x14ac:dyDescent="0.25">
      <c r="I4587" t="s">
        <v>3095</v>
      </c>
      <c r="J4587" s="161" t="s">
        <v>19202</v>
      </c>
      <c r="K4587" t="s">
        <v>19203</v>
      </c>
      <c r="L4587" t="s">
        <v>3094</v>
      </c>
      <c r="M4587" s="161" t="s">
        <v>19202</v>
      </c>
    </row>
    <row r="4588" spans="9:13" x14ac:dyDescent="0.25">
      <c r="I4588" t="s">
        <v>4445</v>
      </c>
      <c r="J4588" s="161" t="s">
        <v>19202</v>
      </c>
      <c r="K4588" t="s">
        <v>19203</v>
      </c>
      <c r="L4588" t="s">
        <v>4444</v>
      </c>
      <c r="M4588" s="161" t="s">
        <v>19202</v>
      </c>
    </row>
    <row r="4589" spans="9:13" x14ac:dyDescent="0.25">
      <c r="I4589" t="s">
        <v>8726</v>
      </c>
      <c r="J4589" s="161" t="s">
        <v>19202</v>
      </c>
      <c r="K4589" t="s">
        <v>19203</v>
      </c>
      <c r="L4589" t="s">
        <v>8725</v>
      </c>
      <c r="M4589" s="161" t="s">
        <v>19202</v>
      </c>
    </row>
    <row r="4590" spans="9:13" x14ac:dyDescent="0.25">
      <c r="I4590" t="s">
        <v>1028</v>
      </c>
      <c r="J4590" s="161" t="s">
        <v>19202</v>
      </c>
      <c r="K4590" t="s">
        <v>19203</v>
      </c>
      <c r="L4590" t="s">
        <v>1027</v>
      </c>
      <c r="M4590" s="161" t="s">
        <v>19202</v>
      </c>
    </row>
    <row r="4591" spans="9:13" x14ac:dyDescent="0.25">
      <c r="I4591" t="s">
        <v>8463</v>
      </c>
      <c r="J4591" s="161" t="s">
        <v>19202</v>
      </c>
      <c r="K4591" t="s">
        <v>19203</v>
      </c>
      <c r="L4591" t="s">
        <v>8462</v>
      </c>
      <c r="M4591" s="161" t="s">
        <v>19202</v>
      </c>
    </row>
    <row r="4592" spans="9:13" x14ac:dyDescent="0.25">
      <c r="I4592" t="s">
        <v>16808</v>
      </c>
      <c r="J4592" s="161" t="s">
        <v>19202</v>
      </c>
      <c r="K4592" t="s">
        <v>19203</v>
      </c>
      <c r="L4592" t="s">
        <v>16807</v>
      </c>
      <c r="M4592" s="161" t="s">
        <v>19202</v>
      </c>
    </row>
    <row r="4593" spans="9:13" x14ac:dyDescent="0.25">
      <c r="I4593" t="s">
        <v>4447</v>
      </c>
      <c r="J4593" s="161" t="s">
        <v>19202</v>
      </c>
      <c r="K4593" t="s">
        <v>19203</v>
      </c>
      <c r="L4593" t="s">
        <v>4446</v>
      </c>
      <c r="M4593" s="161" t="s">
        <v>19202</v>
      </c>
    </row>
    <row r="4594" spans="9:13" x14ac:dyDescent="0.25">
      <c r="I4594" t="s">
        <v>19735</v>
      </c>
      <c r="J4594" s="161" t="s">
        <v>19202</v>
      </c>
      <c r="K4594" t="s">
        <v>19203</v>
      </c>
      <c r="L4594" t="s">
        <v>19736</v>
      </c>
      <c r="M4594" s="161" t="s">
        <v>19202</v>
      </c>
    </row>
    <row r="4595" spans="9:13" x14ac:dyDescent="0.25">
      <c r="I4595" t="s">
        <v>19737</v>
      </c>
      <c r="J4595" s="161" t="s">
        <v>19202</v>
      </c>
      <c r="K4595" t="s">
        <v>19203</v>
      </c>
      <c r="L4595" t="s">
        <v>19738</v>
      </c>
      <c r="M4595" s="161" t="s">
        <v>19202</v>
      </c>
    </row>
    <row r="4596" spans="9:13" x14ac:dyDescent="0.25">
      <c r="I4596" t="s">
        <v>9675</v>
      </c>
      <c r="J4596" s="161" t="s">
        <v>19202</v>
      </c>
      <c r="K4596" t="s">
        <v>19203</v>
      </c>
      <c r="L4596" t="s">
        <v>9674</v>
      </c>
      <c r="M4596" s="161" t="s">
        <v>19202</v>
      </c>
    </row>
    <row r="4597" spans="9:13" x14ac:dyDescent="0.25">
      <c r="I4597" t="s">
        <v>4835</v>
      </c>
      <c r="J4597" s="161" t="s">
        <v>19202</v>
      </c>
      <c r="K4597" t="s">
        <v>19203</v>
      </c>
      <c r="L4597" t="s">
        <v>444</v>
      </c>
      <c r="M4597" s="161" t="s">
        <v>19202</v>
      </c>
    </row>
    <row r="4598" spans="9:13" x14ac:dyDescent="0.25">
      <c r="I4598" t="s">
        <v>4391</v>
      </c>
      <c r="J4598" s="161" t="s">
        <v>19202</v>
      </c>
      <c r="K4598" t="s">
        <v>19203</v>
      </c>
      <c r="L4598" t="s">
        <v>4390</v>
      </c>
      <c r="M4598" s="161" t="s">
        <v>19202</v>
      </c>
    </row>
    <row r="4599" spans="9:13" x14ac:dyDescent="0.25">
      <c r="I4599" t="s">
        <v>4389</v>
      </c>
      <c r="J4599" s="161" t="s">
        <v>19202</v>
      </c>
      <c r="K4599" t="s">
        <v>19203</v>
      </c>
      <c r="L4599" t="s">
        <v>3896</v>
      </c>
      <c r="M4599" s="161" t="s">
        <v>19202</v>
      </c>
    </row>
    <row r="4600" spans="9:13" x14ac:dyDescent="0.25">
      <c r="I4600" t="s">
        <v>4935</v>
      </c>
      <c r="J4600" s="161" t="s">
        <v>19202</v>
      </c>
      <c r="K4600" t="s">
        <v>19203</v>
      </c>
      <c r="L4600" t="s">
        <v>4934</v>
      </c>
      <c r="M4600" s="161" t="s">
        <v>19202</v>
      </c>
    </row>
    <row r="4601" spans="9:13" x14ac:dyDescent="0.25">
      <c r="I4601" t="s">
        <v>4791</v>
      </c>
      <c r="J4601" s="161" t="s">
        <v>19202</v>
      </c>
      <c r="K4601" t="s">
        <v>19203</v>
      </c>
      <c r="L4601" t="s">
        <v>4790</v>
      </c>
      <c r="M4601" s="161" t="s">
        <v>19202</v>
      </c>
    </row>
    <row r="4602" spans="9:13" x14ac:dyDescent="0.25">
      <c r="I4602" t="s">
        <v>4739</v>
      </c>
      <c r="J4602" s="161" t="s">
        <v>19202</v>
      </c>
      <c r="K4602" t="s">
        <v>19203</v>
      </c>
      <c r="L4602" t="s">
        <v>4738</v>
      </c>
      <c r="M4602" s="161" t="s">
        <v>19202</v>
      </c>
    </row>
    <row r="4603" spans="9:13" x14ac:dyDescent="0.25">
      <c r="I4603" t="s">
        <v>4737</v>
      </c>
      <c r="J4603" s="161" t="s">
        <v>19202</v>
      </c>
      <c r="K4603" t="s">
        <v>19203</v>
      </c>
      <c r="L4603" t="s">
        <v>4736</v>
      </c>
      <c r="M4603" s="161" t="s">
        <v>19202</v>
      </c>
    </row>
    <row r="4604" spans="9:13" x14ac:dyDescent="0.25">
      <c r="I4604" t="s">
        <v>684</v>
      </c>
      <c r="J4604" s="161" t="s">
        <v>19202</v>
      </c>
      <c r="K4604" t="s">
        <v>19203</v>
      </c>
      <c r="L4604" t="s">
        <v>683</v>
      </c>
      <c r="M4604" s="161" t="s">
        <v>19202</v>
      </c>
    </row>
    <row r="4605" spans="9:13" x14ac:dyDescent="0.25">
      <c r="I4605" t="s">
        <v>4010</v>
      </c>
      <c r="J4605" s="161" t="s">
        <v>19202</v>
      </c>
      <c r="K4605" t="s">
        <v>19203</v>
      </c>
      <c r="L4605" t="s">
        <v>4009</v>
      </c>
      <c r="M4605" s="161" t="s">
        <v>19202</v>
      </c>
    </row>
    <row r="4606" spans="9:13" x14ac:dyDescent="0.25">
      <c r="I4606" t="s">
        <v>680</v>
      </c>
      <c r="J4606" s="161" t="s">
        <v>19202</v>
      </c>
      <c r="K4606" t="s">
        <v>19203</v>
      </c>
      <c r="L4606" t="s">
        <v>679</v>
      </c>
      <c r="M4606" s="161" t="s">
        <v>19202</v>
      </c>
    </row>
    <row r="4607" spans="9:13" x14ac:dyDescent="0.25">
      <c r="I4607" t="s">
        <v>678</v>
      </c>
      <c r="J4607" s="161" t="s">
        <v>19202</v>
      </c>
      <c r="K4607" t="s">
        <v>19203</v>
      </c>
      <c r="L4607" t="s">
        <v>46</v>
      </c>
      <c r="M4607" s="161" t="s">
        <v>19202</v>
      </c>
    </row>
    <row r="4608" spans="9:13" x14ac:dyDescent="0.25">
      <c r="I4608" t="s">
        <v>3820</v>
      </c>
      <c r="J4608" s="161" t="s">
        <v>19202</v>
      </c>
      <c r="K4608" t="s">
        <v>19203</v>
      </c>
      <c r="L4608" t="s">
        <v>444</v>
      </c>
      <c r="M4608" s="161" t="s">
        <v>19202</v>
      </c>
    </row>
    <row r="4609" spans="9:13" x14ac:dyDescent="0.25">
      <c r="I4609" t="s">
        <v>4883</v>
      </c>
      <c r="J4609" s="161" t="s">
        <v>19202</v>
      </c>
      <c r="K4609" t="s">
        <v>19203</v>
      </c>
      <c r="L4609" t="s">
        <v>3862</v>
      </c>
      <c r="M4609" s="161" t="s">
        <v>19202</v>
      </c>
    </row>
    <row r="4610" spans="9:13" x14ac:dyDescent="0.25">
      <c r="I4610" t="s">
        <v>3623</v>
      </c>
      <c r="J4610" s="161" t="s">
        <v>19202</v>
      </c>
      <c r="K4610" t="s">
        <v>19203</v>
      </c>
      <c r="L4610" t="s">
        <v>3622</v>
      </c>
      <c r="M4610" s="161" t="s">
        <v>19202</v>
      </c>
    </row>
    <row r="4611" spans="9:13" x14ac:dyDescent="0.25">
      <c r="I4611" t="s">
        <v>3591</v>
      </c>
      <c r="J4611" s="161" t="s">
        <v>19202</v>
      </c>
      <c r="K4611" t="s">
        <v>19203</v>
      </c>
      <c r="L4611" t="s">
        <v>3590</v>
      </c>
      <c r="M4611" s="161" t="s">
        <v>19202</v>
      </c>
    </row>
    <row r="4612" spans="9:13" x14ac:dyDescent="0.25">
      <c r="I4612" t="s">
        <v>3983</v>
      </c>
      <c r="J4612" s="161" t="s">
        <v>19202</v>
      </c>
      <c r="K4612" t="s">
        <v>19203</v>
      </c>
      <c r="L4612" t="s">
        <v>3982</v>
      </c>
      <c r="M4612" s="161" t="s">
        <v>19202</v>
      </c>
    </row>
    <row r="4613" spans="9:13" x14ac:dyDescent="0.25">
      <c r="I4613" t="s">
        <v>4435</v>
      </c>
      <c r="J4613" s="161" t="s">
        <v>19202</v>
      </c>
      <c r="K4613" t="s">
        <v>19203</v>
      </c>
      <c r="L4613" t="s">
        <v>1664</v>
      </c>
      <c r="M4613" s="161" t="s">
        <v>19202</v>
      </c>
    </row>
    <row r="4614" spans="9:13" x14ac:dyDescent="0.25">
      <c r="I4614" t="s">
        <v>4876</v>
      </c>
      <c r="J4614" s="161" t="s">
        <v>19202</v>
      </c>
      <c r="K4614" t="s">
        <v>19203</v>
      </c>
      <c r="L4614" t="s">
        <v>4875</v>
      </c>
      <c r="M4614" s="161" t="s">
        <v>19202</v>
      </c>
    </row>
    <row r="4615" spans="9:13" x14ac:dyDescent="0.25">
      <c r="I4615" t="s">
        <v>961</v>
      </c>
      <c r="J4615" s="161" t="s">
        <v>19202</v>
      </c>
      <c r="K4615" t="s">
        <v>19203</v>
      </c>
      <c r="L4615" t="s">
        <v>716</v>
      </c>
      <c r="M4615" s="161" t="s">
        <v>19202</v>
      </c>
    </row>
    <row r="4616" spans="9:13" x14ac:dyDescent="0.25">
      <c r="I4616" t="s">
        <v>803</v>
      </c>
      <c r="J4616" s="161" t="s">
        <v>19202</v>
      </c>
      <c r="K4616" t="s">
        <v>19203</v>
      </c>
      <c r="L4616" t="s">
        <v>802</v>
      </c>
      <c r="M4616" s="161" t="s">
        <v>19202</v>
      </c>
    </row>
    <row r="4617" spans="9:13" x14ac:dyDescent="0.25">
      <c r="I4617" t="s">
        <v>4567</v>
      </c>
      <c r="J4617" s="161" t="s">
        <v>19202</v>
      </c>
      <c r="K4617" t="s">
        <v>19203</v>
      </c>
      <c r="L4617" t="s">
        <v>4566</v>
      </c>
      <c r="M4617" s="161" t="s">
        <v>19202</v>
      </c>
    </row>
    <row r="4618" spans="9:13" x14ac:dyDescent="0.25">
      <c r="I4618" t="s">
        <v>682</v>
      </c>
      <c r="J4618" s="161" t="s">
        <v>19202</v>
      </c>
      <c r="K4618" t="s">
        <v>19203</v>
      </c>
      <c r="L4618" t="s">
        <v>681</v>
      </c>
      <c r="M4618" s="161" t="s">
        <v>19202</v>
      </c>
    </row>
    <row r="4619" spans="9:13" x14ac:dyDescent="0.25">
      <c r="I4619" t="s">
        <v>6831</v>
      </c>
      <c r="J4619" s="161" t="s">
        <v>19202</v>
      </c>
      <c r="K4619" t="s">
        <v>19203</v>
      </c>
      <c r="L4619" t="s">
        <v>6830</v>
      </c>
      <c r="M4619" s="161" t="s">
        <v>19202</v>
      </c>
    </row>
    <row r="4620" spans="9:13" x14ac:dyDescent="0.25">
      <c r="I4620" t="s">
        <v>11781</v>
      </c>
      <c r="J4620" s="161" t="s">
        <v>19202</v>
      </c>
      <c r="K4620" t="s">
        <v>19203</v>
      </c>
      <c r="L4620" t="s">
        <v>11780</v>
      </c>
      <c r="M4620" s="161" t="s">
        <v>19202</v>
      </c>
    </row>
    <row r="4621" spans="9:13" x14ac:dyDescent="0.25">
      <c r="I4621" t="s">
        <v>17419</v>
      </c>
      <c r="J4621" s="161" t="s">
        <v>19202</v>
      </c>
      <c r="K4621" t="s">
        <v>19203</v>
      </c>
      <c r="L4621" t="s">
        <v>363</v>
      </c>
      <c r="M4621" s="161" t="s">
        <v>19202</v>
      </c>
    </row>
    <row r="4622" spans="9:13" x14ac:dyDescent="0.25">
      <c r="I4622" t="s">
        <v>571</v>
      </c>
      <c r="J4622" s="161" t="s">
        <v>19202</v>
      </c>
      <c r="K4622" t="s">
        <v>19203</v>
      </c>
      <c r="L4622" t="s">
        <v>570</v>
      </c>
      <c r="M4622" s="161" t="s">
        <v>19202</v>
      </c>
    </row>
    <row r="4623" spans="9:13" x14ac:dyDescent="0.25">
      <c r="I4623" t="s">
        <v>3370</v>
      </c>
      <c r="J4623" s="161" t="s">
        <v>19202</v>
      </c>
      <c r="K4623" t="s">
        <v>19203</v>
      </c>
      <c r="L4623" t="s">
        <v>3369</v>
      </c>
      <c r="M4623" s="161" t="s">
        <v>19202</v>
      </c>
    </row>
    <row r="4624" spans="9:13" x14ac:dyDescent="0.25">
      <c r="I4624" t="s">
        <v>3342</v>
      </c>
      <c r="J4624" s="161" t="s">
        <v>19202</v>
      </c>
      <c r="K4624" t="s">
        <v>19203</v>
      </c>
      <c r="L4624" t="s">
        <v>3341</v>
      </c>
      <c r="M4624" s="161" t="s">
        <v>19202</v>
      </c>
    </row>
    <row r="4625" spans="9:13" x14ac:dyDescent="0.25">
      <c r="I4625" t="s">
        <v>3338</v>
      </c>
      <c r="J4625" s="161" t="s">
        <v>19202</v>
      </c>
      <c r="K4625" t="s">
        <v>19203</v>
      </c>
      <c r="L4625" t="s">
        <v>3337</v>
      </c>
      <c r="M4625" s="161" t="s">
        <v>19202</v>
      </c>
    </row>
    <row r="4626" spans="9:13" x14ac:dyDescent="0.25">
      <c r="I4626" t="s">
        <v>3336</v>
      </c>
      <c r="J4626" s="161" t="s">
        <v>19202</v>
      </c>
      <c r="K4626" t="s">
        <v>19203</v>
      </c>
      <c r="L4626" t="s">
        <v>3335</v>
      </c>
      <c r="M4626" s="161" t="s">
        <v>19202</v>
      </c>
    </row>
    <row r="4627" spans="9:13" x14ac:dyDescent="0.25">
      <c r="I4627" t="s">
        <v>14053</v>
      </c>
      <c r="J4627" s="161" t="s">
        <v>19202</v>
      </c>
      <c r="K4627" t="s">
        <v>19203</v>
      </c>
      <c r="L4627" t="s">
        <v>14052</v>
      </c>
      <c r="M4627" s="161" t="s">
        <v>19202</v>
      </c>
    </row>
    <row r="4628" spans="9:13" x14ac:dyDescent="0.25">
      <c r="I4628" t="s">
        <v>19739</v>
      </c>
      <c r="J4628" s="161" t="s">
        <v>19202</v>
      </c>
      <c r="K4628" t="s">
        <v>19203</v>
      </c>
      <c r="L4628" t="s">
        <v>13453</v>
      </c>
      <c r="M4628" s="161" t="s">
        <v>19202</v>
      </c>
    </row>
    <row r="4629" spans="9:13" x14ac:dyDescent="0.25">
      <c r="I4629" t="s">
        <v>6501</v>
      </c>
      <c r="J4629" s="161" t="s">
        <v>19202</v>
      </c>
      <c r="K4629" t="s">
        <v>19203</v>
      </c>
      <c r="L4629" t="s">
        <v>6500</v>
      </c>
      <c r="M4629" s="161" t="s">
        <v>19202</v>
      </c>
    </row>
    <row r="4630" spans="9:13" x14ac:dyDescent="0.25">
      <c r="I4630" t="s">
        <v>8734</v>
      </c>
      <c r="J4630" s="161" t="s">
        <v>19202</v>
      </c>
      <c r="K4630" t="s">
        <v>19203</v>
      </c>
      <c r="L4630" t="s">
        <v>8733</v>
      </c>
      <c r="M4630" s="161" t="s">
        <v>19202</v>
      </c>
    </row>
    <row r="4631" spans="9:13" x14ac:dyDescent="0.25">
      <c r="I4631" t="s">
        <v>16806</v>
      </c>
      <c r="J4631" s="161" t="s">
        <v>19202</v>
      </c>
      <c r="K4631" t="s">
        <v>19203</v>
      </c>
      <c r="L4631" t="s">
        <v>13234</v>
      </c>
      <c r="M4631" s="161" t="s">
        <v>19202</v>
      </c>
    </row>
    <row r="4632" spans="9:13" x14ac:dyDescent="0.25">
      <c r="I4632" t="s">
        <v>4097</v>
      </c>
      <c r="J4632" s="161" t="s">
        <v>19202</v>
      </c>
      <c r="K4632" t="s">
        <v>19203</v>
      </c>
      <c r="L4632" t="s">
        <v>4096</v>
      </c>
      <c r="M4632" s="161" t="s">
        <v>19202</v>
      </c>
    </row>
    <row r="4633" spans="9:13" x14ac:dyDescent="0.25">
      <c r="I4633" t="s">
        <v>19740</v>
      </c>
      <c r="J4633" s="161" t="s">
        <v>19202</v>
      </c>
      <c r="K4633" t="s">
        <v>19203</v>
      </c>
      <c r="L4633" t="s">
        <v>19741</v>
      </c>
      <c r="M4633" s="161" t="s">
        <v>19202</v>
      </c>
    </row>
    <row r="4634" spans="9:13" x14ac:dyDescent="0.25">
      <c r="I4634" t="s">
        <v>6558</v>
      </c>
      <c r="J4634" s="161" t="s">
        <v>19202</v>
      </c>
      <c r="K4634" t="s">
        <v>19203</v>
      </c>
      <c r="L4634" t="s">
        <v>6557</v>
      </c>
      <c r="M4634" s="161" t="s">
        <v>19202</v>
      </c>
    </row>
    <row r="4635" spans="9:13" x14ac:dyDescent="0.25">
      <c r="I4635" t="s">
        <v>6595</v>
      </c>
      <c r="J4635" s="161" t="s">
        <v>19202</v>
      </c>
      <c r="K4635" t="s">
        <v>19203</v>
      </c>
      <c r="L4635" t="s">
        <v>6264</v>
      </c>
      <c r="M4635" s="161" t="s">
        <v>19202</v>
      </c>
    </row>
    <row r="4636" spans="9:13" x14ac:dyDescent="0.25">
      <c r="I4636" t="s">
        <v>18032</v>
      </c>
      <c r="J4636" s="161" t="s">
        <v>19202</v>
      </c>
      <c r="K4636" t="s">
        <v>19203</v>
      </c>
      <c r="L4636" t="s">
        <v>18031</v>
      </c>
      <c r="M4636" s="161" t="s">
        <v>19202</v>
      </c>
    </row>
    <row r="4637" spans="9:13" x14ac:dyDescent="0.25">
      <c r="I4637" t="s">
        <v>16023</v>
      </c>
      <c r="J4637" s="161" t="s">
        <v>19202</v>
      </c>
      <c r="K4637" t="s">
        <v>19203</v>
      </c>
      <c r="L4637" t="s">
        <v>16022</v>
      </c>
      <c r="M4637" s="161" t="s">
        <v>19202</v>
      </c>
    </row>
    <row r="4638" spans="9:13" x14ac:dyDescent="0.25">
      <c r="I4638" t="s">
        <v>677</v>
      </c>
      <c r="J4638" s="161" t="s">
        <v>19202</v>
      </c>
      <c r="K4638" t="s">
        <v>19203</v>
      </c>
      <c r="L4638" t="s">
        <v>676</v>
      </c>
      <c r="M4638" s="161" t="s">
        <v>19202</v>
      </c>
    </row>
    <row r="4639" spans="9:13" x14ac:dyDescent="0.25">
      <c r="I4639" t="s">
        <v>3044</v>
      </c>
      <c r="J4639" s="161" t="s">
        <v>19202</v>
      </c>
      <c r="K4639" t="s">
        <v>19203</v>
      </c>
      <c r="L4639" t="s">
        <v>3043</v>
      </c>
      <c r="M4639" s="161" t="s">
        <v>19202</v>
      </c>
    </row>
    <row r="4640" spans="9:13" x14ac:dyDescent="0.25">
      <c r="I4640" t="s">
        <v>9671</v>
      </c>
      <c r="J4640" s="161" t="s">
        <v>19202</v>
      </c>
      <c r="K4640" t="s">
        <v>19203</v>
      </c>
      <c r="L4640" t="s">
        <v>9670</v>
      </c>
      <c r="M4640" s="161" t="s">
        <v>19202</v>
      </c>
    </row>
    <row r="4641" spans="9:13" x14ac:dyDescent="0.25">
      <c r="I4641" t="s">
        <v>6827</v>
      </c>
      <c r="J4641" s="161" t="s">
        <v>19202</v>
      </c>
      <c r="K4641" t="s">
        <v>19203</v>
      </c>
      <c r="L4641" t="s">
        <v>6826</v>
      </c>
      <c r="M4641" s="161" t="s">
        <v>19202</v>
      </c>
    </row>
    <row r="4642" spans="9:13" x14ac:dyDescent="0.25">
      <c r="I4642" t="s">
        <v>16061</v>
      </c>
      <c r="J4642" s="161" t="s">
        <v>19202</v>
      </c>
      <c r="K4642" t="s">
        <v>19203</v>
      </c>
      <c r="L4642" t="s">
        <v>588</v>
      </c>
      <c r="M4642" s="161" t="s">
        <v>19202</v>
      </c>
    </row>
    <row r="4643" spans="9:13" x14ac:dyDescent="0.25">
      <c r="I4643" t="s">
        <v>19742</v>
      </c>
      <c r="J4643" s="161" t="s">
        <v>19202</v>
      </c>
      <c r="K4643" t="s">
        <v>19203</v>
      </c>
      <c r="L4643" t="s">
        <v>19743</v>
      </c>
      <c r="M4643" s="161" t="s">
        <v>19202</v>
      </c>
    </row>
    <row r="4644" spans="9:13" x14ac:dyDescent="0.25">
      <c r="I4644" t="s">
        <v>6694</v>
      </c>
      <c r="J4644" s="161" t="s">
        <v>19202</v>
      </c>
      <c r="K4644" t="s">
        <v>19203</v>
      </c>
      <c r="L4644" t="s">
        <v>6693</v>
      </c>
      <c r="M4644" s="161" t="s">
        <v>19202</v>
      </c>
    </row>
    <row r="4645" spans="9:13" x14ac:dyDescent="0.25">
      <c r="I4645" t="s">
        <v>3751</v>
      </c>
      <c r="J4645" s="161" t="s">
        <v>19202</v>
      </c>
      <c r="K4645" t="s">
        <v>19203</v>
      </c>
      <c r="L4645" t="s">
        <v>3750</v>
      </c>
      <c r="M4645" s="161" t="s">
        <v>19202</v>
      </c>
    </row>
    <row r="4646" spans="9:13" x14ac:dyDescent="0.25">
      <c r="I4646" t="s">
        <v>4330</v>
      </c>
      <c r="J4646" s="161" t="s">
        <v>19202</v>
      </c>
      <c r="K4646" t="s">
        <v>19203</v>
      </c>
      <c r="L4646" t="s">
        <v>4329</v>
      </c>
      <c r="M4646" s="161" t="s">
        <v>19202</v>
      </c>
    </row>
    <row r="4647" spans="9:13" x14ac:dyDescent="0.25">
      <c r="I4647" t="s">
        <v>3378</v>
      </c>
      <c r="J4647" s="161" t="s">
        <v>19202</v>
      </c>
      <c r="K4647" t="s">
        <v>19203</v>
      </c>
      <c r="L4647" t="s">
        <v>3377</v>
      </c>
      <c r="M4647" s="161" t="s">
        <v>19202</v>
      </c>
    </row>
    <row r="4648" spans="9:13" x14ac:dyDescent="0.25">
      <c r="I4648" t="s">
        <v>10488</v>
      </c>
      <c r="J4648" s="161" t="s">
        <v>19202</v>
      </c>
      <c r="K4648" t="s">
        <v>19203</v>
      </c>
      <c r="L4648" t="s">
        <v>10487</v>
      </c>
      <c r="M4648" s="161" t="s">
        <v>19202</v>
      </c>
    </row>
    <row r="4649" spans="9:13" x14ac:dyDescent="0.25">
      <c r="I4649" t="s">
        <v>11030</v>
      </c>
      <c r="J4649" s="161" t="s">
        <v>19202</v>
      </c>
      <c r="K4649" t="s">
        <v>19203</v>
      </c>
      <c r="L4649" t="s">
        <v>11029</v>
      </c>
      <c r="M4649" s="161" t="s">
        <v>19202</v>
      </c>
    </row>
    <row r="4650" spans="9:13" x14ac:dyDescent="0.25">
      <c r="I4650" t="s">
        <v>8018</v>
      </c>
      <c r="J4650" s="161" t="s">
        <v>19202</v>
      </c>
      <c r="K4650" t="s">
        <v>19203</v>
      </c>
      <c r="L4650" t="s">
        <v>8017</v>
      </c>
      <c r="M4650" s="161" t="s">
        <v>19202</v>
      </c>
    </row>
    <row r="4651" spans="9:13" x14ac:dyDescent="0.25">
      <c r="I4651" t="s">
        <v>19744</v>
      </c>
      <c r="J4651" s="161" t="s">
        <v>19202</v>
      </c>
      <c r="K4651" t="s">
        <v>19203</v>
      </c>
      <c r="L4651" t="s">
        <v>19745</v>
      </c>
      <c r="M4651" s="161" t="s">
        <v>19202</v>
      </c>
    </row>
    <row r="4652" spans="9:13" x14ac:dyDescent="0.25">
      <c r="I4652" t="s">
        <v>17018</v>
      </c>
      <c r="J4652" s="161" t="s">
        <v>19202</v>
      </c>
      <c r="K4652" t="s">
        <v>19203</v>
      </c>
      <c r="L4652" t="s">
        <v>17017</v>
      </c>
      <c r="M4652" s="161" t="s">
        <v>19202</v>
      </c>
    </row>
    <row r="4653" spans="9:13" x14ac:dyDescent="0.25">
      <c r="I4653" t="s">
        <v>12318</v>
      </c>
      <c r="J4653" s="161" t="s">
        <v>19202</v>
      </c>
      <c r="K4653" t="s">
        <v>19203</v>
      </c>
      <c r="L4653" t="s">
        <v>12317</v>
      </c>
      <c r="M4653" s="161" t="s">
        <v>19202</v>
      </c>
    </row>
    <row r="4654" spans="9:13" x14ac:dyDescent="0.25">
      <c r="I4654" t="s">
        <v>17208</v>
      </c>
      <c r="J4654" s="161" t="s">
        <v>19202</v>
      </c>
      <c r="K4654" t="s">
        <v>19203</v>
      </c>
      <c r="L4654" t="s">
        <v>17207</v>
      </c>
      <c r="M4654" s="161" t="s">
        <v>19202</v>
      </c>
    </row>
    <row r="4655" spans="9:13" x14ac:dyDescent="0.25">
      <c r="I4655" t="s">
        <v>4037</v>
      </c>
      <c r="J4655" s="161" t="s">
        <v>19202</v>
      </c>
      <c r="K4655" t="s">
        <v>19203</v>
      </c>
      <c r="L4655" t="s">
        <v>4036</v>
      </c>
      <c r="M4655" s="161" t="s">
        <v>19202</v>
      </c>
    </row>
    <row r="4656" spans="9:13" x14ac:dyDescent="0.25">
      <c r="I4656" t="s">
        <v>9663</v>
      </c>
      <c r="J4656" s="161" t="s">
        <v>19202</v>
      </c>
      <c r="K4656" t="s">
        <v>19203</v>
      </c>
      <c r="L4656" t="s">
        <v>9662</v>
      </c>
      <c r="M4656" s="161" t="s">
        <v>19202</v>
      </c>
    </row>
    <row r="4657" spans="9:13" x14ac:dyDescent="0.25">
      <c r="I4657" t="s">
        <v>9804</v>
      </c>
      <c r="J4657" s="161" t="s">
        <v>19202</v>
      </c>
      <c r="K4657" t="s">
        <v>19203</v>
      </c>
      <c r="L4657" t="s">
        <v>9803</v>
      </c>
      <c r="M4657" s="161" t="s">
        <v>19202</v>
      </c>
    </row>
    <row r="4658" spans="9:13" x14ac:dyDescent="0.25">
      <c r="I4658" t="s">
        <v>9800</v>
      </c>
      <c r="J4658" s="161" t="s">
        <v>19202</v>
      </c>
      <c r="K4658" t="s">
        <v>19203</v>
      </c>
      <c r="L4658" t="s">
        <v>9799</v>
      </c>
      <c r="M4658" s="161" t="s">
        <v>19202</v>
      </c>
    </row>
    <row r="4659" spans="9:13" x14ac:dyDescent="0.25">
      <c r="I4659" t="s">
        <v>9798</v>
      </c>
      <c r="J4659" s="161" t="s">
        <v>19202</v>
      </c>
      <c r="K4659" t="s">
        <v>19203</v>
      </c>
      <c r="L4659" t="s">
        <v>9797</v>
      </c>
      <c r="M4659" s="161" t="s">
        <v>19202</v>
      </c>
    </row>
    <row r="4660" spans="9:13" x14ac:dyDescent="0.25">
      <c r="I4660" t="s">
        <v>6736</v>
      </c>
      <c r="J4660" s="161" t="s">
        <v>19202</v>
      </c>
      <c r="K4660" t="s">
        <v>19203</v>
      </c>
      <c r="L4660" t="s">
        <v>700</v>
      </c>
      <c r="M4660" s="161" t="s">
        <v>19202</v>
      </c>
    </row>
    <row r="4661" spans="9:13" x14ac:dyDescent="0.25">
      <c r="I4661" t="s">
        <v>15864</v>
      </c>
      <c r="J4661" s="161" t="s">
        <v>19202</v>
      </c>
      <c r="K4661" t="s">
        <v>19203</v>
      </c>
      <c r="L4661" t="s">
        <v>15863</v>
      </c>
      <c r="M4661" s="161" t="s">
        <v>19202</v>
      </c>
    </row>
    <row r="4662" spans="9:13" x14ac:dyDescent="0.25">
      <c r="I4662" t="s">
        <v>15746</v>
      </c>
      <c r="J4662" s="161" t="s">
        <v>19202</v>
      </c>
      <c r="K4662" t="s">
        <v>19203</v>
      </c>
      <c r="L4662" t="s">
        <v>15745</v>
      </c>
      <c r="M4662" s="161" t="s">
        <v>19202</v>
      </c>
    </row>
    <row r="4663" spans="9:13" x14ac:dyDescent="0.25">
      <c r="I4663" t="s">
        <v>16266</v>
      </c>
      <c r="J4663" s="161" t="s">
        <v>19202</v>
      </c>
      <c r="K4663" t="s">
        <v>19203</v>
      </c>
      <c r="L4663" t="s">
        <v>16265</v>
      </c>
      <c r="M4663" s="161" t="s">
        <v>19202</v>
      </c>
    </row>
    <row r="4664" spans="9:13" x14ac:dyDescent="0.25">
      <c r="I4664" t="s">
        <v>15856</v>
      </c>
      <c r="J4664" s="161" t="s">
        <v>19202</v>
      </c>
      <c r="K4664" t="s">
        <v>19203</v>
      </c>
      <c r="L4664" t="s">
        <v>15855</v>
      </c>
      <c r="M4664" s="161" t="s">
        <v>19202</v>
      </c>
    </row>
    <row r="4665" spans="9:13" x14ac:dyDescent="0.25">
      <c r="I4665" t="s">
        <v>15483</v>
      </c>
      <c r="J4665" s="161" t="s">
        <v>19202</v>
      </c>
      <c r="K4665" t="s">
        <v>19203</v>
      </c>
      <c r="L4665" t="s">
        <v>15482</v>
      </c>
      <c r="M4665" s="161" t="s">
        <v>19202</v>
      </c>
    </row>
    <row r="4666" spans="9:13" x14ac:dyDescent="0.25">
      <c r="I4666" t="s">
        <v>15854</v>
      </c>
      <c r="J4666" s="161" t="s">
        <v>19202</v>
      </c>
      <c r="K4666" t="s">
        <v>19203</v>
      </c>
      <c r="L4666" t="s">
        <v>15853</v>
      </c>
      <c r="M4666" s="161" t="s">
        <v>19202</v>
      </c>
    </row>
    <row r="4667" spans="9:13" x14ac:dyDescent="0.25">
      <c r="I4667" t="s">
        <v>15962</v>
      </c>
      <c r="J4667" s="161" t="s">
        <v>19202</v>
      </c>
      <c r="K4667" t="s">
        <v>19203</v>
      </c>
      <c r="L4667" t="s">
        <v>542</v>
      </c>
      <c r="M4667" s="161" t="s">
        <v>19202</v>
      </c>
    </row>
    <row r="4668" spans="9:13" x14ac:dyDescent="0.25">
      <c r="I4668" t="s">
        <v>15851</v>
      </c>
      <c r="J4668" s="161" t="s">
        <v>19202</v>
      </c>
      <c r="K4668" t="s">
        <v>19203</v>
      </c>
      <c r="L4668" t="s">
        <v>15850</v>
      </c>
      <c r="M4668" s="161" t="s">
        <v>19202</v>
      </c>
    </row>
    <row r="4669" spans="9:13" x14ac:dyDescent="0.25">
      <c r="I4669" t="s">
        <v>15597</v>
      </c>
      <c r="J4669" s="161" t="s">
        <v>19202</v>
      </c>
      <c r="K4669" t="s">
        <v>19203</v>
      </c>
      <c r="L4669" t="s">
        <v>15596</v>
      </c>
      <c r="M4669" s="161" t="s">
        <v>19202</v>
      </c>
    </row>
    <row r="4670" spans="9:13" x14ac:dyDescent="0.25">
      <c r="I4670" t="s">
        <v>15363</v>
      </c>
      <c r="J4670" s="161" t="s">
        <v>19202</v>
      </c>
      <c r="K4670" t="s">
        <v>19203</v>
      </c>
      <c r="L4670" t="s">
        <v>14831</v>
      </c>
      <c r="M4670" s="161" t="s">
        <v>19202</v>
      </c>
    </row>
    <row r="4671" spans="9:13" x14ac:dyDescent="0.25">
      <c r="I4671" t="s">
        <v>15361</v>
      </c>
      <c r="J4671" s="161" t="s">
        <v>19202</v>
      </c>
      <c r="K4671" t="s">
        <v>19203</v>
      </c>
      <c r="L4671" t="s">
        <v>15360</v>
      </c>
      <c r="M4671" s="161" t="s">
        <v>19202</v>
      </c>
    </row>
    <row r="4672" spans="9:13" x14ac:dyDescent="0.25">
      <c r="I4672" t="s">
        <v>15357</v>
      </c>
      <c r="J4672" s="161" t="s">
        <v>19202</v>
      </c>
      <c r="K4672" t="s">
        <v>19203</v>
      </c>
      <c r="L4672" t="s">
        <v>15356</v>
      </c>
      <c r="M4672" s="161" t="s">
        <v>19202</v>
      </c>
    </row>
    <row r="4673" spans="9:13" x14ac:dyDescent="0.25">
      <c r="I4673" t="s">
        <v>15251</v>
      </c>
      <c r="J4673" s="161" t="s">
        <v>19202</v>
      </c>
      <c r="K4673" t="s">
        <v>19203</v>
      </c>
      <c r="L4673" t="s">
        <v>934</v>
      </c>
      <c r="M4673" s="161" t="s">
        <v>19202</v>
      </c>
    </row>
    <row r="4674" spans="9:13" x14ac:dyDescent="0.25">
      <c r="I4674" t="s">
        <v>16532</v>
      </c>
      <c r="J4674" s="161" t="s">
        <v>19202</v>
      </c>
      <c r="K4674" t="s">
        <v>19203</v>
      </c>
      <c r="L4674" t="s">
        <v>16531</v>
      </c>
      <c r="M4674" s="161" t="s">
        <v>19202</v>
      </c>
    </row>
    <row r="4675" spans="9:13" x14ac:dyDescent="0.25">
      <c r="I4675" t="s">
        <v>16583</v>
      </c>
      <c r="J4675" s="161" t="s">
        <v>19202</v>
      </c>
      <c r="K4675" t="s">
        <v>19203</v>
      </c>
      <c r="L4675" t="s">
        <v>621</v>
      </c>
      <c r="M4675" s="161" t="s">
        <v>19202</v>
      </c>
    </row>
    <row r="4676" spans="9:13" x14ac:dyDescent="0.25">
      <c r="I4676" t="s">
        <v>15355</v>
      </c>
      <c r="J4676" s="161" t="s">
        <v>19202</v>
      </c>
      <c r="K4676" t="s">
        <v>19203</v>
      </c>
      <c r="L4676" t="s">
        <v>1484</v>
      </c>
      <c r="M4676" s="161" t="s">
        <v>19202</v>
      </c>
    </row>
    <row r="4677" spans="9:13" x14ac:dyDescent="0.25">
      <c r="I4677" t="s">
        <v>15138</v>
      </c>
      <c r="J4677" s="161" t="s">
        <v>19202</v>
      </c>
      <c r="K4677" t="s">
        <v>19203</v>
      </c>
      <c r="L4677" t="s">
        <v>15137</v>
      </c>
      <c r="M4677" s="161" t="s">
        <v>19202</v>
      </c>
    </row>
    <row r="4678" spans="9:13" x14ac:dyDescent="0.25">
      <c r="I4678" t="s">
        <v>15136</v>
      </c>
      <c r="J4678" s="161" t="s">
        <v>19202</v>
      </c>
      <c r="K4678" t="s">
        <v>19203</v>
      </c>
      <c r="L4678" t="s">
        <v>15135</v>
      </c>
      <c r="M4678" s="161" t="s">
        <v>19202</v>
      </c>
    </row>
    <row r="4679" spans="9:13" x14ac:dyDescent="0.25">
      <c r="I4679" t="s">
        <v>16488</v>
      </c>
      <c r="J4679" s="161" t="s">
        <v>19202</v>
      </c>
      <c r="K4679" t="s">
        <v>19203</v>
      </c>
      <c r="L4679" t="s">
        <v>229</v>
      </c>
      <c r="M4679" s="161" t="s">
        <v>19202</v>
      </c>
    </row>
    <row r="4680" spans="9:13" x14ac:dyDescent="0.25">
      <c r="I4680" t="s">
        <v>16805</v>
      </c>
      <c r="J4680" s="161" t="s">
        <v>19202</v>
      </c>
      <c r="K4680" t="s">
        <v>19203</v>
      </c>
      <c r="L4680" t="s">
        <v>15283</v>
      </c>
      <c r="M4680" s="161" t="s">
        <v>19202</v>
      </c>
    </row>
    <row r="4681" spans="9:13" x14ac:dyDescent="0.25">
      <c r="I4681" t="s">
        <v>18130</v>
      </c>
      <c r="J4681" s="161" t="s">
        <v>19202</v>
      </c>
      <c r="K4681" t="s">
        <v>19203</v>
      </c>
      <c r="L4681" t="s">
        <v>18129</v>
      </c>
      <c r="M4681" s="161" t="s">
        <v>19202</v>
      </c>
    </row>
    <row r="4682" spans="9:13" x14ac:dyDescent="0.25">
      <c r="I4682" t="s">
        <v>17409</v>
      </c>
      <c r="J4682" s="161" t="s">
        <v>19202</v>
      </c>
      <c r="K4682" t="s">
        <v>19203</v>
      </c>
      <c r="L4682" t="s">
        <v>17408</v>
      </c>
      <c r="M4682" s="161" t="s">
        <v>19202</v>
      </c>
    </row>
    <row r="4683" spans="9:13" x14ac:dyDescent="0.25">
      <c r="I4683" t="s">
        <v>5233</v>
      </c>
      <c r="J4683" s="161" t="s">
        <v>19202</v>
      </c>
      <c r="K4683" t="s">
        <v>19203</v>
      </c>
      <c r="L4683" t="s">
        <v>5232</v>
      </c>
      <c r="M4683" s="161" t="s">
        <v>19202</v>
      </c>
    </row>
    <row r="4684" spans="9:13" x14ac:dyDescent="0.25">
      <c r="I4684" t="s">
        <v>5957</v>
      </c>
      <c r="J4684" s="161" t="s">
        <v>19202</v>
      </c>
      <c r="K4684" t="s">
        <v>19203</v>
      </c>
      <c r="L4684" t="s">
        <v>5956</v>
      </c>
      <c r="M4684" s="161" t="s">
        <v>19202</v>
      </c>
    </row>
    <row r="4685" spans="9:13" x14ac:dyDescent="0.25">
      <c r="I4685" t="s">
        <v>4932</v>
      </c>
      <c r="J4685" s="161" t="s">
        <v>19202</v>
      </c>
      <c r="K4685" t="s">
        <v>19203</v>
      </c>
      <c r="L4685" t="s">
        <v>4931</v>
      </c>
      <c r="M4685" s="161" t="s">
        <v>19202</v>
      </c>
    </row>
    <row r="4686" spans="9:13" x14ac:dyDescent="0.25">
      <c r="I4686" t="s">
        <v>4930</v>
      </c>
      <c r="J4686" s="161" t="s">
        <v>19202</v>
      </c>
      <c r="K4686" t="s">
        <v>19203</v>
      </c>
      <c r="L4686" t="s">
        <v>758</v>
      </c>
      <c r="M4686" s="161" t="s">
        <v>19202</v>
      </c>
    </row>
    <row r="4687" spans="9:13" x14ac:dyDescent="0.25">
      <c r="I4687" t="s">
        <v>5049</v>
      </c>
      <c r="J4687" s="161" t="s">
        <v>19202</v>
      </c>
      <c r="K4687" t="s">
        <v>19203</v>
      </c>
      <c r="L4687" t="s">
        <v>5048</v>
      </c>
      <c r="M4687" s="161" t="s">
        <v>19202</v>
      </c>
    </row>
    <row r="4688" spans="9:13" x14ac:dyDescent="0.25">
      <c r="I4688" t="s">
        <v>6638</v>
      </c>
      <c r="J4688" s="161" t="s">
        <v>19202</v>
      </c>
      <c r="K4688" t="s">
        <v>19203</v>
      </c>
      <c r="L4688" t="s">
        <v>6637</v>
      </c>
      <c r="M4688" s="161" t="s">
        <v>19202</v>
      </c>
    </row>
    <row r="4689" spans="9:13" x14ac:dyDescent="0.25">
      <c r="I4689" t="s">
        <v>6518</v>
      </c>
      <c r="J4689" s="161" t="s">
        <v>19202</v>
      </c>
      <c r="K4689" t="s">
        <v>19203</v>
      </c>
      <c r="L4689" t="s">
        <v>6224</v>
      </c>
      <c r="M4689" s="161" t="s">
        <v>19202</v>
      </c>
    </row>
    <row r="4690" spans="9:13" x14ac:dyDescent="0.25">
      <c r="I4690" t="s">
        <v>424</v>
      </c>
      <c r="J4690" s="161" t="s">
        <v>19202</v>
      </c>
      <c r="K4690" t="s">
        <v>19203</v>
      </c>
      <c r="L4690" t="s">
        <v>423</v>
      </c>
      <c r="M4690" s="161" t="s">
        <v>19202</v>
      </c>
    </row>
    <row r="4691" spans="9:13" x14ac:dyDescent="0.25">
      <c r="I4691" t="s">
        <v>11159</v>
      </c>
      <c r="J4691" s="161" t="s">
        <v>19202</v>
      </c>
      <c r="K4691" t="s">
        <v>19203</v>
      </c>
      <c r="L4691" t="s">
        <v>11158</v>
      </c>
      <c r="M4691" s="161" t="s">
        <v>19202</v>
      </c>
    </row>
    <row r="4692" spans="9:13" x14ac:dyDescent="0.25">
      <c r="I4692" t="s">
        <v>11088</v>
      </c>
      <c r="J4692" s="161" t="s">
        <v>19202</v>
      </c>
      <c r="K4692" t="s">
        <v>19203</v>
      </c>
      <c r="L4692" t="s">
        <v>11087</v>
      </c>
      <c r="M4692" s="161" t="s">
        <v>19202</v>
      </c>
    </row>
    <row r="4693" spans="9:13" x14ac:dyDescent="0.25">
      <c r="I4693" t="s">
        <v>10985</v>
      </c>
      <c r="J4693" s="161" t="s">
        <v>19202</v>
      </c>
      <c r="K4693" t="s">
        <v>19203</v>
      </c>
      <c r="L4693" t="s">
        <v>10984</v>
      </c>
      <c r="M4693" s="161" t="s">
        <v>19202</v>
      </c>
    </row>
    <row r="4694" spans="9:13" x14ac:dyDescent="0.25">
      <c r="I4694" t="s">
        <v>11151</v>
      </c>
      <c r="J4694" s="161" t="s">
        <v>19202</v>
      </c>
      <c r="K4694" t="s">
        <v>19203</v>
      </c>
      <c r="L4694" t="s">
        <v>11150</v>
      </c>
      <c r="M4694" s="161" t="s">
        <v>19202</v>
      </c>
    </row>
    <row r="4695" spans="9:13" x14ac:dyDescent="0.25">
      <c r="I4695" t="s">
        <v>12738</v>
      </c>
      <c r="J4695" s="161" t="s">
        <v>19202</v>
      </c>
      <c r="K4695" t="s">
        <v>19203</v>
      </c>
      <c r="L4695" t="s">
        <v>12737</v>
      </c>
      <c r="M4695" s="161" t="s">
        <v>19202</v>
      </c>
    </row>
    <row r="4696" spans="9:13" x14ac:dyDescent="0.25">
      <c r="I4696" t="s">
        <v>17196</v>
      </c>
      <c r="J4696" s="161" t="s">
        <v>19202</v>
      </c>
      <c r="K4696" t="s">
        <v>19203</v>
      </c>
      <c r="L4696" t="s">
        <v>17195</v>
      </c>
      <c r="M4696" s="161" t="s">
        <v>19202</v>
      </c>
    </row>
    <row r="4697" spans="9:13" x14ac:dyDescent="0.25">
      <c r="I4697" t="s">
        <v>14752</v>
      </c>
      <c r="J4697" s="161" t="s">
        <v>19202</v>
      </c>
      <c r="K4697" t="s">
        <v>19203</v>
      </c>
      <c r="L4697" t="s">
        <v>14751</v>
      </c>
      <c r="M4697" s="161" t="s">
        <v>19202</v>
      </c>
    </row>
    <row r="4698" spans="9:13" x14ac:dyDescent="0.25">
      <c r="I4698" t="s">
        <v>3247</v>
      </c>
      <c r="J4698" s="161" t="s">
        <v>19202</v>
      </c>
      <c r="K4698" t="s">
        <v>19203</v>
      </c>
      <c r="L4698" t="s">
        <v>3246</v>
      </c>
      <c r="M4698" s="161" t="s">
        <v>19202</v>
      </c>
    </row>
    <row r="4699" spans="9:13" x14ac:dyDescent="0.25">
      <c r="I4699" t="s">
        <v>15266</v>
      </c>
      <c r="J4699" s="161" t="s">
        <v>19202</v>
      </c>
      <c r="K4699" t="s">
        <v>19203</v>
      </c>
      <c r="L4699" t="s">
        <v>15265</v>
      </c>
      <c r="M4699" s="161" t="s">
        <v>19202</v>
      </c>
    </row>
    <row r="4700" spans="9:13" x14ac:dyDescent="0.25">
      <c r="I4700" t="s">
        <v>15264</v>
      </c>
      <c r="J4700" s="161" t="s">
        <v>19202</v>
      </c>
      <c r="K4700" t="s">
        <v>19203</v>
      </c>
      <c r="L4700" t="s">
        <v>15263</v>
      </c>
      <c r="M4700" s="161" t="s">
        <v>19202</v>
      </c>
    </row>
    <row r="4701" spans="9:13" x14ac:dyDescent="0.25">
      <c r="I4701" t="s">
        <v>15262</v>
      </c>
      <c r="J4701" s="161" t="s">
        <v>19202</v>
      </c>
      <c r="K4701" t="s">
        <v>19203</v>
      </c>
      <c r="L4701" t="s">
        <v>15261</v>
      </c>
      <c r="M4701" s="161" t="s">
        <v>19202</v>
      </c>
    </row>
    <row r="4702" spans="9:13" x14ac:dyDescent="0.25">
      <c r="I4702" t="s">
        <v>15260</v>
      </c>
      <c r="J4702" s="161" t="s">
        <v>19202</v>
      </c>
      <c r="K4702" t="s">
        <v>19203</v>
      </c>
      <c r="L4702" t="s">
        <v>14890</v>
      </c>
      <c r="M4702" s="161" t="s">
        <v>19202</v>
      </c>
    </row>
    <row r="4703" spans="9:13" x14ac:dyDescent="0.25">
      <c r="I4703" t="s">
        <v>16101</v>
      </c>
      <c r="J4703" s="161" t="s">
        <v>19202</v>
      </c>
      <c r="K4703" t="s">
        <v>19203</v>
      </c>
      <c r="L4703" t="s">
        <v>16100</v>
      </c>
      <c r="M4703" s="161" t="s">
        <v>19202</v>
      </c>
    </row>
    <row r="4704" spans="9:13" x14ac:dyDescent="0.25">
      <c r="I4704" t="s">
        <v>15411</v>
      </c>
      <c r="J4704" s="161" t="s">
        <v>19202</v>
      </c>
      <c r="K4704" t="s">
        <v>19203</v>
      </c>
      <c r="L4704" t="s">
        <v>15410</v>
      </c>
      <c r="M4704" s="161" t="s">
        <v>19202</v>
      </c>
    </row>
    <row r="4705" spans="9:13" x14ac:dyDescent="0.25">
      <c r="I4705" t="s">
        <v>15409</v>
      </c>
      <c r="J4705" s="161" t="s">
        <v>19202</v>
      </c>
      <c r="K4705" t="s">
        <v>19203</v>
      </c>
      <c r="L4705" t="s">
        <v>15408</v>
      </c>
      <c r="M4705" s="161" t="s">
        <v>19202</v>
      </c>
    </row>
    <row r="4706" spans="9:13" x14ac:dyDescent="0.25">
      <c r="I4706" t="s">
        <v>15407</v>
      </c>
      <c r="J4706" s="161" t="s">
        <v>19202</v>
      </c>
      <c r="K4706" t="s">
        <v>19203</v>
      </c>
      <c r="L4706" t="s">
        <v>15406</v>
      </c>
      <c r="M4706" s="161" t="s">
        <v>19202</v>
      </c>
    </row>
    <row r="4707" spans="9:13" x14ac:dyDescent="0.25">
      <c r="I4707" t="s">
        <v>15405</v>
      </c>
      <c r="J4707" s="161" t="s">
        <v>19202</v>
      </c>
      <c r="K4707" t="s">
        <v>19203</v>
      </c>
      <c r="L4707" t="s">
        <v>6773</v>
      </c>
      <c r="M4707" s="161" t="s">
        <v>19202</v>
      </c>
    </row>
    <row r="4708" spans="9:13" x14ac:dyDescent="0.25">
      <c r="I4708" t="s">
        <v>15399</v>
      </c>
      <c r="J4708" s="161" t="s">
        <v>19202</v>
      </c>
      <c r="K4708" t="s">
        <v>19203</v>
      </c>
      <c r="L4708" t="s">
        <v>15398</v>
      </c>
      <c r="M4708" s="161" t="s">
        <v>19202</v>
      </c>
    </row>
    <row r="4709" spans="9:13" x14ac:dyDescent="0.25">
      <c r="I4709" t="s">
        <v>15397</v>
      </c>
      <c r="J4709" s="161" t="s">
        <v>19202</v>
      </c>
      <c r="K4709" t="s">
        <v>19203</v>
      </c>
      <c r="L4709" t="s">
        <v>2082</v>
      </c>
      <c r="M4709" s="161" t="s">
        <v>19202</v>
      </c>
    </row>
    <row r="4710" spans="9:13" x14ac:dyDescent="0.25">
      <c r="I4710" t="s">
        <v>15257</v>
      </c>
      <c r="J4710" s="161" t="s">
        <v>19202</v>
      </c>
      <c r="K4710" t="s">
        <v>19203</v>
      </c>
      <c r="L4710" t="s">
        <v>15256</v>
      </c>
      <c r="M4710" s="161" t="s">
        <v>19202</v>
      </c>
    </row>
    <row r="4711" spans="9:13" x14ac:dyDescent="0.25">
      <c r="I4711" t="s">
        <v>15396</v>
      </c>
      <c r="J4711" s="161" t="s">
        <v>19202</v>
      </c>
      <c r="K4711" t="s">
        <v>19203</v>
      </c>
      <c r="L4711" t="s">
        <v>1108</v>
      </c>
      <c r="M4711" s="161" t="s">
        <v>19202</v>
      </c>
    </row>
    <row r="4712" spans="9:13" x14ac:dyDescent="0.25">
      <c r="I4712" t="s">
        <v>15395</v>
      </c>
      <c r="J4712" s="161" t="s">
        <v>19202</v>
      </c>
      <c r="K4712" t="s">
        <v>19203</v>
      </c>
      <c r="L4712" t="s">
        <v>1911</v>
      </c>
      <c r="M4712" s="161" t="s">
        <v>19202</v>
      </c>
    </row>
    <row r="4713" spans="9:13" x14ac:dyDescent="0.25">
      <c r="I4713" t="s">
        <v>15394</v>
      </c>
      <c r="J4713" s="161" t="s">
        <v>19202</v>
      </c>
      <c r="K4713" t="s">
        <v>19203</v>
      </c>
      <c r="L4713" t="s">
        <v>5752</v>
      </c>
      <c r="M4713" s="161" t="s">
        <v>19202</v>
      </c>
    </row>
    <row r="4714" spans="9:13" x14ac:dyDescent="0.25">
      <c r="I4714" t="s">
        <v>15393</v>
      </c>
      <c r="J4714" s="161" t="s">
        <v>19202</v>
      </c>
      <c r="K4714" t="s">
        <v>19203</v>
      </c>
      <c r="L4714" t="s">
        <v>13327</v>
      </c>
      <c r="M4714" s="161" t="s">
        <v>19202</v>
      </c>
    </row>
    <row r="4715" spans="9:13" x14ac:dyDescent="0.25">
      <c r="I4715" t="s">
        <v>15392</v>
      </c>
      <c r="J4715" s="161" t="s">
        <v>19202</v>
      </c>
      <c r="K4715" t="s">
        <v>19203</v>
      </c>
      <c r="L4715" t="s">
        <v>842</v>
      </c>
      <c r="M4715" s="161" t="s">
        <v>19202</v>
      </c>
    </row>
    <row r="4716" spans="9:13" x14ac:dyDescent="0.25">
      <c r="I4716" t="s">
        <v>16378</v>
      </c>
      <c r="J4716" s="161" t="s">
        <v>19202</v>
      </c>
      <c r="K4716" t="s">
        <v>19203</v>
      </c>
      <c r="L4716" t="s">
        <v>1208</v>
      </c>
      <c r="M4716" s="161" t="s">
        <v>19202</v>
      </c>
    </row>
    <row r="4717" spans="9:13" x14ac:dyDescent="0.25">
      <c r="I4717" t="s">
        <v>16585</v>
      </c>
      <c r="J4717" s="161" t="s">
        <v>19202</v>
      </c>
      <c r="K4717" t="s">
        <v>19203</v>
      </c>
      <c r="L4717" t="s">
        <v>16584</v>
      </c>
      <c r="M4717" s="161" t="s">
        <v>19202</v>
      </c>
    </row>
    <row r="4718" spans="9:13" x14ac:dyDescent="0.25">
      <c r="I4718" t="s">
        <v>15253</v>
      </c>
      <c r="J4718" s="161" t="s">
        <v>19202</v>
      </c>
      <c r="K4718" t="s">
        <v>19203</v>
      </c>
      <c r="L4718" t="s">
        <v>15252</v>
      </c>
      <c r="M4718" s="161" t="s">
        <v>19202</v>
      </c>
    </row>
    <row r="4719" spans="9:13" x14ac:dyDescent="0.25">
      <c r="I4719" t="s">
        <v>16060</v>
      </c>
      <c r="J4719" s="161" t="s">
        <v>19202</v>
      </c>
      <c r="K4719" t="s">
        <v>19203</v>
      </c>
      <c r="L4719" t="s">
        <v>941</v>
      </c>
      <c r="M4719" s="161" t="s">
        <v>19202</v>
      </c>
    </row>
    <row r="4720" spans="9:13" x14ac:dyDescent="0.25">
      <c r="I4720" t="s">
        <v>15933</v>
      </c>
      <c r="J4720" s="161" t="s">
        <v>19202</v>
      </c>
      <c r="K4720" t="s">
        <v>19203</v>
      </c>
      <c r="L4720" t="s">
        <v>1554</v>
      </c>
      <c r="M4720" s="161" t="s">
        <v>19202</v>
      </c>
    </row>
    <row r="4721" spans="9:13" x14ac:dyDescent="0.25">
      <c r="I4721" t="s">
        <v>15553</v>
      </c>
      <c r="J4721" s="161" t="s">
        <v>19202</v>
      </c>
      <c r="K4721" t="s">
        <v>19203</v>
      </c>
      <c r="L4721" t="s">
        <v>15552</v>
      </c>
      <c r="M4721" s="161" t="s">
        <v>19202</v>
      </c>
    </row>
    <row r="4722" spans="9:13" x14ac:dyDescent="0.25">
      <c r="I4722" t="s">
        <v>15739</v>
      </c>
      <c r="J4722" s="161" t="s">
        <v>19202</v>
      </c>
      <c r="K4722" t="s">
        <v>19203</v>
      </c>
      <c r="L4722" t="s">
        <v>15738</v>
      </c>
      <c r="M4722" s="161" t="s">
        <v>19202</v>
      </c>
    </row>
    <row r="4723" spans="9:13" x14ac:dyDescent="0.25">
      <c r="I4723" t="s">
        <v>15737</v>
      </c>
      <c r="J4723" s="161" t="s">
        <v>19202</v>
      </c>
      <c r="K4723" t="s">
        <v>19203</v>
      </c>
      <c r="L4723" t="s">
        <v>15736</v>
      </c>
      <c r="M4723" s="161" t="s">
        <v>19202</v>
      </c>
    </row>
    <row r="4724" spans="9:13" x14ac:dyDescent="0.25">
      <c r="I4724" t="s">
        <v>9983</v>
      </c>
      <c r="J4724" s="161" t="s">
        <v>19202</v>
      </c>
      <c r="K4724" t="s">
        <v>19203</v>
      </c>
      <c r="L4724" t="s">
        <v>9982</v>
      </c>
      <c r="M4724" s="161" t="s">
        <v>19202</v>
      </c>
    </row>
    <row r="4725" spans="9:13" x14ac:dyDescent="0.25">
      <c r="I4725" t="s">
        <v>16295</v>
      </c>
      <c r="J4725" s="161" t="s">
        <v>19202</v>
      </c>
      <c r="K4725" t="s">
        <v>19203</v>
      </c>
      <c r="L4725" t="s">
        <v>16294</v>
      </c>
      <c r="M4725" s="161" t="s">
        <v>19202</v>
      </c>
    </row>
    <row r="4726" spans="9:13" x14ac:dyDescent="0.25">
      <c r="I4726" t="s">
        <v>15517</v>
      </c>
      <c r="J4726" s="161" t="s">
        <v>19202</v>
      </c>
      <c r="K4726" t="s">
        <v>19203</v>
      </c>
      <c r="L4726" t="s">
        <v>15516</v>
      </c>
      <c r="M4726" s="161" t="s">
        <v>19202</v>
      </c>
    </row>
    <row r="4727" spans="9:13" x14ac:dyDescent="0.25">
      <c r="I4727" t="s">
        <v>16881</v>
      </c>
      <c r="J4727" s="161" t="s">
        <v>19202</v>
      </c>
      <c r="K4727" t="s">
        <v>19203</v>
      </c>
      <c r="L4727" t="s">
        <v>16880</v>
      </c>
      <c r="M4727" s="161" t="s">
        <v>19202</v>
      </c>
    </row>
    <row r="4728" spans="9:13" x14ac:dyDescent="0.25">
      <c r="I4728" t="s">
        <v>15551</v>
      </c>
      <c r="J4728" s="161" t="s">
        <v>19202</v>
      </c>
      <c r="K4728" t="s">
        <v>19203</v>
      </c>
      <c r="L4728" t="s">
        <v>15319</v>
      </c>
      <c r="M4728" s="161" t="s">
        <v>19202</v>
      </c>
    </row>
    <row r="4729" spans="9:13" x14ac:dyDescent="0.25">
      <c r="I4729" t="s">
        <v>15550</v>
      </c>
      <c r="J4729" s="161" t="s">
        <v>19202</v>
      </c>
      <c r="K4729" t="s">
        <v>19203</v>
      </c>
      <c r="L4729" t="s">
        <v>15549</v>
      </c>
      <c r="M4729" s="161" t="s">
        <v>19202</v>
      </c>
    </row>
    <row r="4730" spans="9:13" x14ac:dyDescent="0.25">
      <c r="I4730" t="s">
        <v>15675</v>
      </c>
      <c r="J4730" s="161" t="s">
        <v>19202</v>
      </c>
      <c r="K4730" t="s">
        <v>19203</v>
      </c>
      <c r="L4730" t="s">
        <v>15674</v>
      </c>
      <c r="M4730" s="161" t="s">
        <v>19202</v>
      </c>
    </row>
    <row r="4731" spans="9:13" x14ac:dyDescent="0.25">
      <c r="I4731" t="s">
        <v>16222</v>
      </c>
      <c r="J4731" s="161" t="s">
        <v>19202</v>
      </c>
      <c r="K4731" t="s">
        <v>19203</v>
      </c>
      <c r="L4731" t="s">
        <v>15939</v>
      </c>
      <c r="M4731" s="161" t="s">
        <v>19202</v>
      </c>
    </row>
    <row r="4732" spans="9:13" x14ac:dyDescent="0.25">
      <c r="I4732" t="s">
        <v>15481</v>
      </c>
      <c r="J4732" s="161" t="s">
        <v>19202</v>
      </c>
      <c r="K4732" t="s">
        <v>19203</v>
      </c>
      <c r="L4732" t="s">
        <v>15480</v>
      </c>
      <c r="M4732" s="161" t="s">
        <v>19202</v>
      </c>
    </row>
    <row r="4733" spans="9:13" x14ac:dyDescent="0.25">
      <c r="I4733" t="s">
        <v>15797</v>
      </c>
      <c r="J4733" s="161" t="s">
        <v>19202</v>
      </c>
      <c r="K4733" t="s">
        <v>19203</v>
      </c>
      <c r="L4733" t="s">
        <v>15796</v>
      </c>
      <c r="M4733" s="161" t="s">
        <v>19202</v>
      </c>
    </row>
    <row r="4734" spans="9:13" x14ac:dyDescent="0.25">
      <c r="I4734" t="s">
        <v>15595</v>
      </c>
      <c r="J4734" s="161" t="s">
        <v>19202</v>
      </c>
      <c r="K4734" t="s">
        <v>19203</v>
      </c>
      <c r="L4734" t="s">
        <v>15594</v>
      </c>
      <c r="M4734" s="161" t="s">
        <v>19202</v>
      </c>
    </row>
    <row r="4735" spans="9:13" x14ac:dyDescent="0.25">
      <c r="I4735" t="s">
        <v>16490</v>
      </c>
      <c r="J4735" s="161" t="s">
        <v>19202</v>
      </c>
      <c r="K4735" t="s">
        <v>19203</v>
      </c>
      <c r="L4735" t="s">
        <v>928</v>
      </c>
      <c r="M4735" s="161" t="s">
        <v>19202</v>
      </c>
    </row>
    <row r="4736" spans="9:13" x14ac:dyDescent="0.25">
      <c r="I4736" t="s">
        <v>15370</v>
      </c>
      <c r="J4736" s="161" t="s">
        <v>19202</v>
      </c>
      <c r="K4736" t="s">
        <v>19203</v>
      </c>
      <c r="L4736" t="s">
        <v>13619</v>
      </c>
      <c r="M4736" s="161" t="s">
        <v>19202</v>
      </c>
    </row>
    <row r="4737" spans="9:13" x14ac:dyDescent="0.25">
      <c r="I4737" t="s">
        <v>15368</v>
      </c>
      <c r="J4737" s="161" t="s">
        <v>19202</v>
      </c>
      <c r="K4737" t="s">
        <v>19203</v>
      </c>
      <c r="L4737" t="s">
        <v>15367</v>
      </c>
      <c r="M4737" s="161" t="s">
        <v>19202</v>
      </c>
    </row>
    <row r="4738" spans="9:13" x14ac:dyDescent="0.25">
      <c r="I4738" t="s">
        <v>16007</v>
      </c>
      <c r="J4738" s="161" t="s">
        <v>19202</v>
      </c>
      <c r="K4738" t="s">
        <v>19203</v>
      </c>
      <c r="L4738" t="s">
        <v>14187</v>
      </c>
      <c r="M4738" s="161" t="s">
        <v>19202</v>
      </c>
    </row>
    <row r="4739" spans="9:13" x14ac:dyDescent="0.25">
      <c r="I4739" t="s">
        <v>16006</v>
      </c>
      <c r="J4739" s="161" t="s">
        <v>19202</v>
      </c>
      <c r="K4739" t="s">
        <v>19203</v>
      </c>
      <c r="L4739" t="s">
        <v>934</v>
      </c>
      <c r="M4739" s="161" t="s">
        <v>19202</v>
      </c>
    </row>
    <row r="4740" spans="9:13" x14ac:dyDescent="0.25">
      <c r="I4740" t="s">
        <v>16264</v>
      </c>
      <c r="J4740" s="161" t="s">
        <v>19202</v>
      </c>
      <c r="K4740" t="s">
        <v>19203</v>
      </c>
      <c r="L4740" t="s">
        <v>16263</v>
      </c>
      <c r="M4740" s="161" t="s">
        <v>19202</v>
      </c>
    </row>
    <row r="4741" spans="9:13" x14ac:dyDescent="0.25">
      <c r="I4741" t="s">
        <v>16262</v>
      </c>
      <c r="J4741" s="161" t="s">
        <v>19202</v>
      </c>
      <c r="K4741" t="s">
        <v>19203</v>
      </c>
      <c r="L4741" t="s">
        <v>13443</v>
      </c>
      <c r="M4741" s="161" t="s">
        <v>19202</v>
      </c>
    </row>
    <row r="4742" spans="9:13" x14ac:dyDescent="0.25">
      <c r="I4742" t="s">
        <v>16672</v>
      </c>
      <c r="J4742" s="161" t="s">
        <v>19202</v>
      </c>
      <c r="K4742" t="s">
        <v>19203</v>
      </c>
      <c r="L4742" t="s">
        <v>3738</v>
      </c>
      <c r="M4742" s="161" t="s">
        <v>19202</v>
      </c>
    </row>
    <row r="4743" spans="9:13" x14ac:dyDescent="0.25">
      <c r="I4743" t="s">
        <v>16671</v>
      </c>
      <c r="J4743" s="161" t="s">
        <v>19202</v>
      </c>
      <c r="K4743" t="s">
        <v>19203</v>
      </c>
      <c r="L4743" t="s">
        <v>621</v>
      </c>
      <c r="M4743" s="161" t="s">
        <v>19202</v>
      </c>
    </row>
    <row r="4744" spans="9:13" x14ac:dyDescent="0.25">
      <c r="I4744" t="s">
        <v>16489</v>
      </c>
      <c r="J4744" s="161" t="s">
        <v>19202</v>
      </c>
      <c r="K4744" t="s">
        <v>19203</v>
      </c>
      <c r="L4744" t="s">
        <v>3949</v>
      </c>
      <c r="M4744" s="161" t="s">
        <v>19202</v>
      </c>
    </row>
    <row r="4745" spans="9:13" x14ac:dyDescent="0.25">
      <c r="I4745" t="s">
        <v>16737</v>
      </c>
      <c r="J4745" s="161" t="s">
        <v>19202</v>
      </c>
      <c r="K4745" t="s">
        <v>19203</v>
      </c>
      <c r="L4745" t="s">
        <v>16736</v>
      </c>
      <c r="M4745" s="161" t="s">
        <v>19202</v>
      </c>
    </row>
    <row r="4746" spans="9:13" x14ac:dyDescent="0.25">
      <c r="I4746" t="s">
        <v>16735</v>
      </c>
      <c r="J4746" s="161" t="s">
        <v>19202</v>
      </c>
      <c r="K4746" t="s">
        <v>19203</v>
      </c>
      <c r="L4746" t="s">
        <v>4913</v>
      </c>
      <c r="M4746" s="161" t="s">
        <v>19202</v>
      </c>
    </row>
    <row r="4747" spans="9:13" x14ac:dyDescent="0.25">
      <c r="I4747" t="s">
        <v>16059</v>
      </c>
      <c r="J4747" s="161" t="s">
        <v>19202</v>
      </c>
      <c r="K4747" t="s">
        <v>19203</v>
      </c>
      <c r="L4747" t="s">
        <v>16058</v>
      </c>
      <c r="M4747" s="161" t="s">
        <v>19202</v>
      </c>
    </row>
    <row r="4748" spans="9:13" x14ac:dyDescent="0.25">
      <c r="I4748" t="s">
        <v>17016</v>
      </c>
      <c r="J4748" s="161" t="s">
        <v>19202</v>
      </c>
      <c r="K4748" t="s">
        <v>19203</v>
      </c>
      <c r="L4748" t="s">
        <v>17015</v>
      </c>
      <c r="M4748" s="161" t="s">
        <v>19202</v>
      </c>
    </row>
    <row r="4749" spans="9:13" x14ac:dyDescent="0.25">
      <c r="I4749" t="s">
        <v>16454</v>
      </c>
      <c r="J4749" s="161" t="s">
        <v>19202</v>
      </c>
      <c r="K4749" t="s">
        <v>19203</v>
      </c>
      <c r="L4749" t="s">
        <v>11843</v>
      </c>
      <c r="M4749" s="161" t="s">
        <v>19202</v>
      </c>
    </row>
    <row r="4750" spans="9:13" x14ac:dyDescent="0.25">
      <c r="I4750" t="s">
        <v>16453</v>
      </c>
      <c r="J4750" s="161" t="s">
        <v>19202</v>
      </c>
      <c r="K4750" t="s">
        <v>19203</v>
      </c>
      <c r="L4750" t="s">
        <v>1504</v>
      </c>
      <c r="M4750" s="161" t="s">
        <v>19202</v>
      </c>
    </row>
    <row r="4751" spans="9:13" x14ac:dyDescent="0.25">
      <c r="I4751" t="s">
        <v>15961</v>
      </c>
      <c r="J4751" s="161" t="s">
        <v>19202</v>
      </c>
      <c r="K4751" t="s">
        <v>19203</v>
      </c>
      <c r="L4751" t="s">
        <v>15960</v>
      </c>
      <c r="M4751" s="161" t="s">
        <v>19202</v>
      </c>
    </row>
    <row r="4752" spans="9:13" x14ac:dyDescent="0.25">
      <c r="I4752" t="s">
        <v>16452</v>
      </c>
      <c r="J4752" s="161" t="s">
        <v>19202</v>
      </c>
      <c r="K4752" t="s">
        <v>19203</v>
      </c>
      <c r="L4752" t="s">
        <v>11786</v>
      </c>
      <c r="M4752" s="161" t="s">
        <v>19202</v>
      </c>
    </row>
    <row r="4753" spans="9:13" x14ac:dyDescent="0.25">
      <c r="I4753" t="s">
        <v>15248</v>
      </c>
      <c r="J4753" s="161" t="s">
        <v>19202</v>
      </c>
      <c r="K4753" t="s">
        <v>19203</v>
      </c>
      <c r="L4753" t="s">
        <v>15247</v>
      </c>
      <c r="M4753" s="161" t="s">
        <v>19202</v>
      </c>
    </row>
    <row r="4754" spans="9:13" x14ac:dyDescent="0.25">
      <c r="I4754" t="s">
        <v>15201</v>
      </c>
      <c r="J4754" s="161" t="s">
        <v>19202</v>
      </c>
      <c r="K4754" t="s">
        <v>19203</v>
      </c>
      <c r="L4754" t="s">
        <v>15200</v>
      </c>
      <c r="M4754" s="161" t="s">
        <v>19202</v>
      </c>
    </row>
    <row r="4755" spans="9:13" x14ac:dyDescent="0.25">
      <c r="I4755" t="s">
        <v>16734</v>
      </c>
      <c r="J4755" s="161" t="s">
        <v>19202</v>
      </c>
      <c r="K4755" t="s">
        <v>19203</v>
      </c>
      <c r="L4755" t="s">
        <v>16733</v>
      </c>
      <c r="M4755" s="161" t="s">
        <v>19202</v>
      </c>
    </row>
    <row r="4756" spans="9:13" x14ac:dyDescent="0.25">
      <c r="I4756" t="s">
        <v>15246</v>
      </c>
      <c r="J4756" s="161" t="s">
        <v>19202</v>
      </c>
      <c r="K4756" t="s">
        <v>19203</v>
      </c>
      <c r="L4756" t="s">
        <v>15245</v>
      </c>
      <c r="M4756" s="161" t="s">
        <v>19202</v>
      </c>
    </row>
    <row r="4757" spans="9:13" x14ac:dyDescent="0.25">
      <c r="I4757" t="s">
        <v>19746</v>
      </c>
      <c r="J4757" s="161" t="s">
        <v>19202</v>
      </c>
      <c r="K4757" t="s">
        <v>19203</v>
      </c>
      <c r="L4757" t="s">
        <v>19747</v>
      </c>
      <c r="M4757" s="161" t="s">
        <v>19202</v>
      </c>
    </row>
    <row r="4758" spans="9:13" x14ac:dyDescent="0.25">
      <c r="I4758" t="s">
        <v>16451</v>
      </c>
      <c r="J4758" s="161" t="s">
        <v>19202</v>
      </c>
      <c r="K4758" t="s">
        <v>19203</v>
      </c>
      <c r="L4758" t="s">
        <v>1295</v>
      </c>
      <c r="M4758" s="161" t="s">
        <v>19202</v>
      </c>
    </row>
    <row r="4759" spans="9:13" x14ac:dyDescent="0.25">
      <c r="I4759" t="s">
        <v>15098</v>
      </c>
      <c r="J4759" s="161" t="s">
        <v>19202</v>
      </c>
      <c r="K4759" t="s">
        <v>19203</v>
      </c>
      <c r="L4759" t="s">
        <v>15097</v>
      </c>
      <c r="M4759" s="161" t="s">
        <v>19202</v>
      </c>
    </row>
    <row r="4760" spans="9:13" x14ac:dyDescent="0.25">
      <c r="I4760" t="s">
        <v>15849</v>
      </c>
      <c r="J4760" s="161" t="s">
        <v>19202</v>
      </c>
      <c r="K4760" t="s">
        <v>19203</v>
      </c>
      <c r="L4760" t="s">
        <v>15848</v>
      </c>
      <c r="M4760" s="161" t="s">
        <v>19202</v>
      </c>
    </row>
    <row r="4761" spans="9:13" x14ac:dyDescent="0.25">
      <c r="I4761" t="s">
        <v>15011</v>
      </c>
      <c r="J4761" s="161" t="s">
        <v>19202</v>
      </c>
      <c r="K4761" t="s">
        <v>19203</v>
      </c>
      <c r="L4761" t="s">
        <v>1108</v>
      </c>
      <c r="M4761" s="161" t="s">
        <v>19202</v>
      </c>
    </row>
    <row r="4762" spans="9:13" x14ac:dyDescent="0.25">
      <c r="I4762" t="s">
        <v>2923</v>
      </c>
      <c r="J4762" s="161" t="s">
        <v>19202</v>
      </c>
      <c r="K4762" t="s">
        <v>19203</v>
      </c>
      <c r="L4762" t="s">
        <v>2922</v>
      </c>
      <c r="M4762" s="161" t="s">
        <v>19202</v>
      </c>
    </row>
    <row r="4763" spans="9:13" x14ac:dyDescent="0.25">
      <c r="I4763" t="s">
        <v>10698</v>
      </c>
      <c r="J4763" s="161" t="s">
        <v>19202</v>
      </c>
      <c r="K4763" t="s">
        <v>19203</v>
      </c>
      <c r="L4763" t="s">
        <v>10697</v>
      </c>
      <c r="M4763" s="161" t="s">
        <v>19202</v>
      </c>
    </row>
    <row r="4764" spans="9:13" x14ac:dyDescent="0.25">
      <c r="I4764" t="s">
        <v>4690</v>
      </c>
      <c r="J4764" s="161" t="s">
        <v>19202</v>
      </c>
      <c r="K4764" t="s">
        <v>19203</v>
      </c>
      <c r="L4764" t="s">
        <v>4689</v>
      </c>
      <c r="M4764" s="161" t="s">
        <v>19202</v>
      </c>
    </row>
    <row r="4765" spans="9:13" x14ac:dyDescent="0.25">
      <c r="I4765" t="s">
        <v>4688</v>
      </c>
      <c r="J4765" s="161" t="s">
        <v>19202</v>
      </c>
      <c r="K4765" t="s">
        <v>19203</v>
      </c>
      <c r="L4765" t="s">
        <v>4687</v>
      </c>
      <c r="M4765" s="161" t="s">
        <v>19202</v>
      </c>
    </row>
    <row r="4766" spans="9:13" x14ac:dyDescent="0.25">
      <c r="I4766" t="s">
        <v>4686</v>
      </c>
      <c r="J4766" s="161" t="s">
        <v>19202</v>
      </c>
      <c r="K4766" t="s">
        <v>19203</v>
      </c>
      <c r="L4766" t="s">
        <v>4685</v>
      </c>
      <c r="M4766" s="161" t="s">
        <v>19202</v>
      </c>
    </row>
    <row r="4767" spans="9:13" x14ac:dyDescent="0.25">
      <c r="I4767" t="s">
        <v>17224</v>
      </c>
      <c r="J4767" s="161" t="s">
        <v>19202</v>
      </c>
      <c r="K4767" t="s">
        <v>19203</v>
      </c>
      <c r="L4767" t="s">
        <v>5403</v>
      </c>
      <c r="M4767" s="161" t="s">
        <v>19202</v>
      </c>
    </row>
    <row r="4768" spans="9:13" x14ac:dyDescent="0.25">
      <c r="I4768" t="s">
        <v>12208</v>
      </c>
      <c r="J4768" s="161" t="s">
        <v>19202</v>
      </c>
      <c r="K4768" t="s">
        <v>19203</v>
      </c>
      <c r="L4768" t="s">
        <v>12207</v>
      </c>
      <c r="M4768" s="161" t="s">
        <v>19202</v>
      </c>
    </row>
    <row r="4769" spans="9:13" x14ac:dyDescent="0.25">
      <c r="I4769" t="s">
        <v>2574</v>
      </c>
      <c r="J4769" s="161" t="s">
        <v>19202</v>
      </c>
      <c r="K4769" t="s">
        <v>19203</v>
      </c>
      <c r="L4769" t="s">
        <v>2573</v>
      </c>
      <c r="M4769" s="161" t="s">
        <v>19202</v>
      </c>
    </row>
    <row r="4770" spans="9:13" x14ac:dyDescent="0.25">
      <c r="I4770" t="s">
        <v>15902</v>
      </c>
      <c r="J4770" s="161" t="s">
        <v>19202</v>
      </c>
      <c r="K4770" t="s">
        <v>19203</v>
      </c>
      <c r="L4770" t="s">
        <v>15901</v>
      </c>
      <c r="M4770" s="161" t="s">
        <v>19202</v>
      </c>
    </row>
    <row r="4771" spans="9:13" x14ac:dyDescent="0.25">
      <c r="I4771" t="s">
        <v>16186</v>
      </c>
      <c r="J4771" s="161" t="s">
        <v>19202</v>
      </c>
      <c r="K4771" t="s">
        <v>19203</v>
      </c>
      <c r="L4771" t="s">
        <v>16185</v>
      </c>
      <c r="M4771" s="161" t="s">
        <v>19202</v>
      </c>
    </row>
    <row r="4772" spans="9:13" x14ac:dyDescent="0.25">
      <c r="I4772" t="s">
        <v>15673</v>
      </c>
      <c r="J4772" s="161" t="s">
        <v>19202</v>
      </c>
      <c r="K4772" t="s">
        <v>19203</v>
      </c>
      <c r="L4772" t="s">
        <v>19748</v>
      </c>
      <c r="M4772" s="161" t="s">
        <v>19202</v>
      </c>
    </row>
    <row r="4773" spans="9:13" x14ac:dyDescent="0.25">
      <c r="I4773" t="s">
        <v>15015</v>
      </c>
      <c r="J4773" s="161" t="s">
        <v>19202</v>
      </c>
      <c r="K4773" t="s">
        <v>19203</v>
      </c>
      <c r="L4773" t="s">
        <v>15014</v>
      </c>
      <c r="M4773" s="161" t="s">
        <v>19202</v>
      </c>
    </row>
    <row r="4774" spans="9:13" x14ac:dyDescent="0.25">
      <c r="I4774" t="s">
        <v>15013</v>
      </c>
      <c r="J4774" s="161" t="s">
        <v>19202</v>
      </c>
      <c r="K4774" t="s">
        <v>19203</v>
      </c>
      <c r="L4774" t="s">
        <v>15012</v>
      </c>
      <c r="M4774" s="161" t="s">
        <v>19202</v>
      </c>
    </row>
    <row r="4775" spans="9:13" x14ac:dyDescent="0.25">
      <c r="I4775" t="s">
        <v>14775</v>
      </c>
      <c r="J4775" s="161" t="s">
        <v>19202</v>
      </c>
      <c r="K4775" t="s">
        <v>19203</v>
      </c>
      <c r="L4775" t="s">
        <v>3824</v>
      </c>
      <c r="M4775" s="161" t="s">
        <v>19202</v>
      </c>
    </row>
    <row r="4776" spans="9:13" x14ac:dyDescent="0.25">
      <c r="I4776" t="s">
        <v>1191</v>
      </c>
      <c r="J4776" s="161" t="s">
        <v>19202</v>
      </c>
      <c r="K4776" t="s">
        <v>19203</v>
      </c>
      <c r="L4776" t="s">
        <v>1190</v>
      </c>
      <c r="M4776" s="161" t="s">
        <v>19202</v>
      </c>
    </row>
    <row r="4777" spans="9:13" x14ac:dyDescent="0.25">
      <c r="I4777" t="s">
        <v>19749</v>
      </c>
      <c r="J4777" s="161" t="s">
        <v>19202</v>
      </c>
      <c r="K4777" t="s">
        <v>19203</v>
      </c>
      <c r="L4777" t="s">
        <v>19750</v>
      </c>
      <c r="M4777" s="161" t="s">
        <v>19202</v>
      </c>
    </row>
    <row r="4778" spans="9:13" x14ac:dyDescent="0.25">
      <c r="I4778" t="s">
        <v>15510</v>
      </c>
      <c r="J4778" s="161" t="s">
        <v>19202</v>
      </c>
      <c r="K4778" t="s">
        <v>19203</v>
      </c>
      <c r="L4778" t="s">
        <v>15509</v>
      </c>
      <c r="M4778" s="161" t="s">
        <v>19202</v>
      </c>
    </row>
    <row r="4779" spans="9:13" x14ac:dyDescent="0.25">
      <c r="I4779" t="s">
        <v>4561</v>
      </c>
      <c r="J4779" s="161" t="s">
        <v>19202</v>
      </c>
      <c r="K4779" t="s">
        <v>19203</v>
      </c>
      <c r="L4779" t="s">
        <v>4560</v>
      </c>
      <c r="M4779" s="161" t="s">
        <v>19202</v>
      </c>
    </row>
    <row r="4780" spans="9:13" x14ac:dyDescent="0.25">
      <c r="I4780" t="s">
        <v>3823</v>
      </c>
      <c r="J4780" s="161" t="s">
        <v>19202</v>
      </c>
      <c r="K4780" t="s">
        <v>19203</v>
      </c>
      <c r="L4780" t="s">
        <v>3681</v>
      </c>
      <c r="M4780" s="161" t="s">
        <v>19202</v>
      </c>
    </row>
    <row r="4781" spans="9:13" x14ac:dyDescent="0.25">
      <c r="I4781" t="s">
        <v>19751</v>
      </c>
      <c r="J4781" s="161" t="s">
        <v>19202</v>
      </c>
      <c r="K4781" t="s">
        <v>19203</v>
      </c>
      <c r="L4781" t="s">
        <v>19752</v>
      </c>
      <c r="M4781" s="161" t="s">
        <v>19202</v>
      </c>
    </row>
    <row r="4782" spans="9:13" x14ac:dyDescent="0.25">
      <c r="I4782" t="s">
        <v>16184</v>
      </c>
      <c r="J4782" s="161" t="s">
        <v>19202</v>
      </c>
      <c r="K4782" t="s">
        <v>19203</v>
      </c>
      <c r="L4782" t="s">
        <v>16183</v>
      </c>
      <c r="M4782" s="161" t="s">
        <v>19202</v>
      </c>
    </row>
    <row r="4783" spans="9:13" x14ac:dyDescent="0.25">
      <c r="I4783" t="s">
        <v>15366</v>
      </c>
      <c r="J4783" s="161" t="s">
        <v>19202</v>
      </c>
      <c r="K4783" t="s">
        <v>19203</v>
      </c>
      <c r="L4783" t="s">
        <v>15365</v>
      </c>
      <c r="M4783" s="161" t="s">
        <v>19202</v>
      </c>
    </row>
    <row r="4784" spans="9:13" x14ac:dyDescent="0.25">
      <c r="I4784" t="s">
        <v>5365</v>
      </c>
      <c r="J4784" s="161" t="s">
        <v>19202</v>
      </c>
      <c r="K4784" t="s">
        <v>19203</v>
      </c>
      <c r="L4784" t="s">
        <v>5364</v>
      </c>
      <c r="M4784" s="161" t="s">
        <v>19202</v>
      </c>
    </row>
    <row r="4785" spans="9:13" x14ac:dyDescent="0.25">
      <c r="I4785" t="s">
        <v>15354</v>
      </c>
      <c r="J4785" s="161" t="s">
        <v>19202</v>
      </c>
      <c r="K4785" t="s">
        <v>19203</v>
      </c>
      <c r="L4785" t="s">
        <v>15353</v>
      </c>
      <c r="M4785" s="161" t="s">
        <v>19202</v>
      </c>
    </row>
    <row r="4786" spans="9:13" x14ac:dyDescent="0.25">
      <c r="I4786" t="s">
        <v>16634</v>
      </c>
      <c r="J4786" s="161" t="s">
        <v>19202</v>
      </c>
      <c r="K4786" t="s">
        <v>19203</v>
      </c>
      <c r="L4786" t="s">
        <v>1472</v>
      </c>
      <c r="M4786" s="161" t="s">
        <v>19202</v>
      </c>
    </row>
    <row r="4787" spans="9:13" x14ac:dyDescent="0.25">
      <c r="I4787" t="s">
        <v>19753</v>
      </c>
      <c r="J4787" s="161" t="s">
        <v>19202</v>
      </c>
      <c r="K4787" t="s">
        <v>19203</v>
      </c>
      <c r="L4787" t="s">
        <v>19754</v>
      </c>
      <c r="M4787" s="161" t="s">
        <v>19202</v>
      </c>
    </row>
    <row r="4788" spans="9:13" x14ac:dyDescent="0.25">
      <c r="I4788" t="s">
        <v>11237</v>
      </c>
      <c r="J4788" s="161" t="s">
        <v>19202</v>
      </c>
      <c r="K4788" t="s">
        <v>19203</v>
      </c>
      <c r="L4788" t="s">
        <v>11236</v>
      </c>
      <c r="M4788" s="161" t="s">
        <v>19202</v>
      </c>
    </row>
    <row r="4789" spans="9:13" x14ac:dyDescent="0.25">
      <c r="I4789" t="s">
        <v>11211</v>
      </c>
      <c r="J4789" s="161" t="s">
        <v>19202</v>
      </c>
      <c r="K4789" t="s">
        <v>19203</v>
      </c>
      <c r="L4789" t="s">
        <v>11210</v>
      </c>
      <c r="M4789" s="161" t="s">
        <v>19202</v>
      </c>
    </row>
    <row r="4790" spans="9:13" x14ac:dyDescent="0.25">
      <c r="I4790" t="s">
        <v>11204</v>
      </c>
      <c r="J4790" s="161" t="s">
        <v>19202</v>
      </c>
      <c r="K4790" t="s">
        <v>19203</v>
      </c>
      <c r="L4790" t="s">
        <v>11203</v>
      </c>
      <c r="M4790" s="161" t="s">
        <v>19202</v>
      </c>
    </row>
    <row r="4791" spans="9:13" x14ac:dyDescent="0.25">
      <c r="I4791" t="s">
        <v>11202</v>
      </c>
      <c r="J4791" s="161" t="s">
        <v>19202</v>
      </c>
      <c r="K4791" t="s">
        <v>19203</v>
      </c>
      <c r="L4791" t="s">
        <v>11201</v>
      </c>
      <c r="M4791" s="161" t="s">
        <v>19202</v>
      </c>
    </row>
    <row r="4792" spans="9:13" x14ac:dyDescent="0.25">
      <c r="I4792" t="s">
        <v>11198</v>
      </c>
      <c r="J4792" s="161" t="s">
        <v>19202</v>
      </c>
      <c r="K4792" t="s">
        <v>19203</v>
      </c>
      <c r="L4792" t="s">
        <v>235</v>
      </c>
      <c r="M4792" s="161" t="s">
        <v>19202</v>
      </c>
    </row>
    <row r="4793" spans="9:13" x14ac:dyDescent="0.25">
      <c r="I4793" t="s">
        <v>11197</v>
      </c>
      <c r="J4793" s="161" t="s">
        <v>19202</v>
      </c>
      <c r="K4793" t="s">
        <v>19203</v>
      </c>
      <c r="L4793" t="s">
        <v>11196</v>
      </c>
      <c r="M4793" s="161" t="s">
        <v>19202</v>
      </c>
    </row>
    <row r="4794" spans="9:13" x14ac:dyDescent="0.25">
      <c r="I4794" t="s">
        <v>11195</v>
      </c>
      <c r="J4794" s="161" t="s">
        <v>19202</v>
      </c>
      <c r="K4794" t="s">
        <v>19203</v>
      </c>
      <c r="L4794" t="s">
        <v>11194</v>
      </c>
      <c r="M4794" s="161" t="s">
        <v>19202</v>
      </c>
    </row>
    <row r="4795" spans="9:13" x14ac:dyDescent="0.25">
      <c r="I4795" t="s">
        <v>11193</v>
      </c>
      <c r="J4795" s="161" t="s">
        <v>19202</v>
      </c>
      <c r="K4795" t="s">
        <v>19203</v>
      </c>
      <c r="L4795" t="s">
        <v>11192</v>
      </c>
      <c r="M4795" s="161" t="s">
        <v>19202</v>
      </c>
    </row>
    <row r="4796" spans="9:13" x14ac:dyDescent="0.25">
      <c r="I4796" t="s">
        <v>10603</v>
      </c>
      <c r="J4796" s="161" t="s">
        <v>19202</v>
      </c>
      <c r="K4796" t="s">
        <v>19203</v>
      </c>
      <c r="L4796" t="s">
        <v>10581</v>
      </c>
      <c r="M4796" s="161" t="s">
        <v>19202</v>
      </c>
    </row>
    <row r="4797" spans="9:13" x14ac:dyDescent="0.25">
      <c r="I4797" t="s">
        <v>11109</v>
      </c>
      <c r="J4797" s="161" t="s">
        <v>19202</v>
      </c>
      <c r="K4797" t="s">
        <v>19203</v>
      </c>
      <c r="L4797" t="s">
        <v>11108</v>
      </c>
      <c r="M4797" s="161" t="s">
        <v>19202</v>
      </c>
    </row>
    <row r="4798" spans="9:13" x14ac:dyDescent="0.25">
      <c r="I4798" t="s">
        <v>11105</v>
      </c>
      <c r="J4798" s="161" t="s">
        <v>19202</v>
      </c>
      <c r="K4798" t="s">
        <v>19203</v>
      </c>
      <c r="L4798" t="s">
        <v>11104</v>
      </c>
      <c r="M4798" s="161" t="s">
        <v>19202</v>
      </c>
    </row>
    <row r="4799" spans="9:13" x14ac:dyDescent="0.25">
      <c r="I4799" t="s">
        <v>11233</v>
      </c>
      <c r="J4799" s="161" t="s">
        <v>19202</v>
      </c>
      <c r="K4799" t="s">
        <v>19203</v>
      </c>
      <c r="L4799" t="s">
        <v>11232</v>
      </c>
      <c r="M4799" s="161" t="s">
        <v>19202</v>
      </c>
    </row>
    <row r="4800" spans="9:13" x14ac:dyDescent="0.25">
      <c r="I4800" t="s">
        <v>10195</v>
      </c>
      <c r="J4800" s="161" t="s">
        <v>19202</v>
      </c>
      <c r="K4800" t="s">
        <v>19203</v>
      </c>
      <c r="L4800" t="s">
        <v>10048</v>
      </c>
      <c r="M4800" s="161" t="s">
        <v>19202</v>
      </c>
    </row>
    <row r="4801" spans="9:13" x14ac:dyDescent="0.25">
      <c r="I4801" t="s">
        <v>15350</v>
      </c>
      <c r="J4801" s="161" t="s">
        <v>19202</v>
      </c>
      <c r="K4801" t="s">
        <v>19203</v>
      </c>
      <c r="L4801" t="s">
        <v>15349</v>
      </c>
      <c r="M4801" s="161" t="s">
        <v>19202</v>
      </c>
    </row>
    <row r="4802" spans="9:13" x14ac:dyDescent="0.25">
      <c r="I4802" t="s">
        <v>10003</v>
      </c>
      <c r="J4802" s="161" t="s">
        <v>19202</v>
      </c>
      <c r="K4802" t="s">
        <v>19203</v>
      </c>
      <c r="L4802" t="s">
        <v>10002</v>
      </c>
      <c r="M4802" s="161" t="s">
        <v>19202</v>
      </c>
    </row>
    <row r="4803" spans="9:13" x14ac:dyDescent="0.25">
      <c r="I4803" t="s">
        <v>15184</v>
      </c>
      <c r="J4803" s="161" t="s">
        <v>19202</v>
      </c>
      <c r="K4803" t="s">
        <v>19203</v>
      </c>
      <c r="L4803" t="s">
        <v>1108</v>
      </c>
      <c r="M4803" s="161" t="s">
        <v>19202</v>
      </c>
    </row>
    <row r="4804" spans="9:13" x14ac:dyDescent="0.25">
      <c r="I4804" t="s">
        <v>11084</v>
      </c>
      <c r="J4804" s="161" t="s">
        <v>19202</v>
      </c>
      <c r="K4804" t="s">
        <v>19203</v>
      </c>
      <c r="L4804" t="s">
        <v>11083</v>
      </c>
      <c r="M4804" s="161" t="s">
        <v>19202</v>
      </c>
    </row>
    <row r="4805" spans="9:13" x14ac:dyDescent="0.25">
      <c r="I4805" t="s">
        <v>10753</v>
      </c>
      <c r="J4805" s="161" t="s">
        <v>19202</v>
      </c>
      <c r="K4805" t="s">
        <v>19203</v>
      </c>
      <c r="L4805" t="s">
        <v>10752</v>
      </c>
      <c r="M4805" s="161" t="s">
        <v>19202</v>
      </c>
    </row>
    <row r="4806" spans="9:13" x14ac:dyDescent="0.25">
      <c r="I4806" t="s">
        <v>11082</v>
      </c>
      <c r="J4806" s="161" t="s">
        <v>19202</v>
      </c>
      <c r="K4806" t="s">
        <v>19203</v>
      </c>
      <c r="L4806" t="s">
        <v>11081</v>
      </c>
      <c r="M4806" s="161" t="s">
        <v>19202</v>
      </c>
    </row>
    <row r="4807" spans="9:13" x14ac:dyDescent="0.25">
      <c r="I4807" t="s">
        <v>11149</v>
      </c>
      <c r="J4807" s="161" t="s">
        <v>19202</v>
      </c>
      <c r="K4807" t="s">
        <v>19203</v>
      </c>
      <c r="L4807" t="s">
        <v>10678</v>
      </c>
      <c r="M4807" s="161" t="s">
        <v>19202</v>
      </c>
    </row>
    <row r="4808" spans="9:13" x14ac:dyDescent="0.25">
      <c r="I4808" t="s">
        <v>11181</v>
      </c>
      <c r="J4808" s="161" t="s">
        <v>19202</v>
      </c>
      <c r="K4808" t="s">
        <v>19203</v>
      </c>
      <c r="L4808" t="s">
        <v>11180</v>
      </c>
      <c r="M4808" s="161" t="s">
        <v>19202</v>
      </c>
    </row>
    <row r="4809" spans="9:13" x14ac:dyDescent="0.25">
      <c r="I4809" t="s">
        <v>11179</v>
      </c>
      <c r="J4809" s="161" t="s">
        <v>19202</v>
      </c>
      <c r="K4809" t="s">
        <v>19203</v>
      </c>
      <c r="L4809" t="s">
        <v>1837</v>
      </c>
      <c r="M4809" s="161" t="s">
        <v>19202</v>
      </c>
    </row>
    <row r="4810" spans="9:13" x14ac:dyDescent="0.25">
      <c r="I4810" t="s">
        <v>11178</v>
      </c>
      <c r="J4810" s="161" t="s">
        <v>19202</v>
      </c>
      <c r="K4810" t="s">
        <v>19203</v>
      </c>
      <c r="L4810" t="s">
        <v>11177</v>
      </c>
      <c r="M4810" s="161" t="s">
        <v>19202</v>
      </c>
    </row>
    <row r="4811" spans="9:13" x14ac:dyDescent="0.25">
      <c r="I4811" t="s">
        <v>11028</v>
      </c>
      <c r="J4811" s="161" t="s">
        <v>19202</v>
      </c>
      <c r="K4811" t="s">
        <v>19203</v>
      </c>
      <c r="L4811" t="s">
        <v>11027</v>
      </c>
      <c r="M4811" s="161" t="s">
        <v>19202</v>
      </c>
    </row>
    <row r="4812" spans="9:13" x14ac:dyDescent="0.25">
      <c r="I4812" t="s">
        <v>11078</v>
      </c>
      <c r="J4812" s="161" t="s">
        <v>19202</v>
      </c>
      <c r="K4812" t="s">
        <v>19203</v>
      </c>
      <c r="L4812" t="s">
        <v>11077</v>
      </c>
      <c r="M4812" s="161" t="s">
        <v>19202</v>
      </c>
    </row>
    <row r="4813" spans="9:13" x14ac:dyDescent="0.25">
      <c r="I4813" t="s">
        <v>11173</v>
      </c>
      <c r="J4813" s="161" t="s">
        <v>19202</v>
      </c>
      <c r="K4813" t="s">
        <v>19203</v>
      </c>
      <c r="L4813" t="s">
        <v>11172</v>
      </c>
      <c r="M4813" s="161" t="s">
        <v>19202</v>
      </c>
    </row>
    <row r="4814" spans="9:13" x14ac:dyDescent="0.25">
      <c r="I4814" t="s">
        <v>11171</v>
      </c>
      <c r="J4814" s="161" t="s">
        <v>19202</v>
      </c>
      <c r="K4814" t="s">
        <v>19203</v>
      </c>
      <c r="L4814" t="s">
        <v>11170</v>
      </c>
      <c r="M4814" s="161" t="s">
        <v>19202</v>
      </c>
    </row>
    <row r="4815" spans="9:13" x14ac:dyDescent="0.25">
      <c r="I4815" t="s">
        <v>11223</v>
      </c>
      <c r="J4815" s="161" t="s">
        <v>19202</v>
      </c>
      <c r="K4815" t="s">
        <v>19203</v>
      </c>
      <c r="L4815" t="s">
        <v>11222</v>
      </c>
      <c r="M4815" s="161" t="s">
        <v>19202</v>
      </c>
    </row>
    <row r="4816" spans="9:13" x14ac:dyDescent="0.25">
      <c r="I4816" t="s">
        <v>11287</v>
      </c>
      <c r="J4816" s="161" t="s">
        <v>19202</v>
      </c>
      <c r="K4816" t="s">
        <v>19203</v>
      </c>
      <c r="L4816" t="s">
        <v>11286</v>
      </c>
      <c r="M4816" s="161" t="s">
        <v>19202</v>
      </c>
    </row>
    <row r="4817" spans="9:13" x14ac:dyDescent="0.25">
      <c r="I4817" t="s">
        <v>3595</v>
      </c>
      <c r="J4817" s="161" t="s">
        <v>19202</v>
      </c>
      <c r="K4817" t="s">
        <v>19203</v>
      </c>
      <c r="L4817" t="s">
        <v>3594</v>
      </c>
      <c r="M4817" s="161" t="s">
        <v>19202</v>
      </c>
    </row>
    <row r="4818" spans="9:13" x14ac:dyDescent="0.25">
      <c r="I4818" t="s">
        <v>3629</v>
      </c>
      <c r="J4818" s="161" t="s">
        <v>19202</v>
      </c>
      <c r="K4818" t="s">
        <v>19203</v>
      </c>
      <c r="L4818" t="s">
        <v>3628</v>
      </c>
      <c r="M4818" s="161" t="s">
        <v>19202</v>
      </c>
    </row>
    <row r="4819" spans="9:13" x14ac:dyDescent="0.25">
      <c r="I4819" t="s">
        <v>4229</v>
      </c>
      <c r="J4819" s="161" t="s">
        <v>19202</v>
      </c>
      <c r="K4819" t="s">
        <v>19203</v>
      </c>
      <c r="L4819" t="s">
        <v>3560</v>
      </c>
      <c r="M4819" s="161" t="s">
        <v>19202</v>
      </c>
    </row>
    <row r="4820" spans="9:13" x14ac:dyDescent="0.25">
      <c r="I4820" t="s">
        <v>3933</v>
      </c>
      <c r="J4820" s="161" t="s">
        <v>19202</v>
      </c>
      <c r="K4820" t="s">
        <v>19203</v>
      </c>
      <c r="L4820" t="s">
        <v>3932</v>
      </c>
      <c r="M4820" s="161" t="s">
        <v>19202</v>
      </c>
    </row>
    <row r="4821" spans="9:13" x14ac:dyDescent="0.25">
      <c r="I4821" t="s">
        <v>4994</v>
      </c>
      <c r="J4821" s="161" t="s">
        <v>19202</v>
      </c>
      <c r="K4821" t="s">
        <v>19203</v>
      </c>
      <c r="L4821" t="s">
        <v>4993</v>
      </c>
      <c r="M4821" s="161" t="s">
        <v>19202</v>
      </c>
    </row>
    <row r="4822" spans="9:13" x14ac:dyDescent="0.25">
      <c r="I4822" t="s">
        <v>3627</v>
      </c>
      <c r="J4822" s="161" t="s">
        <v>19202</v>
      </c>
      <c r="K4822" t="s">
        <v>19203</v>
      </c>
      <c r="L4822" t="s">
        <v>3626</v>
      </c>
      <c r="M4822" s="161" t="s">
        <v>19202</v>
      </c>
    </row>
    <row r="4823" spans="9:13" x14ac:dyDescent="0.25">
      <c r="I4823" t="s">
        <v>3625</v>
      </c>
      <c r="J4823" s="161" t="s">
        <v>19202</v>
      </c>
      <c r="K4823" t="s">
        <v>19203</v>
      </c>
      <c r="L4823" t="s">
        <v>3624</v>
      </c>
      <c r="M4823" s="161" t="s">
        <v>19202</v>
      </c>
    </row>
    <row r="4824" spans="9:13" x14ac:dyDescent="0.25">
      <c r="I4824" t="s">
        <v>4142</v>
      </c>
      <c r="J4824" s="161" t="s">
        <v>19202</v>
      </c>
      <c r="K4824" t="s">
        <v>19203</v>
      </c>
      <c r="L4824" t="s">
        <v>4141</v>
      </c>
      <c r="M4824" s="161" t="s">
        <v>19202</v>
      </c>
    </row>
    <row r="4825" spans="9:13" x14ac:dyDescent="0.25">
      <c r="I4825" t="s">
        <v>4651</v>
      </c>
      <c r="J4825" s="161" t="s">
        <v>19202</v>
      </c>
      <c r="K4825" t="s">
        <v>19203</v>
      </c>
      <c r="L4825" t="s">
        <v>894</v>
      </c>
      <c r="M4825" s="161" t="s">
        <v>19202</v>
      </c>
    </row>
    <row r="4826" spans="9:13" x14ac:dyDescent="0.25">
      <c r="I4826" t="s">
        <v>897</v>
      </c>
      <c r="J4826" s="161" t="s">
        <v>19202</v>
      </c>
      <c r="K4826" t="s">
        <v>19203</v>
      </c>
      <c r="L4826" t="s">
        <v>896</v>
      </c>
      <c r="M4826" s="161" t="s">
        <v>19202</v>
      </c>
    </row>
    <row r="4827" spans="9:13" x14ac:dyDescent="0.25">
      <c r="I4827" t="s">
        <v>891</v>
      </c>
      <c r="J4827" s="161" t="s">
        <v>19202</v>
      </c>
      <c r="K4827" t="s">
        <v>19203</v>
      </c>
      <c r="L4827" t="s">
        <v>890</v>
      </c>
      <c r="M4827" s="161" t="s">
        <v>19202</v>
      </c>
    </row>
    <row r="4828" spans="9:13" x14ac:dyDescent="0.25">
      <c r="I4828" t="s">
        <v>889</v>
      </c>
      <c r="J4828" s="161" t="s">
        <v>19202</v>
      </c>
      <c r="K4828" t="s">
        <v>19203</v>
      </c>
      <c r="L4828" t="s">
        <v>888</v>
      </c>
      <c r="M4828" s="161" t="s">
        <v>19202</v>
      </c>
    </row>
    <row r="4829" spans="9:13" x14ac:dyDescent="0.25">
      <c r="I4829" t="s">
        <v>885</v>
      </c>
      <c r="J4829" s="161" t="s">
        <v>19202</v>
      </c>
      <c r="K4829" t="s">
        <v>19203</v>
      </c>
      <c r="L4829" t="s">
        <v>884</v>
      </c>
      <c r="M4829" s="161" t="s">
        <v>19202</v>
      </c>
    </row>
    <row r="4830" spans="9:13" x14ac:dyDescent="0.25">
      <c r="I4830" t="s">
        <v>883</v>
      </c>
      <c r="J4830" s="161" t="s">
        <v>19202</v>
      </c>
      <c r="K4830" t="s">
        <v>19203</v>
      </c>
      <c r="L4830" t="s">
        <v>882</v>
      </c>
      <c r="M4830" s="161" t="s">
        <v>19202</v>
      </c>
    </row>
    <row r="4831" spans="9:13" x14ac:dyDescent="0.25">
      <c r="I4831" t="s">
        <v>878</v>
      </c>
      <c r="J4831" s="161" t="s">
        <v>19202</v>
      </c>
      <c r="K4831" t="s">
        <v>19203</v>
      </c>
      <c r="L4831" t="s">
        <v>877</v>
      </c>
      <c r="M4831" s="161" t="s">
        <v>19202</v>
      </c>
    </row>
    <row r="4832" spans="9:13" x14ac:dyDescent="0.25">
      <c r="I4832" t="s">
        <v>836</v>
      </c>
      <c r="J4832" s="161" t="s">
        <v>19202</v>
      </c>
      <c r="K4832" t="s">
        <v>19203</v>
      </c>
      <c r="L4832" t="s">
        <v>835</v>
      </c>
      <c r="M4832" s="161" t="s">
        <v>19202</v>
      </c>
    </row>
    <row r="4833" spans="9:13" x14ac:dyDescent="0.25">
      <c r="I4833" t="s">
        <v>3555</v>
      </c>
      <c r="J4833" s="161" t="s">
        <v>19202</v>
      </c>
      <c r="K4833" t="s">
        <v>19203</v>
      </c>
      <c r="L4833" t="s">
        <v>3554</v>
      </c>
      <c r="M4833" s="161" t="s">
        <v>19202</v>
      </c>
    </row>
    <row r="4834" spans="9:13" x14ac:dyDescent="0.25">
      <c r="I4834" t="s">
        <v>3553</v>
      </c>
      <c r="J4834" s="161" t="s">
        <v>19202</v>
      </c>
      <c r="K4834" t="s">
        <v>19203</v>
      </c>
      <c r="L4834" t="s">
        <v>3552</v>
      </c>
      <c r="M4834" s="161" t="s">
        <v>19202</v>
      </c>
    </row>
    <row r="4835" spans="9:13" x14ac:dyDescent="0.25">
      <c r="I4835" t="s">
        <v>3551</v>
      </c>
      <c r="J4835" s="161" t="s">
        <v>19202</v>
      </c>
      <c r="K4835" t="s">
        <v>19203</v>
      </c>
      <c r="L4835" t="s">
        <v>3550</v>
      </c>
      <c r="M4835" s="161" t="s">
        <v>19202</v>
      </c>
    </row>
    <row r="4836" spans="9:13" x14ac:dyDescent="0.25">
      <c r="I4836" t="s">
        <v>4880</v>
      </c>
      <c r="J4836" s="161" t="s">
        <v>19202</v>
      </c>
      <c r="K4836" t="s">
        <v>19203</v>
      </c>
      <c r="L4836" t="s">
        <v>4879</v>
      </c>
      <c r="M4836" s="161" t="s">
        <v>19202</v>
      </c>
    </row>
    <row r="4837" spans="9:13" x14ac:dyDescent="0.25">
      <c r="I4837" t="s">
        <v>3549</v>
      </c>
      <c r="J4837" s="161" t="s">
        <v>19202</v>
      </c>
      <c r="K4837" t="s">
        <v>19203</v>
      </c>
      <c r="L4837" t="s">
        <v>3548</v>
      </c>
      <c r="M4837" s="161" t="s">
        <v>19202</v>
      </c>
    </row>
    <row r="4838" spans="9:13" x14ac:dyDescent="0.25">
      <c r="I4838" t="s">
        <v>4878</v>
      </c>
      <c r="J4838" s="161" t="s">
        <v>19202</v>
      </c>
      <c r="K4838" t="s">
        <v>19203</v>
      </c>
      <c r="L4838" t="s">
        <v>4877</v>
      </c>
      <c r="M4838" s="161" t="s">
        <v>19202</v>
      </c>
    </row>
    <row r="4839" spans="9:13" x14ac:dyDescent="0.25">
      <c r="I4839" t="s">
        <v>4568</v>
      </c>
      <c r="J4839" s="161" t="s">
        <v>19202</v>
      </c>
      <c r="K4839" t="s">
        <v>19203</v>
      </c>
      <c r="L4839" t="s">
        <v>307</v>
      </c>
      <c r="M4839" s="161" t="s">
        <v>19202</v>
      </c>
    </row>
    <row r="4840" spans="9:13" x14ac:dyDescent="0.25">
      <c r="I4840" t="s">
        <v>17206</v>
      </c>
      <c r="J4840" s="161" t="s">
        <v>19202</v>
      </c>
      <c r="K4840" t="s">
        <v>19203</v>
      </c>
      <c r="L4840" t="s">
        <v>17205</v>
      </c>
      <c r="M4840" s="161" t="s">
        <v>19202</v>
      </c>
    </row>
    <row r="4841" spans="9:13" x14ac:dyDescent="0.25">
      <c r="I4841" t="s">
        <v>15401</v>
      </c>
      <c r="J4841" s="161" t="s">
        <v>19202</v>
      </c>
      <c r="K4841" t="s">
        <v>19203</v>
      </c>
      <c r="L4841" t="s">
        <v>15400</v>
      </c>
      <c r="M4841" s="161" t="s">
        <v>19202</v>
      </c>
    </row>
    <row r="4842" spans="9:13" x14ac:dyDescent="0.25">
      <c r="I4842" t="s">
        <v>19755</v>
      </c>
      <c r="J4842" s="161" t="s">
        <v>19202</v>
      </c>
      <c r="K4842" t="s">
        <v>19203</v>
      </c>
      <c r="L4842" t="s">
        <v>19756</v>
      </c>
      <c r="M4842" s="161" t="s">
        <v>19202</v>
      </c>
    </row>
    <row r="4843" spans="9:13" x14ac:dyDescent="0.25">
      <c r="I4843" t="s">
        <v>880</v>
      </c>
      <c r="J4843" s="161" t="s">
        <v>19202</v>
      </c>
      <c r="K4843" t="s">
        <v>19203</v>
      </c>
      <c r="L4843" t="s">
        <v>879</v>
      </c>
      <c r="M4843" s="161" t="s">
        <v>19202</v>
      </c>
    </row>
    <row r="4844" spans="9:13" x14ac:dyDescent="0.25">
      <c r="I4844" t="s">
        <v>5282</v>
      </c>
      <c r="J4844" s="161" t="s">
        <v>19202</v>
      </c>
      <c r="K4844" t="s">
        <v>19203</v>
      </c>
      <c r="L4844" t="s">
        <v>5281</v>
      </c>
      <c r="M4844" s="161" t="s">
        <v>19202</v>
      </c>
    </row>
    <row r="4845" spans="9:13" x14ac:dyDescent="0.25">
      <c r="I4845" t="s">
        <v>6634</v>
      </c>
      <c r="J4845" s="161" t="s">
        <v>19202</v>
      </c>
      <c r="K4845" t="s">
        <v>19203</v>
      </c>
      <c r="L4845" t="s">
        <v>6633</v>
      </c>
      <c r="M4845" s="161" t="s">
        <v>19202</v>
      </c>
    </row>
    <row r="4846" spans="9:13" x14ac:dyDescent="0.25">
      <c r="I4846" t="s">
        <v>5284</v>
      </c>
      <c r="J4846" s="161" t="s">
        <v>19202</v>
      </c>
      <c r="K4846" t="s">
        <v>19203</v>
      </c>
      <c r="L4846" t="s">
        <v>5283</v>
      </c>
      <c r="M4846" s="161" t="s">
        <v>19202</v>
      </c>
    </row>
    <row r="4847" spans="9:13" x14ac:dyDescent="0.25">
      <c r="I4847" t="s">
        <v>11175</v>
      </c>
      <c r="J4847" s="161" t="s">
        <v>19202</v>
      </c>
      <c r="K4847" t="s">
        <v>19203</v>
      </c>
      <c r="L4847" t="s">
        <v>11174</v>
      </c>
      <c r="M4847" s="161" t="s">
        <v>19202</v>
      </c>
    </row>
    <row r="4848" spans="9:13" x14ac:dyDescent="0.25">
      <c r="I4848" t="s">
        <v>11285</v>
      </c>
      <c r="J4848" s="161" t="s">
        <v>19202</v>
      </c>
      <c r="K4848" t="s">
        <v>19203</v>
      </c>
      <c r="L4848" t="s">
        <v>11284</v>
      </c>
      <c r="M4848" s="161" t="s">
        <v>19202</v>
      </c>
    </row>
    <row r="4849" spans="9:13" x14ac:dyDescent="0.25">
      <c r="I4849" t="s">
        <v>15369</v>
      </c>
      <c r="J4849" s="161" t="s">
        <v>19202</v>
      </c>
      <c r="K4849" t="s">
        <v>19203</v>
      </c>
      <c r="L4849" t="s">
        <v>1504</v>
      </c>
      <c r="M4849" s="161" t="s">
        <v>19202</v>
      </c>
    </row>
    <row r="4850" spans="9:13" x14ac:dyDescent="0.25">
      <c r="I4850" t="s">
        <v>16670</v>
      </c>
      <c r="J4850" s="161" t="s">
        <v>19202</v>
      </c>
      <c r="K4850" t="s">
        <v>19203</v>
      </c>
      <c r="L4850" t="s">
        <v>405</v>
      </c>
      <c r="M4850" s="161" t="s">
        <v>19202</v>
      </c>
    </row>
    <row r="4851" spans="9:13" x14ac:dyDescent="0.25">
      <c r="I4851" t="s">
        <v>4228</v>
      </c>
      <c r="J4851" s="161" t="s">
        <v>19202</v>
      </c>
      <c r="K4851" t="s">
        <v>19203</v>
      </c>
      <c r="L4851" t="s">
        <v>4227</v>
      </c>
      <c r="M4851" s="161" t="s">
        <v>19202</v>
      </c>
    </row>
    <row r="4852" spans="9:13" x14ac:dyDescent="0.25">
      <c r="I4852" t="s">
        <v>4807</v>
      </c>
      <c r="J4852" s="161" t="s">
        <v>19202</v>
      </c>
      <c r="K4852" t="s">
        <v>19203</v>
      </c>
      <c r="L4852" t="s">
        <v>4806</v>
      </c>
      <c r="M4852" s="161" t="s">
        <v>19202</v>
      </c>
    </row>
    <row r="4853" spans="9:13" x14ac:dyDescent="0.25">
      <c r="I4853" t="s">
        <v>9462</v>
      </c>
      <c r="J4853" s="161" t="s">
        <v>19202</v>
      </c>
      <c r="K4853" t="s">
        <v>19203</v>
      </c>
      <c r="L4853" t="s">
        <v>9461</v>
      </c>
      <c r="M4853" s="161" t="s">
        <v>19202</v>
      </c>
    </row>
    <row r="4854" spans="9:13" x14ac:dyDescent="0.25">
      <c r="I4854" t="s">
        <v>6630</v>
      </c>
      <c r="J4854" s="161" t="s">
        <v>19202</v>
      </c>
      <c r="K4854" t="s">
        <v>19203</v>
      </c>
      <c r="L4854" t="s">
        <v>6629</v>
      </c>
      <c r="M4854" s="161" t="s">
        <v>19202</v>
      </c>
    </row>
    <row r="4855" spans="9:13" x14ac:dyDescent="0.25">
      <c r="I4855" t="s">
        <v>12134</v>
      </c>
      <c r="J4855" s="161" t="s">
        <v>19202</v>
      </c>
      <c r="K4855" t="s">
        <v>19203</v>
      </c>
      <c r="L4855" t="s">
        <v>12133</v>
      </c>
      <c r="M4855" s="161" t="s">
        <v>19202</v>
      </c>
    </row>
    <row r="4856" spans="9:13" x14ac:dyDescent="0.25">
      <c r="I4856" t="s">
        <v>15965</v>
      </c>
      <c r="J4856" s="161" t="s">
        <v>19202</v>
      </c>
      <c r="K4856" t="s">
        <v>19203</v>
      </c>
      <c r="L4856" t="s">
        <v>15570</v>
      </c>
      <c r="M4856" s="161" t="s">
        <v>19202</v>
      </c>
    </row>
    <row r="4857" spans="9:13" x14ac:dyDescent="0.25">
      <c r="I4857" t="s">
        <v>3559</v>
      </c>
      <c r="J4857" s="161" t="s">
        <v>19202</v>
      </c>
      <c r="K4857" t="s">
        <v>19203</v>
      </c>
      <c r="L4857" t="s">
        <v>3558</v>
      </c>
      <c r="M4857" s="161" t="s">
        <v>19202</v>
      </c>
    </row>
    <row r="4858" spans="9:13" x14ac:dyDescent="0.25">
      <c r="I4858" t="s">
        <v>19757</v>
      </c>
      <c r="J4858" s="161" t="s">
        <v>19202</v>
      </c>
      <c r="K4858" t="s">
        <v>19203</v>
      </c>
      <c r="L4858" t="s">
        <v>19758</v>
      </c>
      <c r="M4858" s="161" t="s">
        <v>19202</v>
      </c>
    </row>
    <row r="4859" spans="9:13" x14ac:dyDescent="0.25">
      <c r="I4859" t="s">
        <v>15067</v>
      </c>
      <c r="J4859" s="161" t="s">
        <v>19202</v>
      </c>
      <c r="K4859" t="s">
        <v>19203</v>
      </c>
      <c r="L4859" t="s">
        <v>15066</v>
      </c>
      <c r="M4859" s="161" t="s">
        <v>19202</v>
      </c>
    </row>
    <row r="4860" spans="9:13" x14ac:dyDescent="0.25">
      <c r="I4860" t="s">
        <v>15065</v>
      </c>
      <c r="J4860" s="161" t="s">
        <v>19202</v>
      </c>
      <c r="K4860" t="s">
        <v>19203</v>
      </c>
      <c r="L4860" t="s">
        <v>15064</v>
      </c>
      <c r="M4860" s="161" t="s">
        <v>19202</v>
      </c>
    </row>
    <row r="4861" spans="9:13" x14ac:dyDescent="0.25">
      <c r="I4861" t="s">
        <v>19759</v>
      </c>
      <c r="J4861" s="161" t="s">
        <v>19202</v>
      </c>
      <c r="K4861" t="s">
        <v>19203</v>
      </c>
      <c r="L4861" t="s">
        <v>6564</v>
      </c>
      <c r="M4861" s="161" t="s">
        <v>19202</v>
      </c>
    </row>
    <row r="4862" spans="9:13" x14ac:dyDescent="0.25">
      <c r="I4862" t="s">
        <v>8830</v>
      </c>
      <c r="J4862" s="161" t="s">
        <v>19202</v>
      </c>
      <c r="K4862" t="s">
        <v>19203</v>
      </c>
      <c r="L4862" t="s">
        <v>8829</v>
      </c>
      <c r="M4862" s="161" t="s">
        <v>19202</v>
      </c>
    </row>
    <row r="4863" spans="9:13" x14ac:dyDescent="0.25">
      <c r="I4863" t="s">
        <v>969</v>
      </c>
      <c r="J4863" s="161" t="s">
        <v>19202</v>
      </c>
      <c r="K4863" t="s">
        <v>19203</v>
      </c>
      <c r="L4863" t="s">
        <v>968</v>
      </c>
      <c r="M4863" s="161" t="s">
        <v>19202</v>
      </c>
    </row>
    <row r="4864" spans="9:13" x14ac:dyDescent="0.25">
      <c r="I4864" t="s">
        <v>967</v>
      </c>
      <c r="J4864" s="161" t="s">
        <v>19202</v>
      </c>
      <c r="K4864" t="s">
        <v>19203</v>
      </c>
      <c r="L4864" t="s">
        <v>966</v>
      </c>
      <c r="M4864" s="161" t="s">
        <v>19202</v>
      </c>
    </row>
    <row r="4865" spans="9:13" x14ac:dyDescent="0.25">
      <c r="I4865" t="s">
        <v>965</v>
      </c>
      <c r="J4865" s="161" t="s">
        <v>19202</v>
      </c>
      <c r="K4865" t="s">
        <v>19203</v>
      </c>
      <c r="L4865" t="s">
        <v>964</v>
      </c>
      <c r="M4865" s="161" t="s">
        <v>19202</v>
      </c>
    </row>
    <row r="4866" spans="9:13" x14ac:dyDescent="0.25">
      <c r="I4866" t="s">
        <v>7869</v>
      </c>
      <c r="J4866" s="161" t="s">
        <v>19202</v>
      </c>
      <c r="K4866" t="s">
        <v>19203</v>
      </c>
      <c r="L4866" t="s">
        <v>7868</v>
      </c>
      <c r="M4866" s="161" t="s">
        <v>19202</v>
      </c>
    </row>
    <row r="4867" spans="9:13" x14ac:dyDescent="0.25">
      <c r="I4867" t="s">
        <v>15487</v>
      </c>
      <c r="J4867" s="161" t="s">
        <v>19202</v>
      </c>
      <c r="K4867" t="s">
        <v>19203</v>
      </c>
      <c r="L4867" t="s">
        <v>15486</v>
      </c>
      <c r="M4867" s="161" t="s">
        <v>19202</v>
      </c>
    </row>
    <row r="4868" spans="9:13" x14ac:dyDescent="0.25">
      <c r="I4868" t="s">
        <v>11138</v>
      </c>
      <c r="J4868" s="161" t="s">
        <v>19202</v>
      </c>
      <c r="K4868" t="s">
        <v>19203</v>
      </c>
      <c r="L4868" t="s">
        <v>900</v>
      </c>
      <c r="M4868" s="161" t="s">
        <v>19202</v>
      </c>
    </row>
    <row r="4869" spans="9:13" x14ac:dyDescent="0.25">
      <c r="I4869" t="s">
        <v>11767</v>
      </c>
      <c r="J4869" s="161" t="s">
        <v>19202</v>
      </c>
      <c r="K4869" t="s">
        <v>19203</v>
      </c>
      <c r="L4869" t="s">
        <v>11766</v>
      </c>
      <c r="M4869" s="161" t="s">
        <v>19202</v>
      </c>
    </row>
    <row r="4870" spans="9:13" x14ac:dyDescent="0.25">
      <c r="I4870" t="s">
        <v>5053</v>
      </c>
      <c r="J4870" s="161" t="s">
        <v>19202</v>
      </c>
      <c r="K4870" t="s">
        <v>19203</v>
      </c>
      <c r="L4870" t="s">
        <v>5052</v>
      </c>
      <c r="M4870" s="161" t="s">
        <v>19202</v>
      </c>
    </row>
    <row r="4871" spans="9:13" x14ac:dyDescent="0.25">
      <c r="I4871" t="s">
        <v>4285</v>
      </c>
      <c r="J4871" s="161" t="s">
        <v>19202</v>
      </c>
      <c r="K4871" t="s">
        <v>19203</v>
      </c>
      <c r="L4871" t="s">
        <v>4284</v>
      </c>
      <c r="M4871" s="161" t="s">
        <v>19202</v>
      </c>
    </row>
    <row r="4872" spans="9:13" x14ac:dyDescent="0.25">
      <c r="I4872" t="s">
        <v>963</v>
      </c>
      <c r="J4872" s="161" t="s">
        <v>19202</v>
      </c>
      <c r="K4872" t="s">
        <v>19203</v>
      </c>
      <c r="L4872" t="s">
        <v>962</v>
      </c>
      <c r="M4872" s="161" t="s">
        <v>19202</v>
      </c>
    </row>
    <row r="4873" spans="9:13" x14ac:dyDescent="0.25">
      <c r="I4873" t="s">
        <v>3883</v>
      </c>
      <c r="J4873" s="161" t="s">
        <v>19202</v>
      </c>
      <c r="K4873" t="s">
        <v>19203</v>
      </c>
      <c r="L4873" t="s">
        <v>3882</v>
      </c>
      <c r="M4873" s="161" t="s">
        <v>19202</v>
      </c>
    </row>
    <row r="4874" spans="9:13" x14ac:dyDescent="0.25">
      <c r="I4874" t="s">
        <v>3881</v>
      </c>
      <c r="J4874" s="161" t="s">
        <v>19202</v>
      </c>
      <c r="K4874" t="s">
        <v>19203</v>
      </c>
      <c r="L4874" t="s">
        <v>3880</v>
      </c>
      <c r="M4874" s="161" t="s">
        <v>19202</v>
      </c>
    </row>
    <row r="4875" spans="9:13" x14ac:dyDescent="0.25">
      <c r="I4875" t="s">
        <v>960</v>
      </c>
      <c r="J4875" s="161" t="s">
        <v>19202</v>
      </c>
      <c r="K4875" t="s">
        <v>19203</v>
      </c>
      <c r="L4875" t="s">
        <v>959</v>
      </c>
      <c r="M4875" s="161" t="s">
        <v>19202</v>
      </c>
    </row>
    <row r="4876" spans="9:13" x14ac:dyDescent="0.25">
      <c r="I4876" t="s">
        <v>4874</v>
      </c>
      <c r="J4876" s="161" t="s">
        <v>19202</v>
      </c>
      <c r="K4876" t="s">
        <v>19203</v>
      </c>
      <c r="L4876" t="s">
        <v>4873</v>
      </c>
      <c r="M4876" s="161" t="s">
        <v>19202</v>
      </c>
    </row>
    <row r="4877" spans="9:13" x14ac:dyDescent="0.25">
      <c r="I4877" t="s">
        <v>958</v>
      </c>
      <c r="J4877" s="161" t="s">
        <v>19202</v>
      </c>
      <c r="K4877" t="s">
        <v>19203</v>
      </c>
      <c r="L4877" t="s">
        <v>957</v>
      </c>
      <c r="M4877" s="161" t="s">
        <v>19202</v>
      </c>
    </row>
    <row r="4878" spans="9:13" x14ac:dyDescent="0.25">
      <c r="I4878" t="s">
        <v>4872</v>
      </c>
      <c r="J4878" s="161" t="s">
        <v>19202</v>
      </c>
      <c r="K4878" t="s">
        <v>19203</v>
      </c>
      <c r="L4878" t="s">
        <v>4871</v>
      </c>
      <c r="M4878" s="161" t="s">
        <v>19202</v>
      </c>
    </row>
    <row r="4879" spans="9:13" x14ac:dyDescent="0.25">
      <c r="I4879" t="s">
        <v>4793</v>
      </c>
      <c r="J4879" s="161" t="s">
        <v>19202</v>
      </c>
      <c r="K4879" t="s">
        <v>19203</v>
      </c>
      <c r="L4879" t="s">
        <v>4792</v>
      </c>
      <c r="M4879" s="161" t="s">
        <v>19202</v>
      </c>
    </row>
    <row r="4880" spans="9:13" x14ac:dyDescent="0.25">
      <c r="I4880" t="s">
        <v>956</v>
      </c>
      <c r="J4880" s="161" t="s">
        <v>19202</v>
      </c>
      <c r="K4880" t="s">
        <v>19203</v>
      </c>
      <c r="L4880" t="s">
        <v>955</v>
      </c>
      <c r="M4880" s="161" t="s">
        <v>19202</v>
      </c>
    </row>
    <row r="4881" spans="9:13" x14ac:dyDescent="0.25">
      <c r="I4881" t="s">
        <v>954</v>
      </c>
      <c r="J4881" s="161" t="s">
        <v>19202</v>
      </c>
      <c r="K4881" t="s">
        <v>19203</v>
      </c>
      <c r="L4881" t="s">
        <v>953</v>
      </c>
      <c r="M4881" s="161" t="s">
        <v>19202</v>
      </c>
    </row>
    <row r="4882" spans="9:13" x14ac:dyDescent="0.25">
      <c r="I4882" t="s">
        <v>3842</v>
      </c>
      <c r="J4882" s="161" t="s">
        <v>19202</v>
      </c>
      <c r="K4882" t="s">
        <v>19203</v>
      </c>
      <c r="L4882" t="s">
        <v>3628</v>
      </c>
      <c r="M4882" s="161" t="s">
        <v>19202</v>
      </c>
    </row>
    <row r="4883" spans="9:13" x14ac:dyDescent="0.25">
      <c r="I4883" t="s">
        <v>4393</v>
      </c>
      <c r="J4883" s="161" t="s">
        <v>19202</v>
      </c>
      <c r="K4883" t="s">
        <v>19203</v>
      </c>
      <c r="L4883" t="s">
        <v>4392</v>
      </c>
      <c r="M4883" s="161" t="s">
        <v>19202</v>
      </c>
    </row>
    <row r="4884" spans="9:13" x14ac:dyDescent="0.25">
      <c r="I4884" t="s">
        <v>952</v>
      </c>
      <c r="J4884" s="161" t="s">
        <v>19202</v>
      </c>
      <c r="K4884" t="s">
        <v>19203</v>
      </c>
      <c r="L4884" t="s">
        <v>951</v>
      </c>
      <c r="M4884" s="161" t="s">
        <v>19202</v>
      </c>
    </row>
    <row r="4885" spans="9:13" x14ac:dyDescent="0.25">
      <c r="I4885" t="s">
        <v>950</v>
      </c>
      <c r="J4885" s="161" t="s">
        <v>19202</v>
      </c>
      <c r="K4885" t="s">
        <v>19203</v>
      </c>
      <c r="L4885" t="s">
        <v>949</v>
      </c>
      <c r="M4885" s="161" t="s">
        <v>19202</v>
      </c>
    </row>
    <row r="4886" spans="9:13" x14ac:dyDescent="0.25">
      <c r="I4886" t="s">
        <v>820</v>
      </c>
      <c r="J4886" s="161" t="s">
        <v>19202</v>
      </c>
      <c r="K4886" t="s">
        <v>19203</v>
      </c>
      <c r="L4886" t="s">
        <v>819</v>
      </c>
      <c r="M4886" s="161" t="s">
        <v>19202</v>
      </c>
    </row>
    <row r="4887" spans="9:13" x14ac:dyDescent="0.25">
      <c r="I4887" t="s">
        <v>818</v>
      </c>
      <c r="J4887" s="161" t="s">
        <v>19202</v>
      </c>
      <c r="K4887" t="s">
        <v>19203</v>
      </c>
      <c r="L4887" t="s">
        <v>425</v>
      </c>
      <c r="M4887" s="161" t="s">
        <v>19202</v>
      </c>
    </row>
    <row r="4888" spans="9:13" x14ac:dyDescent="0.25">
      <c r="I4888" t="s">
        <v>4518</v>
      </c>
      <c r="J4888" s="161" t="s">
        <v>19202</v>
      </c>
      <c r="K4888" t="s">
        <v>19203</v>
      </c>
      <c r="L4888" t="s">
        <v>4517</v>
      </c>
      <c r="M4888" s="161" t="s">
        <v>19202</v>
      </c>
    </row>
    <row r="4889" spans="9:13" x14ac:dyDescent="0.25">
      <c r="I4889" t="s">
        <v>809</v>
      </c>
      <c r="J4889" s="161" t="s">
        <v>19202</v>
      </c>
      <c r="K4889" t="s">
        <v>19203</v>
      </c>
      <c r="L4889" t="s">
        <v>808</v>
      </c>
      <c r="M4889" s="161" t="s">
        <v>19202</v>
      </c>
    </row>
    <row r="4890" spans="9:13" x14ac:dyDescent="0.25">
      <c r="I4890" t="s">
        <v>948</v>
      </c>
      <c r="J4890" s="161" t="s">
        <v>19202</v>
      </c>
      <c r="K4890" t="s">
        <v>19203</v>
      </c>
      <c r="L4890" t="s">
        <v>947</v>
      </c>
      <c r="M4890" s="161" t="s">
        <v>19202</v>
      </c>
    </row>
    <row r="4891" spans="9:13" x14ac:dyDescent="0.25">
      <c r="I4891" t="s">
        <v>801</v>
      </c>
      <c r="J4891" s="161" t="s">
        <v>19202</v>
      </c>
      <c r="K4891" t="s">
        <v>19203</v>
      </c>
      <c r="L4891" t="s">
        <v>800</v>
      </c>
      <c r="M4891" s="161" t="s">
        <v>19202</v>
      </c>
    </row>
    <row r="4892" spans="9:13" x14ac:dyDescent="0.25">
      <c r="I4892" t="s">
        <v>4870</v>
      </c>
      <c r="J4892" s="161" t="s">
        <v>19202</v>
      </c>
      <c r="K4892" t="s">
        <v>19203</v>
      </c>
      <c r="L4892" t="s">
        <v>4869</v>
      </c>
      <c r="M4892" s="161" t="s">
        <v>19202</v>
      </c>
    </row>
    <row r="4893" spans="9:13" x14ac:dyDescent="0.25">
      <c r="I4893" t="s">
        <v>4565</v>
      </c>
      <c r="J4893" s="161" t="s">
        <v>19202</v>
      </c>
      <c r="K4893" t="s">
        <v>19203</v>
      </c>
      <c r="L4893" t="s">
        <v>4564</v>
      </c>
      <c r="M4893" s="161" t="s">
        <v>19202</v>
      </c>
    </row>
    <row r="4894" spans="9:13" x14ac:dyDescent="0.25">
      <c r="I4894" t="s">
        <v>759</v>
      </c>
      <c r="J4894" s="161" t="s">
        <v>19202</v>
      </c>
      <c r="K4894" t="s">
        <v>19203</v>
      </c>
      <c r="L4894" t="s">
        <v>758</v>
      </c>
      <c r="M4894" s="161" t="s">
        <v>19202</v>
      </c>
    </row>
    <row r="4895" spans="9:13" x14ac:dyDescent="0.25">
      <c r="I4895" t="s">
        <v>757</v>
      </c>
      <c r="J4895" s="161" t="s">
        <v>19202</v>
      </c>
      <c r="K4895" t="s">
        <v>19203</v>
      </c>
      <c r="L4895" t="s">
        <v>756</v>
      </c>
      <c r="M4895" s="161" t="s">
        <v>19202</v>
      </c>
    </row>
    <row r="4896" spans="9:13" x14ac:dyDescent="0.25">
      <c r="I4896" t="s">
        <v>4735</v>
      </c>
      <c r="J4896" s="161" t="s">
        <v>19202</v>
      </c>
      <c r="K4896" t="s">
        <v>19203</v>
      </c>
      <c r="L4896" t="s">
        <v>1108</v>
      </c>
      <c r="M4896" s="161" t="s">
        <v>19202</v>
      </c>
    </row>
    <row r="4897" spans="9:13" x14ac:dyDescent="0.25">
      <c r="I4897" t="s">
        <v>5051</v>
      </c>
      <c r="J4897" s="161" t="s">
        <v>19202</v>
      </c>
      <c r="K4897" t="s">
        <v>19203</v>
      </c>
      <c r="L4897" t="s">
        <v>5050</v>
      </c>
      <c r="M4897" s="161" t="s">
        <v>19202</v>
      </c>
    </row>
    <row r="4898" spans="9:13" x14ac:dyDescent="0.25">
      <c r="I4898" t="s">
        <v>946</v>
      </c>
      <c r="J4898" s="161" t="s">
        <v>19202</v>
      </c>
      <c r="K4898" t="s">
        <v>19203</v>
      </c>
      <c r="L4898" t="s">
        <v>945</v>
      </c>
      <c r="M4898" s="161" t="s">
        <v>19202</v>
      </c>
    </row>
    <row r="4899" spans="9:13" x14ac:dyDescent="0.25">
      <c r="I4899" t="s">
        <v>4516</v>
      </c>
      <c r="J4899" s="161" t="s">
        <v>19202</v>
      </c>
      <c r="K4899" t="s">
        <v>19203</v>
      </c>
      <c r="L4899" t="s">
        <v>4515</v>
      </c>
      <c r="M4899" s="161" t="s">
        <v>19202</v>
      </c>
    </row>
    <row r="4900" spans="9:13" x14ac:dyDescent="0.25">
      <c r="I4900" t="s">
        <v>4612</v>
      </c>
      <c r="J4900" s="161" t="s">
        <v>19202</v>
      </c>
      <c r="K4900" t="s">
        <v>19203</v>
      </c>
      <c r="L4900" t="s">
        <v>1740</v>
      </c>
      <c r="M4900" s="161" t="s">
        <v>19202</v>
      </c>
    </row>
    <row r="4901" spans="9:13" x14ac:dyDescent="0.25">
      <c r="I4901" t="s">
        <v>765</v>
      </c>
      <c r="J4901" s="161" t="s">
        <v>19202</v>
      </c>
      <c r="K4901" t="s">
        <v>19203</v>
      </c>
      <c r="L4901" t="s">
        <v>764</v>
      </c>
      <c r="M4901" s="161" t="s">
        <v>19202</v>
      </c>
    </row>
    <row r="4902" spans="9:13" x14ac:dyDescent="0.25">
      <c r="I4902" t="s">
        <v>763</v>
      </c>
      <c r="J4902" s="161" t="s">
        <v>19202</v>
      </c>
      <c r="K4902" t="s">
        <v>19203</v>
      </c>
      <c r="L4902" t="s">
        <v>762</v>
      </c>
      <c r="M4902" s="161" t="s">
        <v>19202</v>
      </c>
    </row>
    <row r="4903" spans="9:13" x14ac:dyDescent="0.25">
      <c r="I4903" t="s">
        <v>761</v>
      </c>
      <c r="J4903" s="161" t="s">
        <v>19202</v>
      </c>
      <c r="K4903" t="s">
        <v>19203</v>
      </c>
      <c r="L4903" t="s">
        <v>760</v>
      </c>
      <c r="M4903" s="161" t="s">
        <v>19202</v>
      </c>
    </row>
    <row r="4904" spans="9:13" x14ac:dyDescent="0.25">
      <c r="I4904" t="s">
        <v>753</v>
      </c>
      <c r="J4904" s="161" t="s">
        <v>19202</v>
      </c>
      <c r="K4904" t="s">
        <v>19203</v>
      </c>
      <c r="L4904" t="s">
        <v>752</v>
      </c>
      <c r="M4904" s="161" t="s">
        <v>19202</v>
      </c>
    </row>
    <row r="4905" spans="9:13" x14ac:dyDescent="0.25">
      <c r="I4905" t="s">
        <v>751</v>
      </c>
      <c r="J4905" s="161" t="s">
        <v>19202</v>
      </c>
      <c r="K4905" t="s">
        <v>19203</v>
      </c>
      <c r="L4905" t="s">
        <v>750</v>
      </c>
      <c r="M4905" s="161" t="s">
        <v>19202</v>
      </c>
    </row>
    <row r="4906" spans="9:13" x14ac:dyDescent="0.25">
      <c r="I4906" t="s">
        <v>6766</v>
      </c>
      <c r="J4906" s="161" t="s">
        <v>19202</v>
      </c>
      <c r="K4906" t="s">
        <v>19203</v>
      </c>
      <c r="L4906" t="s">
        <v>2388</v>
      </c>
      <c r="M4906" s="161" t="s">
        <v>19202</v>
      </c>
    </row>
    <row r="4907" spans="9:13" x14ac:dyDescent="0.25">
      <c r="I4907" t="s">
        <v>19760</v>
      </c>
      <c r="J4907" s="161" t="s">
        <v>19202</v>
      </c>
      <c r="K4907" t="s">
        <v>19203</v>
      </c>
      <c r="L4907" t="s">
        <v>19761</v>
      </c>
      <c r="M4907" s="161" t="s">
        <v>19202</v>
      </c>
    </row>
    <row r="4908" spans="9:13" x14ac:dyDescent="0.25">
      <c r="I4908" t="s">
        <v>17033</v>
      </c>
      <c r="J4908" s="161" t="s">
        <v>19202</v>
      </c>
      <c r="K4908" t="s">
        <v>19203</v>
      </c>
      <c r="L4908" t="s">
        <v>17032</v>
      </c>
      <c r="M4908" s="161" t="s">
        <v>19202</v>
      </c>
    </row>
    <row r="4909" spans="9:13" x14ac:dyDescent="0.25">
      <c r="I4909" t="s">
        <v>15364</v>
      </c>
      <c r="J4909" s="161" t="s">
        <v>19202</v>
      </c>
      <c r="K4909" t="s">
        <v>19203</v>
      </c>
      <c r="L4909" t="s">
        <v>405</v>
      </c>
      <c r="M4909" s="161" t="s">
        <v>19202</v>
      </c>
    </row>
    <row r="4910" spans="9:13" x14ac:dyDescent="0.25">
      <c r="I4910" t="s">
        <v>15521</v>
      </c>
      <c r="J4910" s="161" t="s">
        <v>19202</v>
      </c>
      <c r="K4910" t="s">
        <v>19203</v>
      </c>
      <c r="L4910" t="s">
        <v>15520</v>
      </c>
      <c r="M4910" s="161" t="s">
        <v>19202</v>
      </c>
    </row>
    <row r="4911" spans="9:13" x14ac:dyDescent="0.25">
      <c r="I4911" t="s">
        <v>9334</v>
      </c>
      <c r="J4911" s="161" t="s">
        <v>19202</v>
      </c>
      <c r="K4911" t="s">
        <v>19203</v>
      </c>
      <c r="L4911" t="s">
        <v>9333</v>
      </c>
      <c r="M4911" s="161" t="s">
        <v>19202</v>
      </c>
    </row>
    <row r="4912" spans="9:13" x14ac:dyDescent="0.25">
      <c r="I4912" t="s">
        <v>9332</v>
      </c>
      <c r="J4912" s="161" t="s">
        <v>19202</v>
      </c>
      <c r="K4912" t="s">
        <v>19203</v>
      </c>
      <c r="L4912" t="s">
        <v>9331</v>
      </c>
      <c r="M4912" s="161" t="s">
        <v>19202</v>
      </c>
    </row>
    <row r="4913" spans="9:13" x14ac:dyDescent="0.25">
      <c r="I4913" t="s">
        <v>9330</v>
      </c>
      <c r="J4913" s="161" t="s">
        <v>19202</v>
      </c>
      <c r="K4913" t="s">
        <v>19203</v>
      </c>
      <c r="L4913" t="s">
        <v>9329</v>
      </c>
      <c r="M4913" s="161" t="s">
        <v>19202</v>
      </c>
    </row>
    <row r="4914" spans="9:13" x14ac:dyDescent="0.25">
      <c r="I4914" t="s">
        <v>9328</v>
      </c>
      <c r="J4914" s="161" t="s">
        <v>19202</v>
      </c>
      <c r="K4914" t="s">
        <v>19203</v>
      </c>
      <c r="L4914" t="s">
        <v>9327</v>
      </c>
      <c r="M4914" s="161" t="s">
        <v>19202</v>
      </c>
    </row>
    <row r="4915" spans="9:13" x14ac:dyDescent="0.25">
      <c r="I4915" t="s">
        <v>3222</v>
      </c>
      <c r="J4915" s="161" t="s">
        <v>19202</v>
      </c>
      <c r="K4915" t="s">
        <v>19203</v>
      </c>
      <c r="L4915" t="s">
        <v>3221</v>
      </c>
      <c r="M4915" s="161" t="s">
        <v>19202</v>
      </c>
    </row>
    <row r="4916" spans="9:13" x14ac:dyDescent="0.25">
      <c r="I4916" t="s">
        <v>3220</v>
      </c>
      <c r="J4916" s="161" t="s">
        <v>19202</v>
      </c>
      <c r="K4916" t="s">
        <v>19203</v>
      </c>
      <c r="L4916" t="s">
        <v>3219</v>
      </c>
      <c r="M4916" s="161" t="s">
        <v>19202</v>
      </c>
    </row>
    <row r="4917" spans="9:13" x14ac:dyDescent="0.25">
      <c r="I4917" t="s">
        <v>16412</v>
      </c>
      <c r="J4917" s="161" t="s">
        <v>19202</v>
      </c>
      <c r="K4917" t="s">
        <v>19203</v>
      </c>
      <c r="L4917" t="s">
        <v>16411</v>
      </c>
      <c r="M4917" s="161" t="s">
        <v>19202</v>
      </c>
    </row>
    <row r="4918" spans="9:13" x14ac:dyDescent="0.25">
      <c r="I4918" t="s">
        <v>16336</v>
      </c>
      <c r="J4918" s="161" t="s">
        <v>19202</v>
      </c>
      <c r="K4918" t="s">
        <v>19203</v>
      </c>
      <c r="L4918" t="s">
        <v>3708</v>
      </c>
      <c r="M4918" s="161" t="s">
        <v>19202</v>
      </c>
    </row>
    <row r="4919" spans="9:13" x14ac:dyDescent="0.25">
      <c r="I4919" t="s">
        <v>15302</v>
      </c>
      <c r="J4919" s="161" t="s">
        <v>19202</v>
      </c>
      <c r="K4919" t="s">
        <v>19203</v>
      </c>
      <c r="L4919" t="s">
        <v>15301</v>
      </c>
      <c r="M4919" s="161" t="s">
        <v>19202</v>
      </c>
    </row>
    <row r="4920" spans="9:13" x14ac:dyDescent="0.25">
      <c r="I4920" t="s">
        <v>817</v>
      </c>
      <c r="J4920" s="161" t="s">
        <v>19202</v>
      </c>
      <c r="K4920" t="s">
        <v>19203</v>
      </c>
      <c r="L4920" t="s">
        <v>816</v>
      </c>
      <c r="M4920" s="161" t="s">
        <v>19202</v>
      </c>
    </row>
    <row r="4921" spans="9:13" x14ac:dyDescent="0.25">
      <c r="I4921" t="s">
        <v>19762</v>
      </c>
      <c r="J4921" s="161" t="s">
        <v>19202</v>
      </c>
      <c r="K4921" t="s">
        <v>19203</v>
      </c>
      <c r="L4921" t="s">
        <v>19763</v>
      </c>
      <c r="M4921" s="161" t="s">
        <v>19202</v>
      </c>
    </row>
    <row r="4922" spans="9:13" x14ac:dyDescent="0.25">
      <c r="I4922" t="s">
        <v>12518</v>
      </c>
      <c r="J4922" s="161" t="s">
        <v>19202</v>
      </c>
      <c r="K4922" t="s">
        <v>19203</v>
      </c>
      <c r="L4922" t="s">
        <v>12517</v>
      </c>
      <c r="M4922" s="161" t="s">
        <v>19202</v>
      </c>
    </row>
    <row r="4923" spans="9:13" x14ac:dyDescent="0.25">
      <c r="I4923" t="s">
        <v>17210</v>
      </c>
      <c r="J4923" s="161" t="s">
        <v>19202</v>
      </c>
      <c r="K4923" t="s">
        <v>19203</v>
      </c>
      <c r="L4923" t="s">
        <v>17209</v>
      </c>
      <c r="M4923" s="161" t="s">
        <v>19202</v>
      </c>
    </row>
    <row r="4924" spans="9:13" x14ac:dyDescent="0.25">
      <c r="I4924" t="s">
        <v>17618</v>
      </c>
      <c r="J4924" s="161" t="s">
        <v>19202</v>
      </c>
      <c r="K4924" t="s">
        <v>19203</v>
      </c>
      <c r="L4924" t="s">
        <v>17617</v>
      </c>
      <c r="M4924" s="161" t="s">
        <v>19202</v>
      </c>
    </row>
    <row r="4925" spans="9:13" x14ac:dyDescent="0.25">
      <c r="I4925" t="s">
        <v>9048</v>
      </c>
      <c r="J4925" s="161" t="s">
        <v>19202</v>
      </c>
      <c r="K4925" t="s">
        <v>19203</v>
      </c>
      <c r="L4925" t="s">
        <v>9047</v>
      </c>
      <c r="M4925" s="161" t="s">
        <v>19202</v>
      </c>
    </row>
    <row r="4926" spans="9:13" x14ac:dyDescent="0.25">
      <c r="I4926" t="s">
        <v>11140</v>
      </c>
      <c r="J4926" s="161" t="s">
        <v>19202</v>
      </c>
      <c r="K4926" t="s">
        <v>19203</v>
      </c>
      <c r="L4926" t="s">
        <v>11139</v>
      </c>
      <c r="M4926" s="161" t="s">
        <v>19202</v>
      </c>
    </row>
    <row r="4927" spans="9:13" x14ac:dyDescent="0.25">
      <c r="I4927" t="s">
        <v>19764</v>
      </c>
      <c r="J4927" s="161" t="s">
        <v>19202</v>
      </c>
      <c r="K4927" t="s">
        <v>19203</v>
      </c>
      <c r="L4927" t="s">
        <v>19765</v>
      </c>
      <c r="M4927" s="161" t="s">
        <v>19202</v>
      </c>
    </row>
    <row r="4928" spans="9:13" x14ac:dyDescent="0.25">
      <c r="I4928" t="s">
        <v>6874</v>
      </c>
      <c r="J4928" s="161" t="s">
        <v>19202</v>
      </c>
      <c r="K4928" t="s">
        <v>19203</v>
      </c>
      <c r="L4928" t="s">
        <v>6873</v>
      </c>
      <c r="M4928" s="161" t="s">
        <v>19202</v>
      </c>
    </row>
    <row r="4929" spans="9:13" x14ac:dyDescent="0.25">
      <c r="I4929" t="s">
        <v>8194</v>
      </c>
      <c r="J4929" s="161" t="s">
        <v>19202</v>
      </c>
      <c r="K4929" t="s">
        <v>19203</v>
      </c>
      <c r="L4929" t="s">
        <v>8193</v>
      </c>
      <c r="M4929" s="161" t="s">
        <v>19202</v>
      </c>
    </row>
    <row r="4930" spans="9:13" x14ac:dyDescent="0.25">
      <c r="I4930" t="s">
        <v>3637</v>
      </c>
      <c r="J4930" s="161" t="s">
        <v>19202</v>
      </c>
      <c r="K4930" t="s">
        <v>19203</v>
      </c>
      <c r="L4930" t="s">
        <v>3636</v>
      </c>
      <c r="M4930" s="161" t="s">
        <v>19202</v>
      </c>
    </row>
    <row r="4931" spans="9:13" x14ac:dyDescent="0.25">
      <c r="I4931" t="s">
        <v>15449</v>
      </c>
      <c r="J4931" s="161" t="s">
        <v>19202</v>
      </c>
      <c r="K4931" t="s">
        <v>19203</v>
      </c>
      <c r="L4931" t="s">
        <v>934</v>
      </c>
      <c r="M4931" s="161" t="s">
        <v>19202</v>
      </c>
    </row>
    <row r="4932" spans="9:13" x14ac:dyDescent="0.25">
      <c r="I4932" t="s">
        <v>876</v>
      </c>
      <c r="J4932" s="161" t="s">
        <v>19202</v>
      </c>
      <c r="K4932" t="s">
        <v>19203</v>
      </c>
      <c r="L4932" t="s">
        <v>875</v>
      </c>
      <c r="M4932" s="161" t="s">
        <v>19202</v>
      </c>
    </row>
    <row r="4933" spans="9:13" x14ac:dyDescent="0.25">
      <c r="I4933" t="s">
        <v>2645</v>
      </c>
      <c r="J4933" s="161" t="s">
        <v>19202</v>
      </c>
      <c r="K4933" t="s">
        <v>19203</v>
      </c>
      <c r="L4933" t="s">
        <v>2644</v>
      </c>
      <c r="M4933" s="161" t="s">
        <v>19202</v>
      </c>
    </row>
    <row r="4934" spans="9:13" x14ac:dyDescent="0.25">
      <c r="I4934" t="s">
        <v>2572</v>
      </c>
      <c r="J4934" s="161" t="s">
        <v>19202</v>
      </c>
      <c r="K4934" t="s">
        <v>19203</v>
      </c>
      <c r="L4934" t="s">
        <v>2571</v>
      </c>
      <c r="M4934" s="161" t="s">
        <v>19202</v>
      </c>
    </row>
    <row r="4935" spans="9:13" x14ac:dyDescent="0.25">
      <c r="I4935" t="s">
        <v>2570</v>
      </c>
      <c r="J4935" s="161" t="s">
        <v>19202</v>
      </c>
      <c r="K4935" t="s">
        <v>19203</v>
      </c>
      <c r="L4935" t="s">
        <v>2569</v>
      </c>
      <c r="M4935" s="161" t="s">
        <v>19202</v>
      </c>
    </row>
    <row r="4936" spans="9:13" x14ac:dyDescent="0.25">
      <c r="I4936" t="s">
        <v>2540</v>
      </c>
      <c r="J4936" s="161" t="s">
        <v>19202</v>
      </c>
      <c r="K4936" t="s">
        <v>19203</v>
      </c>
      <c r="L4936" t="s">
        <v>2539</v>
      </c>
      <c r="M4936" s="161" t="s">
        <v>19202</v>
      </c>
    </row>
    <row r="4937" spans="9:13" x14ac:dyDescent="0.25">
      <c r="I4937" t="s">
        <v>2538</v>
      </c>
      <c r="J4937" s="161" t="s">
        <v>19202</v>
      </c>
      <c r="K4937" t="s">
        <v>19203</v>
      </c>
      <c r="L4937" t="s">
        <v>2537</v>
      </c>
      <c r="M4937" s="161" t="s">
        <v>19202</v>
      </c>
    </row>
    <row r="4938" spans="9:13" x14ac:dyDescent="0.25">
      <c r="I4938" t="s">
        <v>9316</v>
      </c>
      <c r="J4938" s="161" t="s">
        <v>19202</v>
      </c>
      <c r="K4938" t="s">
        <v>19203</v>
      </c>
      <c r="L4938" t="s">
        <v>9315</v>
      </c>
      <c r="M4938" s="161" t="s">
        <v>19202</v>
      </c>
    </row>
    <row r="4939" spans="9:13" x14ac:dyDescent="0.25">
      <c r="I4939" t="s">
        <v>2234</v>
      </c>
      <c r="J4939" s="161" t="s">
        <v>19202</v>
      </c>
      <c r="K4939" t="s">
        <v>19203</v>
      </c>
      <c r="L4939" t="s">
        <v>2233</v>
      </c>
      <c r="M4939" s="161" t="s">
        <v>19202</v>
      </c>
    </row>
    <row r="4940" spans="9:13" x14ac:dyDescent="0.25">
      <c r="I4940" t="s">
        <v>4832</v>
      </c>
      <c r="J4940" s="161" t="s">
        <v>19202</v>
      </c>
      <c r="K4940" t="s">
        <v>19203</v>
      </c>
      <c r="L4940" t="s">
        <v>4831</v>
      </c>
      <c r="M4940" s="161" t="s">
        <v>19202</v>
      </c>
    </row>
    <row r="4941" spans="9:13" x14ac:dyDescent="0.25">
      <c r="I4941" t="s">
        <v>6560</v>
      </c>
      <c r="J4941" s="161" t="s">
        <v>19202</v>
      </c>
      <c r="K4941" t="s">
        <v>19203</v>
      </c>
      <c r="L4941" t="s">
        <v>6559</v>
      </c>
      <c r="M4941" s="161" t="s">
        <v>19202</v>
      </c>
    </row>
    <row r="4942" spans="9:13" x14ac:dyDescent="0.25">
      <c r="I4942" t="s">
        <v>6625</v>
      </c>
      <c r="J4942" s="161" t="s">
        <v>19202</v>
      </c>
      <c r="K4942" t="s">
        <v>19203</v>
      </c>
      <c r="L4942" t="s">
        <v>6624</v>
      </c>
      <c r="M4942" s="161" t="s">
        <v>19202</v>
      </c>
    </row>
    <row r="4943" spans="9:13" x14ac:dyDescent="0.25">
      <c r="I4943" t="s">
        <v>19766</v>
      </c>
      <c r="J4943" s="161" t="s">
        <v>19202</v>
      </c>
      <c r="K4943" t="s">
        <v>19203</v>
      </c>
      <c r="L4943" t="s">
        <v>19767</v>
      </c>
      <c r="M4943" s="161" t="s">
        <v>19202</v>
      </c>
    </row>
    <row r="4944" spans="9:13" x14ac:dyDescent="0.25">
      <c r="I4944" t="s">
        <v>2004</v>
      </c>
      <c r="J4944" s="161" t="s">
        <v>19202</v>
      </c>
      <c r="K4944" t="s">
        <v>19203</v>
      </c>
      <c r="L4944" t="s">
        <v>2003</v>
      </c>
      <c r="M4944" s="161" t="s">
        <v>19202</v>
      </c>
    </row>
    <row r="4945" spans="9:13" x14ac:dyDescent="0.25">
      <c r="I4945" t="s">
        <v>811</v>
      </c>
      <c r="J4945" s="161" t="s">
        <v>19202</v>
      </c>
      <c r="K4945" t="s">
        <v>19203</v>
      </c>
      <c r="L4945" t="s">
        <v>810</v>
      </c>
      <c r="M4945" s="161" t="s">
        <v>19202</v>
      </c>
    </row>
    <row r="4946" spans="9:13" x14ac:dyDescent="0.25">
      <c r="I4946" t="s">
        <v>15352</v>
      </c>
      <c r="J4946" s="161" t="s">
        <v>19202</v>
      </c>
      <c r="K4946" t="s">
        <v>19203</v>
      </c>
      <c r="L4946" t="s">
        <v>15351</v>
      </c>
      <c r="M4946" s="161" t="s">
        <v>19202</v>
      </c>
    </row>
    <row r="4947" spans="9:13" x14ac:dyDescent="0.25">
      <c r="I4947" t="s">
        <v>6735</v>
      </c>
      <c r="J4947" s="161" t="s">
        <v>19202</v>
      </c>
      <c r="K4947" t="s">
        <v>19203</v>
      </c>
      <c r="L4947" t="s">
        <v>6734</v>
      </c>
      <c r="M4947" s="161" t="s">
        <v>19202</v>
      </c>
    </row>
    <row r="4948" spans="9:13" x14ac:dyDescent="0.25">
      <c r="I4948" t="s">
        <v>15359</v>
      </c>
      <c r="J4948" s="161" t="s">
        <v>19202</v>
      </c>
      <c r="K4948" t="s">
        <v>19203</v>
      </c>
      <c r="L4948" t="s">
        <v>15358</v>
      </c>
      <c r="M4948" s="161" t="s">
        <v>19202</v>
      </c>
    </row>
    <row r="4949" spans="9:13" x14ac:dyDescent="0.25">
      <c r="I4949" t="s">
        <v>15063</v>
      </c>
      <c r="J4949" s="161" t="s">
        <v>19202</v>
      </c>
      <c r="K4949" t="s">
        <v>19203</v>
      </c>
      <c r="L4949" t="s">
        <v>15062</v>
      </c>
      <c r="M4949" s="161" t="s">
        <v>19202</v>
      </c>
    </row>
    <row r="4950" spans="9:13" x14ac:dyDescent="0.25">
      <c r="I4950" t="s">
        <v>15061</v>
      </c>
      <c r="J4950" s="161" t="s">
        <v>19202</v>
      </c>
      <c r="K4950" t="s">
        <v>19203</v>
      </c>
      <c r="L4950" t="s">
        <v>15060</v>
      </c>
      <c r="M4950" s="161" t="s">
        <v>19202</v>
      </c>
    </row>
    <row r="4951" spans="9:13" x14ac:dyDescent="0.25">
      <c r="I4951" t="s">
        <v>19768</v>
      </c>
      <c r="J4951" s="161" t="s">
        <v>19202</v>
      </c>
      <c r="K4951" t="s">
        <v>19203</v>
      </c>
      <c r="L4951" t="s">
        <v>19769</v>
      </c>
      <c r="M4951" s="161" t="s">
        <v>19202</v>
      </c>
    </row>
    <row r="4952" spans="9:13" x14ac:dyDescent="0.25">
      <c r="I4952" t="s">
        <v>7710</v>
      </c>
      <c r="J4952" s="161" t="s">
        <v>19202</v>
      </c>
      <c r="K4952" t="s">
        <v>19203</v>
      </c>
      <c r="L4952" t="s">
        <v>7709</v>
      </c>
      <c r="M4952" s="161" t="s">
        <v>19202</v>
      </c>
    </row>
    <row r="4953" spans="9:13" x14ac:dyDescent="0.25">
      <c r="I4953" t="s">
        <v>4929</v>
      </c>
      <c r="J4953" s="161" t="s">
        <v>19202</v>
      </c>
      <c r="K4953" t="s">
        <v>19203</v>
      </c>
      <c r="L4953" t="s">
        <v>4928</v>
      </c>
      <c r="M4953" s="161" t="s">
        <v>19202</v>
      </c>
    </row>
    <row r="4954" spans="9:13" x14ac:dyDescent="0.25">
      <c r="I4954" t="s">
        <v>9961</v>
      </c>
      <c r="J4954" s="161" t="s">
        <v>19202</v>
      </c>
      <c r="K4954" t="s">
        <v>19203</v>
      </c>
      <c r="L4954" t="s">
        <v>9960</v>
      </c>
      <c r="M4954" s="161" t="s">
        <v>19202</v>
      </c>
    </row>
    <row r="4955" spans="9:13" x14ac:dyDescent="0.25">
      <c r="I4955" t="s">
        <v>10749</v>
      </c>
      <c r="J4955" s="161" t="s">
        <v>19202</v>
      </c>
      <c r="K4955" t="s">
        <v>19203</v>
      </c>
      <c r="L4955" t="s">
        <v>10748</v>
      </c>
      <c r="M4955" s="161" t="s">
        <v>19202</v>
      </c>
    </row>
    <row r="4956" spans="9:13" x14ac:dyDescent="0.25">
      <c r="I4956" t="s">
        <v>11189</v>
      </c>
      <c r="J4956" s="161" t="s">
        <v>19202</v>
      </c>
      <c r="K4956" t="s">
        <v>19203</v>
      </c>
      <c r="L4956" t="s">
        <v>11188</v>
      </c>
      <c r="M4956" s="161" t="s">
        <v>19202</v>
      </c>
    </row>
    <row r="4957" spans="9:13" x14ac:dyDescent="0.25">
      <c r="I4957" t="s">
        <v>19770</v>
      </c>
      <c r="J4957" s="161" t="s">
        <v>19202</v>
      </c>
      <c r="K4957" t="s">
        <v>19203</v>
      </c>
      <c r="L4957" t="s">
        <v>19771</v>
      </c>
      <c r="M4957" s="161" t="s">
        <v>19202</v>
      </c>
    </row>
    <row r="4958" spans="9:13" x14ac:dyDescent="0.25">
      <c r="I4958" t="s">
        <v>1265</v>
      </c>
      <c r="J4958" s="161" t="s">
        <v>19202</v>
      </c>
      <c r="K4958" t="s">
        <v>19203</v>
      </c>
      <c r="L4958" t="s">
        <v>1264</v>
      </c>
      <c r="M4958" s="161" t="s">
        <v>19202</v>
      </c>
    </row>
    <row r="4959" spans="9:13" x14ac:dyDescent="0.25">
      <c r="I4959" t="s">
        <v>11206</v>
      </c>
      <c r="J4959" s="161" t="s">
        <v>19202</v>
      </c>
      <c r="K4959" t="s">
        <v>19203</v>
      </c>
      <c r="L4959" t="s">
        <v>11205</v>
      </c>
      <c r="M4959" s="161" t="s">
        <v>19202</v>
      </c>
    </row>
    <row r="4960" spans="9:13" x14ac:dyDescent="0.25">
      <c r="I4960" t="s">
        <v>16005</v>
      </c>
      <c r="J4960" s="161" t="s">
        <v>19202</v>
      </c>
      <c r="K4960" t="s">
        <v>19203</v>
      </c>
      <c r="L4960" t="s">
        <v>16004</v>
      </c>
      <c r="M4960" s="161" t="s">
        <v>19202</v>
      </c>
    </row>
    <row r="4961" spans="9:13" x14ac:dyDescent="0.25">
      <c r="I4961" t="s">
        <v>19772</v>
      </c>
      <c r="J4961" s="161" t="s">
        <v>19202</v>
      </c>
      <c r="K4961" t="s">
        <v>19203</v>
      </c>
      <c r="L4961" t="s">
        <v>19773</v>
      </c>
      <c r="M4961" s="161" t="s">
        <v>19202</v>
      </c>
    </row>
    <row r="4962" spans="9:13" x14ac:dyDescent="0.25">
      <c r="I4962" t="s">
        <v>3081</v>
      </c>
      <c r="J4962" s="161" t="s">
        <v>19202</v>
      </c>
      <c r="K4962" t="s">
        <v>19203</v>
      </c>
      <c r="L4962" t="s">
        <v>3080</v>
      </c>
      <c r="M4962" s="161" t="s">
        <v>19202</v>
      </c>
    </row>
    <row r="4963" spans="9:13" x14ac:dyDescent="0.25">
      <c r="I4963" t="s">
        <v>14774</v>
      </c>
      <c r="J4963" s="161" t="s">
        <v>19202</v>
      </c>
      <c r="K4963" t="s">
        <v>19203</v>
      </c>
      <c r="L4963" t="s">
        <v>14773</v>
      </c>
      <c r="M4963" s="161" t="s">
        <v>19202</v>
      </c>
    </row>
    <row r="4964" spans="9:13" x14ac:dyDescent="0.25">
      <c r="I4964" t="s">
        <v>4047</v>
      </c>
      <c r="J4964" s="161" t="s">
        <v>19202</v>
      </c>
      <c r="K4964" t="s">
        <v>19203</v>
      </c>
      <c r="L4964" t="s">
        <v>742</v>
      </c>
      <c r="M4964" s="161" t="s">
        <v>19202</v>
      </c>
    </row>
    <row r="4965" spans="9:13" x14ac:dyDescent="0.25">
      <c r="I4965" t="s">
        <v>10683</v>
      </c>
      <c r="J4965" s="161" t="s">
        <v>19202</v>
      </c>
      <c r="K4965" t="s">
        <v>19203</v>
      </c>
      <c r="L4965" t="s">
        <v>10682</v>
      </c>
      <c r="M4965" s="161" t="s">
        <v>19202</v>
      </c>
    </row>
    <row r="4966" spans="9:13" x14ac:dyDescent="0.25">
      <c r="I4966" t="s">
        <v>10677</v>
      </c>
      <c r="J4966" s="161" t="s">
        <v>19202</v>
      </c>
      <c r="K4966" t="s">
        <v>19203</v>
      </c>
      <c r="L4966" t="s">
        <v>10676</v>
      </c>
      <c r="M4966" s="161" t="s">
        <v>19202</v>
      </c>
    </row>
    <row r="4967" spans="9:13" x14ac:dyDescent="0.25">
      <c r="I4967" t="s">
        <v>10866</v>
      </c>
      <c r="J4967" s="161" t="s">
        <v>19202</v>
      </c>
      <c r="K4967" t="s">
        <v>19203</v>
      </c>
      <c r="L4967" t="s">
        <v>10865</v>
      </c>
      <c r="M4967" s="161" t="s">
        <v>19202</v>
      </c>
    </row>
    <row r="4968" spans="9:13" x14ac:dyDescent="0.25">
      <c r="I4968" t="s">
        <v>3991</v>
      </c>
      <c r="J4968" s="161" t="s">
        <v>19202</v>
      </c>
      <c r="K4968" t="s">
        <v>19203</v>
      </c>
      <c r="L4968" t="s">
        <v>3990</v>
      </c>
      <c r="M4968" s="161" t="s">
        <v>19202</v>
      </c>
    </row>
    <row r="4969" spans="9:13" x14ac:dyDescent="0.25">
      <c r="I4969" t="s">
        <v>7338</v>
      </c>
      <c r="J4969" s="161" t="s">
        <v>19202</v>
      </c>
      <c r="K4969" t="s">
        <v>19203</v>
      </c>
      <c r="L4969" t="s">
        <v>7337</v>
      </c>
      <c r="M4969" s="161" t="s">
        <v>19202</v>
      </c>
    </row>
    <row r="4970" spans="9:13" x14ac:dyDescent="0.25">
      <c r="I4970" t="s">
        <v>9464</v>
      </c>
      <c r="J4970" s="161" t="s">
        <v>19202</v>
      </c>
      <c r="K4970" t="s">
        <v>19203</v>
      </c>
      <c r="L4970" t="s">
        <v>9463</v>
      </c>
      <c r="M4970" s="161" t="s">
        <v>19202</v>
      </c>
    </row>
    <row r="4971" spans="9:13" x14ac:dyDescent="0.25">
      <c r="I4971" t="s">
        <v>9713</v>
      </c>
      <c r="J4971" s="161" t="s">
        <v>19202</v>
      </c>
      <c r="K4971" t="s">
        <v>19203</v>
      </c>
      <c r="L4971" t="s">
        <v>9712</v>
      </c>
      <c r="M4971" s="161" t="s">
        <v>19202</v>
      </c>
    </row>
    <row r="4972" spans="9:13" x14ac:dyDescent="0.25">
      <c r="I4972" t="s">
        <v>9891</v>
      </c>
      <c r="J4972" s="161" t="s">
        <v>19202</v>
      </c>
      <c r="K4972" t="s">
        <v>19203</v>
      </c>
      <c r="L4972" t="s">
        <v>9890</v>
      </c>
      <c r="M4972" s="161" t="s">
        <v>19202</v>
      </c>
    </row>
    <row r="4973" spans="9:13" x14ac:dyDescent="0.25">
      <c r="I4973" t="s">
        <v>9889</v>
      </c>
      <c r="J4973" s="161" t="s">
        <v>19202</v>
      </c>
      <c r="K4973" t="s">
        <v>19203</v>
      </c>
      <c r="L4973" t="s">
        <v>9888</v>
      </c>
      <c r="M4973" s="161" t="s">
        <v>19202</v>
      </c>
    </row>
    <row r="4974" spans="9:13" x14ac:dyDescent="0.25">
      <c r="I4974" t="s">
        <v>9887</v>
      </c>
      <c r="J4974" s="161" t="s">
        <v>19202</v>
      </c>
      <c r="K4974" t="s">
        <v>19203</v>
      </c>
      <c r="L4974" t="s">
        <v>9886</v>
      </c>
      <c r="M4974" s="161" t="s">
        <v>19202</v>
      </c>
    </row>
    <row r="4975" spans="9:13" x14ac:dyDescent="0.25">
      <c r="I4975" t="s">
        <v>9516</v>
      </c>
      <c r="J4975" s="161" t="s">
        <v>19202</v>
      </c>
      <c r="K4975" t="s">
        <v>19203</v>
      </c>
      <c r="L4975" t="s">
        <v>9515</v>
      </c>
      <c r="M4975" s="161" t="s">
        <v>19202</v>
      </c>
    </row>
    <row r="4976" spans="9:13" x14ac:dyDescent="0.25">
      <c r="I4976" t="s">
        <v>9514</v>
      </c>
      <c r="J4976" s="161" t="s">
        <v>19202</v>
      </c>
      <c r="K4976" t="s">
        <v>19203</v>
      </c>
      <c r="L4976" t="s">
        <v>9513</v>
      </c>
      <c r="M4976" s="161" t="s">
        <v>19202</v>
      </c>
    </row>
    <row r="4977" spans="9:13" x14ac:dyDescent="0.25">
      <c r="I4977" t="s">
        <v>9512</v>
      </c>
      <c r="J4977" s="161" t="s">
        <v>19202</v>
      </c>
      <c r="K4977" t="s">
        <v>19203</v>
      </c>
      <c r="L4977" t="s">
        <v>9511</v>
      </c>
      <c r="M4977" s="161" t="s">
        <v>19202</v>
      </c>
    </row>
    <row r="4978" spans="9:13" x14ac:dyDescent="0.25">
      <c r="I4978" t="s">
        <v>9510</v>
      </c>
      <c r="J4978" s="161" t="s">
        <v>19202</v>
      </c>
      <c r="K4978" t="s">
        <v>19203</v>
      </c>
      <c r="L4978" t="s">
        <v>9509</v>
      </c>
      <c r="M4978" s="161" t="s">
        <v>19202</v>
      </c>
    </row>
    <row r="4979" spans="9:13" x14ac:dyDescent="0.25">
      <c r="I4979" t="s">
        <v>9508</v>
      </c>
      <c r="J4979" s="161" t="s">
        <v>19202</v>
      </c>
      <c r="K4979" t="s">
        <v>19203</v>
      </c>
      <c r="L4979" t="s">
        <v>9507</v>
      </c>
      <c r="M4979" s="161" t="s">
        <v>19202</v>
      </c>
    </row>
    <row r="4980" spans="9:13" x14ac:dyDescent="0.25">
      <c r="I4980" t="s">
        <v>9506</v>
      </c>
      <c r="J4980" s="161" t="s">
        <v>19202</v>
      </c>
      <c r="K4980" t="s">
        <v>19203</v>
      </c>
      <c r="L4980" t="s">
        <v>9505</v>
      </c>
      <c r="M4980" s="161" t="s">
        <v>19202</v>
      </c>
    </row>
    <row r="4981" spans="9:13" x14ac:dyDescent="0.25">
      <c r="I4981" t="s">
        <v>9504</v>
      </c>
      <c r="J4981" s="161" t="s">
        <v>19202</v>
      </c>
      <c r="K4981" t="s">
        <v>19203</v>
      </c>
      <c r="L4981" t="s">
        <v>9503</v>
      </c>
      <c r="M4981" s="161" t="s">
        <v>19202</v>
      </c>
    </row>
    <row r="4982" spans="9:13" x14ac:dyDescent="0.25">
      <c r="I4982" t="s">
        <v>9500</v>
      </c>
      <c r="J4982" s="161" t="s">
        <v>19202</v>
      </c>
      <c r="K4982" t="s">
        <v>19203</v>
      </c>
      <c r="L4982" t="s">
        <v>9499</v>
      </c>
      <c r="M4982" s="161" t="s">
        <v>19202</v>
      </c>
    </row>
    <row r="4983" spans="9:13" x14ac:dyDescent="0.25">
      <c r="I4983" t="s">
        <v>9498</v>
      </c>
      <c r="J4983" s="161" t="s">
        <v>19202</v>
      </c>
      <c r="K4983" t="s">
        <v>19203</v>
      </c>
      <c r="L4983" t="s">
        <v>9497</v>
      </c>
      <c r="M4983" s="161" t="s">
        <v>19202</v>
      </c>
    </row>
    <row r="4984" spans="9:13" x14ac:dyDescent="0.25">
      <c r="I4984" t="s">
        <v>9494</v>
      </c>
      <c r="J4984" s="161" t="s">
        <v>19202</v>
      </c>
      <c r="K4984" t="s">
        <v>19203</v>
      </c>
      <c r="L4984" t="s">
        <v>9493</v>
      </c>
      <c r="M4984" s="161" t="s">
        <v>19202</v>
      </c>
    </row>
    <row r="4985" spans="9:13" x14ac:dyDescent="0.25">
      <c r="I4985" t="s">
        <v>9709</v>
      </c>
      <c r="J4985" s="161" t="s">
        <v>19202</v>
      </c>
      <c r="K4985" t="s">
        <v>19203</v>
      </c>
      <c r="L4985" t="s">
        <v>9708</v>
      </c>
      <c r="M4985" s="161" t="s">
        <v>19202</v>
      </c>
    </row>
    <row r="4986" spans="9:13" x14ac:dyDescent="0.25">
      <c r="I4986" t="s">
        <v>9490</v>
      </c>
      <c r="J4986" s="161" t="s">
        <v>19202</v>
      </c>
      <c r="K4986" t="s">
        <v>19203</v>
      </c>
      <c r="L4986" t="s">
        <v>9489</v>
      </c>
      <c r="M4986" s="161" t="s">
        <v>19202</v>
      </c>
    </row>
    <row r="4987" spans="9:13" x14ac:dyDescent="0.25">
      <c r="I4987" t="s">
        <v>9707</v>
      </c>
      <c r="J4987" s="161" t="s">
        <v>19202</v>
      </c>
      <c r="K4987" t="s">
        <v>19203</v>
      </c>
      <c r="L4987" t="s">
        <v>9706</v>
      </c>
      <c r="M4987" s="161" t="s">
        <v>19202</v>
      </c>
    </row>
    <row r="4988" spans="9:13" x14ac:dyDescent="0.25">
      <c r="I4988" t="s">
        <v>9488</v>
      </c>
      <c r="J4988" s="161" t="s">
        <v>19202</v>
      </c>
      <c r="K4988" t="s">
        <v>19203</v>
      </c>
      <c r="L4988" t="s">
        <v>9487</v>
      </c>
      <c r="M4988" s="161" t="s">
        <v>19202</v>
      </c>
    </row>
    <row r="4989" spans="9:13" x14ac:dyDescent="0.25">
      <c r="I4989" t="s">
        <v>9486</v>
      </c>
      <c r="J4989" s="161" t="s">
        <v>19202</v>
      </c>
      <c r="K4989" t="s">
        <v>19203</v>
      </c>
      <c r="L4989" t="s">
        <v>9485</v>
      </c>
      <c r="M4989" s="161" t="s">
        <v>19202</v>
      </c>
    </row>
    <row r="4990" spans="9:13" x14ac:dyDescent="0.25">
      <c r="I4990" t="s">
        <v>10741</v>
      </c>
      <c r="J4990" s="161" t="s">
        <v>19202</v>
      </c>
      <c r="K4990" t="s">
        <v>19203</v>
      </c>
      <c r="L4990" t="s">
        <v>10740</v>
      </c>
      <c r="M4990" s="161" t="s">
        <v>19202</v>
      </c>
    </row>
    <row r="4991" spans="9:13" x14ac:dyDescent="0.25">
      <c r="I4991" t="s">
        <v>5988</v>
      </c>
      <c r="J4991" s="161" t="s">
        <v>19202</v>
      </c>
      <c r="K4991" t="s">
        <v>19203</v>
      </c>
      <c r="L4991" t="s">
        <v>5987</v>
      </c>
      <c r="M4991" s="161" t="s">
        <v>19202</v>
      </c>
    </row>
    <row r="4992" spans="9:13" x14ac:dyDescent="0.25">
      <c r="I4992" t="s">
        <v>3362</v>
      </c>
      <c r="J4992" s="161" t="s">
        <v>19202</v>
      </c>
      <c r="K4992" t="s">
        <v>19203</v>
      </c>
      <c r="L4992" t="s">
        <v>3361</v>
      </c>
      <c r="M4992" s="161" t="s">
        <v>19202</v>
      </c>
    </row>
    <row r="4993" spans="9:13" x14ac:dyDescent="0.25">
      <c r="I4993" t="s">
        <v>5741</v>
      </c>
      <c r="J4993" s="161" t="s">
        <v>19202</v>
      </c>
      <c r="K4993" t="s">
        <v>19203</v>
      </c>
      <c r="L4993" t="s">
        <v>5740</v>
      </c>
      <c r="M4993" s="161" t="s">
        <v>19202</v>
      </c>
    </row>
    <row r="4994" spans="9:13" x14ac:dyDescent="0.25">
      <c r="I4994" t="s">
        <v>19774</v>
      </c>
      <c r="J4994" s="161" t="s">
        <v>19202</v>
      </c>
      <c r="K4994" t="s">
        <v>19203</v>
      </c>
      <c r="L4994" t="s">
        <v>19775</v>
      </c>
      <c r="M4994" s="161" t="s">
        <v>19202</v>
      </c>
    </row>
    <row r="4995" spans="9:13" x14ac:dyDescent="0.25">
      <c r="I4995" t="s">
        <v>895</v>
      </c>
      <c r="J4995" s="161" t="s">
        <v>19202</v>
      </c>
      <c r="K4995" t="s">
        <v>19203</v>
      </c>
      <c r="L4995" t="s">
        <v>894</v>
      </c>
      <c r="M4995" s="161" t="s">
        <v>19202</v>
      </c>
    </row>
    <row r="4996" spans="9:13" x14ac:dyDescent="0.25">
      <c r="I4996" t="s">
        <v>874</v>
      </c>
      <c r="J4996" s="161" t="s">
        <v>19202</v>
      </c>
      <c r="K4996" t="s">
        <v>19203</v>
      </c>
      <c r="L4996" t="s">
        <v>873</v>
      </c>
      <c r="M4996" s="161" t="s">
        <v>19202</v>
      </c>
    </row>
    <row r="4997" spans="9:13" x14ac:dyDescent="0.25">
      <c r="I4997" t="s">
        <v>14776</v>
      </c>
      <c r="J4997" s="161" t="s">
        <v>19202</v>
      </c>
      <c r="K4997" t="s">
        <v>19203</v>
      </c>
      <c r="L4997" t="s">
        <v>1287</v>
      </c>
      <c r="M4997" s="161" t="s">
        <v>19202</v>
      </c>
    </row>
    <row r="4998" spans="9:13" x14ac:dyDescent="0.25">
      <c r="I4998" t="s">
        <v>15862</v>
      </c>
      <c r="J4998" s="161" t="s">
        <v>19202</v>
      </c>
      <c r="K4998" t="s">
        <v>19203</v>
      </c>
      <c r="L4998" t="s">
        <v>15295</v>
      </c>
      <c r="M4998" s="161" t="s">
        <v>19202</v>
      </c>
    </row>
    <row r="4999" spans="9:13" x14ac:dyDescent="0.25">
      <c r="I4999" t="s">
        <v>16492</v>
      </c>
      <c r="J4999" s="161" t="s">
        <v>19202</v>
      </c>
      <c r="K4999" t="s">
        <v>19203</v>
      </c>
      <c r="L4999" t="s">
        <v>16491</v>
      </c>
      <c r="M4999" s="161" t="s">
        <v>19202</v>
      </c>
    </row>
    <row r="5000" spans="9:13" x14ac:dyDescent="0.25">
      <c r="I5000" t="s">
        <v>19776</v>
      </c>
      <c r="J5000" s="161" t="s">
        <v>19202</v>
      </c>
      <c r="K5000" t="s">
        <v>19203</v>
      </c>
      <c r="L5000" t="s">
        <v>19777</v>
      </c>
      <c r="M5000" s="161" t="s">
        <v>19202</v>
      </c>
    </row>
    <row r="5001" spans="9:13" x14ac:dyDescent="0.25">
      <c r="I5001" t="s">
        <v>11191</v>
      </c>
      <c r="J5001" s="161" t="s">
        <v>19202</v>
      </c>
      <c r="K5001" t="s">
        <v>19203</v>
      </c>
      <c r="L5001" t="s">
        <v>11190</v>
      </c>
      <c r="M5001" s="161" t="s">
        <v>19202</v>
      </c>
    </row>
    <row r="5002" spans="9:13" x14ac:dyDescent="0.25">
      <c r="I5002" t="s">
        <v>19778</v>
      </c>
      <c r="J5002" s="161" t="s">
        <v>19202</v>
      </c>
      <c r="K5002" t="s">
        <v>19203</v>
      </c>
      <c r="L5002" t="s">
        <v>19779</v>
      </c>
      <c r="M5002" s="161" t="s">
        <v>19202</v>
      </c>
    </row>
    <row r="5003" spans="9:13" x14ac:dyDescent="0.25">
      <c r="I5003" t="s">
        <v>17407</v>
      </c>
      <c r="J5003" s="161" t="s">
        <v>19202</v>
      </c>
      <c r="K5003" t="s">
        <v>19203</v>
      </c>
      <c r="L5003" t="s">
        <v>17406</v>
      </c>
      <c r="M5003" s="161" t="s">
        <v>19202</v>
      </c>
    </row>
    <row r="5004" spans="9:13" x14ac:dyDescent="0.25">
      <c r="I5004" t="s">
        <v>15678</v>
      </c>
      <c r="J5004" s="161" t="s">
        <v>19202</v>
      </c>
      <c r="K5004" t="s">
        <v>19203</v>
      </c>
      <c r="L5004" t="s">
        <v>15677</v>
      </c>
      <c r="M5004" s="161" t="s">
        <v>19202</v>
      </c>
    </row>
    <row r="5005" spans="9:13" x14ac:dyDescent="0.25">
      <c r="I5005" t="s">
        <v>15828</v>
      </c>
      <c r="J5005" s="161" t="s">
        <v>19202</v>
      </c>
      <c r="K5005" t="s">
        <v>19203</v>
      </c>
      <c r="L5005" t="s">
        <v>15827</v>
      </c>
      <c r="M5005" s="161" t="s">
        <v>19202</v>
      </c>
    </row>
    <row r="5006" spans="9:13" x14ac:dyDescent="0.25">
      <c r="I5006" t="s">
        <v>15866</v>
      </c>
      <c r="J5006" s="161" t="s">
        <v>19202</v>
      </c>
      <c r="K5006" t="s">
        <v>19203</v>
      </c>
      <c r="L5006" t="s">
        <v>15865</v>
      </c>
      <c r="M5006" s="161" t="s">
        <v>19202</v>
      </c>
    </row>
    <row r="5007" spans="9:13" x14ac:dyDescent="0.25">
      <c r="I5007" t="s">
        <v>15557</v>
      </c>
      <c r="J5007" s="161" t="s">
        <v>19202</v>
      </c>
      <c r="K5007" t="s">
        <v>19203</v>
      </c>
      <c r="L5007" t="s">
        <v>15556</v>
      </c>
      <c r="M5007" s="161" t="s">
        <v>19202</v>
      </c>
    </row>
    <row r="5008" spans="9:13" x14ac:dyDescent="0.25">
      <c r="I5008" t="s">
        <v>16945</v>
      </c>
      <c r="J5008" s="161" t="s">
        <v>19202</v>
      </c>
      <c r="K5008" t="s">
        <v>19203</v>
      </c>
      <c r="L5008" t="s">
        <v>15625</v>
      </c>
      <c r="M5008" s="161" t="s">
        <v>19202</v>
      </c>
    </row>
    <row r="5009" spans="9:13" x14ac:dyDescent="0.25">
      <c r="I5009" t="s">
        <v>16944</v>
      </c>
      <c r="J5009" s="161" t="s">
        <v>19202</v>
      </c>
      <c r="K5009" t="s">
        <v>19203</v>
      </c>
      <c r="L5009" t="s">
        <v>15463</v>
      </c>
      <c r="M5009" s="161" t="s">
        <v>19202</v>
      </c>
    </row>
    <row r="5010" spans="9:13" x14ac:dyDescent="0.25">
      <c r="I5010" t="s">
        <v>15748</v>
      </c>
      <c r="J5010" s="161" t="s">
        <v>19202</v>
      </c>
      <c r="K5010" t="s">
        <v>19203</v>
      </c>
      <c r="L5010" t="s">
        <v>15747</v>
      </c>
      <c r="M5010" s="161" t="s">
        <v>19202</v>
      </c>
    </row>
    <row r="5011" spans="9:13" x14ac:dyDescent="0.25">
      <c r="I5011" t="s">
        <v>15300</v>
      </c>
      <c r="J5011" s="161" t="s">
        <v>19202</v>
      </c>
      <c r="K5011" t="s">
        <v>19203</v>
      </c>
      <c r="L5011" t="s">
        <v>15299</v>
      </c>
      <c r="M5011" s="161" t="s">
        <v>19202</v>
      </c>
    </row>
    <row r="5012" spans="9:13" x14ac:dyDescent="0.25">
      <c r="I5012" t="s">
        <v>17021</v>
      </c>
      <c r="J5012" s="161" t="s">
        <v>19202</v>
      </c>
      <c r="K5012" t="s">
        <v>19203</v>
      </c>
      <c r="L5012" t="s">
        <v>15939</v>
      </c>
      <c r="M5012" s="161" t="s">
        <v>19202</v>
      </c>
    </row>
    <row r="5013" spans="9:13" x14ac:dyDescent="0.25">
      <c r="I5013" t="s">
        <v>16102</v>
      </c>
      <c r="J5013" s="161" t="s">
        <v>19202</v>
      </c>
      <c r="K5013" t="s">
        <v>19203</v>
      </c>
      <c r="L5013" t="s">
        <v>14413</v>
      </c>
      <c r="M5013" s="161" t="s">
        <v>19202</v>
      </c>
    </row>
    <row r="5014" spans="9:13" x14ac:dyDescent="0.25">
      <c r="I5014" t="s">
        <v>15298</v>
      </c>
      <c r="J5014" s="161" t="s">
        <v>19202</v>
      </c>
      <c r="K5014" t="s">
        <v>19203</v>
      </c>
      <c r="L5014" t="s">
        <v>15297</v>
      </c>
      <c r="M5014" s="161" t="s">
        <v>19202</v>
      </c>
    </row>
    <row r="5015" spans="9:13" x14ac:dyDescent="0.25">
      <c r="I5015" t="s">
        <v>15860</v>
      </c>
      <c r="J5015" s="161" t="s">
        <v>19202</v>
      </c>
      <c r="K5015" t="s">
        <v>19203</v>
      </c>
      <c r="L5015" t="s">
        <v>15859</v>
      </c>
      <c r="M5015" s="161" t="s">
        <v>19202</v>
      </c>
    </row>
    <row r="5016" spans="9:13" x14ac:dyDescent="0.25">
      <c r="I5016" t="s">
        <v>15858</v>
      </c>
      <c r="J5016" s="161" t="s">
        <v>19202</v>
      </c>
      <c r="K5016" t="s">
        <v>19203</v>
      </c>
      <c r="L5016" t="s">
        <v>15857</v>
      </c>
      <c r="M5016" s="161" t="s">
        <v>19202</v>
      </c>
    </row>
    <row r="5017" spans="9:13" x14ac:dyDescent="0.25">
      <c r="I5017" t="s">
        <v>15219</v>
      </c>
      <c r="J5017" s="161" t="s">
        <v>19202</v>
      </c>
      <c r="K5017" t="s">
        <v>19203</v>
      </c>
      <c r="L5017" t="s">
        <v>15218</v>
      </c>
      <c r="M5017" s="161" t="s">
        <v>19202</v>
      </c>
    </row>
    <row r="5018" spans="9:13" x14ac:dyDescent="0.25">
      <c r="I5018" t="s">
        <v>15217</v>
      </c>
      <c r="J5018" s="161" t="s">
        <v>19202</v>
      </c>
      <c r="K5018" t="s">
        <v>19203</v>
      </c>
      <c r="L5018" t="s">
        <v>15216</v>
      </c>
      <c r="M5018" s="161" t="s">
        <v>19202</v>
      </c>
    </row>
    <row r="5019" spans="9:13" x14ac:dyDescent="0.25">
      <c r="I5019" t="s">
        <v>15215</v>
      </c>
      <c r="J5019" s="161" t="s">
        <v>19202</v>
      </c>
      <c r="K5019" t="s">
        <v>19203</v>
      </c>
      <c r="L5019" t="s">
        <v>15214</v>
      </c>
      <c r="M5019" s="161" t="s">
        <v>19202</v>
      </c>
    </row>
    <row r="5020" spans="9:13" x14ac:dyDescent="0.25">
      <c r="I5020" t="s">
        <v>15213</v>
      </c>
      <c r="J5020" s="161" t="s">
        <v>19202</v>
      </c>
      <c r="K5020" t="s">
        <v>19203</v>
      </c>
      <c r="L5020" t="s">
        <v>15212</v>
      </c>
      <c r="M5020" s="161" t="s">
        <v>19202</v>
      </c>
    </row>
    <row r="5021" spans="9:13" x14ac:dyDescent="0.25">
      <c r="I5021" t="s">
        <v>15211</v>
      </c>
      <c r="J5021" s="161" t="s">
        <v>19202</v>
      </c>
      <c r="K5021" t="s">
        <v>19203</v>
      </c>
      <c r="L5021" t="s">
        <v>15210</v>
      </c>
      <c r="M5021" s="161" t="s">
        <v>19202</v>
      </c>
    </row>
    <row r="5022" spans="9:13" x14ac:dyDescent="0.25">
      <c r="I5022" t="s">
        <v>16410</v>
      </c>
      <c r="J5022" s="161" t="s">
        <v>19202</v>
      </c>
      <c r="K5022" t="s">
        <v>19203</v>
      </c>
      <c r="L5022" t="s">
        <v>15855</v>
      </c>
      <c r="M5022" s="161" t="s">
        <v>19202</v>
      </c>
    </row>
    <row r="5023" spans="9:13" x14ac:dyDescent="0.25">
      <c r="I5023" t="s">
        <v>15209</v>
      </c>
      <c r="J5023" s="161" t="s">
        <v>19202</v>
      </c>
      <c r="K5023" t="s">
        <v>19203</v>
      </c>
      <c r="L5023" t="s">
        <v>15208</v>
      </c>
      <c r="M5023" s="161" t="s">
        <v>19202</v>
      </c>
    </row>
    <row r="5024" spans="9:13" x14ac:dyDescent="0.25">
      <c r="I5024" t="s">
        <v>15205</v>
      </c>
      <c r="J5024" s="161" t="s">
        <v>19202</v>
      </c>
      <c r="K5024" t="s">
        <v>19203</v>
      </c>
      <c r="L5024" t="s">
        <v>15204</v>
      </c>
      <c r="M5024" s="161" t="s">
        <v>19202</v>
      </c>
    </row>
    <row r="5025" spans="9:13" x14ac:dyDescent="0.25">
      <c r="I5025" t="s">
        <v>15203</v>
      </c>
      <c r="J5025" s="161" t="s">
        <v>19202</v>
      </c>
      <c r="K5025" t="s">
        <v>19203</v>
      </c>
      <c r="L5025" t="s">
        <v>15202</v>
      </c>
      <c r="M5025" s="161" t="s">
        <v>19202</v>
      </c>
    </row>
    <row r="5026" spans="9:13" x14ac:dyDescent="0.25">
      <c r="I5026" t="s">
        <v>16885</v>
      </c>
      <c r="J5026" s="161" t="s">
        <v>19202</v>
      </c>
      <c r="K5026" t="s">
        <v>19203</v>
      </c>
      <c r="L5026" t="s">
        <v>16884</v>
      </c>
      <c r="M5026" s="161" t="s">
        <v>19202</v>
      </c>
    </row>
    <row r="5027" spans="9:13" x14ac:dyDescent="0.25">
      <c r="I5027" t="s">
        <v>16883</v>
      </c>
      <c r="J5027" s="161" t="s">
        <v>19202</v>
      </c>
      <c r="K5027" t="s">
        <v>19203</v>
      </c>
      <c r="L5027" t="s">
        <v>16882</v>
      </c>
      <c r="M5027" s="161" t="s">
        <v>19202</v>
      </c>
    </row>
    <row r="5028" spans="9:13" x14ac:dyDescent="0.25">
      <c r="I5028" t="s">
        <v>16457</v>
      </c>
      <c r="J5028" s="161" t="s">
        <v>19202</v>
      </c>
      <c r="K5028" t="s">
        <v>19203</v>
      </c>
      <c r="L5028" t="s">
        <v>16456</v>
      </c>
      <c r="M5028" s="161" t="s">
        <v>19202</v>
      </c>
    </row>
    <row r="5029" spans="9:13" x14ac:dyDescent="0.25">
      <c r="I5029" t="s">
        <v>15294</v>
      </c>
      <c r="J5029" s="161" t="s">
        <v>19202</v>
      </c>
      <c r="K5029" t="s">
        <v>19203</v>
      </c>
      <c r="L5029" t="s">
        <v>15293</v>
      </c>
      <c r="M5029" s="161" t="s">
        <v>19202</v>
      </c>
    </row>
    <row r="5030" spans="9:13" x14ac:dyDescent="0.25">
      <c r="I5030" t="s">
        <v>15292</v>
      </c>
      <c r="J5030" s="161" t="s">
        <v>19202</v>
      </c>
      <c r="K5030" t="s">
        <v>19203</v>
      </c>
      <c r="L5030" t="s">
        <v>15291</v>
      </c>
      <c r="M5030" s="161" t="s">
        <v>19202</v>
      </c>
    </row>
    <row r="5031" spans="9:13" x14ac:dyDescent="0.25">
      <c r="I5031" t="s">
        <v>17020</v>
      </c>
      <c r="J5031" s="161" t="s">
        <v>19202</v>
      </c>
      <c r="K5031" t="s">
        <v>19203</v>
      </c>
      <c r="L5031" t="s">
        <v>17019</v>
      </c>
      <c r="M5031" s="161" t="s">
        <v>19202</v>
      </c>
    </row>
    <row r="5032" spans="9:13" x14ac:dyDescent="0.25">
      <c r="I5032" t="s">
        <v>3879</v>
      </c>
      <c r="J5032" s="161" t="s">
        <v>19202</v>
      </c>
      <c r="K5032" t="s">
        <v>19203</v>
      </c>
      <c r="L5032" t="s">
        <v>3878</v>
      </c>
      <c r="M5032" s="161" t="s">
        <v>19202</v>
      </c>
    </row>
    <row r="5033" spans="9:13" x14ac:dyDescent="0.25">
      <c r="I5033" t="s">
        <v>3540</v>
      </c>
      <c r="J5033" s="161" t="s">
        <v>19202</v>
      </c>
      <c r="K5033" t="s">
        <v>19203</v>
      </c>
      <c r="L5033" t="s">
        <v>3539</v>
      </c>
      <c r="M5033" s="161" t="s">
        <v>19202</v>
      </c>
    </row>
    <row r="5034" spans="9:13" x14ac:dyDescent="0.25">
      <c r="I5034" t="s">
        <v>11103</v>
      </c>
      <c r="J5034" s="161" t="s">
        <v>19202</v>
      </c>
      <c r="K5034" t="s">
        <v>19203</v>
      </c>
      <c r="L5034" t="s">
        <v>11102</v>
      </c>
      <c r="M5034" s="161" t="s">
        <v>19202</v>
      </c>
    </row>
    <row r="5035" spans="9:13" x14ac:dyDescent="0.25">
      <c r="I5035" t="s">
        <v>9651</v>
      </c>
      <c r="J5035" s="161" t="s">
        <v>19202</v>
      </c>
      <c r="K5035" t="s">
        <v>19203</v>
      </c>
      <c r="L5035" t="s">
        <v>9650</v>
      </c>
      <c r="M5035" s="161" t="s">
        <v>19202</v>
      </c>
    </row>
    <row r="5036" spans="9:13" x14ac:dyDescent="0.25">
      <c r="I5036" t="s">
        <v>4283</v>
      </c>
      <c r="J5036" s="161" t="s">
        <v>19202</v>
      </c>
      <c r="K5036" t="s">
        <v>19203</v>
      </c>
      <c r="L5036" t="s">
        <v>4282</v>
      </c>
      <c r="M5036" s="161" t="s">
        <v>19202</v>
      </c>
    </row>
    <row r="5037" spans="9:13" x14ac:dyDescent="0.25">
      <c r="I5037" t="s">
        <v>17126</v>
      </c>
      <c r="J5037" s="161" t="s">
        <v>19202</v>
      </c>
      <c r="K5037" t="s">
        <v>19203</v>
      </c>
      <c r="L5037" t="s">
        <v>17125</v>
      </c>
      <c r="M5037" s="161" t="s">
        <v>19202</v>
      </c>
    </row>
    <row r="5038" spans="9:13" x14ac:dyDescent="0.25">
      <c r="I5038" t="s">
        <v>15008</v>
      </c>
      <c r="J5038" s="161" t="s">
        <v>19202</v>
      </c>
      <c r="K5038" t="s">
        <v>19203</v>
      </c>
      <c r="L5038" t="s">
        <v>15007</v>
      </c>
      <c r="M5038" s="161" t="s">
        <v>19202</v>
      </c>
    </row>
    <row r="5039" spans="9:13" x14ac:dyDescent="0.25">
      <c r="I5039" t="s">
        <v>822</v>
      </c>
      <c r="J5039" s="161" t="s">
        <v>19202</v>
      </c>
      <c r="K5039" t="s">
        <v>19203</v>
      </c>
      <c r="L5039" t="s">
        <v>821</v>
      </c>
      <c r="M5039" s="161" t="s">
        <v>19202</v>
      </c>
    </row>
    <row r="5040" spans="9:13" x14ac:dyDescent="0.25">
      <c r="I5040" t="s">
        <v>815</v>
      </c>
      <c r="J5040" s="161" t="s">
        <v>19202</v>
      </c>
      <c r="K5040" t="s">
        <v>19203</v>
      </c>
      <c r="L5040" t="s">
        <v>814</v>
      </c>
      <c r="M5040" s="161" t="s">
        <v>19202</v>
      </c>
    </row>
    <row r="5041" spans="9:13" x14ac:dyDescent="0.25">
      <c r="I5041" t="s">
        <v>16582</v>
      </c>
      <c r="J5041" s="161" t="s">
        <v>19202</v>
      </c>
      <c r="K5041" t="s">
        <v>19203</v>
      </c>
      <c r="L5041" t="s">
        <v>16581</v>
      </c>
      <c r="M5041" s="161" t="s">
        <v>19202</v>
      </c>
    </row>
    <row r="5042" spans="9:13" x14ac:dyDescent="0.25">
      <c r="I5042" t="s">
        <v>3036</v>
      </c>
      <c r="J5042" s="161" t="s">
        <v>19202</v>
      </c>
      <c r="K5042" t="s">
        <v>19203</v>
      </c>
      <c r="L5042" t="s">
        <v>3035</v>
      </c>
      <c r="M5042" s="161" t="s">
        <v>19202</v>
      </c>
    </row>
    <row r="5043" spans="9:13" x14ac:dyDescent="0.25">
      <c r="I5043" t="s">
        <v>3374</v>
      </c>
      <c r="J5043" s="161" t="s">
        <v>19202</v>
      </c>
      <c r="K5043" t="s">
        <v>19203</v>
      </c>
      <c r="L5043" t="s">
        <v>3373</v>
      </c>
      <c r="M5043" s="161" t="s">
        <v>19202</v>
      </c>
    </row>
    <row r="5044" spans="9:13" x14ac:dyDescent="0.25">
      <c r="I5044" t="s">
        <v>5013</v>
      </c>
      <c r="J5044" s="161" t="s">
        <v>19202</v>
      </c>
      <c r="K5044" t="s">
        <v>19203</v>
      </c>
      <c r="L5044" t="s">
        <v>5012</v>
      </c>
      <c r="M5044" s="161" t="s">
        <v>19202</v>
      </c>
    </row>
    <row r="5045" spans="9:13" x14ac:dyDescent="0.25">
      <c r="I5045" t="s">
        <v>796</v>
      </c>
      <c r="J5045" s="161" t="s">
        <v>19202</v>
      </c>
      <c r="K5045" t="s">
        <v>19203</v>
      </c>
      <c r="L5045" t="s">
        <v>795</v>
      </c>
      <c r="M5045" s="161" t="s">
        <v>19202</v>
      </c>
    </row>
    <row r="5046" spans="9:13" x14ac:dyDescent="0.25">
      <c r="I5046" t="s">
        <v>19780</v>
      </c>
      <c r="J5046" s="161" t="s">
        <v>19202</v>
      </c>
      <c r="K5046" t="s">
        <v>19203</v>
      </c>
      <c r="L5046" t="s">
        <v>4060</v>
      </c>
      <c r="M5046" s="161" t="s">
        <v>19202</v>
      </c>
    </row>
    <row r="5047" spans="9:13" x14ac:dyDescent="0.25">
      <c r="I5047" t="s">
        <v>15362</v>
      </c>
      <c r="J5047" s="161" t="s">
        <v>19202</v>
      </c>
      <c r="K5047" t="s">
        <v>19203</v>
      </c>
      <c r="L5047" t="s">
        <v>2130</v>
      </c>
      <c r="M5047" s="161" t="s">
        <v>19202</v>
      </c>
    </row>
    <row r="5048" spans="9:13" x14ac:dyDescent="0.25">
      <c r="I5048" t="s">
        <v>19781</v>
      </c>
      <c r="J5048" s="161" t="s">
        <v>19202</v>
      </c>
      <c r="K5048" t="s">
        <v>19203</v>
      </c>
      <c r="L5048" t="s">
        <v>19782</v>
      </c>
      <c r="M5048" s="161" t="s">
        <v>19202</v>
      </c>
    </row>
    <row r="5049" spans="9:13" x14ac:dyDescent="0.25">
      <c r="I5049" t="s">
        <v>11176</v>
      </c>
      <c r="J5049" s="161" t="s">
        <v>19202</v>
      </c>
      <c r="K5049" t="s">
        <v>19203</v>
      </c>
      <c r="L5049" t="s">
        <v>4139</v>
      </c>
      <c r="M5049" s="161" t="s">
        <v>19202</v>
      </c>
    </row>
    <row r="5050" spans="9:13" x14ac:dyDescent="0.25">
      <c r="I5050" t="s">
        <v>11777</v>
      </c>
      <c r="J5050" s="161" t="s">
        <v>19202</v>
      </c>
      <c r="K5050" t="s">
        <v>19203</v>
      </c>
      <c r="L5050" t="s">
        <v>19783</v>
      </c>
      <c r="M5050" s="161" t="s">
        <v>19202</v>
      </c>
    </row>
    <row r="5051" spans="9:13" x14ac:dyDescent="0.25">
      <c r="I5051" t="s">
        <v>19784</v>
      </c>
      <c r="J5051" s="161" t="s">
        <v>19202</v>
      </c>
      <c r="K5051" t="s">
        <v>19203</v>
      </c>
      <c r="L5051" t="s">
        <v>19785</v>
      </c>
      <c r="M5051" s="161" t="s">
        <v>19202</v>
      </c>
    </row>
    <row r="5052" spans="9:13" x14ac:dyDescent="0.25">
      <c r="I5052" t="s">
        <v>19786</v>
      </c>
      <c r="J5052" s="161" t="s">
        <v>19202</v>
      </c>
      <c r="K5052" t="s">
        <v>19203</v>
      </c>
      <c r="L5052" t="s">
        <v>1837</v>
      </c>
      <c r="M5052" s="161" t="s">
        <v>19202</v>
      </c>
    </row>
    <row r="5053" spans="9:13" x14ac:dyDescent="0.25">
      <c r="I5053" t="s">
        <v>813</v>
      </c>
      <c r="J5053" s="161" t="s">
        <v>19202</v>
      </c>
      <c r="K5053" t="s">
        <v>19203</v>
      </c>
      <c r="L5053" t="s">
        <v>812</v>
      </c>
      <c r="M5053" s="161" t="s">
        <v>19202</v>
      </c>
    </row>
    <row r="5054" spans="9:13" x14ac:dyDescent="0.25">
      <c r="I5054" t="s">
        <v>19787</v>
      </c>
      <c r="J5054" s="161" t="s">
        <v>19202</v>
      </c>
      <c r="K5054" t="s">
        <v>19203</v>
      </c>
      <c r="L5054" t="s">
        <v>17865</v>
      </c>
      <c r="M5054" s="161" t="s">
        <v>19202</v>
      </c>
    </row>
    <row r="5055" spans="9:13" x14ac:dyDescent="0.25">
      <c r="I5055" t="s">
        <v>15716</v>
      </c>
      <c r="J5055" s="161" t="s">
        <v>19202</v>
      </c>
      <c r="K5055" t="s">
        <v>19203</v>
      </c>
      <c r="L5055" t="s">
        <v>12741</v>
      </c>
      <c r="M5055" s="161" t="s">
        <v>19202</v>
      </c>
    </row>
    <row r="5056" spans="9:13" x14ac:dyDescent="0.25">
      <c r="I5056" t="s">
        <v>837</v>
      </c>
      <c r="J5056" s="161" t="s">
        <v>19202</v>
      </c>
      <c r="K5056" t="s">
        <v>19203</v>
      </c>
      <c r="L5056" t="s">
        <v>758</v>
      </c>
      <c r="M5056" s="161" t="s">
        <v>19202</v>
      </c>
    </row>
    <row r="5057" spans="9:13" x14ac:dyDescent="0.25">
      <c r="I5057" t="s">
        <v>15753</v>
      </c>
      <c r="J5057" s="161" t="s">
        <v>19202</v>
      </c>
      <c r="K5057" t="s">
        <v>19203</v>
      </c>
      <c r="L5057" t="s">
        <v>11843</v>
      </c>
      <c r="M5057" s="161" t="s">
        <v>19202</v>
      </c>
    </row>
    <row r="5058" spans="9:13" x14ac:dyDescent="0.25">
      <c r="I5058" t="s">
        <v>1065</v>
      </c>
      <c r="J5058" s="161" t="s">
        <v>19202</v>
      </c>
      <c r="K5058" t="s">
        <v>19203</v>
      </c>
      <c r="L5058" t="s">
        <v>1064</v>
      </c>
      <c r="M5058" s="161" t="s">
        <v>19202</v>
      </c>
    </row>
    <row r="5059" spans="9:13" x14ac:dyDescent="0.25">
      <c r="I5059" t="s">
        <v>11393</v>
      </c>
      <c r="J5059" s="161" t="s">
        <v>19202</v>
      </c>
      <c r="K5059" t="s">
        <v>19203</v>
      </c>
      <c r="L5059" t="s">
        <v>11392</v>
      </c>
      <c r="M5059" s="161" t="s">
        <v>19202</v>
      </c>
    </row>
    <row r="5060" spans="9:13" x14ac:dyDescent="0.25">
      <c r="I5060" t="s">
        <v>7009</v>
      </c>
      <c r="J5060" s="161" t="s">
        <v>19202</v>
      </c>
      <c r="K5060" t="s">
        <v>19203</v>
      </c>
      <c r="L5060" t="s">
        <v>7008</v>
      </c>
      <c r="M5060" s="161" t="s">
        <v>19202</v>
      </c>
    </row>
    <row r="5061" spans="9:13" x14ac:dyDescent="0.25">
      <c r="I5061" t="s">
        <v>6064</v>
      </c>
      <c r="J5061" s="161" t="s">
        <v>19202</v>
      </c>
      <c r="K5061" t="s">
        <v>19203</v>
      </c>
      <c r="L5061" t="s">
        <v>6063</v>
      </c>
      <c r="M5061" s="161" t="s">
        <v>19202</v>
      </c>
    </row>
    <row r="5062" spans="9:13" x14ac:dyDescent="0.25">
      <c r="I5062" t="s">
        <v>807</v>
      </c>
      <c r="J5062" s="161" t="s">
        <v>19202</v>
      </c>
      <c r="K5062" t="s">
        <v>19203</v>
      </c>
      <c r="L5062" t="s">
        <v>806</v>
      </c>
      <c r="M5062" s="161" t="s">
        <v>19202</v>
      </c>
    </row>
    <row r="5063" spans="9:13" x14ac:dyDescent="0.25">
      <c r="I5063" t="s">
        <v>10588</v>
      </c>
      <c r="J5063" s="161" t="s">
        <v>19202</v>
      </c>
      <c r="K5063" t="s">
        <v>19203</v>
      </c>
      <c r="L5063" t="s">
        <v>10587</v>
      </c>
      <c r="M5063" s="161" t="s">
        <v>19202</v>
      </c>
    </row>
    <row r="5064" spans="9:13" x14ac:dyDescent="0.25">
      <c r="I5064" t="s">
        <v>6909</v>
      </c>
      <c r="J5064" s="161" t="s">
        <v>19202</v>
      </c>
      <c r="K5064" t="s">
        <v>19203</v>
      </c>
      <c r="L5064" t="s">
        <v>6908</v>
      </c>
      <c r="M5064" s="161" t="s">
        <v>19202</v>
      </c>
    </row>
    <row r="5065" spans="9:13" x14ac:dyDescent="0.25">
      <c r="I5065" t="s">
        <v>6148</v>
      </c>
      <c r="J5065" s="161" t="s">
        <v>19202</v>
      </c>
      <c r="K5065" t="s">
        <v>19203</v>
      </c>
      <c r="L5065" t="s">
        <v>6147</v>
      </c>
      <c r="M5065" s="161" t="s">
        <v>19202</v>
      </c>
    </row>
    <row r="5066" spans="9:13" x14ac:dyDescent="0.25">
      <c r="I5066" t="s">
        <v>9989</v>
      </c>
      <c r="J5066" s="161" t="s">
        <v>19202</v>
      </c>
      <c r="K5066" t="s">
        <v>19203</v>
      </c>
      <c r="L5066" t="s">
        <v>9988</v>
      </c>
      <c r="M5066" s="161" t="s">
        <v>19202</v>
      </c>
    </row>
    <row r="5067" spans="9:13" x14ac:dyDescent="0.25">
      <c r="I5067" t="s">
        <v>12772</v>
      </c>
      <c r="J5067" s="161" t="s">
        <v>19202</v>
      </c>
      <c r="K5067" t="s">
        <v>19203</v>
      </c>
      <c r="L5067" t="s">
        <v>12771</v>
      </c>
      <c r="M5067" s="161" t="s">
        <v>19202</v>
      </c>
    </row>
    <row r="5068" spans="9:13" x14ac:dyDescent="0.25">
      <c r="I5068" t="s">
        <v>6133</v>
      </c>
      <c r="J5068" s="161" t="s">
        <v>19202</v>
      </c>
      <c r="K5068" t="s">
        <v>19203</v>
      </c>
      <c r="L5068" t="s">
        <v>6132</v>
      </c>
      <c r="M5068" s="161" t="s">
        <v>19202</v>
      </c>
    </row>
    <row r="5069" spans="9:13" x14ac:dyDescent="0.25">
      <c r="I5069" t="s">
        <v>15059</v>
      </c>
      <c r="J5069" s="161" t="s">
        <v>19202</v>
      </c>
      <c r="K5069" t="s">
        <v>19203</v>
      </c>
      <c r="L5069" t="s">
        <v>15058</v>
      </c>
      <c r="M5069" s="161" t="s">
        <v>19202</v>
      </c>
    </row>
    <row r="5070" spans="9:13" x14ac:dyDescent="0.25">
      <c r="I5070" t="s">
        <v>1067</v>
      </c>
      <c r="J5070" s="161" t="s">
        <v>19202</v>
      </c>
      <c r="K5070" t="s">
        <v>19203</v>
      </c>
      <c r="L5070" t="s">
        <v>1066</v>
      </c>
      <c r="M5070" s="161" t="s">
        <v>19202</v>
      </c>
    </row>
    <row r="5071" spans="9:13" x14ac:dyDescent="0.25">
      <c r="I5071" t="s">
        <v>11776</v>
      </c>
      <c r="J5071" s="161" t="s">
        <v>19202</v>
      </c>
      <c r="K5071" t="s">
        <v>19203</v>
      </c>
      <c r="L5071" t="s">
        <v>11775</v>
      </c>
      <c r="M5071" s="161" t="s">
        <v>19202</v>
      </c>
    </row>
    <row r="5072" spans="9:13" x14ac:dyDescent="0.25">
      <c r="I5072" t="s">
        <v>19788</v>
      </c>
      <c r="J5072" s="161" t="s">
        <v>19202</v>
      </c>
      <c r="K5072" t="s">
        <v>19203</v>
      </c>
      <c r="L5072" t="s">
        <v>12605</v>
      </c>
      <c r="M5072" s="161" t="s">
        <v>19202</v>
      </c>
    </row>
    <row r="5073" spans="9:13" x14ac:dyDescent="0.25">
      <c r="I5073" t="s">
        <v>4996</v>
      </c>
      <c r="J5073" s="161" t="s">
        <v>19202</v>
      </c>
      <c r="K5073" t="s">
        <v>19203</v>
      </c>
      <c r="L5073" t="s">
        <v>4995</v>
      </c>
      <c r="M5073" s="161" t="s">
        <v>19202</v>
      </c>
    </row>
    <row r="5074" spans="9:13" x14ac:dyDescent="0.25">
      <c r="I5074" t="s">
        <v>6911</v>
      </c>
      <c r="J5074" s="161" t="s">
        <v>19202</v>
      </c>
      <c r="K5074" t="s">
        <v>19203</v>
      </c>
      <c r="L5074" t="s">
        <v>6910</v>
      </c>
      <c r="M5074" s="161" t="s">
        <v>19202</v>
      </c>
    </row>
    <row r="5075" spans="9:13" x14ac:dyDescent="0.25">
      <c r="I5075" t="s">
        <v>16458</v>
      </c>
      <c r="J5075" s="161" t="s">
        <v>19202</v>
      </c>
      <c r="K5075" t="s">
        <v>19203</v>
      </c>
      <c r="L5075" t="s">
        <v>846</v>
      </c>
      <c r="M5075" s="161" t="s">
        <v>19202</v>
      </c>
    </row>
    <row r="5076" spans="9:13" x14ac:dyDescent="0.25">
      <c r="I5076" t="s">
        <v>2491</v>
      </c>
      <c r="J5076" s="161" t="s">
        <v>19202</v>
      </c>
      <c r="K5076" t="s">
        <v>19203</v>
      </c>
      <c r="L5076" t="s">
        <v>2490</v>
      </c>
      <c r="M5076" s="161" t="s">
        <v>19202</v>
      </c>
    </row>
    <row r="5077" spans="9:13" x14ac:dyDescent="0.25">
      <c r="I5077" t="s">
        <v>16636</v>
      </c>
      <c r="J5077" s="161" t="s">
        <v>19202</v>
      </c>
      <c r="K5077" t="s">
        <v>19203</v>
      </c>
      <c r="L5077" t="s">
        <v>16635</v>
      </c>
      <c r="M5077" s="161" t="s">
        <v>19202</v>
      </c>
    </row>
    <row r="5078" spans="9:13" x14ac:dyDescent="0.25">
      <c r="I5078" t="s">
        <v>3269</v>
      </c>
      <c r="J5078" s="161" t="s">
        <v>19202</v>
      </c>
      <c r="K5078" t="s">
        <v>19203</v>
      </c>
      <c r="L5078" t="s">
        <v>3268</v>
      </c>
      <c r="M5078" s="161" t="s">
        <v>19202</v>
      </c>
    </row>
    <row r="5079" spans="9:13" x14ac:dyDescent="0.25">
      <c r="I5079" t="s">
        <v>3420</v>
      </c>
      <c r="J5079" s="161" t="s">
        <v>19202</v>
      </c>
      <c r="K5079" t="s">
        <v>19203</v>
      </c>
      <c r="L5079" t="s">
        <v>3419</v>
      </c>
      <c r="M5079" s="161" t="s">
        <v>19202</v>
      </c>
    </row>
    <row r="5080" spans="9:13" x14ac:dyDescent="0.25">
      <c r="I5080" t="s">
        <v>3267</v>
      </c>
      <c r="J5080" s="161" t="s">
        <v>19202</v>
      </c>
      <c r="K5080" t="s">
        <v>19203</v>
      </c>
      <c r="L5080" t="s">
        <v>3266</v>
      </c>
      <c r="M5080" s="161" t="s">
        <v>19202</v>
      </c>
    </row>
    <row r="5081" spans="9:13" x14ac:dyDescent="0.25">
      <c r="I5081" t="s">
        <v>3304</v>
      </c>
      <c r="J5081" s="161" t="s">
        <v>19202</v>
      </c>
      <c r="K5081" t="s">
        <v>19203</v>
      </c>
      <c r="L5081" t="s">
        <v>1108</v>
      </c>
      <c r="M5081" s="161" t="s">
        <v>19202</v>
      </c>
    </row>
    <row r="5082" spans="9:13" x14ac:dyDescent="0.25">
      <c r="I5082" t="s">
        <v>3303</v>
      </c>
      <c r="J5082" s="161" t="s">
        <v>19202</v>
      </c>
      <c r="K5082" t="s">
        <v>19203</v>
      </c>
      <c r="L5082" t="s">
        <v>3302</v>
      </c>
      <c r="M5082" s="161" t="s">
        <v>19202</v>
      </c>
    </row>
    <row r="5083" spans="9:13" x14ac:dyDescent="0.25">
      <c r="I5083" t="s">
        <v>3301</v>
      </c>
      <c r="J5083" s="161" t="s">
        <v>19202</v>
      </c>
      <c r="K5083" t="s">
        <v>19203</v>
      </c>
      <c r="L5083" t="s">
        <v>3300</v>
      </c>
      <c r="M5083" s="161" t="s">
        <v>19202</v>
      </c>
    </row>
    <row r="5084" spans="9:13" x14ac:dyDescent="0.25">
      <c r="I5084" t="s">
        <v>3293</v>
      </c>
      <c r="J5084" s="161" t="s">
        <v>19202</v>
      </c>
      <c r="K5084" t="s">
        <v>19203</v>
      </c>
      <c r="L5084" t="s">
        <v>3292</v>
      </c>
      <c r="M5084" s="161" t="s">
        <v>19202</v>
      </c>
    </row>
    <row r="5085" spans="9:13" x14ac:dyDescent="0.25">
      <c r="I5085" t="s">
        <v>3177</v>
      </c>
      <c r="J5085" s="161" t="s">
        <v>19202</v>
      </c>
      <c r="K5085" t="s">
        <v>19203</v>
      </c>
      <c r="L5085" t="s">
        <v>3176</v>
      </c>
      <c r="M5085" s="161" t="s">
        <v>19202</v>
      </c>
    </row>
    <row r="5086" spans="9:13" x14ac:dyDescent="0.25">
      <c r="I5086" t="s">
        <v>3233</v>
      </c>
      <c r="J5086" s="161" t="s">
        <v>19202</v>
      </c>
      <c r="K5086" t="s">
        <v>19203</v>
      </c>
      <c r="L5086" t="s">
        <v>3232</v>
      </c>
      <c r="M5086" s="161" t="s">
        <v>19202</v>
      </c>
    </row>
    <row r="5087" spans="9:13" x14ac:dyDescent="0.25">
      <c r="I5087" t="s">
        <v>3231</v>
      </c>
      <c r="J5087" s="161" t="s">
        <v>19202</v>
      </c>
      <c r="K5087" t="s">
        <v>19203</v>
      </c>
      <c r="L5087" t="s">
        <v>3230</v>
      </c>
      <c r="M5087" s="161" t="s">
        <v>19202</v>
      </c>
    </row>
    <row r="5088" spans="9:13" x14ac:dyDescent="0.25">
      <c r="I5088" t="s">
        <v>3229</v>
      </c>
      <c r="J5088" s="161" t="s">
        <v>19202</v>
      </c>
      <c r="K5088" t="s">
        <v>19203</v>
      </c>
      <c r="L5088" t="s">
        <v>2700</v>
      </c>
      <c r="M5088" s="161" t="s">
        <v>19202</v>
      </c>
    </row>
    <row r="5089" spans="9:13" x14ac:dyDescent="0.25">
      <c r="I5089" t="s">
        <v>3228</v>
      </c>
      <c r="J5089" s="161" t="s">
        <v>19202</v>
      </c>
      <c r="K5089" t="s">
        <v>19203</v>
      </c>
      <c r="L5089" t="s">
        <v>3227</v>
      </c>
      <c r="M5089" s="161" t="s">
        <v>19202</v>
      </c>
    </row>
    <row r="5090" spans="9:13" x14ac:dyDescent="0.25">
      <c r="I5090" t="s">
        <v>3093</v>
      </c>
      <c r="J5090" s="161" t="s">
        <v>19202</v>
      </c>
      <c r="K5090" t="s">
        <v>19203</v>
      </c>
      <c r="L5090" t="s">
        <v>3092</v>
      </c>
      <c r="M5090" s="161" t="s">
        <v>19202</v>
      </c>
    </row>
    <row r="5091" spans="9:13" x14ac:dyDescent="0.25">
      <c r="I5091" t="s">
        <v>3091</v>
      </c>
      <c r="J5091" s="161" t="s">
        <v>19202</v>
      </c>
      <c r="K5091" t="s">
        <v>19203</v>
      </c>
      <c r="L5091" t="s">
        <v>3090</v>
      </c>
      <c r="M5091" s="161" t="s">
        <v>19202</v>
      </c>
    </row>
    <row r="5092" spans="9:13" x14ac:dyDescent="0.25">
      <c r="I5092" t="s">
        <v>3224</v>
      </c>
      <c r="J5092" s="161" t="s">
        <v>19202</v>
      </c>
      <c r="K5092" t="s">
        <v>19203</v>
      </c>
      <c r="L5092" t="s">
        <v>3223</v>
      </c>
      <c r="M5092" s="161" t="s">
        <v>19202</v>
      </c>
    </row>
    <row r="5093" spans="9:13" x14ac:dyDescent="0.25">
      <c r="I5093" t="s">
        <v>19789</v>
      </c>
      <c r="J5093" s="161" t="s">
        <v>19202</v>
      </c>
      <c r="K5093" t="s">
        <v>19203</v>
      </c>
      <c r="L5093" t="s">
        <v>19790</v>
      </c>
      <c r="M5093" s="161" t="s">
        <v>19202</v>
      </c>
    </row>
    <row r="5094" spans="9:13" x14ac:dyDescent="0.25">
      <c r="I5094" t="s">
        <v>3330</v>
      </c>
      <c r="J5094" s="161" t="s">
        <v>19202</v>
      </c>
      <c r="K5094" t="s">
        <v>19203</v>
      </c>
      <c r="L5094" t="s">
        <v>3329</v>
      </c>
      <c r="M5094" s="161" t="s">
        <v>19202</v>
      </c>
    </row>
    <row r="5095" spans="9:13" x14ac:dyDescent="0.25">
      <c r="I5095" t="s">
        <v>3328</v>
      </c>
      <c r="J5095" s="161" t="s">
        <v>19202</v>
      </c>
      <c r="K5095" t="s">
        <v>19203</v>
      </c>
      <c r="L5095" t="s">
        <v>3327</v>
      </c>
      <c r="M5095" s="161" t="s">
        <v>19202</v>
      </c>
    </row>
    <row r="5096" spans="9:13" x14ac:dyDescent="0.25">
      <c r="I5096" t="s">
        <v>3291</v>
      </c>
      <c r="J5096" s="161" t="s">
        <v>19202</v>
      </c>
      <c r="K5096" t="s">
        <v>19203</v>
      </c>
      <c r="L5096" t="s">
        <v>3290</v>
      </c>
      <c r="M5096" s="161" t="s">
        <v>19202</v>
      </c>
    </row>
    <row r="5097" spans="9:13" x14ac:dyDescent="0.25">
      <c r="I5097" t="s">
        <v>3259</v>
      </c>
      <c r="J5097" s="161" t="s">
        <v>19202</v>
      </c>
      <c r="K5097" t="s">
        <v>19203</v>
      </c>
      <c r="L5097" t="s">
        <v>3258</v>
      </c>
      <c r="M5097" s="161" t="s">
        <v>19202</v>
      </c>
    </row>
    <row r="5098" spans="9:13" x14ac:dyDescent="0.25">
      <c r="I5098" t="s">
        <v>3289</v>
      </c>
      <c r="J5098" s="161" t="s">
        <v>19202</v>
      </c>
      <c r="K5098" t="s">
        <v>19203</v>
      </c>
      <c r="L5098" t="s">
        <v>3288</v>
      </c>
      <c r="M5098" s="161" t="s">
        <v>19202</v>
      </c>
    </row>
    <row r="5099" spans="9:13" x14ac:dyDescent="0.25">
      <c r="I5099" t="s">
        <v>3083</v>
      </c>
      <c r="J5099" s="161" t="s">
        <v>19202</v>
      </c>
      <c r="K5099" t="s">
        <v>19203</v>
      </c>
      <c r="L5099" t="s">
        <v>3082</v>
      </c>
      <c r="M5099" s="161" t="s">
        <v>19202</v>
      </c>
    </row>
    <row r="5100" spans="9:13" x14ac:dyDescent="0.25">
      <c r="I5100" t="s">
        <v>3364</v>
      </c>
      <c r="J5100" s="161" t="s">
        <v>19202</v>
      </c>
      <c r="K5100" t="s">
        <v>19203</v>
      </c>
      <c r="L5100" t="s">
        <v>3363</v>
      </c>
      <c r="M5100" s="161" t="s">
        <v>19202</v>
      </c>
    </row>
    <row r="5101" spans="9:13" x14ac:dyDescent="0.25">
      <c r="I5101" t="s">
        <v>3324</v>
      </c>
      <c r="J5101" s="161" t="s">
        <v>19202</v>
      </c>
      <c r="K5101" t="s">
        <v>19203</v>
      </c>
      <c r="L5101" t="s">
        <v>3323</v>
      </c>
      <c r="M5101" s="161" t="s">
        <v>19202</v>
      </c>
    </row>
    <row r="5102" spans="9:13" x14ac:dyDescent="0.25">
      <c r="I5102" t="s">
        <v>3173</v>
      </c>
      <c r="J5102" s="161" t="s">
        <v>19202</v>
      </c>
      <c r="K5102" t="s">
        <v>19203</v>
      </c>
      <c r="L5102" t="s">
        <v>3172</v>
      </c>
      <c r="M5102" s="161" t="s">
        <v>19202</v>
      </c>
    </row>
    <row r="5103" spans="9:13" x14ac:dyDescent="0.25">
      <c r="I5103" t="s">
        <v>3075</v>
      </c>
      <c r="J5103" s="161" t="s">
        <v>19202</v>
      </c>
      <c r="K5103" t="s">
        <v>19203</v>
      </c>
      <c r="L5103" t="s">
        <v>3074</v>
      </c>
      <c r="M5103" s="161" t="s">
        <v>19202</v>
      </c>
    </row>
    <row r="5104" spans="9:13" x14ac:dyDescent="0.25">
      <c r="I5104" t="s">
        <v>3322</v>
      </c>
      <c r="J5104" s="161" t="s">
        <v>19202</v>
      </c>
      <c r="K5104" t="s">
        <v>19203</v>
      </c>
      <c r="L5104" t="s">
        <v>3321</v>
      </c>
      <c r="M5104" s="161" t="s">
        <v>19202</v>
      </c>
    </row>
    <row r="5105" spans="9:13" x14ac:dyDescent="0.25">
      <c r="I5105" t="s">
        <v>3418</v>
      </c>
      <c r="J5105" s="161" t="s">
        <v>19202</v>
      </c>
      <c r="K5105" t="s">
        <v>19203</v>
      </c>
      <c r="L5105" t="s">
        <v>3417</v>
      </c>
      <c r="M5105" s="161" t="s">
        <v>19202</v>
      </c>
    </row>
    <row r="5106" spans="9:13" x14ac:dyDescent="0.25">
      <c r="I5106" t="s">
        <v>3416</v>
      </c>
      <c r="J5106" s="161" t="s">
        <v>19202</v>
      </c>
      <c r="K5106" t="s">
        <v>19203</v>
      </c>
      <c r="L5106" t="s">
        <v>3415</v>
      </c>
      <c r="M5106" s="161" t="s">
        <v>19202</v>
      </c>
    </row>
    <row r="5107" spans="9:13" x14ac:dyDescent="0.25">
      <c r="I5107" t="s">
        <v>3414</v>
      </c>
      <c r="J5107" s="161" t="s">
        <v>19202</v>
      </c>
      <c r="K5107" t="s">
        <v>19203</v>
      </c>
      <c r="L5107" t="s">
        <v>3413</v>
      </c>
      <c r="M5107" s="161" t="s">
        <v>19202</v>
      </c>
    </row>
    <row r="5108" spans="9:13" x14ac:dyDescent="0.25">
      <c r="I5108" t="s">
        <v>3218</v>
      </c>
      <c r="J5108" s="161" t="s">
        <v>19202</v>
      </c>
      <c r="K5108" t="s">
        <v>19203</v>
      </c>
      <c r="L5108" t="s">
        <v>3217</v>
      </c>
      <c r="M5108" s="161" t="s">
        <v>19202</v>
      </c>
    </row>
    <row r="5109" spans="9:13" x14ac:dyDescent="0.25">
      <c r="I5109" t="s">
        <v>3216</v>
      </c>
      <c r="J5109" s="161" t="s">
        <v>19202</v>
      </c>
      <c r="K5109" t="s">
        <v>19203</v>
      </c>
      <c r="L5109" t="s">
        <v>2596</v>
      </c>
      <c r="M5109" s="161" t="s">
        <v>19202</v>
      </c>
    </row>
    <row r="5110" spans="9:13" x14ac:dyDescent="0.25">
      <c r="I5110" t="s">
        <v>3410</v>
      </c>
      <c r="J5110" s="161" t="s">
        <v>19202</v>
      </c>
      <c r="K5110" t="s">
        <v>19203</v>
      </c>
      <c r="L5110" t="s">
        <v>3409</v>
      </c>
      <c r="M5110" s="161" t="s">
        <v>19202</v>
      </c>
    </row>
    <row r="5111" spans="9:13" x14ac:dyDescent="0.25">
      <c r="I5111" t="s">
        <v>3320</v>
      </c>
      <c r="J5111" s="161" t="s">
        <v>19202</v>
      </c>
      <c r="K5111" t="s">
        <v>19203</v>
      </c>
      <c r="L5111" t="s">
        <v>3319</v>
      </c>
      <c r="M5111" s="161" t="s">
        <v>19202</v>
      </c>
    </row>
    <row r="5112" spans="9:13" x14ac:dyDescent="0.25">
      <c r="I5112" t="s">
        <v>3215</v>
      </c>
      <c r="J5112" s="161" t="s">
        <v>19202</v>
      </c>
      <c r="K5112" t="s">
        <v>19203</v>
      </c>
      <c r="L5112" t="s">
        <v>3214</v>
      </c>
      <c r="M5112" s="161" t="s">
        <v>19202</v>
      </c>
    </row>
    <row r="5113" spans="9:13" x14ac:dyDescent="0.25">
      <c r="I5113" t="s">
        <v>3002</v>
      </c>
      <c r="J5113" s="161" t="s">
        <v>19202</v>
      </c>
      <c r="K5113" t="s">
        <v>19203</v>
      </c>
      <c r="L5113" t="s">
        <v>3001</v>
      </c>
      <c r="M5113" s="161" t="s">
        <v>19202</v>
      </c>
    </row>
    <row r="5114" spans="9:13" x14ac:dyDescent="0.25">
      <c r="I5114" t="s">
        <v>2996</v>
      </c>
      <c r="J5114" s="161" t="s">
        <v>19202</v>
      </c>
      <c r="K5114" t="s">
        <v>19203</v>
      </c>
      <c r="L5114" t="s">
        <v>2995</v>
      </c>
      <c r="M5114" s="161" t="s">
        <v>19202</v>
      </c>
    </row>
    <row r="5115" spans="9:13" x14ac:dyDescent="0.25">
      <c r="I5115" t="s">
        <v>2992</v>
      </c>
      <c r="J5115" s="161" t="s">
        <v>19202</v>
      </c>
      <c r="K5115" t="s">
        <v>19203</v>
      </c>
      <c r="L5115" t="s">
        <v>2991</v>
      </c>
      <c r="M5115" s="161" t="s">
        <v>19202</v>
      </c>
    </row>
    <row r="5116" spans="9:13" x14ac:dyDescent="0.25">
      <c r="I5116" t="s">
        <v>17727</v>
      </c>
      <c r="J5116" s="161" t="s">
        <v>19202</v>
      </c>
      <c r="K5116" t="s">
        <v>19203</v>
      </c>
      <c r="L5116" t="s">
        <v>1374</v>
      </c>
      <c r="M5116" s="161" t="s">
        <v>19202</v>
      </c>
    </row>
    <row r="5117" spans="9:13" x14ac:dyDescent="0.25">
      <c r="I5117" t="s">
        <v>2013</v>
      </c>
      <c r="J5117" s="161" t="s">
        <v>19202</v>
      </c>
      <c r="K5117" t="s">
        <v>19203</v>
      </c>
      <c r="L5117" t="s">
        <v>2012</v>
      </c>
      <c r="M5117" s="161" t="s">
        <v>19202</v>
      </c>
    </row>
    <row r="5118" spans="9:13" x14ac:dyDescent="0.25">
      <c r="I5118" t="s">
        <v>10437</v>
      </c>
      <c r="J5118" s="161" t="s">
        <v>19202</v>
      </c>
      <c r="K5118" t="s">
        <v>19203</v>
      </c>
      <c r="L5118" t="s">
        <v>10436</v>
      </c>
      <c r="M5118" s="161" t="s">
        <v>19202</v>
      </c>
    </row>
    <row r="5119" spans="9:13" x14ac:dyDescent="0.25">
      <c r="I5119" t="s">
        <v>19791</v>
      </c>
      <c r="J5119" s="161" t="s">
        <v>19202</v>
      </c>
      <c r="K5119" t="s">
        <v>19203</v>
      </c>
      <c r="L5119" t="s">
        <v>19792</v>
      </c>
      <c r="M5119" s="161" t="s">
        <v>19202</v>
      </c>
    </row>
    <row r="5120" spans="9:13" x14ac:dyDescent="0.25">
      <c r="I5120" t="s">
        <v>10814</v>
      </c>
      <c r="J5120" s="161" t="s">
        <v>19202</v>
      </c>
      <c r="K5120" t="s">
        <v>19203</v>
      </c>
      <c r="L5120" t="s">
        <v>10813</v>
      </c>
      <c r="M5120" s="161" t="s">
        <v>19202</v>
      </c>
    </row>
    <row r="5121" spans="9:13" x14ac:dyDescent="0.25">
      <c r="I5121" t="s">
        <v>4045</v>
      </c>
      <c r="J5121" s="161" t="s">
        <v>19202</v>
      </c>
      <c r="K5121" t="s">
        <v>19203</v>
      </c>
      <c r="L5121" t="s">
        <v>4044</v>
      </c>
      <c r="M5121" s="161" t="s">
        <v>19202</v>
      </c>
    </row>
    <row r="5122" spans="9:13" x14ac:dyDescent="0.25">
      <c r="I5122" t="s">
        <v>19793</v>
      </c>
      <c r="J5122" s="161" t="s">
        <v>19202</v>
      </c>
      <c r="K5122" t="s">
        <v>19203</v>
      </c>
      <c r="L5122" t="s">
        <v>19794</v>
      </c>
      <c r="M5122" s="161" t="s">
        <v>19202</v>
      </c>
    </row>
    <row r="5123" spans="9:13" x14ac:dyDescent="0.25">
      <c r="I5123" t="s">
        <v>11765</v>
      </c>
      <c r="J5123" s="161" t="s">
        <v>19202</v>
      </c>
      <c r="K5123" t="s">
        <v>19203</v>
      </c>
      <c r="L5123" t="s">
        <v>11764</v>
      </c>
      <c r="M5123" s="161" t="s">
        <v>19202</v>
      </c>
    </row>
    <row r="5124" spans="9:13" x14ac:dyDescent="0.25">
      <c r="I5124" t="s">
        <v>11763</v>
      </c>
      <c r="J5124" s="161" t="s">
        <v>19202</v>
      </c>
      <c r="K5124" t="s">
        <v>19203</v>
      </c>
      <c r="L5124" t="s">
        <v>11762</v>
      </c>
      <c r="M5124" s="161" t="s">
        <v>19202</v>
      </c>
    </row>
    <row r="5125" spans="9:13" x14ac:dyDescent="0.25">
      <c r="I5125" t="s">
        <v>11774</v>
      </c>
      <c r="J5125" s="161" t="s">
        <v>19202</v>
      </c>
      <c r="K5125" t="s">
        <v>19203</v>
      </c>
      <c r="L5125" t="s">
        <v>6715</v>
      </c>
      <c r="M5125" s="161" t="s">
        <v>19202</v>
      </c>
    </row>
    <row r="5126" spans="9:13" x14ac:dyDescent="0.25">
      <c r="I5126" t="s">
        <v>2318</v>
      </c>
      <c r="J5126" s="161" t="s">
        <v>19202</v>
      </c>
      <c r="K5126" t="s">
        <v>19203</v>
      </c>
      <c r="L5126" t="s">
        <v>2317</v>
      </c>
      <c r="M5126" s="161" t="s">
        <v>19202</v>
      </c>
    </row>
    <row r="5127" spans="9:13" x14ac:dyDescent="0.25">
      <c r="I5127" t="s">
        <v>11283</v>
      </c>
      <c r="J5127" s="161" t="s">
        <v>19202</v>
      </c>
      <c r="K5127" t="s">
        <v>19203</v>
      </c>
      <c r="L5127" t="s">
        <v>11282</v>
      </c>
      <c r="M5127" s="161" t="s">
        <v>19202</v>
      </c>
    </row>
    <row r="5128" spans="9:13" x14ac:dyDescent="0.25">
      <c r="I5128" t="s">
        <v>15010</v>
      </c>
      <c r="J5128" s="161" t="s">
        <v>19202</v>
      </c>
      <c r="K5128" t="s">
        <v>19203</v>
      </c>
      <c r="L5128" t="s">
        <v>15009</v>
      </c>
      <c r="M5128" s="161" t="s">
        <v>19202</v>
      </c>
    </row>
    <row r="5129" spans="9:13" x14ac:dyDescent="0.25">
      <c r="I5129" t="s">
        <v>4846</v>
      </c>
      <c r="J5129" s="161" t="s">
        <v>19202</v>
      </c>
      <c r="K5129" t="s">
        <v>19203</v>
      </c>
      <c r="L5129" t="s">
        <v>3934</v>
      </c>
      <c r="M5129" s="161" t="s">
        <v>19202</v>
      </c>
    </row>
    <row r="5130" spans="9:13" x14ac:dyDescent="0.25">
      <c r="I5130" t="s">
        <v>16333</v>
      </c>
      <c r="J5130" s="161" t="s">
        <v>19202</v>
      </c>
      <c r="K5130" t="s">
        <v>19203</v>
      </c>
      <c r="L5130" t="s">
        <v>1374</v>
      </c>
      <c r="M5130" s="161" t="s">
        <v>19202</v>
      </c>
    </row>
    <row r="5131" spans="9:13" x14ac:dyDescent="0.25">
      <c r="I5131" t="s">
        <v>797</v>
      </c>
      <c r="J5131" s="161" t="s">
        <v>19202</v>
      </c>
      <c r="K5131" t="s">
        <v>19203</v>
      </c>
      <c r="L5131" t="s">
        <v>632</v>
      </c>
      <c r="M5131" s="161" t="s">
        <v>19202</v>
      </c>
    </row>
    <row r="5132" spans="9:13" x14ac:dyDescent="0.25">
      <c r="I5132" t="s">
        <v>19795</v>
      </c>
      <c r="J5132" s="161" t="s">
        <v>19202</v>
      </c>
      <c r="K5132" t="s">
        <v>19203</v>
      </c>
      <c r="L5132" t="s">
        <v>19796</v>
      </c>
      <c r="M5132" s="161" t="s">
        <v>19202</v>
      </c>
    </row>
    <row r="5133" spans="9:13" x14ac:dyDescent="0.25">
      <c r="I5133" t="s">
        <v>9326</v>
      </c>
      <c r="J5133" s="161" t="s">
        <v>19202</v>
      </c>
      <c r="K5133" t="s">
        <v>19203</v>
      </c>
      <c r="L5133" t="s">
        <v>9325</v>
      </c>
      <c r="M5133" s="161" t="s">
        <v>19202</v>
      </c>
    </row>
    <row r="5134" spans="9:13" x14ac:dyDescent="0.25">
      <c r="I5134" t="s">
        <v>792</v>
      </c>
      <c r="J5134" s="161" t="s">
        <v>19202</v>
      </c>
      <c r="K5134" t="s">
        <v>19203</v>
      </c>
      <c r="L5134" t="s">
        <v>791</v>
      </c>
      <c r="M5134" s="161" t="s">
        <v>19202</v>
      </c>
    </row>
    <row r="5135" spans="9:13" x14ac:dyDescent="0.25">
      <c r="I5135" t="s">
        <v>2990</v>
      </c>
      <c r="J5135" s="161" t="s">
        <v>19202</v>
      </c>
      <c r="K5135" t="s">
        <v>19203</v>
      </c>
      <c r="L5135" t="s">
        <v>2989</v>
      </c>
      <c r="M5135" s="161" t="s">
        <v>19202</v>
      </c>
    </row>
    <row r="5136" spans="9:13" x14ac:dyDescent="0.25">
      <c r="I5136" t="s">
        <v>10834</v>
      </c>
      <c r="J5136" s="161" t="s">
        <v>19202</v>
      </c>
      <c r="K5136" t="s">
        <v>19203</v>
      </c>
      <c r="L5136" t="s">
        <v>10833</v>
      </c>
      <c r="M5136" s="161" t="s">
        <v>19202</v>
      </c>
    </row>
    <row r="5137" spans="9:13" x14ac:dyDescent="0.25">
      <c r="I5137" t="s">
        <v>10830</v>
      </c>
      <c r="J5137" s="161" t="s">
        <v>19202</v>
      </c>
      <c r="K5137" t="s">
        <v>19203</v>
      </c>
      <c r="L5137" t="s">
        <v>10829</v>
      </c>
      <c r="M5137" s="161" t="s">
        <v>19202</v>
      </c>
    </row>
    <row r="5138" spans="9:13" x14ac:dyDescent="0.25">
      <c r="I5138" t="s">
        <v>11297</v>
      </c>
      <c r="J5138" s="161" t="s">
        <v>19202</v>
      </c>
      <c r="K5138" t="s">
        <v>19203</v>
      </c>
      <c r="L5138" t="s">
        <v>11296</v>
      </c>
      <c r="M5138" s="161" t="s">
        <v>19202</v>
      </c>
    </row>
    <row r="5139" spans="9:13" x14ac:dyDescent="0.25">
      <c r="I5139" t="s">
        <v>10590</v>
      </c>
      <c r="J5139" s="161" t="s">
        <v>19202</v>
      </c>
      <c r="K5139" t="s">
        <v>19203</v>
      </c>
      <c r="L5139" t="s">
        <v>10589</v>
      </c>
      <c r="M5139" s="161" t="s">
        <v>19202</v>
      </c>
    </row>
    <row r="5140" spans="9:13" x14ac:dyDescent="0.25">
      <c r="I5140" t="s">
        <v>10586</v>
      </c>
      <c r="J5140" s="161" t="s">
        <v>19202</v>
      </c>
      <c r="K5140" t="s">
        <v>19203</v>
      </c>
      <c r="L5140" t="s">
        <v>10585</v>
      </c>
      <c r="M5140" s="161" t="s">
        <v>19202</v>
      </c>
    </row>
    <row r="5141" spans="9:13" x14ac:dyDescent="0.25">
      <c r="I5141" t="s">
        <v>10864</v>
      </c>
      <c r="J5141" s="161" t="s">
        <v>19202</v>
      </c>
      <c r="K5141" t="s">
        <v>19203</v>
      </c>
      <c r="L5141" t="s">
        <v>10863</v>
      </c>
      <c r="M5141" s="161" t="s">
        <v>19202</v>
      </c>
    </row>
    <row r="5142" spans="9:13" x14ac:dyDescent="0.25">
      <c r="I5142" t="s">
        <v>11097</v>
      </c>
      <c r="J5142" s="161" t="s">
        <v>19202</v>
      </c>
      <c r="K5142" t="s">
        <v>19203</v>
      </c>
      <c r="L5142" t="s">
        <v>700</v>
      </c>
      <c r="M5142" s="161" t="s">
        <v>19202</v>
      </c>
    </row>
    <row r="5143" spans="9:13" x14ac:dyDescent="0.25">
      <c r="I5143" t="s">
        <v>11042</v>
      </c>
      <c r="J5143" s="161" t="s">
        <v>19202</v>
      </c>
      <c r="K5143" t="s">
        <v>19203</v>
      </c>
      <c r="L5143" t="s">
        <v>11041</v>
      </c>
      <c r="M5143" s="161" t="s">
        <v>19202</v>
      </c>
    </row>
    <row r="5144" spans="9:13" x14ac:dyDescent="0.25">
      <c r="I5144" t="s">
        <v>10133</v>
      </c>
      <c r="J5144" s="161" t="s">
        <v>19202</v>
      </c>
      <c r="K5144" t="s">
        <v>19203</v>
      </c>
      <c r="L5144" t="s">
        <v>10132</v>
      </c>
      <c r="M5144" s="161" t="s">
        <v>19202</v>
      </c>
    </row>
    <row r="5145" spans="9:13" x14ac:dyDescent="0.25">
      <c r="I5145" t="s">
        <v>10580</v>
      </c>
      <c r="J5145" s="161" t="s">
        <v>19202</v>
      </c>
      <c r="K5145" t="s">
        <v>19203</v>
      </c>
      <c r="L5145" t="s">
        <v>10579</v>
      </c>
      <c r="M5145" s="161" t="s">
        <v>19202</v>
      </c>
    </row>
    <row r="5146" spans="9:13" x14ac:dyDescent="0.25">
      <c r="I5146" t="s">
        <v>4616</v>
      </c>
      <c r="J5146" s="161" t="s">
        <v>19202</v>
      </c>
      <c r="K5146" t="s">
        <v>19203</v>
      </c>
      <c r="L5146" t="s">
        <v>4615</v>
      </c>
      <c r="M5146" s="161" t="s">
        <v>19202</v>
      </c>
    </row>
    <row r="5147" spans="9:13" x14ac:dyDescent="0.25">
      <c r="I5147" t="s">
        <v>11773</v>
      </c>
      <c r="J5147" s="161" t="s">
        <v>19202</v>
      </c>
      <c r="K5147" t="s">
        <v>19203</v>
      </c>
      <c r="L5147" t="s">
        <v>11772</v>
      </c>
      <c r="M5147" s="161" t="s">
        <v>19202</v>
      </c>
    </row>
    <row r="5148" spans="9:13" x14ac:dyDescent="0.25">
      <c r="I5148" t="s">
        <v>12166</v>
      </c>
      <c r="J5148" s="161" t="s">
        <v>19202</v>
      </c>
      <c r="K5148" t="s">
        <v>19203</v>
      </c>
      <c r="L5148" t="s">
        <v>12165</v>
      </c>
      <c r="M5148" s="161" t="s">
        <v>19202</v>
      </c>
    </row>
    <row r="5149" spans="9:13" x14ac:dyDescent="0.25">
      <c r="I5149" t="s">
        <v>15006</v>
      </c>
      <c r="J5149" s="161" t="s">
        <v>19202</v>
      </c>
      <c r="K5149" t="s">
        <v>19203</v>
      </c>
      <c r="L5149" t="s">
        <v>15005</v>
      </c>
      <c r="M5149" s="161" t="s">
        <v>19202</v>
      </c>
    </row>
    <row r="5150" spans="9:13" x14ac:dyDescent="0.25">
      <c r="I5150" t="s">
        <v>2695</v>
      </c>
      <c r="J5150" s="161" t="s">
        <v>19202</v>
      </c>
      <c r="K5150" t="s">
        <v>19203</v>
      </c>
      <c r="L5150" t="s">
        <v>2694</v>
      </c>
      <c r="M5150" s="161" t="s">
        <v>19202</v>
      </c>
    </row>
    <row r="5151" spans="9:13" x14ac:dyDescent="0.25">
      <c r="I5151" t="s">
        <v>2473</v>
      </c>
      <c r="J5151" s="161" t="s">
        <v>19202</v>
      </c>
      <c r="K5151" t="s">
        <v>19203</v>
      </c>
      <c r="L5151" t="s">
        <v>2472</v>
      </c>
      <c r="M5151" s="161" t="s">
        <v>19202</v>
      </c>
    </row>
    <row r="5152" spans="9:13" x14ac:dyDescent="0.25">
      <c r="I5152" t="s">
        <v>6000</v>
      </c>
      <c r="J5152" s="161" t="s">
        <v>19202</v>
      </c>
      <c r="K5152" t="s">
        <v>19203</v>
      </c>
      <c r="L5152" t="s">
        <v>5999</v>
      </c>
      <c r="M5152" s="161" t="s">
        <v>19202</v>
      </c>
    </row>
    <row r="5153" spans="9:13" x14ac:dyDescent="0.25">
      <c r="I5153" t="s">
        <v>12520</v>
      </c>
      <c r="J5153" s="161" t="s">
        <v>19202</v>
      </c>
      <c r="K5153" t="s">
        <v>19203</v>
      </c>
      <c r="L5153" t="s">
        <v>12519</v>
      </c>
      <c r="M5153" s="161" t="s">
        <v>19202</v>
      </c>
    </row>
    <row r="5154" spans="9:13" x14ac:dyDescent="0.25">
      <c r="I5154" t="s">
        <v>4866</v>
      </c>
      <c r="J5154" s="161" t="s">
        <v>19202</v>
      </c>
      <c r="K5154" t="s">
        <v>19203</v>
      </c>
      <c r="L5154" t="s">
        <v>4865</v>
      </c>
      <c r="M5154" s="161" t="s">
        <v>19202</v>
      </c>
    </row>
    <row r="5155" spans="9:13" x14ac:dyDescent="0.25">
      <c r="I5155" t="s">
        <v>19797</v>
      </c>
      <c r="J5155" s="161" t="s">
        <v>19202</v>
      </c>
      <c r="K5155" t="s">
        <v>19203</v>
      </c>
      <c r="L5155" t="s">
        <v>19798</v>
      </c>
      <c r="M5155" s="161" t="s">
        <v>19202</v>
      </c>
    </row>
    <row r="5156" spans="9:13" x14ac:dyDescent="0.25">
      <c r="I5156" t="s">
        <v>569</v>
      </c>
      <c r="J5156" s="161" t="s">
        <v>19202</v>
      </c>
      <c r="K5156" t="s">
        <v>19203</v>
      </c>
      <c r="L5156" t="s">
        <v>568</v>
      </c>
      <c r="M5156" s="161" t="s">
        <v>19202</v>
      </c>
    </row>
    <row r="5157" spans="9:13" x14ac:dyDescent="0.25">
      <c r="I5157" t="s">
        <v>17874</v>
      </c>
      <c r="J5157" s="161" t="s">
        <v>19202</v>
      </c>
      <c r="K5157" t="s">
        <v>19203</v>
      </c>
      <c r="L5157" t="s">
        <v>934</v>
      </c>
      <c r="M5157" s="161" t="s">
        <v>19202</v>
      </c>
    </row>
    <row r="5158" spans="9:13" x14ac:dyDescent="0.25">
      <c r="I5158" t="s">
        <v>19799</v>
      </c>
      <c r="J5158" s="161" t="s">
        <v>19202</v>
      </c>
      <c r="K5158" t="s">
        <v>19203</v>
      </c>
      <c r="L5158" t="s">
        <v>19800</v>
      </c>
      <c r="M5158" s="161" t="s">
        <v>19202</v>
      </c>
    </row>
    <row r="5159" spans="9:13" x14ac:dyDescent="0.25">
      <c r="I5159" t="s">
        <v>16892</v>
      </c>
      <c r="J5159" s="161" t="s">
        <v>19202</v>
      </c>
      <c r="K5159" t="s">
        <v>19203</v>
      </c>
      <c r="L5159" t="s">
        <v>16891</v>
      </c>
      <c r="M5159" s="161" t="s">
        <v>19202</v>
      </c>
    </row>
    <row r="5160" spans="9:13" x14ac:dyDescent="0.25">
      <c r="I5160" t="s">
        <v>19801</v>
      </c>
      <c r="J5160" s="161" t="s">
        <v>19202</v>
      </c>
      <c r="K5160" t="s">
        <v>19203</v>
      </c>
      <c r="L5160" t="s">
        <v>19802</v>
      </c>
      <c r="M5160" s="161" t="s">
        <v>19202</v>
      </c>
    </row>
    <row r="5161" spans="9:13" x14ac:dyDescent="0.25">
      <c r="I5161" t="s">
        <v>15852</v>
      </c>
      <c r="J5161" s="161" t="s">
        <v>19202</v>
      </c>
      <c r="K5161" t="s">
        <v>19203</v>
      </c>
      <c r="L5161" t="s">
        <v>12868</v>
      </c>
      <c r="M5161" s="161" t="s">
        <v>19202</v>
      </c>
    </row>
    <row r="5162" spans="9:13" x14ac:dyDescent="0.25">
      <c r="I5162" t="s">
        <v>805</v>
      </c>
      <c r="J5162" s="161" t="s">
        <v>19202</v>
      </c>
      <c r="K5162" t="s">
        <v>19203</v>
      </c>
      <c r="L5162" t="s">
        <v>804</v>
      </c>
      <c r="M5162" s="161" t="s">
        <v>19202</v>
      </c>
    </row>
    <row r="5163" spans="9:13" x14ac:dyDescent="0.25">
      <c r="I5163" t="s">
        <v>9661</v>
      </c>
      <c r="J5163" s="161" t="s">
        <v>19202</v>
      </c>
      <c r="K5163" t="s">
        <v>19203</v>
      </c>
      <c r="L5163" t="s">
        <v>9660</v>
      </c>
      <c r="M5163" s="161" t="s">
        <v>19202</v>
      </c>
    </row>
    <row r="5164" spans="9:13" x14ac:dyDescent="0.25">
      <c r="I5164" t="s">
        <v>6137</v>
      </c>
      <c r="J5164" s="161" t="s">
        <v>19202</v>
      </c>
      <c r="K5164" t="s">
        <v>19203</v>
      </c>
      <c r="L5164" t="s">
        <v>6136</v>
      </c>
      <c r="M5164" s="161" t="s">
        <v>19202</v>
      </c>
    </row>
    <row r="5165" spans="9:13" x14ac:dyDescent="0.25">
      <c r="I5165" t="s">
        <v>6135</v>
      </c>
      <c r="J5165" s="161" t="s">
        <v>19202</v>
      </c>
      <c r="K5165" t="s">
        <v>19203</v>
      </c>
      <c r="L5165" t="s">
        <v>6134</v>
      </c>
      <c r="M5165" s="161" t="s">
        <v>19202</v>
      </c>
    </row>
    <row r="5166" spans="9:13" x14ac:dyDescent="0.25">
      <c r="I5166" t="s">
        <v>11187</v>
      </c>
      <c r="J5166" s="161" t="s">
        <v>19202</v>
      </c>
      <c r="K5166" t="s">
        <v>19203</v>
      </c>
      <c r="L5166" t="s">
        <v>11186</v>
      </c>
      <c r="M5166" s="161" t="s">
        <v>19202</v>
      </c>
    </row>
    <row r="5167" spans="9:13" x14ac:dyDescent="0.25">
      <c r="I5167" t="s">
        <v>11185</v>
      </c>
      <c r="J5167" s="161" t="s">
        <v>19202</v>
      </c>
      <c r="K5167" t="s">
        <v>19203</v>
      </c>
      <c r="L5167" t="s">
        <v>11184</v>
      </c>
      <c r="M5167" s="161" t="s">
        <v>19202</v>
      </c>
    </row>
    <row r="5168" spans="9:13" x14ac:dyDescent="0.25">
      <c r="I5168" t="s">
        <v>10716</v>
      </c>
      <c r="J5168" s="161" t="s">
        <v>19202</v>
      </c>
      <c r="K5168" t="s">
        <v>19203</v>
      </c>
      <c r="L5168" t="s">
        <v>10715</v>
      </c>
      <c r="M5168" s="161" t="s">
        <v>19202</v>
      </c>
    </row>
    <row r="5169" spans="9:13" x14ac:dyDescent="0.25">
      <c r="I5169" t="s">
        <v>10714</v>
      </c>
      <c r="J5169" s="161" t="s">
        <v>19202</v>
      </c>
      <c r="K5169" t="s">
        <v>19203</v>
      </c>
      <c r="L5169" t="s">
        <v>10713</v>
      </c>
      <c r="M5169" s="161" t="s">
        <v>19202</v>
      </c>
    </row>
    <row r="5170" spans="9:13" x14ac:dyDescent="0.25">
      <c r="I5170" t="s">
        <v>10712</v>
      </c>
      <c r="J5170" s="161" t="s">
        <v>19202</v>
      </c>
      <c r="K5170" t="s">
        <v>19203</v>
      </c>
      <c r="L5170" t="s">
        <v>10711</v>
      </c>
      <c r="M5170" s="161" t="s">
        <v>19202</v>
      </c>
    </row>
    <row r="5171" spans="9:13" x14ac:dyDescent="0.25">
      <c r="I5171" t="s">
        <v>10710</v>
      </c>
      <c r="J5171" s="161" t="s">
        <v>19202</v>
      </c>
      <c r="K5171" t="s">
        <v>19203</v>
      </c>
      <c r="L5171" t="s">
        <v>10709</v>
      </c>
      <c r="M5171" s="161" t="s">
        <v>19202</v>
      </c>
    </row>
    <row r="5172" spans="9:13" x14ac:dyDescent="0.25">
      <c r="I5172" t="s">
        <v>799</v>
      </c>
      <c r="J5172" s="161" t="s">
        <v>19202</v>
      </c>
      <c r="K5172" t="s">
        <v>19203</v>
      </c>
      <c r="L5172" t="s">
        <v>798</v>
      </c>
      <c r="M5172" s="161" t="s">
        <v>19202</v>
      </c>
    </row>
    <row r="5173" spans="9:13" x14ac:dyDescent="0.25">
      <c r="I5173" t="s">
        <v>6517</v>
      </c>
      <c r="J5173" s="161" t="s">
        <v>19202</v>
      </c>
      <c r="K5173" t="s">
        <v>19203</v>
      </c>
      <c r="L5173" t="s">
        <v>6516</v>
      </c>
      <c r="M5173" s="161" t="s">
        <v>19202</v>
      </c>
    </row>
    <row r="5174" spans="9:13" x14ac:dyDescent="0.25">
      <c r="I5174" t="s">
        <v>1063</v>
      </c>
      <c r="J5174" s="161" t="s">
        <v>19202</v>
      </c>
      <c r="K5174" t="s">
        <v>19203</v>
      </c>
      <c r="L5174" t="s">
        <v>1062</v>
      </c>
      <c r="M5174" s="161" t="s">
        <v>19202</v>
      </c>
    </row>
    <row r="5175" spans="9:13" x14ac:dyDescent="0.25">
      <c r="I5175" t="s">
        <v>10903</v>
      </c>
      <c r="J5175" s="161" t="s">
        <v>19202</v>
      </c>
      <c r="K5175" t="s">
        <v>19203</v>
      </c>
      <c r="L5175" t="s">
        <v>10902</v>
      </c>
      <c r="M5175" s="161" t="s">
        <v>19202</v>
      </c>
    </row>
    <row r="5176" spans="9:13" x14ac:dyDescent="0.25">
      <c r="I5176" t="s">
        <v>10547</v>
      </c>
      <c r="J5176" s="161" t="s">
        <v>19202</v>
      </c>
      <c r="K5176" t="s">
        <v>19203</v>
      </c>
      <c r="L5176" t="s">
        <v>10546</v>
      </c>
      <c r="M5176" s="161" t="s">
        <v>19202</v>
      </c>
    </row>
    <row r="5177" spans="9:13" x14ac:dyDescent="0.25">
      <c r="I5177" t="s">
        <v>10901</v>
      </c>
      <c r="J5177" s="161" t="s">
        <v>19202</v>
      </c>
      <c r="K5177" t="s">
        <v>19203</v>
      </c>
      <c r="L5177" t="s">
        <v>10900</v>
      </c>
      <c r="M5177" s="161" t="s">
        <v>19202</v>
      </c>
    </row>
    <row r="5178" spans="9:13" x14ac:dyDescent="0.25">
      <c r="I5178" t="s">
        <v>11099</v>
      </c>
      <c r="J5178" s="161" t="s">
        <v>19202</v>
      </c>
      <c r="K5178" t="s">
        <v>19203</v>
      </c>
      <c r="L5178" t="s">
        <v>11098</v>
      </c>
      <c r="M5178" s="161" t="s">
        <v>19202</v>
      </c>
    </row>
    <row r="5179" spans="9:13" x14ac:dyDescent="0.25">
      <c r="I5179" t="s">
        <v>19803</v>
      </c>
      <c r="J5179" s="161" t="s">
        <v>19202</v>
      </c>
      <c r="K5179" t="s">
        <v>19203</v>
      </c>
      <c r="L5179" t="s">
        <v>19804</v>
      </c>
      <c r="M5179" s="161" t="s">
        <v>19202</v>
      </c>
    </row>
    <row r="5180" spans="9:13" x14ac:dyDescent="0.25">
      <c r="I5180" t="s">
        <v>11036</v>
      </c>
      <c r="J5180" s="161" t="s">
        <v>19202</v>
      </c>
      <c r="K5180" t="s">
        <v>19203</v>
      </c>
      <c r="L5180" t="s">
        <v>11035</v>
      </c>
      <c r="M5180" s="161" t="s">
        <v>19202</v>
      </c>
    </row>
    <row r="5181" spans="9:13" x14ac:dyDescent="0.25">
      <c r="I5181" t="s">
        <v>11299</v>
      </c>
      <c r="J5181" s="161" t="s">
        <v>19202</v>
      </c>
      <c r="K5181" t="s">
        <v>19203</v>
      </c>
      <c r="L5181" t="s">
        <v>11298</v>
      </c>
      <c r="M5181" s="161" t="s">
        <v>19202</v>
      </c>
    </row>
    <row r="5182" spans="9:13" x14ac:dyDescent="0.25">
      <c r="I5182" t="s">
        <v>11092</v>
      </c>
      <c r="J5182" s="161" t="s">
        <v>19202</v>
      </c>
      <c r="K5182" t="s">
        <v>19203</v>
      </c>
      <c r="L5182" t="s">
        <v>11091</v>
      </c>
      <c r="M5182" s="161" t="s">
        <v>19202</v>
      </c>
    </row>
    <row r="5183" spans="9:13" x14ac:dyDescent="0.25">
      <c r="I5183" t="s">
        <v>10920</v>
      </c>
      <c r="J5183" s="161" t="s">
        <v>19202</v>
      </c>
      <c r="K5183" t="s">
        <v>19203</v>
      </c>
      <c r="L5183" t="s">
        <v>10919</v>
      </c>
      <c r="M5183" s="161" t="s">
        <v>19202</v>
      </c>
    </row>
    <row r="5184" spans="9:13" x14ac:dyDescent="0.25">
      <c r="I5184" t="s">
        <v>10918</v>
      </c>
      <c r="J5184" s="161" t="s">
        <v>19202</v>
      </c>
      <c r="K5184" t="s">
        <v>19203</v>
      </c>
      <c r="L5184" t="s">
        <v>10917</v>
      </c>
      <c r="M5184" s="161" t="s">
        <v>19202</v>
      </c>
    </row>
    <row r="5185" spans="9:13" x14ac:dyDescent="0.25">
      <c r="I5185" t="s">
        <v>10916</v>
      </c>
      <c r="J5185" s="161" t="s">
        <v>19202</v>
      </c>
      <c r="K5185" t="s">
        <v>19203</v>
      </c>
      <c r="L5185" t="s">
        <v>10915</v>
      </c>
      <c r="M5185" s="161" t="s">
        <v>19202</v>
      </c>
    </row>
    <row r="5186" spans="9:13" x14ac:dyDescent="0.25">
      <c r="I5186" t="s">
        <v>10914</v>
      </c>
      <c r="J5186" s="161" t="s">
        <v>19202</v>
      </c>
      <c r="K5186" t="s">
        <v>19203</v>
      </c>
      <c r="L5186" t="s">
        <v>405</v>
      </c>
      <c r="M5186" s="161" t="s">
        <v>19202</v>
      </c>
    </row>
    <row r="5187" spans="9:13" x14ac:dyDescent="0.25">
      <c r="I5187" t="s">
        <v>11155</v>
      </c>
      <c r="J5187" s="161" t="s">
        <v>19202</v>
      </c>
      <c r="K5187" t="s">
        <v>19203</v>
      </c>
      <c r="L5187" t="s">
        <v>11154</v>
      </c>
      <c r="M5187" s="161" t="s">
        <v>19202</v>
      </c>
    </row>
    <row r="5188" spans="9:13" x14ac:dyDescent="0.25">
      <c r="I5188" t="s">
        <v>10825</v>
      </c>
      <c r="J5188" s="161" t="s">
        <v>19202</v>
      </c>
      <c r="K5188" t="s">
        <v>19203</v>
      </c>
      <c r="L5188" t="s">
        <v>10824</v>
      </c>
      <c r="M5188" s="161" t="s">
        <v>19202</v>
      </c>
    </row>
    <row r="5189" spans="9:13" x14ac:dyDescent="0.25">
      <c r="I5189" t="s">
        <v>10821</v>
      </c>
      <c r="J5189" s="161" t="s">
        <v>19202</v>
      </c>
      <c r="K5189" t="s">
        <v>19203</v>
      </c>
      <c r="L5189" t="s">
        <v>10820</v>
      </c>
      <c r="M5189" s="161" t="s">
        <v>19202</v>
      </c>
    </row>
    <row r="5190" spans="9:13" x14ac:dyDescent="0.25">
      <c r="I5190" t="s">
        <v>19805</v>
      </c>
      <c r="J5190" s="161" t="s">
        <v>19202</v>
      </c>
      <c r="K5190" t="s">
        <v>19203</v>
      </c>
      <c r="L5190" t="s">
        <v>19806</v>
      </c>
      <c r="M5190" s="161" t="s">
        <v>19202</v>
      </c>
    </row>
    <row r="5191" spans="9:13" x14ac:dyDescent="0.25">
      <c r="I5191" t="s">
        <v>11003</v>
      </c>
      <c r="J5191" s="161" t="s">
        <v>19202</v>
      </c>
      <c r="K5191" t="s">
        <v>19203</v>
      </c>
      <c r="L5191" t="s">
        <v>11002</v>
      </c>
      <c r="M5191" s="161" t="s">
        <v>19202</v>
      </c>
    </row>
    <row r="5192" spans="9:13" x14ac:dyDescent="0.25">
      <c r="I5192" t="s">
        <v>11001</v>
      </c>
      <c r="J5192" s="161" t="s">
        <v>19202</v>
      </c>
      <c r="K5192" t="s">
        <v>19203</v>
      </c>
      <c r="L5192" t="s">
        <v>11000</v>
      </c>
      <c r="M5192" s="161" t="s">
        <v>19202</v>
      </c>
    </row>
    <row r="5193" spans="9:13" x14ac:dyDescent="0.25">
      <c r="I5193" t="s">
        <v>10999</v>
      </c>
      <c r="J5193" s="161" t="s">
        <v>19202</v>
      </c>
      <c r="K5193" t="s">
        <v>19203</v>
      </c>
      <c r="L5193" t="s">
        <v>10998</v>
      </c>
      <c r="M5193" s="161" t="s">
        <v>19202</v>
      </c>
    </row>
    <row r="5194" spans="9:13" x14ac:dyDescent="0.25">
      <c r="I5194" t="s">
        <v>10997</v>
      </c>
      <c r="J5194" s="161" t="s">
        <v>19202</v>
      </c>
      <c r="K5194" t="s">
        <v>19203</v>
      </c>
      <c r="L5194" t="s">
        <v>19807</v>
      </c>
      <c r="M5194" s="161" t="s">
        <v>19202</v>
      </c>
    </row>
    <row r="5195" spans="9:13" x14ac:dyDescent="0.25">
      <c r="I5195" t="s">
        <v>11295</v>
      </c>
      <c r="J5195" s="161" t="s">
        <v>19202</v>
      </c>
      <c r="K5195" t="s">
        <v>19203</v>
      </c>
      <c r="L5195" t="s">
        <v>11294</v>
      </c>
      <c r="M5195" s="161" t="s">
        <v>19202</v>
      </c>
    </row>
    <row r="5196" spans="9:13" x14ac:dyDescent="0.25">
      <c r="I5196" t="s">
        <v>10718</v>
      </c>
      <c r="J5196" s="161" t="s">
        <v>19202</v>
      </c>
      <c r="K5196" t="s">
        <v>19203</v>
      </c>
      <c r="L5196" t="s">
        <v>10717</v>
      </c>
      <c r="M5196" s="161" t="s">
        <v>19202</v>
      </c>
    </row>
    <row r="5197" spans="9:13" x14ac:dyDescent="0.25">
      <c r="I5197" t="s">
        <v>10996</v>
      </c>
      <c r="J5197" s="161" t="s">
        <v>19202</v>
      </c>
      <c r="K5197" t="s">
        <v>19203</v>
      </c>
      <c r="L5197" t="s">
        <v>10995</v>
      </c>
      <c r="M5197" s="161" t="s">
        <v>19202</v>
      </c>
    </row>
    <row r="5198" spans="9:13" x14ac:dyDescent="0.25">
      <c r="I5198" t="s">
        <v>10994</v>
      </c>
      <c r="J5198" s="161" t="s">
        <v>19202</v>
      </c>
      <c r="K5198" t="s">
        <v>19203</v>
      </c>
      <c r="L5198" t="s">
        <v>10993</v>
      </c>
      <c r="M5198" s="161" t="s">
        <v>19202</v>
      </c>
    </row>
    <row r="5199" spans="9:13" x14ac:dyDescent="0.25">
      <c r="I5199" t="s">
        <v>10990</v>
      </c>
      <c r="J5199" s="161" t="s">
        <v>19202</v>
      </c>
      <c r="K5199" t="s">
        <v>19203</v>
      </c>
      <c r="L5199" t="s">
        <v>10989</v>
      </c>
      <c r="M5199" s="161" t="s">
        <v>19202</v>
      </c>
    </row>
    <row r="5200" spans="9:13" x14ac:dyDescent="0.25">
      <c r="I5200" t="s">
        <v>10988</v>
      </c>
      <c r="J5200" s="161" t="s">
        <v>19202</v>
      </c>
      <c r="K5200" t="s">
        <v>19203</v>
      </c>
      <c r="L5200" t="s">
        <v>10987</v>
      </c>
      <c r="M5200" s="161" t="s">
        <v>19202</v>
      </c>
    </row>
    <row r="5201" spans="9:13" x14ac:dyDescent="0.25">
      <c r="I5201" t="s">
        <v>10602</v>
      </c>
      <c r="J5201" s="161" t="s">
        <v>19202</v>
      </c>
      <c r="K5201" t="s">
        <v>19203</v>
      </c>
      <c r="L5201" t="s">
        <v>10601</v>
      </c>
      <c r="M5201" s="161" t="s">
        <v>19202</v>
      </c>
    </row>
    <row r="5202" spans="9:13" x14ac:dyDescent="0.25">
      <c r="I5202" t="s">
        <v>10600</v>
      </c>
      <c r="J5202" s="161" t="s">
        <v>19202</v>
      </c>
      <c r="K5202" t="s">
        <v>19203</v>
      </c>
      <c r="L5202" t="s">
        <v>10599</v>
      </c>
      <c r="M5202" s="161" t="s">
        <v>19202</v>
      </c>
    </row>
    <row r="5203" spans="9:13" x14ac:dyDescent="0.25">
      <c r="I5203" t="s">
        <v>10598</v>
      </c>
      <c r="J5203" s="161" t="s">
        <v>19202</v>
      </c>
      <c r="K5203" t="s">
        <v>19203</v>
      </c>
      <c r="L5203" t="s">
        <v>10597</v>
      </c>
      <c r="M5203" s="161" t="s">
        <v>19202</v>
      </c>
    </row>
    <row r="5204" spans="9:13" x14ac:dyDescent="0.25">
      <c r="I5204" t="s">
        <v>10594</v>
      </c>
      <c r="J5204" s="161" t="s">
        <v>19202</v>
      </c>
      <c r="K5204" t="s">
        <v>19203</v>
      </c>
      <c r="L5204" t="s">
        <v>10593</v>
      </c>
      <c r="M5204" s="161" t="s">
        <v>19202</v>
      </c>
    </row>
    <row r="5205" spans="9:13" x14ac:dyDescent="0.25">
      <c r="I5205" t="s">
        <v>10592</v>
      </c>
      <c r="J5205" s="161" t="s">
        <v>19202</v>
      </c>
      <c r="K5205" t="s">
        <v>19203</v>
      </c>
      <c r="L5205" t="s">
        <v>10591</v>
      </c>
      <c r="M5205" s="161" t="s">
        <v>19202</v>
      </c>
    </row>
    <row r="5206" spans="9:13" x14ac:dyDescent="0.25">
      <c r="I5206" t="s">
        <v>11293</v>
      </c>
      <c r="J5206" s="161" t="s">
        <v>19202</v>
      </c>
      <c r="K5206" t="s">
        <v>19203</v>
      </c>
      <c r="L5206" t="s">
        <v>11292</v>
      </c>
      <c r="M5206" s="161" t="s">
        <v>19202</v>
      </c>
    </row>
    <row r="5207" spans="9:13" x14ac:dyDescent="0.25">
      <c r="I5207" t="s">
        <v>11153</v>
      </c>
      <c r="J5207" s="161" t="s">
        <v>19202</v>
      </c>
      <c r="K5207" t="s">
        <v>19203</v>
      </c>
      <c r="L5207" t="s">
        <v>11152</v>
      </c>
      <c r="M5207" s="161" t="s">
        <v>19202</v>
      </c>
    </row>
    <row r="5208" spans="9:13" x14ac:dyDescent="0.25">
      <c r="I5208" t="s">
        <v>10879</v>
      </c>
      <c r="J5208" s="161" t="s">
        <v>19202</v>
      </c>
      <c r="K5208" t="s">
        <v>19203</v>
      </c>
      <c r="L5208" t="s">
        <v>10878</v>
      </c>
      <c r="M5208" s="161" t="s">
        <v>19202</v>
      </c>
    </row>
    <row r="5209" spans="9:13" x14ac:dyDescent="0.25">
      <c r="I5209" t="s">
        <v>10582</v>
      </c>
      <c r="J5209" s="161" t="s">
        <v>19202</v>
      </c>
      <c r="K5209" t="s">
        <v>19203</v>
      </c>
      <c r="L5209" t="s">
        <v>10581</v>
      </c>
      <c r="M5209" s="161" t="s">
        <v>19202</v>
      </c>
    </row>
    <row r="5210" spans="9:13" x14ac:dyDescent="0.25">
      <c r="I5210" t="s">
        <v>10871</v>
      </c>
      <c r="J5210" s="161" t="s">
        <v>19202</v>
      </c>
      <c r="K5210" t="s">
        <v>19203</v>
      </c>
      <c r="L5210" t="s">
        <v>10870</v>
      </c>
      <c r="M5210" s="161" t="s">
        <v>19202</v>
      </c>
    </row>
    <row r="5211" spans="9:13" x14ac:dyDescent="0.25">
      <c r="I5211" t="s">
        <v>10651</v>
      </c>
      <c r="J5211" s="161" t="s">
        <v>19202</v>
      </c>
      <c r="K5211" t="s">
        <v>19203</v>
      </c>
      <c r="L5211" t="s">
        <v>10650</v>
      </c>
      <c r="M5211" s="161" t="s">
        <v>19202</v>
      </c>
    </row>
    <row r="5212" spans="9:13" x14ac:dyDescent="0.25">
      <c r="I5212" t="s">
        <v>10647</v>
      </c>
      <c r="J5212" s="161" t="s">
        <v>19202</v>
      </c>
      <c r="K5212" t="s">
        <v>19203</v>
      </c>
      <c r="L5212" t="s">
        <v>10646</v>
      </c>
      <c r="M5212" s="161" t="s">
        <v>19202</v>
      </c>
    </row>
    <row r="5213" spans="9:13" x14ac:dyDescent="0.25">
      <c r="I5213" t="s">
        <v>10645</v>
      </c>
      <c r="J5213" s="161" t="s">
        <v>19202</v>
      </c>
      <c r="K5213" t="s">
        <v>19203</v>
      </c>
      <c r="L5213" t="s">
        <v>10644</v>
      </c>
      <c r="M5213" s="161" t="s">
        <v>19202</v>
      </c>
    </row>
    <row r="5214" spans="9:13" x14ac:dyDescent="0.25">
      <c r="I5214" t="s">
        <v>10637</v>
      </c>
      <c r="J5214" s="161" t="s">
        <v>19202</v>
      </c>
      <c r="K5214" t="s">
        <v>19203</v>
      </c>
      <c r="L5214" t="s">
        <v>10636</v>
      </c>
      <c r="M5214" s="161" t="s">
        <v>19202</v>
      </c>
    </row>
    <row r="5215" spans="9:13" x14ac:dyDescent="0.25">
      <c r="I5215" t="s">
        <v>10635</v>
      </c>
      <c r="J5215" s="161" t="s">
        <v>19202</v>
      </c>
      <c r="K5215" t="s">
        <v>19203</v>
      </c>
      <c r="L5215" t="s">
        <v>10634</v>
      </c>
      <c r="M5215" s="161" t="s">
        <v>19202</v>
      </c>
    </row>
    <row r="5216" spans="9:13" x14ac:dyDescent="0.25">
      <c r="I5216" t="s">
        <v>10633</v>
      </c>
      <c r="J5216" s="161" t="s">
        <v>19202</v>
      </c>
      <c r="K5216" t="s">
        <v>19203</v>
      </c>
      <c r="L5216" t="s">
        <v>10632</v>
      </c>
      <c r="M5216" s="161" t="s">
        <v>19202</v>
      </c>
    </row>
    <row r="5217" spans="9:13" x14ac:dyDescent="0.25">
      <c r="I5217" t="s">
        <v>10801</v>
      </c>
      <c r="J5217" s="161" t="s">
        <v>19202</v>
      </c>
      <c r="K5217" t="s">
        <v>19203</v>
      </c>
      <c r="L5217" t="s">
        <v>10800</v>
      </c>
      <c r="M5217" s="161" t="s">
        <v>19202</v>
      </c>
    </row>
    <row r="5218" spans="9:13" x14ac:dyDescent="0.25">
      <c r="I5218" t="s">
        <v>10799</v>
      </c>
      <c r="J5218" s="161" t="s">
        <v>19202</v>
      </c>
      <c r="K5218" t="s">
        <v>19203</v>
      </c>
      <c r="L5218" t="s">
        <v>10798</v>
      </c>
      <c r="M5218" s="161" t="s">
        <v>19202</v>
      </c>
    </row>
    <row r="5219" spans="9:13" x14ac:dyDescent="0.25">
      <c r="I5219" t="s">
        <v>10797</v>
      </c>
      <c r="J5219" s="161" t="s">
        <v>19202</v>
      </c>
      <c r="K5219" t="s">
        <v>19203</v>
      </c>
      <c r="L5219" t="s">
        <v>10796</v>
      </c>
      <c r="M5219" s="161" t="s">
        <v>19202</v>
      </c>
    </row>
    <row r="5220" spans="9:13" x14ac:dyDescent="0.25">
      <c r="I5220" t="s">
        <v>10793</v>
      </c>
      <c r="J5220" s="161" t="s">
        <v>19202</v>
      </c>
      <c r="K5220" t="s">
        <v>19203</v>
      </c>
      <c r="L5220" t="s">
        <v>10792</v>
      </c>
      <c r="M5220" s="161" t="s">
        <v>19202</v>
      </c>
    </row>
    <row r="5221" spans="9:13" x14ac:dyDescent="0.25">
      <c r="I5221" t="s">
        <v>10791</v>
      </c>
      <c r="J5221" s="161" t="s">
        <v>19202</v>
      </c>
      <c r="K5221" t="s">
        <v>19203</v>
      </c>
      <c r="L5221" t="s">
        <v>10790</v>
      </c>
      <c r="M5221" s="161" t="s">
        <v>19202</v>
      </c>
    </row>
    <row r="5222" spans="9:13" x14ac:dyDescent="0.25">
      <c r="I5222" t="s">
        <v>10789</v>
      </c>
      <c r="J5222" s="161" t="s">
        <v>19202</v>
      </c>
      <c r="K5222" t="s">
        <v>19203</v>
      </c>
      <c r="L5222" t="s">
        <v>10788</v>
      </c>
      <c r="M5222" s="161" t="s">
        <v>19202</v>
      </c>
    </row>
    <row r="5223" spans="9:13" x14ac:dyDescent="0.25">
      <c r="I5223" t="s">
        <v>10911</v>
      </c>
      <c r="J5223" s="161" t="s">
        <v>19202</v>
      </c>
      <c r="K5223" t="s">
        <v>19203</v>
      </c>
      <c r="L5223" t="s">
        <v>10910</v>
      </c>
      <c r="M5223" s="161" t="s">
        <v>19202</v>
      </c>
    </row>
    <row r="5224" spans="9:13" x14ac:dyDescent="0.25">
      <c r="I5224" t="s">
        <v>11032</v>
      </c>
      <c r="J5224" s="161" t="s">
        <v>19202</v>
      </c>
      <c r="K5224" t="s">
        <v>19203</v>
      </c>
      <c r="L5224" t="s">
        <v>11031</v>
      </c>
      <c r="M5224" s="161" t="s">
        <v>19202</v>
      </c>
    </row>
    <row r="5225" spans="9:13" x14ac:dyDescent="0.25">
      <c r="I5225" t="s">
        <v>9805</v>
      </c>
      <c r="J5225" s="161" t="s">
        <v>19202</v>
      </c>
      <c r="K5225" t="s">
        <v>19203</v>
      </c>
      <c r="L5225" t="s">
        <v>9077</v>
      </c>
      <c r="M5225" s="161" t="s">
        <v>19202</v>
      </c>
    </row>
    <row r="5226" spans="9:13" x14ac:dyDescent="0.25">
      <c r="I5226" t="s">
        <v>9094</v>
      </c>
      <c r="J5226" s="161" t="s">
        <v>19202</v>
      </c>
      <c r="K5226" t="s">
        <v>19203</v>
      </c>
      <c r="L5226" t="s">
        <v>9093</v>
      </c>
      <c r="M5226" s="161" t="s">
        <v>19202</v>
      </c>
    </row>
    <row r="5227" spans="9:13" x14ac:dyDescent="0.25">
      <c r="I5227" t="s">
        <v>9092</v>
      </c>
      <c r="J5227" s="161" t="s">
        <v>19202</v>
      </c>
      <c r="K5227" t="s">
        <v>19203</v>
      </c>
      <c r="L5227" t="s">
        <v>9091</v>
      </c>
      <c r="M5227" s="161" t="s">
        <v>19202</v>
      </c>
    </row>
    <row r="5228" spans="9:13" x14ac:dyDescent="0.25">
      <c r="I5228" t="s">
        <v>9086</v>
      </c>
      <c r="J5228" s="161" t="s">
        <v>19202</v>
      </c>
      <c r="K5228" t="s">
        <v>19203</v>
      </c>
      <c r="L5228" t="s">
        <v>9085</v>
      </c>
      <c r="M5228" s="161" t="s">
        <v>19202</v>
      </c>
    </row>
    <row r="5229" spans="9:13" x14ac:dyDescent="0.25">
      <c r="I5229" t="s">
        <v>9082</v>
      </c>
      <c r="J5229" s="161" t="s">
        <v>19202</v>
      </c>
      <c r="K5229" t="s">
        <v>19203</v>
      </c>
      <c r="L5229" t="s">
        <v>9081</v>
      </c>
      <c r="M5229" s="161" t="s">
        <v>19202</v>
      </c>
    </row>
    <row r="5230" spans="9:13" x14ac:dyDescent="0.25">
      <c r="I5230" t="s">
        <v>3071</v>
      </c>
      <c r="J5230" s="161" t="s">
        <v>19202</v>
      </c>
      <c r="K5230" t="s">
        <v>19203</v>
      </c>
      <c r="L5230" t="s">
        <v>3070</v>
      </c>
      <c r="M5230" s="161" t="s">
        <v>19202</v>
      </c>
    </row>
    <row r="5231" spans="9:13" x14ac:dyDescent="0.25">
      <c r="I5231" t="s">
        <v>9850</v>
      </c>
      <c r="J5231" s="161" t="s">
        <v>19202</v>
      </c>
      <c r="K5231" t="s">
        <v>19203</v>
      </c>
      <c r="L5231" t="s">
        <v>9849</v>
      </c>
      <c r="M5231" s="161" t="s">
        <v>19202</v>
      </c>
    </row>
    <row r="5232" spans="9:13" x14ac:dyDescent="0.25">
      <c r="I5232" t="s">
        <v>3069</v>
      </c>
      <c r="J5232" s="161" t="s">
        <v>19202</v>
      </c>
      <c r="K5232" t="s">
        <v>19203</v>
      </c>
      <c r="L5232" t="s">
        <v>3068</v>
      </c>
      <c r="M5232" s="161" t="s">
        <v>19202</v>
      </c>
    </row>
    <row r="5233" spans="9:13" x14ac:dyDescent="0.25">
      <c r="I5233" t="s">
        <v>9848</v>
      </c>
      <c r="J5233" s="161" t="s">
        <v>19202</v>
      </c>
      <c r="K5233" t="s">
        <v>19203</v>
      </c>
      <c r="L5233" t="s">
        <v>9847</v>
      </c>
      <c r="M5233" s="161" t="s">
        <v>19202</v>
      </c>
    </row>
    <row r="5234" spans="9:13" x14ac:dyDescent="0.25">
      <c r="I5234" t="s">
        <v>9846</v>
      </c>
      <c r="J5234" s="161" t="s">
        <v>19202</v>
      </c>
      <c r="K5234" t="s">
        <v>19203</v>
      </c>
      <c r="L5234" t="s">
        <v>9845</v>
      </c>
      <c r="M5234" s="161" t="s">
        <v>19202</v>
      </c>
    </row>
    <row r="5235" spans="9:13" x14ac:dyDescent="0.25">
      <c r="I5235" t="s">
        <v>9844</v>
      </c>
      <c r="J5235" s="161" t="s">
        <v>19202</v>
      </c>
      <c r="K5235" t="s">
        <v>19203</v>
      </c>
      <c r="L5235" t="s">
        <v>9843</v>
      </c>
      <c r="M5235" s="161" t="s">
        <v>19202</v>
      </c>
    </row>
    <row r="5236" spans="9:13" x14ac:dyDescent="0.25">
      <c r="I5236" t="s">
        <v>9080</v>
      </c>
      <c r="J5236" s="161" t="s">
        <v>19202</v>
      </c>
      <c r="K5236" t="s">
        <v>19203</v>
      </c>
      <c r="L5236" t="s">
        <v>9079</v>
      </c>
      <c r="M5236" s="161" t="s">
        <v>19202</v>
      </c>
    </row>
    <row r="5237" spans="9:13" x14ac:dyDescent="0.25">
      <c r="I5237" t="s">
        <v>9078</v>
      </c>
      <c r="J5237" s="161" t="s">
        <v>19202</v>
      </c>
      <c r="K5237" t="s">
        <v>19203</v>
      </c>
      <c r="L5237" t="s">
        <v>9077</v>
      </c>
      <c r="M5237" s="161" t="s">
        <v>19202</v>
      </c>
    </row>
    <row r="5238" spans="9:13" x14ac:dyDescent="0.25">
      <c r="I5238" t="s">
        <v>11101</v>
      </c>
      <c r="J5238" s="161" t="s">
        <v>19202</v>
      </c>
      <c r="K5238" t="s">
        <v>19203</v>
      </c>
      <c r="L5238" t="s">
        <v>11100</v>
      </c>
      <c r="M5238" s="161" t="s">
        <v>19202</v>
      </c>
    </row>
    <row r="5239" spans="9:13" x14ac:dyDescent="0.25">
      <c r="I5239" t="s">
        <v>19808</v>
      </c>
      <c r="J5239" s="161" t="s">
        <v>19202</v>
      </c>
      <c r="K5239" t="s">
        <v>19203</v>
      </c>
      <c r="L5239" t="s">
        <v>19809</v>
      </c>
      <c r="M5239" s="161" t="s">
        <v>19202</v>
      </c>
    </row>
    <row r="5240" spans="9:13" x14ac:dyDescent="0.25">
      <c r="I5240" t="s">
        <v>19810</v>
      </c>
      <c r="J5240" s="161" t="s">
        <v>19202</v>
      </c>
      <c r="K5240" t="s">
        <v>19203</v>
      </c>
      <c r="L5240" t="s">
        <v>19811</v>
      </c>
      <c r="M5240" s="161" t="s">
        <v>19202</v>
      </c>
    </row>
    <row r="5241" spans="9:13" x14ac:dyDescent="0.25">
      <c r="I5241" t="s">
        <v>15599</v>
      </c>
      <c r="J5241" s="161" t="s">
        <v>19202</v>
      </c>
      <c r="K5241" t="s">
        <v>19203</v>
      </c>
      <c r="L5241" t="s">
        <v>15598</v>
      </c>
      <c r="M5241" s="161" t="s">
        <v>19202</v>
      </c>
    </row>
    <row r="5242" spans="9:13" x14ac:dyDescent="0.25">
      <c r="I5242" t="s">
        <v>3676</v>
      </c>
      <c r="J5242" s="161" t="s">
        <v>19202</v>
      </c>
      <c r="K5242" t="s">
        <v>19203</v>
      </c>
      <c r="L5242" t="s">
        <v>3675</v>
      </c>
      <c r="M5242" s="161" t="s">
        <v>19202</v>
      </c>
    </row>
    <row r="5243" spans="9:13" x14ac:dyDescent="0.25">
      <c r="I5243" t="s">
        <v>1167</v>
      </c>
      <c r="J5243" s="161" t="s">
        <v>19202</v>
      </c>
      <c r="K5243" t="s">
        <v>19203</v>
      </c>
      <c r="L5243" t="s">
        <v>405</v>
      </c>
      <c r="M5243" s="161" t="s">
        <v>19202</v>
      </c>
    </row>
    <row r="5244" spans="9:13" x14ac:dyDescent="0.25">
      <c r="I5244" t="s">
        <v>63</v>
      </c>
      <c r="J5244" s="161" t="s">
        <v>19202</v>
      </c>
      <c r="K5244" t="s">
        <v>19203</v>
      </c>
      <c r="L5244" t="s">
        <v>62</v>
      </c>
      <c r="M5244" s="161" t="s">
        <v>19202</v>
      </c>
    </row>
    <row r="5245" spans="9:13" x14ac:dyDescent="0.25">
      <c r="I5245" t="s">
        <v>2994</v>
      </c>
      <c r="J5245" s="161" t="s">
        <v>19202</v>
      </c>
      <c r="K5245" t="s">
        <v>19203</v>
      </c>
      <c r="L5245" t="s">
        <v>2993</v>
      </c>
      <c r="M5245" s="161" t="s">
        <v>19202</v>
      </c>
    </row>
    <row r="5246" spans="9:13" x14ac:dyDescent="0.25">
      <c r="I5246" t="s">
        <v>4563</v>
      </c>
      <c r="J5246" s="161" t="s">
        <v>19202</v>
      </c>
      <c r="K5246" t="s">
        <v>19203</v>
      </c>
      <c r="L5246" t="s">
        <v>4562</v>
      </c>
      <c r="M5246" s="161" t="s">
        <v>19202</v>
      </c>
    </row>
    <row r="5247" spans="9:13" x14ac:dyDescent="0.25">
      <c r="I5247" t="s">
        <v>6626</v>
      </c>
      <c r="J5247" s="161" t="s">
        <v>19202</v>
      </c>
      <c r="K5247" t="s">
        <v>19203</v>
      </c>
      <c r="L5247" t="s">
        <v>676</v>
      </c>
      <c r="M5247" s="161" t="s">
        <v>19202</v>
      </c>
    </row>
    <row r="5248" spans="9:13" x14ac:dyDescent="0.25">
      <c r="I5248" t="s">
        <v>6825</v>
      </c>
      <c r="J5248" s="161" t="s">
        <v>19202</v>
      </c>
      <c r="K5248" t="s">
        <v>19203</v>
      </c>
      <c r="L5248" t="s">
        <v>6824</v>
      </c>
      <c r="M5248" s="161" t="s">
        <v>19202</v>
      </c>
    </row>
    <row r="5249" spans="9:13" x14ac:dyDescent="0.25">
      <c r="I5249" t="s">
        <v>2984</v>
      </c>
      <c r="J5249" s="161" t="s">
        <v>19202</v>
      </c>
      <c r="K5249" t="s">
        <v>19203</v>
      </c>
      <c r="L5249" t="s">
        <v>2983</v>
      </c>
      <c r="M5249" s="161" t="s">
        <v>19202</v>
      </c>
    </row>
    <row r="5250" spans="9:13" x14ac:dyDescent="0.25">
      <c r="I5250" t="s">
        <v>2982</v>
      </c>
      <c r="J5250" s="161" t="s">
        <v>19202</v>
      </c>
      <c r="K5250" t="s">
        <v>19203</v>
      </c>
      <c r="L5250" t="s">
        <v>2981</v>
      </c>
      <c r="M5250" s="161" t="s">
        <v>19202</v>
      </c>
    </row>
    <row r="5251" spans="9:13" x14ac:dyDescent="0.25">
      <c r="I5251" t="s">
        <v>3251</v>
      </c>
      <c r="J5251" s="161" t="s">
        <v>19202</v>
      </c>
      <c r="K5251" t="s">
        <v>19203</v>
      </c>
      <c r="L5251" t="s">
        <v>3250</v>
      </c>
      <c r="M5251" s="161" t="s">
        <v>19202</v>
      </c>
    </row>
    <row r="5252" spans="9:13" x14ac:dyDescent="0.25">
      <c r="I5252" t="s">
        <v>2980</v>
      </c>
      <c r="J5252" s="161" t="s">
        <v>19202</v>
      </c>
      <c r="K5252" t="s">
        <v>19203</v>
      </c>
      <c r="L5252" t="s">
        <v>2979</v>
      </c>
      <c r="M5252" s="161" t="s">
        <v>19202</v>
      </c>
    </row>
    <row r="5253" spans="9:13" x14ac:dyDescent="0.25">
      <c r="I5253" t="s">
        <v>2976</v>
      </c>
      <c r="J5253" s="161" t="s">
        <v>19202</v>
      </c>
      <c r="K5253" t="s">
        <v>19203</v>
      </c>
      <c r="L5253" t="s">
        <v>2936</v>
      </c>
      <c r="M5253" s="161" t="s">
        <v>19202</v>
      </c>
    </row>
    <row r="5254" spans="9:13" x14ac:dyDescent="0.25">
      <c r="I5254" t="s">
        <v>2975</v>
      </c>
      <c r="J5254" s="161" t="s">
        <v>19202</v>
      </c>
      <c r="K5254" t="s">
        <v>19203</v>
      </c>
      <c r="L5254" t="s">
        <v>2974</v>
      </c>
      <c r="M5254" s="161" t="s">
        <v>19202</v>
      </c>
    </row>
    <row r="5255" spans="9:13" x14ac:dyDescent="0.25">
      <c r="I5255" t="s">
        <v>3358</v>
      </c>
      <c r="J5255" s="161" t="s">
        <v>19202</v>
      </c>
      <c r="K5255" t="s">
        <v>19203</v>
      </c>
      <c r="L5255" t="s">
        <v>3357</v>
      </c>
      <c r="M5255" s="161" t="s">
        <v>19202</v>
      </c>
    </row>
    <row r="5256" spans="9:13" x14ac:dyDescent="0.25">
      <c r="I5256" t="s">
        <v>2971</v>
      </c>
      <c r="J5256" s="161" t="s">
        <v>19202</v>
      </c>
      <c r="K5256" t="s">
        <v>19203</v>
      </c>
      <c r="L5256" t="s">
        <v>2970</v>
      </c>
      <c r="M5256" s="161" t="s">
        <v>19202</v>
      </c>
    </row>
    <row r="5257" spans="9:13" x14ac:dyDescent="0.25">
      <c r="I5257" t="s">
        <v>10899</v>
      </c>
      <c r="J5257" s="161" t="s">
        <v>19202</v>
      </c>
      <c r="K5257" t="s">
        <v>19203</v>
      </c>
      <c r="L5257" t="s">
        <v>10898</v>
      </c>
      <c r="M5257" s="161" t="s">
        <v>19202</v>
      </c>
    </row>
    <row r="5258" spans="9:13" x14ac:dyDescent="0.25">
      <c r="I5258" t="s">
        <v>19812</v>
      </c>
      <c r="J5258" s="161" t="s">
        <v>19202</v>
      </c>
      <c r="K5258" t="s">
        <v>19203</v>
      </c>
      <c r="L5258" t="s">
        <v>19813</v>
      </c>
      <c r="M5258" s="161" t="s">
        <v>19202</v>
      </c>
    </row>
    <row r="5259" spans="9:13" x14ac:dyDescent="0.25">
      <c r="I5259" t="s">
        <v>11038</v>
      </c>
      <c r="J5259" s="161" t="s">
        <v>19202</v>
      </c>
      <c r="K5259" t="s">
        <v>19203</v>
      </c>
      <c r="L5259" t="s">
        <v>11037</v>
      </c>
      <c r="M5259" s="161" t="s">
        <v>19202</v>
      </c>
    </row>
    <row r="5260" spans="9:13" x14ac:dyDescent="0.25">
      <c r="I5260" t="s">
        <v>10596</v>
      </c>
      <c r="J5260" s="161" t="s">
        <v>19202</v>
      </c>
      <c r="K5260" t="s">
        <v>19203</v>
      </c>
      <c r="L5260" t="s">
        <v>10595</v>
      </c>
      <c r="M5260" s="161" t="s">
        <v>19202</v>
      </c>
    </row>
    <row r="5261" spans="9:13" x14ac:dyDescent="0.25">
      <c r="I5261" t="s">
        <v>10832</v>
      </c>
      <c r="J5261" s="161" t="s">
        <v>19202</v>
      </c>
      <c r="K5261" t="s">
        <v>19203</v>
      </c>
      <c r="L5261" t="s">
        <v>10831</v>
      </c>
      <c r="M5261" s="161" t="s">
        <v>19202</v>
      </c>
    </row>
    <row r="5262" spans="9:13" x14ac:dyDescent="0.25">
      <c r="I5262" t="s">
        <v>4986</v>
      </c>
      <c r="J5262" s="161" t="s">
        <v>19202</v>
      </c>
      <c r="K5262" t="s">
        <v>19203</v>
      </c>
      <c r="L5262" t="s">
        <v>4985</v>
      </c>
      <c r="M5262" s="161" t="s">
        <v>19202</v>
      </c>
    </row>
    <row r="5263" spans="9:13" x14ac:dyDescent="0.25">
      <c r="I5263" t="s">
        <v>8664</v>
      </c>
      <c r="J5263" s="161" t="s">
        <v>19202</v>
      </c>
      <c r="K5263" t="s">
        <v>19203</v>
      </c>
      <c r="L5263" t="s">
        <v>8663</v>
      </c>
      <c r="M5263" s="161" t="s">
        <v>19202</v>
      </c>
    </row>
    <row r="5264" spans="9:13" x14ac:dyDescent="0.25">
      <c r="I5264" t="s">
        <v>3285</v>
      </c>
      <c r="J5264" s="161" t="s">
        <v>19202</v>
      </c>
      <c r="K5264" t="s">
        <v>19203</v>
      </c>
      <c r="L5264" t="s">
        <v>3284</v>
      </c>
      <c r="M5264" s="161" t="s">
        <v>19202</v>
      </c>
    </row>
    <row r="5265" spans="9:13" x14ac:dyDescent="0.25">
      <c r="I5265" t="s">
        <v>2973</v>
      </c>
      <c r="J5265" s="161" t="s">
        <v>19202</v>
      </c>
      <c r="K5265" t="s">
        <v>19203</v>
      </c>
      <c r="L5265" t="s">
        <v>2972</v>
      </c>
      <c r="M5265" s="161" t="s">
        <v>19202</v>
      </c>
    </row>
    <row r="5266" spans="9:13" x14ac:dyDescent="0.25">
      <c r="I5266" t="s">
        <v>16633</v>
      </c>
      <c r="J5266" s="161" t="s">
        <v>19202</v>
      </c>
      <c r="K5266" t="s">
        <v>19203</v>
      </c>
      <c r="L5266" t="s">
        <v>16632</v>
      </c>
      <c r="M5266" s="161" t="s">
        <v>19202</v>
      </c>
    </row>
    <row r="5267" spans="9:13" x14ac:dyDescent="0.25">
      <c r="I5267" t="s">
        <v>11090</v>
      </c>
      <c r="J5267" s="161" t="s">
        <v>19202</v>
      </c>
      <c r="K5267" t="s">
        <v>19203</v>
      </c>
      <c r="L5267" t="s">
        <v>11089</v>
      </c>
      <c r="M5267" s="161" t="s">
        <v>19202</v>
      </c>
    </row>
    <row r="5268" spans="9:13" x14ac:dyDescent="0.25">
      <c r="I5268" t="s">
        <v>11034</v>
      </c>
      <c r="J5268" s="161" t="s">
        <v>19202</v>
      </c>
      <c r="K5268" t="s">
        <v>19203</v>
      </c>
      <c r="L5268" t="s">
        <v>11033</v>
      </c>
      <c r="M5268" s="161" t="s">
        <v>19202</v>
      </c>
    </row>
    <row r="5269" spans="9:13" x14ac:dyDescent="0.25">
      <c r="I5269" t="s">
        <v>11844</v>
      </c>
      <c r="J5269" s="161" t="s">
        <v>19202</v>
      </c>
      <c r="K5269" t="s">
        <v>19203</v>
      </c>
      <c r="L5269" t="s">
        <v>11843</v>
      </c>
      <c r="M5269" s="161" t="s">
        <v>19202</v>
      </c>
    </row>
    <row r="5270" spans="9:13" x14ac:dyDescent="0.25">
      <c r="I5270" t="s">
        <v>9140</v>
      </c>
      <c r="J5270" s="161" t="s">
        <v>19202</v>
      </c>
      <c r="K5270" t="s">
        <v>19203</v>
      </c>
      <c r="L5270" t="s">
        <v>9139</v>
      </c>
      <c r="M5270" s="161" t="s">
        <v>19202</v>
      </c>
    </row>
    <row r="5271" spans="9:13" x14ac:dyDescent="0.25">
      <c r="I5271" t="s">
        <v>10873</v>
      </c>
      <c r="J5271" s="161" t="s">
        <v>19202</v>
      </c>
      <c r="K5271" t="s">
        <v>19203</v>
      </c>
      <c r="L5271" t="s">
        <v>10872</v>
      </c>
      <c r="M5271" s="161" t="s">
        <v>19202</v>
      </c>
    </row>
    <row r="5272" spans="9:13" x14ac:dyDescent="0.25">
      <c r="I5272" t="s">
        <v>4198</v>
      </c>
      <c r="J5272" s="161" t="s">
        <v>19202</v>
      </c>
      <c r="K5272" t="s">
        <v>19203</v>
      </c>
      <c r="L5272" t="s">
        <v>4197</v>
      </c>
      <c r="M5272" s="161" t="s">
        <v>19202</v>
      </c>
    </row>
    <row r="5273" spans="9:13" x14ac:dyDescent="0.25">
      <c r="I5273" t="s">
        <v>7200</v>
      </c>
      <c r="J5273" s="161" t="s">
        <v>19202</v>
      </c>
      <c r="K5273" t="s">
        <v>19203</v>
      </c>
      <c r="L5273" t="s">
        <v>7199</v>
      </c>
      <c r="M5273" s="161" t="s">
        <v>19202</v>
      </c>
    </row>
    <row r="5274" spans="9:13" x14ac:dyDescent="0.25">
      <c r="I5274" t="s">
        <v>19814</v>
      </c>
      <c r="J5274" s="161" t="s">
        <v>19202</v>
      </c>
      <c r="K5274" t="s">
        <v>19203</v>
      </c>
      <c r="L5274" t="s">
        <v>19815</v>
      </c>
      <c r="M5274" s="161" t="s">
        <v>19202</v>
      </c>
    </row>
    <row r="5275" spans="9:13" x14ac:dyDescent="0.25">
      <c r="I5275" t="s">
        <v>1963</v>
      </c>
      <c r="J5275" s="161" t="s">
        <v>19202</v>
      </c>
      <c r="K5275" t="s">
        <v>19203</v>
      </c>
      <c r="L5275" t="s">
        <v>1962</v>
      </c>
      <c r="M5275" s="161" t="s">
        <v>19202</v>
      </c>
    </row>
    <row r="5276" spans="9:13" x14ac:dyDescent="0.25">
      <c r="I5276" t="s">
        <v>887</v>
      </c>
      <c r="J5276" s="161" t="s">
        <v>19202</v>
      </c>
      <c r="K5276" t="s">
        <v>19203</v>
      </c>
      <c r="L5276" t="s">
        <v>886</v>
      </c>
      <c r="M5276" s="161" t="s">
        <v>19202</v>
      </c>
    </row>
    <row r="5277" spans="9:13" x14ac:dyDescent="0.25">
      <c r="I5277" t="s">
        <v>17803</v>
      </c>
      <c r="J5277" s="161" t="s">
        <v>19202</v>
      </c>
      <c r="K5277" t="s">
        <v>19203</v>
      </c>
      <c r="L5277" t="s">
        <v>17802</v>
      </c>
      <c r="M5277" s="161" t="s">
        <v>19202</v>
      </c>
    </row>
    <row r="5278" spans="9:13" x14ac:dyDescent="0.25">
      <c r="I5278" t="s">
        <v>3281</v>
      </c>
      <c r="J5278" s="161" t="s">
        <v>19202</v>
      </c>
      <c r="K5278" t="s">
        <v>19203</v>
      </c>
      <c r="L5278" t="s">
        <v>3280</v>
      </c>
      <c r="M5278" s="161" t="s">
        <v>19202</v>
      </c>
    </row>
    <row r="5279" spans="9:13" x14ac:dyDescent="0.25">
      <c r="I5279" t="s">
        <v>10639</v>
      </c>
      <c r="J5279" s="161" t="s">
        <v>19202</v>
      </c>
      <c r="K5279" t="s">
        <v>19203</v>
      </c>
      <c r="L5279" t="s">
        <v>10638</v>
      </c>
      <c r="M5279" s="161" t="s">
        <v>19202</v>
      </c>
    </row>
    <row r="5280" spans="9:13" x14ac:dyDescent="0.25">
      <c r="I5280" t="s">
        <v>10627</v>
      </c>
      <c r="J5280" s="161" t="s">
        <v>19202</v>
      </c>
      <c r="K5280" t="s">
        <v>19203</v>
      </c>
      <c r="L5280" t="s">
        <v>10626</v>
      </c>
      <c r="M5280" s="161" t="s">
        <v>19202</v>
      </c>
    </row>
    <row r="5281" spans="9:13" x14ac:dyDescent="0.25">
      <c r="I5281" t="s">
        <v>10755</v>
      </c>
      <c r="J5281" s="161" t="s">
        <v>19202</v>
      </c>
      <c r="K5281" t="s">
        <v>19203</v>
      </c>
      <c r="L5281" t="s">
        <v>10754</v>
      </c>
      <c r="M5281" s="161" t="s">
        <v>19202</v>
      </c>
    </row>
    <row r="5282" spans="9:13" x14ac:dyDescent="0.25">
      <c r="I5282" t="s">
        <v>10905</v>
      </c>
      <c r="J5282" s="161" t="s">
        <v>19202</v>
      </c>
      <c r="K5282" t="s">
        <v>19203</v>
      </c>
      <c r="L5282" t="s">
        <v>10904</v>
      </c>
      <c r="M5282" s="161" t="s">
        <v>19202</v>
      </c>
    </row>
    <row r="5283" spans="9:13" x14ac:dyDescent="0.25">
      <c r="I5283" t="s">
        <v>10543</v>
      </c>
      <c r="J5283" s="161" t="s">
        <v>19202</v>
      </c>
      <c r="K5283" t="s">
        <v>19203</v>
      </c>
      <c r="L5283" t="s">
        <v>10542</v>
      </c>
      <c r="M5283" s="161" t="s">
        <v>19202</v>
      </c>
    </row>
    <row r="5284" spans="9:13" x14ac:dyDescent="0.25">
      <c r="I5284" t="s">
        <v>10541</v>
      </c>
      <c r="J5284" s="161" t="s">
        <v>19202</v>
      </c>
      <c r="K5284" t="s">
        <v>19203</v>
      </c>
      <c r="L5284" t="s">
        <v>10540</v>
      </c>
      <c r="M5284" s="161" t="s">
        <v>19202</v>
      </c>
    </row>
    <row r="5285" spans="9:13" x14ac:dyDescent="0.25">
      <c r="I5285" t="s">
        <v>10539</v>
      </c>
      <c r="J5285" s="161" t="s">
        <v>19202</v>
      </c>
      <c r="K5285" t="s">
        <v>19203</v>
      </c>
      <c r="L5285" t="s">
        <v>10538</v>
      </c>
      <c r="M5285" s="161" t="s">
        <v>19202</v>
      </c>
    </row>
    <row r="5286" spans="9:13" x14ac:dyDescent="0.25">
      <c r="I5286" t="s">
        <v>10706</v>
      </c>
      <c r="J5286" s="161" t="s">
        <v>19202</v>
      </c>
      <c r="K5286" t="s">
        <v>19203</v>
      </c>
      <c r="L5286" t="s">
        <v>10705</v>
      </c>
      <c r="M5286" s="161" t="s">
        <v>19202</v>
      </c>
    </row>
    <row r="5287" spans="9:13" x14ac:dyDescent="0.25">
      <c r="I5287" t="s">
        <v>10533</v>
      </c>
      <c r="J5287" s="161" t="s">
        <v>19202</v>
      </c>
      <c r="K5287" t="s">
        <v>19203</v>
      </c>
      <c r="L5287" t="s">
        <v>10532</v>
      </c>
      <c r="M5287" s="161" t="s">
        <v>19202</v>
      </c>
    </row>
    <row r="5288" spans="9:13" x14ac:dyDescent="0.25">
      <c r="I5288" t="s">
        <v>10860</v>
      </c>
      <c r="J5288" s="161" t="s">
        <v>19202</v>
      </c>
      <c r="K5288" t="s">
        <v>19203</v>
      </c>
      <c r="L5288" t="s">
        <v>10859</v>
      </c>
      <c r="M5288" s="161" t="s">
        <v>19202</v>
      </c>
    </row>
    <row r="5289" spans="9:13" x14ac:dyDescent="0.25">
      <c r="I5289" t="s">
        <v>19816</v>
      </c>
      <c r="J5289" s="161" t="s">
        <v>19202</v>
      </c>
      <c r="K5289" t="s">
        <v>19203</v>
      </c>
      <c r="L5289" t="s">
        <v>19817</v>
      </c>
      <c r="M5289" s="161" t="s">
        <v>19202</v>
      </c>
    </row>
    <row r="5290" spans="9:13" x14ac:dyDescent="0.25">
      <c r="I5290" t="s">
        <v>10530</v>
      </c>
      <c r="J5290" s="161" t="s">
        <v>19202</v>
      </c>
      <c r="K5290" t="s">
        <v>19203</v>
      </c>
      <c r="L5290" t="s">
        <v>10529</v>
      </c>
      <c r="M5290" s="161" t="s">
        <v>19202</v>
      </c>
    </row>
    <row r="5291" spans="9:13" x14ac:dyDescent="0.25">
      <c r="I5291" t="s">
        <v>10528</v>
      </c>
      <c r="J5291" s="161" t="s">
        <v>19202</v>
      </c>
      <c r="K5291" t="s">
        <v>19203</v>
      </c>
      <c r="L5291" t="s">
        <v>10527</v>
      </c>
      <c r="M5291" s="161" t="s">
        <v>19202</v>
      </c>
    </row>
    <row r="5292" spans="9:13" x14ac:dyDescent="0.25">
      <c r="I5292" t="s">
        <v>10623</v>
      </c>
      <c r="J5292" s="161" t="s">
        <v>19202</v>
      </c>
      <c r="K5292" t="s">
        <v>19203</v>
      </c>
      <c r="L5292" t="s">
        <v>10622</v>
      </c>
      <c r="M5292" s="161" t="s">
        <v>19202</v>
      </c>
    </row>
    <row r="5293" spans="9:13" x14ac:dyDescent="0.25">
      <c r="I5293" t="s">
        <v>10621</v>
      </c>
      <c r="J5293" s="161" t="s">
        <v>19202</v>
      </c>
      <c r="K5293" t="s">
        <v>19203</v>
      </c>
      <c r="L5293" t="s">
        <v>10620</v>
      </c>
      <c r="M5293" s="161" t="s">
        <v>19202</v>
      </c>
    </row>
    <row r="5294" spans="9:13" x14ac:dyDescent="0.25">
      <c r="I5294" t="s">
        <v>7033</v>
      </c>
      <c r="J5294" s="161" t="s">
        <v>19202</v>
      </c>
      <c r="K5294" t="s">
        <v>19203</v>
      </c>
      <c r="L5294" t="s">
        <v>7032</v>
      </c>
      <c r="M5294" s="161" t="s">
        <v>19202</v>
      </c>
    </row>
    <row r="5295" spans="9:13" x14ac:dyDescent="0.25">
      <c r="I5295" t="s">
        <v>10625</v>
      </c>
      <c r="J5295" s="161" t="s">
        <v>19202</v>
      </c>
      <c r="K5295" t="s">
        <v>19203</v>
      </c>
      <c r="L5295" t="s">
        <v>10624</v>
      </c>
      <c r="M5295" s="161" t="s">
        <v>19202</v>
      </c>
    </row>
    <row r="5296" spans="9:13" x14ac:dyDescent="0.25">
      <c r="I5296" t="s">
        <v>11227</v>
      </c>
      <c r="J5296" s="161" t="s">
        <v>19202</v>
      </c>
      <c r="K5296" t="s">
        <v>19203</v>
      </c>
      <c r="L5296" t="s">
        <v>11226</v>
      </c>
      <c r="M5296" s="161" t="s">
        <v>19202</v>
      </c>
    </row>
    <row r="5297" spans="9:13" x14ac:dyDescent="0.25">
      <c r="I5297" t="s">
        <v>1036</v>
      </c>
      <c r="J5297" s="161" t="s">
        <v>19202</v>
      </c>
      <c r="K5297" t="s">
        <v>19203</v>
      </c>
      <c r="L5297" t="s">
        <v>1035</v>
      </c>
      <c r="M5297" s="161" t="s">
        <v>19202</v>
      </c>
    </row>
    <row r="5298" spans="9:13" x14ac:dyDescent="0.25">
      <c r="I5298" t="s">
        <v>4837</v>
      </c>
      <c r="J5298" s="161" t="s">
        <v>19202</v>
      </c>
      <c r="K5298" t="s">
        <v>19203</v>
      </c>
      <c r="L5298" t="s">
        <v>4836</v>
      </c>
      <c r="M5298" s="161" t="s">
        <v>19202</v>
      </c>
    </row>
    <row r="5299" spans="9:13" x14ac:dyDescent="0.25">
      <c r="I5299" t="s">
        <v>10641</v>
      </c>
      <c r="J5299" s="161" t="s">
        <v>19202</v>
      </c>
      <c r="K5299" t="s">
        <v>19203</v>
      </c>
      <c r="L5299" t="s">
        <v>10640</v>
      </c>
      <c r="M5299" s="161" t="s">
        <v>19202</v>
      </c>
    </row>
    <row r="5300" spans="9:13" x14ac:dyDescent="0.25">
      <c r="I5300" t="s">
        <v>6833</v>
      </c>
      <c r="J5300" s="161" t="s">
        <v>19202</v>
      </c>
      <c r="K5300" t="s">
        <v>19203</v>
      </c>
      <c r="L5300" t="s">
        <v>6832</v>
      </c>
      <c r="M5300" s="161" t="s">
        <v>19202</v>
      </c>
    </row>
    <row r="5301" spans="9:13" x14ac:dyDescent="0.25">
      <c r="I5301" t="s">
        <v>15795</v>
      </c>
      <c r="J5301" s="161" t="s">
        <v>19202</v>
      </c>
      <c r="K5301" t="s">
        <v>19203</v>
      </c>
      <c r="L5301" t="s">
        <v>15794</v>
      </c>
      <c r="M5301" s="161" t="s">
        <v>19202</v>
      </c>
    </row>
    <row r="5302" spans="9:13" x14ac:dyDescent="0.25">
      <c r="I5302" t="s">
        <v>7447</v>
      </c>
      <c r="J5302" s="161" t="s">
        <v>19202</v>
      </c>
      <c r="K5302" t="s">
        <v>19203</v>
      </c>
      <c r="L5302" t="s">
        <v>7446</v>
      </c>
      <c r="M5302" s="161" t="s">
        <v>19202</v>
      </c>
    </row>
    <row r="5303" spans="9:13" x14ac:dyDescent="0.25">
      <c r="I5303" t="s">
        <v>7039</v>
      </c>
      <c r="J5303" s="161" t="s">
        <v>19202</v>
      </c>
      <c r="K5303" t="s">
        <v>19203</v>
      </c>
      <c r="L5303" t="s">
        <v>7038</v>
      </c>
      <c r="M5303" s="161" t="s">
        <v>19202</v>
      </c>
    </row>
    <row r="5304" spans="9:13" x14ac:dyDescent="0.25">
      <c r="I5304" t="s">
        <v>7031</v>
      </c>
      <c r="J5304" s="161" t="s">
        <v>19202</v>
      </c>
      <c r="K5304" t="s">
        <v>19203</v>
      </c>
      <c r="L5304" t="s">
        <v>7030</v>
      </c>
      <c r="M5304" s="161" t="s">
        <v>19202</v>
      </c>
    </row>
    <row r="5305" spans="9:13" x14ac:dyDescent="0.25">
      <c r="I5305" t="s">
        <v>19818</v>
      </c>
      <c r="J5305" s="161" t="s">
        <v>19202</v>
      </c>
      <c r="K5305" t="s">
        <v>19203</v>
      </c>
      <c r="L5305" t="s">
        <v>19819</v>
      </c>
      <c r="M5305" s="161" t="s">
        <v>19202</v>
      </c>
    </row>
    <row r="5306" spans="9:13" x14ac:dyDescent="0.25">
      <c r="I5306" t="s">
        <v>10472</v>
      </c>
      <c r="J5306" s="161" t="s">
        <v>19202</v>
      </c>
      <c r="K5306" t="s">
        <v>19203</v>
      </c>
      <c r="L5306" t="s">
        <v>10471</v>
      </c>
      <c r="M5306" s="161" t="s">
        <v>19202</v>
      </c>
    </row>
    <row r="5307" spans="9:13" x14ac:dyDescent="0.25">
      <c r="I5307" t="s">
        <v>3079</v>
      </c>
      <c r="J5307" s="161" t="s">
        <v>19202</v>
      </c>
      <c r="K5307" t="s">
        <v>19203</v>
      </c>
      <c r="L5307" t="s">
        <v>3078</v>
      </c>
      <c r="M5307" s="161" t="s">
        <v>19202</v>
      </c>
    </row>
    <row r="5308" spans="9:13" x14ac:dyDescent="0.25">
      <c r="I5308" t="s">
        <v>3412</v>
      </c>
      <c r="J5308" s="161" t="s">
        <v>19202</v>
      </c>
      <c r="K5308" t="s">
        <v>19203</v>
      </c>
      <c r="L5308" t="s">
        <v>3411</v>
      </c>
      <c r="M5308" s="161" t="s">
        <v>19202</v>
      </c>
    </row>
    <row r="5309" spans="9:13" x14ac:dyDescent="0.25">
      <c r="I5309" t="s">
        <v>10958</v>
      </c>
      <c r="J5309" s="161" t="s">
        <v>19202</v>
      </c>
      <c r="K5309" t="s">
        <v>19203</v>
      </c>
      <c r="L5309" t="s">
        <v>10957</v>
      </c>
      <c r="M5309" s="161" t="s">
        <v>19202</v>
      </c>
    </row>
    <row r="5310" spans="9:13" x14ac:dyDescent="0.25">
      <c r="I5310" t="s">
        <v>10862</v>
      </c>
      <c r="J5310" s="161" t="s">
        <v>19202</v>
      </c>
      <c r="K5310" t="s">
        <v>19203</v>
      </c>
      <c r="L5310" t="s">
        <v>10861</v>
      </c>
      <c r="M5310" s="161" t="s">
        <v>19202</v>
      </c>
    </row>
    <row r="5311" spans="9:13" x14ac:dyDescent="0.25">
      <c r="I5311" t="s">
        <v>15259</v>
      </c>
      <c r="J5311" s="161" t="s">
        <v>19202</v>
      </c>
      <c r="K5311" t="s">
        <v>19203</v>
      </c>
      <c r="L5311" t="s">
        <v>15258</v>
      </c>
      <c r="M5311" s="161" t="s">
        <v>19202</v>
      </c>
    </row>
    <row r="5312" spans="9:13" x14ac:dyDescent="0.25">
      <c r="I5312" t="s">
        <v>9669</v>
      </c>
      <c r="J5312" s="161" t="s">
        <v>19202</v>
      </c>
      <c r="K5312" t="s">
        <v>19203</v>
      </c>
      <c r="L5312" t="s">
        <v>9668</v>
      </c>
      <c r="M5312" s="161" t="s">
        <v>19202</v>
      </c>
    </row>
    <row r="5313" spans="9:13" x14ac:dyDescent="0.25">
      <c r="I5313" t="s">
        <v>17260</v>
      </c>
      <c r="J5313" s="161" t="s">
        <v>19202</v>
      </c>
      <c r="K5313" t="s">
        <v>19203</v>
      </c>
      <c r="L5313" t="s">
        <v>17259</v>
      </c>
      <c r="M5313" s="161" t="s">
        <v>19202</v>
      </c>
    </row>
    <row r="5314" spans="9:13" x14ac:dyDescent="0.25">
      <c r="I5314" t="s">
        <v>7037</v>
      </c>
      <c r="J5314" s="161" t="s">
        <v>19202</v>
      </c>
      <c r="K5314" t="s">
        <v>19203</v>
      </c>
      <c r="L5314" t="s">
        <v>7036</v>
      </c>
      <c r="M5314" s="161" t="s">
        <v>19202</v>
      </c>
    </row>
    <row r="5315" spans="9:13" x14ac:dyDescent="0.25">
      <c r="I5315" t="s">
        <v>7035</v>
      </c>
      <c r="J5315" s="161" t="s">
        <v>19202</v>
      </c>
      <c r="K5315" t="s">
        <v>19203</v>
      </c>
      <c r="L5315" t="s">
        <v>7034</v>
      </c>
      <c r="M5315" s="161" t="s">
        <v>19202</v>
      </c>
    </row>
    <row r="5316" spans="9:13" x14ac:dyDescent="0.25">
      <c r="I5316" t="s">
        <v>5494</v>
      </c>
      <c r="J5316" s="161" t="s">
        <v>19202</v>
      </c>
      <c r="K5316" t="s">
        <v>19203</v>
      </c>
      <c r="L5316" t="s">
        <v>5493</v>
      </c>
      <c r="M5316" s="161" t="s">
        <v>19202</v>
      </c>
    </row>
    <row r="5317" spans="9:13" x14ac:dyDescent="0.25">
      <c r="I5317" t="s">
        <v>3788</v>
      </c>
      <c r="J5317" s="161" t="s">
        <v>19202</v>
      </c>
      <c r="K5317" t="s">
        <v>19203</v>
      </c>
      <c r="L5317" t="s">
        <v>3787</v>
      </c>
      <c r="M5317" s="161" t="s">
        <v>19202</v>
      </c>
    </row>
    <row r="5318" spans="9:13" x14ac:dyDescent="0.25">
      <c r="I5318" t="s">
        <v>15004</v>
      </c>
      <c r="J5318" s="161" t="s">
        <v>19202</v>
      </c>
      <c r="K5318" t="s">
        <v>19203</v>
      </c>
      <c r="L5318" t="s">
        <v>15003</v>
      </c>
      <c r="M5318" s="161" t="s">
        <v>19202</v>
      </c>
    </row>
    <row r="5319" spans="9:13" x14ac:dyDescent="0.25">
      <c r="I5319" t="s">
        <v>4091</v>
      </c>
      <c r="J5319" s="161" t="s">
        <v>19202</v>
      </c>
      <c r="K5319" t="s">
        <v>19203</v>
      </c>
      <c r="L5319" t="s">
        <v>4090</v>
      </c>
      <c r="M5319" s="161" t="s">
        <v>19202</v>
      </c>
    </row>
    <row r="5320" spans="9:13" x14ac:dyDescent="0.25">
      <c r="I5320" t="s">
        <v>19820</v>
      </c>
      <c r="J5320" s="161" t="s">
        <v>19202</v>
      </c>
      <c r="K5320" t="s">
        <v>19203</v>
      </c>
      <c r="L5320" t="s">
        <v>19821</v>
      </c>
      <c r="M5320" s="161" t="s">
        <v>19202</v>
      </c>
    </row>
    <row r="5321" spans="9:13" x14ac:dyDescent="0.25">
      <c r="I5321" t="s">
        <v>8291</v>
      </c>
      <c r="J5321" s="161" t="s">
        <v>19202</v>
      </c>
      <c r="K5321" t="s">
        <v>19203</v>
      </c>
      <c r="L5321" t="s">
        <v>8290</v>
      </c>
      <c r="M5321" s="161" t="s">
        <v>19202</v>
      </c>
    </row>
    <row r="5322" spans="9:13" x14ac:dyDescent="0.25">
      <c r="I5322" t="s">
        <v>11822</v>
      </c>
      <c r="J5322" s="161" t="s">
        <v>19202</v>
      </c>
      <c r="K5322" t="s">
        <v>19203</v>
      </c>
      <c r="L5322" t="s">
        <v>11821</v>
      </c>
      <c r="M5322" s="161" t="s">
        <v>19202</v>
      </c>
    </row>
    <row r="5323" spans="9:13" x14ac:dyDescent="0.25">
      <c r="I5323" t="s">
        <v>10964</v>
      </c>
      <c r="J5323" s="161" t="s">
        <v>19202</v>
      </c>
      <c r="K5323" t="s">
        <v>19203</v>
      </c>
      <c r="L5323" t="s">
        <v>10963</v>
      </c>
      <c r="M5323" s="161" t="s">
        <v>19202</v>
      </c>
    </row>
    <row r="5324" spans="9:13" x14ac:dyDescent="0.25">
      <c r="I5324" t="s">
        <v>11169</v>
      </c>
      <c r="J5324" s="161" t="s">
        <v>19202</v>
      </c>
      <c r="K5324" t="s">
        <v>19203</v>
      </c>
      <c r="L5324" t="s">
        <v>11168</v>
      </c>
      <c r="M5324" s="161" t="s">
        <v>19202</v>
      </c>
    </row>
    <row r="5325" spans="9:13" x14ac:dyDescent="0.25">
      <c r="I5325" t="s">
        <v>3672</v>
      </c>
      <c r="J5325" s="161" t="s">
        <v>19202</v>
      </c>
      <c r="K5325" t="s">
        <v>19203</v>
      </c>
      <c r="L5325" t="s">
        <v>3671</v>
      </c>
      <c r="M5325" s="161" t="s">
        <v>19202</v>
      </c>
    </row>
    <row r="5326" spans="9:13" x14ac:dyDescent="0.25">
      <c r="I5326" t="s">
        <v>9768</v>
      </c>
      <c r="J5326" s="161" t="s">
        <v>19202</v>
      </c>
      <c r="K5326" t="s">
        <v>19203</v>
      </c>
      <c r="L5326" t="s">
        <v>9767</v>
      </c>
      <c r="M5326" s="161" t="s">
        <v>19202</v>
      </c>
    </row>
    <row r="5327" spans="9:13" x14ac:dyDescent="0.25">
      <c r="I5327" t="s">
        <v>8840</v>
      </c>
      <c r="J5327" s="161" t="s">
        <v>19202</v>
      </c>
      <c r="K5327" t="s">
        <v>19203</v>
      </c>
      <c r="L5327" t="s">
        <v>8839</v>
      </c>
      <c r="M5327" s="161" t="s">
        <v>19202</v>
      </c>
    </row>
    <row r="5328" spans="9:13" x14ac:dyDescent="0.25">
      <c r="I5328" t="s">
        <v>5864</v>
      </c>
      <c r="J5328" s="161" t="s">
        <v>19202</v>
      </c>
      <c r="K5328" t="s">
        <v>19203</v>
      </c>
      <c r="L5328" t="s">
        <v>5863</v>
      </c>
      <c r="M5328" s="161" t="s">
        <v>19202</v>
      </c>
    </row>
    <row r="5329" spans="9:13" x14ac:dyDescent="0.25">
      <c r="I5329" t="s">
        <v>8293</v>
      </c>
      <c r="J5329" s="161" t="s">
        <v>19202</v>
      </c>
      <c r="K5329" t="s">
        <v>19203</v>
      </c>
      <c r="L5329" t="s">
        <v>8292</v>
      </c>
      <c r="M5329" s="161" t="s">
        <v>19202</v>
      </c>
    </row>
    <row r="5330" spans="9:13" x14ac:dyDescent="0.25">
      <c r="I5330" t="s">
        <v>8289</v>
      </c>
      <c r="J5330" s="161" t="s">
        <v>19202</v>
      </c>
      <c r="K5330" t="s">
        <v>19203</v>
      </c>
      <c r="L5330" t="s">
        <v>8288</v>
      </c>
      <c r="M5330" s="161" t="s">
        <v>19202</v>
      </c>
    </row>
    <row r="5331" spans="9:13" x14ac:dyDescent="0.25">
      <c r="I5331" t="s">
        <v>6499</v>
      </c>
      <c r="J5331" s="161" t="s">
        <v>19202</v>
      </c>
      <c r="K5331" t="s">
        <v>19203</v>
      </c>
      <c r="L5331" t="s">
        <v>6498</v>
      </c>
      <c r="M5331" s="161" t="s">
        <v>19202</v>
      </c>
    </row>
    <row r="5332" spans="9:13" x14ac:dyDescent="0.25">
      <c r="I5332" t="s">
        <v>11096</v>
      </c>
      <c r="J5332" s="161" t="s">
        <v>19202</v>
      </c>
      <c r="K5332" t="s">
        <v>19203</v>
      </c>
      <c r="L5332" t="s">
        <v>11095</v>
      </c>
      <c r="M5332" s="161" t="s">
        <v>19202</v>
      </c>
    </row>
    <row r="5333" spans="9:13" x14ac:dyDescent="0.25">
      <c r="I5333" t="s">
        <v>10913</v>
      </c>
      <c r="J5333" s="161" t="s">
        <v>19202</v>
      </c>
      <c r="K5333" t="s">
        <v>19203</v>
      </c>
      <c r="L5333" t="s">
        <v>10912</v>
      </c>
      <c r="M5333" s="161" t="s">
        <v>19202</v>
      </c>
    </row>
    <row r="5334" spans="9:13" x14ac:dyDescent="0.25">
      <c r="I5334" t="s">
        <v>19822</v>
      </c>
      <c r="J5334" s="161" t="s">
        <v>19202</v>
      </c>
      <c r="K5334" t="s">
        <v>19203</v>
      </c>
      <c r="L5334" t="s">
        <v>3232</v>
      </c>
      <c r="M5334" s="161" t="s">
        <v>19202</v>
      </c>
    </row>
    <row r="5335" spans="9:13" x14ac:dyDescent="0.25">
      <c r="I5335" t="s">
        <v>1195</v>
      </c>
      <c r="J5335" s="161" t="s">
        <v>19202</v>
      </c>
      <c r="K5335" t="s">
        <v>19203</v>
      </c>
      <c r="L5335" t="s">
        <v>1194</v>
      </c>
      <c r="M5335" s="161" t="s">
        <v>19202</v>
      </c>
    </row>
    <row r="5336" spans="9:13" x14ac:dyDescent="0.25">
      <c r="I5336" t="s">
        <v>19823</v>
      </c>
      <c r="J5336" s="161" t="s">
        <v>19202</v>
      </c>
      <c r="K5336" t="s">
        <v>19203</v>
      </c>
      <c r="L5336" t="s">
        <v>16366</v>
      </c>
      <c r="M5336" s="161" t="s">
        <v>19202</v>
      </c>
    </row>
    <row r="5337" spans="9:13" x14ac:dyDescent="0.25">
      <c r="I5337" t="s">
        <v>9852</v>
      </c>
      <c r="J5337" s="161" t="s">
        <v>19202</v>
      </c>
      <c r="K5337" t="s">
        <v>19203</v>
      </c>
      <c r="L5337" t="s">
        <v>9851</v>
      </c>
      <c r="M5337" s="161" t="s">
        <v>19202</v>
      </c>
    </row>
    <row r="5338" spans="9:13" x14ac:dyDescent="0.25">
      <c r="I5338" t="s">
        <v>9548</v>
      </c>
      <c r="J5338" s="161" t="s">
        <v>19202</v>
      </c>
      <c r="K5338" t="s">
        <v>19203</v>
      </c>
      <c r="L5338" t="s">
        <v>9547</v>
      </c>
      <c r="M5338" s="161" t="s">
        <v>19202</v>
      </c>
    </row>
    <row r="5339" spans="9:13" x14ac:dyDescent="0.25">
      <c r="I5339" t="s">
        <v>19824</v>
      </c>
      <c r="J5339" s="161" t="s">
        <v>19202</v>
      </c>
      <c r="K5339" t="s">
        <v>19203</v>
      </c>
      <c r="L5339" t="s">
        <v>19825</v>
      </c>
      <c r="M5339" s="161" t="s">
        <v>19202</v>
      </c>
    </row>
    <row r="5340" spans="9:13" x14ac:dyDescent="0.25">
      <c r="I5340" t="s">
        <v>4815</v>
      </c>
      <c r="J5340" s="161" t="s">
        <v>19202</v>
      </c>
      <c r="K5340" t="s">
        <v>19203</v>
      </c>
      <c r="L5340" t="s">
        <v>4814</v>
      </c>
      <c r="M5340" s="161" t="s">
        <v>19202</v>
      </c>
    </row>
    <row r="5341" spans="9:13" x14ac:dyDescent="0.25">
      <c r="I5341" t="s">
        <v>1987</v>
      </c>
      <c r="J5341" s="161" t="s">
        <v>19202</v>
      </c>
      <c r="K5341" t="s">
        <v>19203</v>
      </c>
      <c r="L5341" t="s">
        <v>1986</v>
      </c>
      <c r="M5341" s="161" t="s">
        <v>19202</v>
      </c>
    </row>
    <row r="5342" spans="9:13" x14ac:dyDescent="0.25">
      <c r="I5342" t="s">
        <v>10826</v>
      </c>
      <c r="J5342" s="161" t="s">
        <v>19202</v>
      </c>
      <c r="K5342" t="s">
        <v>19203</v>
      </c>
      <c r="L5342" t="s">
        <v>1374</v>
      </c>
      <c r="M5342" s="161" t="s">
        <v>19202</v>
      </c>
    </row>
    <row r="5343" spans="9:13" x14ac:dyDescent="0.25">
      <c r="I5343" t="s">
        <v>9290</v>
      </c>
      <c r="J5343" s="161" t="s">
        <v>19202</v>
      </c>
      <c r="K5343" t="s">
        <v>19203</v>
      </c>
      <c r="L5343" t="s">
        <v>9289</v>
      </c>
      <c r="M5343" s="161" t="s">
        <v>19202</v>
      </c>
    </row>
    <row r="5344" spans="9:13" x14ac:dyDescent="0.25">
      <c r="I5344" t="s">
        <v>9286</v>
      </c>
      <c r="J5344" s="161" t="s">
        <v>19202</v>
      </c>
      <c r="K5344" t="s">
        <v>19203</v>
      </c>
      <c r="L5344" t="s">
        <v>9285</v>
      </c>
      <c r="M5344" s="161" t="s">
        <v>19202</v>
      </c>
    </row>
    <row r="5345" spans="9:13" x14ac:dyDescent="0.25">
      <c r="I5345" t="s">
        <v>9284</v>
      </c>
      <c r="J5345" s="161" t="s">
        <v>19202</v>
      </c>
      <c r="K5345" t="s">
        <v>19203</v>
      </c>
      <c r="L5345" t="s">
        <v>9283</v>
      </c>
      <c r="M5345" s="161" t="s">
        <v>19202</v>
      </c>
    </row>
    <row r="5346" spans="9:13" x14ac:dyDescent="0.25">
      <c r="I5346" t="s">
        <v>9282</v>
      </c>
      <c r="J5346" s="161" t="s">
        <v>19202</v>
      </c>
      <c r="K5346" t="s">
        <v>19203</v>
      </c>
      <c r="L5346" t="s">
        <v>9281</v>
      </c>
      <c r="M5346" s="161" t="s">
        <v>19202</v>
      </c>
    </row>
    <row r="5347" spans="9:13" x14ac:dyDescent="0.25">
      <c r="I5347" t="s">
        <v>9278</v>
      </c>
      <c r="J5347" s="161" t="s">
        <v>19202</v>
      </c>
      <c r="K5347" t="s">
        <v>19203</v>
      </c>
      <c r="L5347" t="s">
        <v>9277</v>
      </c>
      <c r="M5347" s="161" t="s">
        <v>19202</v>
      </c>
    </row>
    <row r="5348" spans="9:13" x14ac:dyDescent="0.25">
      <c r="I5348" t="s">
        <v>9420</v>
      </c>
      <c r="J5348" s="161" t="s">
        <v>19202</v>
      </c>
      <c r="K5348" t="s">
        <v>19203</v>
      </c>
      <c r="L5348" t="s">
        <v>9419</v>
      </c>
      <c r="M5348" s="161" t="s">
        <v>19202</v>
      </c>
    </row>
    <row r="5349" spans="9:13" x14ac:dyDescent="0.25">
      <c r="I5349" t="s">
        <v>9322</v>
      </c>
      <c r="J5349" s="161" t="s">
        <v>19202</v>
      </c>
      <c r="K5349" t="s">
        <v>19203</v>
      </c>
      <c r="L5349" t="s">
        <v>9321</v>
      </c>
      <c r="M5349" s="161" t="s">
        <v>19202</v>
      </c>
    </row>
    <row r="5350" spans="9:13" x14ac:dyDescent="0.25">
      <c r="I5350" t="s">
        <v>19826</v>
      </c>
      <c r="J5350" s="161" t="s">
        <v>19202</v>
      </c>
      <c r="K5350" t="s">
        <v>19203</v>
      </c>
      <c r="L5350" t="s">
        <v>19827</v>
      </c>
      <c r="M5350" s="161" t="s">
        <v>19202</v>
      </c>
    </row>
    <row r="5351" spans="9:13" x14ac:dyDescent="0.25">
      <c r="I5351" t="s">
        <v>13828</v>
      </c>
      <c r="J5351" s="161" t="s">
        <v>19202</v>
      </c>
      <c r="K5351" t="s">
        <v>19203</v>
      </c>
      <c r="L5351" t="s">
        <v>13827</v>
      </c>
      <c r="M5351" s="161" t="s">
        <v>19202</v>
      </c>
    </row>
    <row r="5352" spans="9:13" x14ac:dyDescent="0.25">
      <c r="I5352" t="s">
        <v>19828</v>
      </c>
      <c r="J5352" s="161" t="s">
        <v>19202</v>
      </c>
      <c r="K5352" t="s">
        <v>19203</v>
      </c>
      <c r="L5352" t="s">
        <v>19829</v>
      </c>
      <c r="M5352" s="161" t="s">
        <v>19202</v>
      </c>
    </row>
    <row r="5353" spans="9:13" x14ac:dyDescent="0.25">
      <c r="I5353" t="s">
        <v>6828</v>
      </c>
      <c r="J5353" s="161" t="s">
        <v>19202</v>
      </c>
      <c r="K5353" t="s">
        <v>19203</v>
      </c>
      <c r="L5353" t="s">
        <v>1837</v>
      </c>
      <c r="M5353" s="161" t="s">
        <v>19202</v>
      </c>
    </row>
    <row r="5354" spans="9:13" x14ac:dyDescent="0.25">
      <c r="I5354" t="s">
        <v>7611</v>
      </c>
      <c r="J5354" s="161" t="s">
        <v>19202</v>
      </c>
      <c r="K5354" t="s">
        <v>19203</v>
      </c>
      <c r="L5354" t="s">
        <v>7610</v>
      </c>
      <c r="M5354" s="161" t="s">
        <v>19202</v>
      </c>
    </row>
    <row r="5355" spans="9:13" x14ac:dyDescent="0.25">
      <c r="I5355" t="s">
        <v>6144</v>
      </c>
      <c r="J5355" s="161" t="s">
        <v>19202</v>
      </c>
      <c r="K5355" t="s">
        <v>19203</v>
      </c>
      <c r="L5355" t="s">
        <v>6143</v>
      </c>
      <c r="M5355" s="161" t="s">
        <v>19202</v>
      </c>
    </row>
    <row r="5356" spans="9:13" x14ac:dyDescent="0.25">
      <c r="I5356" t="s">
        <v>11137</v>
      </c>
      <c r="J5356" s="161" t="s">
        <v>19202</v>
      </c>
      <c r="K5356" t="s">
        <v>19203</v>
      </c>
      <c r="L5356" t="s">
        <v>11136</v>
      </c>
      <c r="M5356" s="161" t="s">
        <v>19202</v>
      </c>
    </row>
    <row r="5357" spans="9:13" x14ac:dyDescent="0.25">
      <c r="I5357" t="s">
        <v>1193</v>
      </c>
      <c r="J5357" s="161" t="s">
        <v>19202</v>
      </c>
      <c r="K5357" t="s">
        <v>19203</v>
      </c>
      <c r="L5357" t="s">
        <v>1192</v>
      </c>
      <c r="M5357" s="161" t="s">
        <v>19202</v>
      </c>
    </row>
    <row r="5358" spans="9:13" x14ac:dyDescent="0.25">
      <c r="I5358" t="s">
        <v>2534</v>
      </c>
      <c r="J5358" s="161" t="s">
        <v>19202</v>
      </c>
      <c r="K5358" t="s">
        <v>19203</v>
      </c>
      <c r="L5358" t="s">
        <v>2533</v>
      </c>
      <c r="M5358" s="161" t="s">
        <v>19202</v>
      </c>
    </row>
    <row r="5359" spans="9:13" x14ac:dyDescent="0.25">
      <c r="I5359" t="s">
        <v>9807</v>
      </c>
      <c r="J5359" s="161" t="s">
        <v>19202</v>
      </c>
      <c r="K5359" t="s">
        <v>19203</v>
      </c>
      <c r="L5359" t="s">
        <v>9806</v>
      </c>
      <c r="M5359" s="161" t="s">
        <v>19202</v>
      </c>
    </row>
    <row r="5360" spans="9:13" x14ac:dyDescent="0.25">
      <c r="I5360" t="s">
        <v>7027</v>
      </c>
      <c r="J5360" s="161" t="s">
        <v>19202</v>
      </c>
      <c r="K5360" t="s">
        <v>19203</v>
      </c>
      <c r="L5360" t="s">
        <v>7026</v>
      </c>
      <c r="M5360" s="161" t="s">
        <v>19202</v>
      </c>
    </row>
    <row r="5361" spans="9:13" x14ac:dyDescent="0.25">
      <c r="I5361" t="s">
        <v>10897</v>
      </c>
      <c r="J5361" s="161" t="s">
        <v>19202</v>
      </c>
      <c r="K5361" t="s">
        <v>19203</v>
      </c>
      <c r="L5361" t="s">
        <v>3562</v>
      </c>
      <c r="M5361" s="161" t="s">
        <v>19202</v>
      </c>
    </row>
    <row r="5362" spans="9:13" x14ac:dyDescent="0.25">
      <c r="I5362" t="s">
        <v>10885</v>
      </c>
      <c r="J5362" s="161" t="s">
        <v>19202</v>
      </c>
      <c r="K5362" t="s">
        <v>19203</v>
      </c>
      <c r="L5362" t="s">
        <v>10884</v>
      </c>
      <c r="M5362" s="161" t="s">
        <v>19202</v>
      </c>
    </row>
    <row r="5363" spans="9:13" x14ac:dyDescent="0.25">
      <c r="I5363" t="s">
        <v>10779</v>
      </c>
      <c r="J5363" s="161" t="s">
        <v>19202</v>
      </c>
      <c r="K5363" t="s">
        <v>19203</v>
      </c>
      <c r="L5363" t="s">
        <v>10778</v>
      </c>
      <c r="M5363" s="161" t="s">
        <v>19202</v>
      </c>
    </row>
    <row r="5364" spans="9:13" x14ac:dyDescent="0.25">
      <c r="I5364" t="s">
        <v>10481</v>
      </c>
      <c r="J5364" s="161" t="s">
        <v>19202</v>
      </c>
      <c r="K5364" t="s">
        <v>19203</v>
      </c>
      <c r="L5364" t="s">
        <v>384</v>
      </c>
      <c r="M5364" s="161" t="s">
        <v>19202</v>
      </c>
    </row>
    <row r="5365" spans="9:13" x14ac:dyDescent="0.25">
      <c r="I5365" t="s">
        <v>3295</v>
      </c>
      <c r="J5365" s="161" t="s">
        <v>19202</v>
      </c>
      <c r="K5365" t="s">
        <v>19203</v>
      </c>
      <c r="L5365" t="s">
        <v>3294</v>
      </c>
      <c r="M5365" s="161" t="s">
        <v>19202</v>
      </c>
    </row>
    <row r="5366" spans="9:13" x14ac:dyDescent="0.25">
      <c r="I5366" t="s">
        <v>10867</v>
      </c>
      <c r="J5366" s="161" t="s">
        <v>19202</v>
      </c>
      <c r="K5366" t="s">
        <v>19203</v>
      </c>
      <c r="L5366" t="s">
        <v>307</v>
      </c>
      <c r="M5366" s="161" t="s">
        <v>19202</v>
      </c>
    </row>
    <row r="5367" spans="9:13" x14ac:dyDescent="0.25">
      <c r="I5367" t="s">
        <v>11779</v>
      </c>
      <c r="J5367" s="161" t="s">
        <v>19202</v>
      </c>
      <c r="K5367" t="s">
        <v>19203</v>
      </c>
      <c r="L5367" t="s">
        <v>11778</v>
      </c>
      <c r="M5367" s="161" t="s">
        <v>19202</v>
      </c>
    </row>
    <row r="5368" spans="9:13" x14ac:dyDescent="0.25">
      <c r="I5368" t="s">
        <v>11757</v>
      </c>
      <c r="J5368" s="161" t="s">
        <v>19202</v>
      </c>
      <c r="K5368" t="s">
        <v>19203</v>
      </c>
      <c r="L5368" t="s">
        <v>4827</v>
      </c>
      <c r="M5368" s="161" t="s">
        <v>19202</v>
      </c>
    </row>
    <row r="5369" spans="9:13" x14ac:dyDescent="0.25">
      <c r="I5369" t="s">
        <v>11797</v>
      </c>
      <c r="J5369" s="161" t="s">
        <v>19202</v>
      </c>
      <c r="K5369" t="s">
        <v>19203</v>
      </c>
      <c r="L5369" t="s">
        <v>11796</v>
      </c>
      <c r="M5369" s="161" t="s">
        <v>19202</v>
      </c>
    </row>
    <row r="5370" spans="9:13" x14ac:dyDescent="0.25">
      <c r="I5370" t="s">
        <v>10576</v>
      </c>
      <c r="J5370" s="161" t="s">
        <v>19202</v>
      </c>
      <c r="K5370" t="s">
        <v>19203</v>
      </c>
      <c r="L5370" t="s">
        <v>10575</v>
      </c>
      <c r="M5370" s="161" t="s">
        <v>19202</v>
      </c>
    </row>
    <row r="5371" spans="9:13" x14ac:dyDescent="0.25">
      <c r="I5371" t="s">
        <v>529</v>
      </c>
      <c r="J5371" s="161" t="s">
        <v>19202</v>
      </c>
      <c r="K5371" t="s">
        <v>19203</v>
      </c>
      <c r="L5371" t="s">
        <v>528</v>
      </c>
      <c r="M5371" s="161" t="s">
        <v>19202</v>
      </c>
    </row>
    <row r="5372" spans="9:13" x14ac:dyDescent="0.25">
      <c r="I5372" t="s">
        <v>7423</v>
      </c>
      <c r="J5372" s="161" t="s">
        <v>19202</v>
      </c>
      <c r="K5372" t="s">
        <v>19203</v>
      </c>
      <c r="L5372" t="s">
        <v>7422</v>
      </c>
      <c r="M5372" s="161" t="s">
        <v>19202</v>
      </c>
    </row>
    <row r="5373" spans="9:13" x14ac:dyDescent="0.25">
      <c r="I5373" t="s">
        <v>9667</v>
      </c>
      <c r="J5373" s="161" t="s">
        <v>19202</v>
      </c>
      <c r="K5373" t="s">
        <v>19203</v>
      </c>
      <c r="L5373" t="s">
        <v>9666</v>
      </c>
      <c r="M5373" s="161" t="s">
        <v>19202</v>
      </c>
    </row>
    <row r="5374" spans="9:13" x14ac:dyDescent="0.25">
      <c r="I5374" t="s">
        <v>3299</v>
      </c>
      <c r="J5374" s="161" t="s">
        <v>19202</v>
      </c>
      <c r="K5374" t="s">
        <v>19203</v>
      </c>
      <c r="L5374" t="s">
        <v>3298</v>
      </c>
      <c r="M5374" s="161" t="s">
        <v>19202</v>
      </c>
    </row>
    <row r="5375" spans="9:13" x14ac:dyDescent="0.25">
      <c r="I5375" t="s">
        <v>9705</v>
      </c>
      <c r="J5375" s="161" t="s">
        <v>19202</v>
      </c>
      <c r="K5375" t="s">
        <v>19203</v>
      </c>
      <c r="L5375" t="s">
        <v>9704</v>
      </c>
      <c r="M5375" s="161" t="s">
        <v>19202</v>
      </c>
    </row>
    <row r="5376" spans="9:13" x14ac:dyDescent="0.25">
      <c r="I5376" t="s">
        <v>9579</v>
      </c>
      <c r="J5376" s="161" t="s">
        <v>19202</v>
      </c>
      <c r="K5376" t="s">
        <v>19203</v>
      </c>
      <c r="L5376" t="s">
        <v>9578</v>
      </c>
      <c r="M5376" s="161" t="s">
        <v>19202</v>
      </c>
    </row>
    <row r="5377" spans="9:13" x14ac:dyDescent="0.25">
      <c r="I5377" t="s">
        <v>9615</v>
      </c>
      <c r="J5377" s="161" t="s">
        <v>19202</v>
      </c>
      <c r="K5377" t="s">
        <v>19203</v>
      </c>
      <c r="L5377" t="s">
        <v>9614</v>
      </c>
      <c r="M5377" s="161" t="s">
        <v>19202</v>
      </c>
    </row>
    <row r="5378" spans="9:13" x14ac:dyDescent="0.25">
      <c r="I5378" t="s">
        <v>19830</v>
      </c>
      <c r="J5378" s="161" t="s">
        <v>19202</v>
      </c>
      <c r="K5378" t="s">
        <v>19203</v>
      </c>
      <c r="L5378" t="s">
        <v>19831</v>
      </c>
      <c r="M5378" s="161" t="s">
        <v>19202</v>
      </c>
    </row>
    <row r="5379" spans="9:13" x14ac:dyDescent="0.25">
      <c r="I5379" t="s">
        <v>19832</v>
      </c>
      <c r="J5379" s="161" t="s">
        <v>19202</v>
      </c>
      <c r="K5379" t="s">
        <v>19203</v>
      </c>
      <c r="L5379" t="s">
        <v>19833</v>
      </c>
      <c r="M5379" s="161" t="s">
        <v>19202</v>
      </c>
    </row>
    <row r="5380" spans="9:13" x14ac:dyDescent="0.25">
      <c r="I5380" t="s">
        <v>9993</v>
      </c>
      <c r="J5380" s="161" t="s">
        <v>19202</v>
      </c>
      <c r="K5380" t="s">
        <v>19203</v>
      </c>
      <c r="L5380" t="s">
        <v>9992</v>
      </c>
      <c r="M5380" s="161" t="s">
        <v>19202</v>
      </c>
    </row>
    <row r="5381" spans="9:13" x14ac:dyDescent="0.25">
      <c r="I5381" t="s">
        <v>7029</v>
      </c>
      <c r="J5381" s="161" t="s">
        <v>19202</v>
      </c>
      <c r="K5381" t="s">
        <v>19203</v>
      </c>
      <c r="L5381" t="s">
        <v>7028</v>
      </c>
      <c r="M5381" s="161" t="s">
        <v>19202</v>
      </c>
    </row>
    <row r="5382" spans="9:13" x14ac:dyDescent="0.25">
      <c r="I5382" t="s">
        <v>1143</v>
      </c>
      <c r="J5382" s="161" t="s">
        <v>19202</v>
      </c>
      <c r="K5382" t="s">
        <v>19203</v>
      </c>
      <c r="L5382" t="s">
        <v>1142</v>
      </c>
      <c r="M5382" s="161" t="s">
        <v>19202</v>
      </c>
    </row>
    <row r="5383" spans="9:13" x14ac:dyDescent="0.25">
      <c r="I5383" t="s">
        <v>10643</v>
      </c>
      <c r="J5383" s="161" t="s">
        <v>19202</v>
      </c>
      <c r="K5383" t="s">
        <v>19203</v>
      </c>
      <c r="L5383" t="s">
        <v>10642</v>
      </c>
      <c r="M5383" s="161" t="s">
        <v>19202</v>
      </c>
    </row>
    <row r="5384" spans="9:13" x14ac:dyDescent="0.25">
      <c r="I5384" t="s">
        <v>19834</v>
      </c>
      <c r="J5384" s="161" t="s">
        <v>19202</v>
      </c>
      <c r="K5384" t="s">
        <v>19203</v>
      </c>
      <c r="L5384" t="s">
        <v>19835</v>
      </c>
      <c r="M5384" s="161" t="s">
        <v>19202</v>
      </c>
    </row>
    <row r="5385" spans="9:13" x14ac:dyDescent="0.25">
      <c r="I5385" t="s">
        <v>2978</v>
      </c>
      <c r="J5385" s="161" t="s">
        <v>19202</v>
      </c>
      <c r="K5385" t="s">
        <v>19203</v>
      </c>
      <c r="L5385" t="s">
        <v>2977</v>
      </c>
      <c r="M5385" s="161" t="s">
        <v>19202</v>
      </c>
    </row>
    <row r="5386" spans="9:13" x14ac:dyDescent="0.25">
      <c r="I5386" t="s">
        <v>19836</v>
      </c>
      <c r="J5386" s="161" t="s">
        <v>19202</v>
      </c>
      <c r="K5386" t="s">
        <v>19203</v>
      </c>
      <c r="L5386" t="s">
        <v>19837</v>
      </c>
      <c r="M5386" s="161" t="s">
        <v>19202</v>
      </c>
    </row>
    <row r="5387" spans="9:13" x14ac:dyDescent="0.25">
      <c r="I5387" t="s">
        <v>19838</v>
      </c>
      <c r="J5387" s="161" t="s">
        <v>19202</v>
      </c>
      <c r="K5387" t="s">
        <v>19203</v>
      </c>
      <c r="L5387" t="s">
        <v>19839</v>
      </c>
      <c r="M5387" s="161" t="s">
        <v>19202</v>
      </c>
    </row>
    <row r="5388" spans="9:13" x14ac:dyDescent="0.25">
      <c r="I5388" t="s">
        <v>6594</v>
      </c>
      <c r="J5388" s="161" t="s">
        <v>19202</v>
      </c>
      <c r="K5388" t="s">
        <v>19203</v>
      </c>
      <c r="L5388" t="s">
        <v>64</v>
      </c>
      <c r="M5388" s="161" t="s">
        <v>19202</v>
      </c>
    </row>
    <row r="5389" spans="9:13" x14ac:dyDescent="0.25">
      <c r="I5389" t="s">
        <v>16804</v>
      </c>
      <c r="J5389" s="161" t="s">
        <v>19202</v>
      </c>
      <c r="K5389" t="s">
        <v>19203</v>
      </c>
      <c r="L5389" t="s">
        <v>16803</v>
      </c>
      <c r="M5389" s="161" t="s">
        <v>19202</v>
      </c>
    </row>
    <row r="5390" spans="9:13" x14ac:dyDescent="0.25">
      <c r="I5390" t="s">
        <v>7380</v>
      </c>
      <c r="J5390" s="161" t="s">
        <v>19202</v>
      </c>
      <c r="K5390" t="s">
        <v>19203</v>
      </c>
      <c r="L5390" t="s">
        <v>7379</v>
      </c>
      <c r="M5390" s="161" t="s">
        <v>19202</v>
      </c>
    </row>
    <row r="5391" spans="9:13" x14ac:dyDescent="0.25">
      <c r="I5391" t="s">
        <v>3674</v>
      </c>
      <c r="J5391" s="161" t="s">
        <v>19202</v>
      </c>
      <c r="K5391" t="s">
        <v>19203</v>
      </c>
      <c r="L5391" t="s">
        <v>3673</v>
      </c>
      <c r="M5391" s="161" t="s">
        <v>19202</v>
      </c>
    </row>
    <row r="5392" spans="9:13" x14ac:dyDescent="0.25">
      <c r="I5392" t="s">
        <v>19840</v>
      </c>
      <c r="J5392" s="161" t="s">
        <v>19202</v>
      </c>
      <c r="K5392" t="s">
        <v>19203</v>
      </c>
      <c r="L5392" t="s">
        <v>19841</v>
      </c>
      <c r="M5392" s="161" t="s">
        <v>19202</v>
      </c>
    </row>
    <row r="5393" spans="9:13" x14ac:dyDescent="0.25">
      <c r="I5393" t="s">
        <v>9951</v>
      </c>
      <c r="J5393" s="161" t="s">
        <v>19202</v>
      </c>
      <c r="K5393" t="s">
        <v>19203</v>
      </c>
      <c r="L5393" t="s">
        <v>9950</v>
      </c>
      <c r="M5393" s="161" t="s">
        <v>19202</v>
      </c>
    </row>
    <row r="5394" spans="9:13" x14ac:dyDescent="0.25">
      <c r="I5394" t="s">
        <v>9426</v>
      </c>
      <c r="J5394" s="161" t="s">
        <v>19202</v>
      </c>
      <c r="K5394" t="s">
        <v>19203</v>
      </c>
      <c r="L5394" t="s">
        <v>9425</v>
      </c>
      <c r="M5394" s="161" t="s">
        <v>19202</v>
      </c>
    </row>
    <row r="5395" spans="9:13" x14ac:dyDescent="0.25">
      <c r="I5395" t="s">
        <v>9422</v>
      </c>
      <c r="J5395" s="161" t="s">
        <v>19202</v>
      </c>
      <c r="K5395" t="s">
        <v>19203</v>
      </c>
      <c r="L5395" t="s">
        <v>9421</v>
      </c>
      <c r="M5395" s="161" t="s">
        <v>19202</v>
      </c>
    </row>
    <row r="5396" spans="9:13" x14ac:dyDescent="0.25">
      <c r="I5396" t="s">
        <v>9617</v>
      </c>
      <c r="J5396" s="161" t="s">
        <v>19202</v>
      </c>
      <c r="K5396" t="s">
        <v>19203</v>
      </c>
      <c r="L5396" t="s">
        <v>9616</v>
      </c>
      <c r="M5396" s="161" t="s">
        <v>19202</v>
      </c>
    </row>
    <row r="5397" spans="9:13" x14ac:dyDescent="0.25">
      <c r="I5397" t="s">
        <v>9883</v>
      </c>
      <c r="J5397" s="161" t="s">
        <v>19202</v>
      </c>
      <c r="K5397" t="s">
        <v>19203</v>
      </c>
      <c r="L5397" t="s">
        <v>9882</v>
      </c>
      <c r="M5397" s="161" t="s">
        <v>19202</v>
      </c>
    </row>
    <row r="5398" spans="9:13" x14ac:dyDescent="0.25">
      <c r="I5398" t="s">
        <v>9881</v>
      </c>
      <c r="J5398" s="161" t="s">
        <v>19202</v>
      </c>
      <c r="K5398" t="s">
        <v>19203</v>
      </c>
      <c r="L5398" t="s">
        <v>9869</v>
      </c>
      <c r="M5398" s="161" t="s">
        <v>19202</v>
      </c>
    </row>
    <row r="5399" spans="9:13" x14ac:dyDescent="0.25">
      <c r="I5399" t="s">
        <v>9613</v>
      </c>
      <c r="J5399" s="161" t="s">
        <v>19202</v>
      </c>
      <c r="K5399" t="s">
        <v>19203</v>
      </c>
      <c r="L5399" t="s">
        <v>9612</v>
      </c>
      <c r="M5399" s="161" t="s">
        <v>19202</v>
      </c>
    </row>
    <row r="5400" spans="9:13" x14ac:dyDescent="0.25">
      <c r="I5400" t="s">
        <v>19842</v>
      </c>
      <c r="J5400" s="161" t="s">
        <v>19202</v>
      </c>
      <c r="K5400" t="s">
        <v>19203</v>
      </c>
      <c r="L5400" t="s">
        <v>19843</v>
      </c>
      <c r="M5400" s="161" t="s">
        <v>19202</v>
      </c>
    </row>
    <row r="5401" spans="9:13" x14ac:dyDescent="0.25">
      <c r="I5401" t="s">
        <v>9959</v>
      </c>
      <c r="J5401" s="161" t="s">
        <v>19202</v>
      </c>
      <c r="K5401" t="s">
        <v>19203</v>
      </c>
      <c r="L5401" t="s">
        <v>9958</v>
      </c>
      <c r="M5401" s="161" t="s">
        <v>19202</v>
      </c>
    </row>
    <row r="5402" spans="9:13" x14ac:dyDescent="0.25">
      <c r="I5402" t="s">
        <v>9880</v>
      </c>
      <c r="J5402" s="161" t="s">
        <v>19202</v>
      </c>
      <c r="K5402" t="s">
        <v>19203</v>
      </c>
      <c r="L5402" t="s">
        <v>9879</v>
      </c>
      <c r="M5402" s="161" t="s">
        <v>19202</v>
      </c>
    </row>
    <row r="5403" spans="9:13" x14ac:dyDescent="0.25">
      <c r="I5403" t="s">
        <v>9878</v>
      </c>
      <c r="J5403" s="161" t="s">
        <v>19202</v>
      </c>
      <c r="K5403" t="s">
        <v>19203</v>
      </c>
      <c r="L5403" t="s">
        <v>9877</v>
      </c>
      <c r="M5403" s="161" t="s">
        <v>19202</v>
      </c>
    </row>
    <row r="5404" spans="9:13" x14ac:dyDescent="0.25">
      <c r="I5404" t="s">
        <v>9957</v>
      </c>
      <c r="J5404" s="161" t="s">
        <v>19202</v>
      </c>
      <c r="K5404" t="s">
        <v>19203</v>
      </c>
      <c r="L5404" t="s">
        <v>9956</v>
      </c>
      <c r="M5404" s="161" t="s">
        <v>19202</v>
      </c>
    </row>
    <row r="5405" spans="9:13" x14ac:dyDescent="0.25">
      <c r="I5405" t="s">
        <v>9876</v>
      </c>
      <c r="J5405" s="161" t="s">
        <v>19202</v>
      </c>
      <c r="K5405" t="s">
        <v>19203</v>
      </c>
      <c r="L5405" t="s">
        <v>9875</v>
      </c>
      <c r="M5405" s="161" t="s">
        <v>19202</v>
      </c>
    </row>
    <row r="5406" spans="9:13" x14ac:dyDescent="0.25">
      <c r="I5406" t="s">
        <v>9134</v>
      </c>
      <c r="J5406" s="161" t="s">
        <v>19202</v>
      </c>
      <c r="K5406" t="s">
        <v>19203</v>
      </c>
      <c r="L5406" t="s">
        <v>9133</v>
      </c>
      <c r="M5406" s="161" t="s">
        <v>19202</v>
      </c>
    </row>
    <row r="5407" spans="9:13" x14ac:dyDescent="0.25">
      <c r="I5407" t="s">
        <v>9132</v>
      </c>
      <c r="J5407" s="161" t="s">
        <v>19202</v>
      </c>
      <c r="K5407" t="s">
        <v>19203</v>
      </c>
      <c r="L5407" t="s">
        <v>9131</v>
      </c>
      <c r="M5407" s="161" t="s">
        <v>19202</v>
      </c>
    </row>
    <row r="5408" spans="9:13" x14ac:dyDescent="0.25">
      <c r="I5408" t="s">
        <v>9128</v>
      </c>
      <c r="J5408" s="161" t="s">
        <v>19202</v>
      </c>
      <c r="K5408" t="s">
        <v>19203</v>
      </c>
      <c r="L5408" t="s">
        <v>9127</v>
      </c>
      <c r="M5408" s="161" t="s">
        <v>19202</v>
      </c>
    </row>
    <row r="5409" spans="9:13" x14ac:dyDescent="0.25">
      <c r="I5409" t="s">
        <v>9124</v>
      </c>
      <c r="J5409" s="161" t="s">
        <v>19202</v>
      </c>
      <c r="K5409" t="s">
        <v>19203</v>
      </c>
      <c r="L5409" t="s">
        <v>9123</v>
      </c>
      <c r="M5409" s="161" t="s">
        <v>19202</v>
      </c>
    </row>
    <row r="5410" spans="9:13" x14ac:dyDescent="0.25">
      <c r="I5410" t="s">
        <v>9120</v>
      </c>
      <c r="J5410" s="161" t="s">
        <v>19202</v>
      </c>
      <c r="K5410" t="s">
        <v>19203</v>
      </c>
      <c r="L5410" t="s">
        <v>9119</v>
      </c>
      <c r="M5410" s="161" t="s">
        <v>19202</v>
      </c>
    </row>
    <row r="5411" spans="9:13" x14ac:dyDescent="0.25">
      <c r="I5411" t="s">
        <v>4828</v>
      </c>
      <c r="J5411" s="161" t="s">
        <v>19202</v>
      </c>
      <c r="K5411" t="s">
        <v>19203</v>
      </c>
      <c r="L5411" t="s">
        <v>4827</v>
      </c>
      <c r="M5411" s="161" t="s">
        <v>19202</v>
      </c>
    </row>
    <row r="5412" spans="9:13" x14ac:dyDescent="0.25">
      <c r="I5412" t="s">
        <v>5430</v>
      </c>
      <c r="J5412" s="161" t="s">
        <v>19202</v>
      </c>
      <c r="K5412" t="s">
        <v>19203</v>
      </c>
      <c r="L5412" t="s">
        <v>5429</v>
      </c>
      <c r="M5412" s="161" t="s">
        <v>19202</v>
      </c>
    </row>
    <row r="5413" spans="9:13" x14ac:dyDescent="0.25">
      <c r="I5413" t="s">
        <v>3211</v>
      </c>
      <c r="J5413" s="161" t="s">
        <v>19202</v>
      </c>
      <c r="K5413" t="s">
        <v>19203</v>
      </c>
      <c r="L5413" t="s">
        <v>3210</v>
      </c>
      <c r="M5413" s="161" t="s">
        <v>19202</v>
      </c>
    </row>
    <row r="5414" spans="9:13" x14ac:dyDescent="0.25">
      <c r="I5414" t="s">
        <v>3209</v>
      </c>
      <c r="J5414" s="161" t="s">
        <v>19202</v>
      </c>
      <c r="K5414" t="s">
        <v>19203</v>
      </c>
      <c r="L5414" t="s">
        <v>3208</v>
      </c>
      <c r="M5414" s="161" t="s">
        <v>19202</v>
      </c>
    </row>
    <row r="5415" spans="9:13" x14ac:dyDescent="0.25">
      <c r="I5415" t="s">
        <v>12818</v>
      </c>
      <c r="J5415" s="161" t="s">
        <v>19202</v>
      </c>
      <c r="K5415" t="s">
        <v>19203</v>
      </c>
      <c r="L5415" t="s">
        <v>12817</v>
      </c>
      <c r="M5415" s="161" t="s">
        <v>19202</v>
      </c>
    </row>
    <row r="5416" spans="9:13" x14ac:dyDescent="0.25">
      <c r="I5416" t="s">
        <v>996</v>
      </c>
      <c r="J5416" s="161" t="s">
        <v>19202</v>
      </c>
      <c r="K5416" t="s">
        <v>19203</v>
      </c>
      <c r="L5416" t="s">
        <v>995</v>
      </c>
      <c r="M5416" s="161" t="s">
        <v>19202</v>
      </c>
    </row>
    <row r="5417" spans="9:13" x14ac:dyDescent="0.25">
      <c r="I5417" t="s">
        <v>9288</v>
      </c>
      <c r="J5417" s="161" t="s">
        <v>19202</v>
      </c>
      <c r="K5417" t="s">
        <v>19203</v>
      </c>
      <c r="L5417" t="s">
        <v>9287</v>
      </c>
      <c r="M5417" s="161" t="s">
        <v>19202</v>
      </c>
    </row>
    <row r="5418" spans="9:13" x14ac:dyDescent="0.25">
      <c r="I5418" t="s">
        <v>16003</v>
      </c>
      <c r="J5418" s="161" t="s">
        <v>19202</v>
      </c>
      <c r="K5418" t="s">
        <v>19203</v>
      </c>
      <c r="L5418" t="s">
        <v>16002</v>
      </c>
      <c r="M5418" s="161" t="s">
        <v>19202</v>
      </c>
    </row>
    <row r="5419" spans="9:13" x14ac:dyDescent="0.25">
      <c r="I5419" t="s">
        <v>5810</v>
      </c>
      <c r="J5419" s="161" t="s">
        <v>19202</v>
      </c>
      <c r="K5419" t="s">
        <v>19203</v>
      </c>
      <c r="L5419" t="s">
        <v>5809</v>
      </c>
      <c r="M5419" s="161" t="s">
        <v>19202</v>
      </c>
    </row>
    <row r="5420" spans="9:13" x14ac:dyDescent="0.25">
      <c r="I5420" t="s">
        <v>3695</v>
      </c>
      <c r="J5420" s="161" t="s">
        <v>19202</v>
      </c>
      <c r="K5420" t="s">
        <v>19203</v>
      </c>
      <c r="L5420" t="s">
        <v>3694</v>
      </c>
      <c r="M5420" s="161" t="s">
        <v>19202</v>
      </c>
    </row>
    <row r="5421" spans="9:13" x14ac:dyDescent="0.25">
      <c r="I5421" t="s">
        <v>1161</v>
      </c>
      <c r="J5421" s="161" t="s">
        <v>19202</v>
      </c>
      <c r="K5421" t="s">
        <v>19203</v>
      </c>
      <c r="L5421" t="s">
        <v>1160</v>
      </c>
      <c r="M5421" s="161" t="s">
        <v>19202</v>
      </c>
    </row>
    <row r="5422" spans="9:13" x14ac:dyDescent="0.25">
      <c r="I5422" t="s">
        <v>3139</v>
      </c>
      <c r="J5422" s="161" t="s">
        <v>19202</v>
      </c>
      <c r="K5422" t="s">
        <v>19203</v>
      </c>
      <c r="L5422" t="s">
        <v>3138</v>
      </c>
      <c r="M5422" s="161" t="s">
        <v>19202</v>
      </c>
    </row>
    <row r="5423" spans="9:13" x14ac:dyDescent="0.25">
      <c r="I5423" t="s">
        <v>3135</v>
      </c>
      <c r="J5423" s="161" t="s">
        <v>19202</v>
      </c>
      <c r="K5423" t="s">
        <v>19203</v>
      </c>
      <c r="L5423" t="s">
        <v>3134</v>
      </c>
      <c r="M5423" s="161" t="s">
        <v>19202</v>
      </c>
    </row>
    <row r="5424" spans="9:13" x14ac:dyDescent="0.25">
      <c r="I5424" t="s">
        <v>3133</v>
      </c>
      <c r="J5424" s="161" t="s">
        <v>19202</v>
      </c>
      <c r="K5424" t="s">
        <v>19203</v>
      </c>
      <c r="L5424" t="s">
        <v>3132</v>
      </c>
      <c r="M5424" s="161" t="s">
        <v>19202</v>
      </c>
    </row>
    <row r="5425" spans="9:13" x14ac:dyDescent="0.25">
      <c r="I5425" t="s">
        <v>3131</v>
      </c>
      <c r="J5425" s="161" t="s">
        <v>19202</v>
      </c>
      <c r="K5425" t="s">
        <v>19203</v>
      </c>
      <c r="L5425" t="s">
        <v>3130</v>
      </c>
      <c r="M5425" s="161" t="s">
        <v>19202</v>
      </c>
    </row>
    <row r="5426" spans="9:13" x14ac:dyDescent="0.25">
      <c r="I5426" t="s">
        <v>3129</v>
      </c>
      <c r="J5426" s="161" t="s">
        <v>19202</v>
      </c>
      <c r="K5426" t="s">
        <v>19203</v>
      </c>
      <c r="L5426" t="s">
        <v>3128</v>
      </c>
      <c r="M5426" s="161" t="s">
        <v>19202</v>
      </c>
    </row>
    <row r="5427" spans="9:13" x14ac:dyDescent="0.25">
      <c r="I5427" t="s">
        <v>3125</v>
      </c>
      <c r="J5427" s="161" t="s">
        <v>19202</v>
      </c>
      <c r="K5427" t="s">
        <v>19203</v>
      </c>
      <c r="L5427" t="s">
        <v>3124</v>
      </c>
      <c r="M5427" s="161" t="s">
        <v>19202</v>
      </c>
    </row>
    <row r="5428" spans="9:13" x14ac:dyDescent="0.25">
      <c r="I5428" t="s">
        <v>3123</v>
      </c>
      <c r="J5428" s="161" t="s">
        <v>19202</v>
      </c>
      <c r="K5428" t="s">
        <v>19203</v>
      </c>
      <c r="L5428" t="s">
        <v>3122</v>
      </c>
      <c r="M5428" s="161" t="s">
        <v>19202</v>
      </c>
    </row>
    <row r="5429" spans="9:13" x14ac:dyDescent="0.25">
      <c r="I5429" t="s">
        <v>3121</v>
      </c>
      <c r="J5429" s="161" t="s">
        <v>19202</v>
      </c>
      <c r="K5429" t="s">
        <v>19203</v>
      </c>
      <c r="L5429" t="s">
        <v>3120</v>
      </c>
      <c r="M5429" s="161" t="s">
        <v>19202</v>
      </c>
    </row>
    <row r="5430" spans="9:13" x14ac:dyDescent="0.25">
      <c r="I5430" t="s">
        <v>3117</v>
      </c>
      <c r="J5430" s="161" t="s">
        <v>19202</v>
      </c>
      <c r="K5430" t="s">
        <v>19203</v>
      </c>
      <c r="L5430" t="s">
        <v>3116</v>
      </c>
      <c r="M5430" s="161" t="s">
        <v>19202</v>
      </c>
    </row>
    <row r="5431" spans="9:13" x14ac:dyDescent="0.25">
      <c r="I5431" t="s">
        <v>9416</v>
      </c>
      <c r="J5431" s="161" t="s">
        <v>19202</v>
      </c>
      <c r="K5431" t="s">
        <v>19203</v>
      </c>
      <c r="L5431" t="s">
        <v>9415</v>
      </c>
      <c r="M5431" s="161" t="s">
        <v>19202</v>
      </c>
    </row>
    <row r="5432" spans="9:13" x14ac:dyDescent="0.25">
      <c r="I5432" t="s">
        <v>9272</v>
      </c>
      <c r="J5432" s="161" t="s">
        <v>19202</v>
      </c>
      <c r="K5432" t="s">
        <v>19203</v>
      </c>
      <c r="L5432" t="s">
        <v>9271</v>
      </c>
      <c r="M5432" s="161" t="s">
        <v>19202</v>
      </c>
    </row>
    <row r="5433" spans="9:13" x14ac:dyDescent="0.25">
      <c r="I5433" t="s">
        <v>9414</v>
      </c>
      <c r="J5433" s="161" t="s">
        <v>19202</v>
      </c>
      <c r="K5433" t="s">
        <v>19203</v>
      </c>
      <c r="L5433" t="s">
        <v>9413</v>
      </c>
      <c r="M5433" s="161" t="s">
        <v>19202</v>
      </c>
    </row>
    <row r="5434" spans="9:13" x14ac:dyDescent="0.25">
      <c r="I5434" t="s">
        <v>9088</v>
      </c>
      <c r="J5434" s="161" t="s">
        <v>19202</v>
      </c>
      <c r="K5434" t="s">
        <v>19203</v>
      </c>
      <c r="L5434" t="s">
        <v>9087</v>
      </c>
      <c r="M5434" s="161" t="s">
        <v>19202</v>
      </c>
    </row>
    <row r="5435" spans="9:13" x14ac:dyDescent="0.25">
      <c r="I5435" t="s">
        <v>3318</v>
      </c>
      <c r="J5435" s="161" t="s">
        <v>19202</v>
      </c>
      <c r="K5435" t="s">
        <v>19203</v>
      </c>
      <c r="L5435" t="s">
        <v>3317</v>
      </c>
      <c r="M5435" s="161" t="s">
        <v>19202</v>
      </c>
    </row>
    <row r="5436" spans="9:13" x14ac:dyDescent="0.25">
      <c r="I5436" t="s">
        <v>3111</v>
      </c>
      <c r="J5436" s="161" t="s">
        <v>19202</v>
      </c>
      <c r="K5436" t="s">
        <v>19203</v>
      </c>
      <c r="L5436" t="s">
        <v>3110</v>
      </c>
      <c r="M5436" s="161" t="s">
        <v>19202</v>
      </c>
    </row>
    <row r="5437" spans="9:13" x14ac:dyDescent="0.25">
      <c r="I5437" t="s">
        <v>2955</v>
      </c>
      <c r="J5437" s="161" t="s">
        <v>19202</v>
      </c>
      <c r="K5437" t="s">
        <v>19203</v>
      </c>
      <c r="L5437" t="s">
        <v>2954</v>
      </c>
      <c r="M5437" s="161" t="s">
        <v>19202</v>
      </c>
    </row>
    <row r="5438" spans="9:13" x14ac:dyDescent="0.25">
      <c r="I5438" t="s">
        <v>2953</v>
      </c>
      <c r="J5438" s="161" t="s">
        <v>19202</v>
      </c>
      <c r="K5438" t="s">
        <v>19203</v>
      </c>
      <c r="L5438" t="s">
        <v>2952</v>
      </c>
      <c r="M5438" s="161" t="s">
        <v>19202</v>
      </c>
    </row>
    <row r="5439" spans="9:13" x14ac:dyDescent="0.25">
      <c r="I5439" t="s">
        <v>3316</v>
      </c>
      <c r="J5439" s="161" t="s">
        <v>19202</v>
      </c>
      <c r="K5439" t="s">
        <v>19203</v>
      </c>
      <c r="L5439" t="s">
        <v>3315</v>
      </c>
      <c r="M5439" s="161" t="s">
        <v>19202</v>
      </c>
    </row>
    <row r="5440" spans="9:13" x14ac:dyDescent="0.25">
      <c r="I5440" t="s">
        <v>2951</v>
      </c>
      <c r="J5440" s="161" t="s">
        <v>19202</v>
      </c>
      <c r="K5440" t="s">
        <v>19203</v>
      </c>
      <c r="L5440" t="s">
        <v>2950</v>
      </c>
      <c r="M5440" s="161" t="s">
        <v>19202</v>
      </c>
    </row>
    <row r="5441" spans="9:13" x14ac:dyDescent="0.25">
      <c r="I5441" t="s">
        <v>2949</v>
      </c>
      <c r="J5441" s="161" t="s">
        <v>19202</v>
      </c>
      <c r="K5441" t="s">
        <v>19203</v>
      </c>
      <c r="L5441" t="s">
        <v>2948</v>
      </c>
      <c r="M5441" s="161" t="s">
        <v>19202</v>
      </c>
    </row>
    <row r="5442" spans="9:13" x14ac:dyDescent="0.25">
      <c r="I5442" t="s">
        <v>3109</v>
      </c>
      <c r="J5442" s="161" t="s">
        <v>19202</v>
      </c>
      <c r="K5442" t="s">
        <v>19203</v>
      </c>
      <c r="L5442" t="s">
        <v>3108</v>
      </c>
      <c r="M5442" s="161" t="s">
        <v>19202</v>
      </c>
    </row>
    <row r="5443" spans="9:13" x14ac:dyDescent="0.25">
      <c r="I5443" t="s">
        <v>3197</v>
      </c>
      <c r="J5443" s="161" t="s">
        <v>19202</v>
      </c>
      <c r="K5443" t="s">
        <v>19203</v>
      </c>
      <c r="L5443" t="s">
        <v>3196</v>
      </c>
      <c r="M5443" s="161" t="s">
        <v>19202</v>
      </c>
    </row>
    <row r="5444" spans="9:13" x14ac:dyDescent="0.25">
      <c r="I5444" t="s">
        <v>2947</v>
      </c>
      <c r="J5444" s="161" t="s">
        <v>19202</v>
      </c>
      <c r="K5444" t="s">
        <v>19203</v>
      </c>
      <c r="L5444" t="s">
        <v>2946</v>
      </c>
      <c r="M5444" s="161" t="s">
        <v>19202</v>
      </c>
    </row>
    <row r="5445" spans="9:13" x14ac:dyDescent="0.25">
      <c r="I5445" t="s">
        <v>2941</v>
      </c>
      <c r="J5445" s="161" t="s">
        <v>19202</v>
      </c>
      <c r="K5445" t="s">
        <v>19203</v>
      </c>
      <c r="L5445" t="s">
        <v>2940</v>
      </c>
      <c r="M5445" s="161" t="s">
        <v>19202</v>
      </c>
    </row>
    <row r="5446" spans="9:13" x14ac:dyDescent="0.25">
      <c r="I5446" t="s">
        <v>2935</v>
      </c>
      <c r="J5446" s="161" t="s">
        <v>19202</v>
      </c>
      <c r="K5446" t="s">
        <v>19203</v>
      </c>
      <c r="L5446" t="s">
        <v>2934</v>
      </c>
      <c r="M5446" s="161" t="s">
        <v>19202</v>
      </c>
    </row>
    <row r="5447" spans="9:13" x14ac:dyDescent="0.25">
      <c r="I5447" t="s">
        <v>2933</v>
      </c>
      <c r="J5447" s="161" t="s">
        <v>19202</v>
      </c>
      <c r="K5447" t="s">
        <v>19203</v>
      </c>
      <c r="L5447" t="s">
        <v>2932</v>
      </c>
      <c r="M5447" s="161" t="s">
        <v>19202</v>
      </c>
    </row>
    <row r="5448" spans="9:13" x14ac:dyDescent="0.25">
      <c r="I5448" t="s">
        <v>2931</v>
      </c>
      <c r="J5448" s="161" t="s">
        <v>19202</v>
      </c>
      <c r="K5448" t="s">
        <v>19203</v>
      </c>
      <c r="L5448" t="s">
        <v>2930</v>
      </c>
      <c r="M5448" s="161" t="s">
        <v>19202</v>
      </c>
    </row>
    <row r="5449" spans="9:13" x14ac:dyDescent="0.25">
      <c r="I5449" t="s">
        <v>15000</v>
      </c>
      <c r="J5449" s="161" t="s">
        <v>19202</v>
      </c>
      <c r="K5449" t="s">
        <v>19203</v>
      </c>
      <c r="L5449" t="s">
        <v>14999</v>
      </c>
      <c r="M5449" s="161" t="s">
        <v>19202</v>
      </c>
    </row>
    <row r="5450" spans="9:13" x14ac:dyDescent="0.25">
      <c r="I5450" t="s">
        <v>19844</v>
      </c>
      <c r="J5450" s="161" t="s">
        <v>19202</v>
      </c>
      <c r="K5450" t="s">
        <v>19203</v>
      </c>
      <c r="L5450" t="s">
        <v>610</v>
      </c>
      <c r="M5450" s="161" t="s">
        <v>19202</v>
      </c>
    </row>
    <row r="5451" spans="9:13" x14ac:dyDescent="0.25">
      <c r="I5451" t="s">
        <v>12702</v>
      </c>
      <c r="J5451" s="161" t="s">
        <v>19202</v>
      </c>
      <c r="K5451" t="s">
        <v>19203</v>
      </c>
      <c r="L5451" t="s">
        <v>12701</v>
      </c>
      <c r="M5451" s="161" t="s">
        <v>19202</v>
      </c>
    </row>
    <row r="5452" spans="9:13" x14ac:dyDescent="0.25">
      <c r="I5452" t="s">
        <v>9856</v>
      </c>
      <c r="J5452" s="161" t="s">
        <v>19202</v>
      </c>
      <c r="K5452" t="s">
        <v>19203</v>
      </c>
      <c r="L5452" t="s">
        <v>9855</v>
      </c>
      <c r="M5452" s="161" t="s">
        <v>19202</v>
      </c>
    </row>
    <row r="5453" spans="9:13" x14ac:dyDescent="0.25">
      <c r="I5453" t="s">
        <v>2927</v>
      </c>
      <c r="J5453" s="161" t="s">
        <v>19202</v>
      </c>
      <c r="K5453" t="s">
        <v>19203</v>
      </c>
      <c r="L5453" t="s">
        <v>2926</v>
      </c>
      <c r="M5453" s="161" t="s">
        <v>19202</v>
      </c>
    </row>
    <row r="5454" spans="9:13" x14ac:dyDescent="0.25">
      <c r="I5454" t="s">
        <v>4125</v>
      </c>
      <c r="J5454" s="161" t="s">
        <v>19202</v>
      </c>
      <c r="K5454" t="s">
        <v>19203</v>
      </c>
      <c r="L5454" t="s">
        <v>388</v>
      </c>
      <c r="M5454" s="161" t="s">
        <v>19202</v>
      </c>
    </row>
    <row r="5455" spans="9:13" x14ac:dyDescent="0.25">
      <c r="I5455" t="s">
        <v>10667</v>
      </c>
      <c r="J5455" s="161" t="s">
        <v>19202</v>
      </c>
      <c r="K5455" t="s">
        <v>19203</v>
      </c>
      <c r="L5455" t="s">
        <v>279</v>
      </c>
      <c r="M5455" s="161" t="s">
        <v>19202</v>
      </c>
    </row>
    <row r="5456" spans="9:13" x14ac:dyDescent="0.25">
      <c r="I5456" t="s">
        <v>5456</v>
      </c>
      <c r="J5456" s="161" t="s">
        <v>19202</v>
      </c>
      <c r="K5456" t="s">
        <v>19203</v>
      </c>
      <c r="L5456" t="s">
        <v>5455</v>
      </c>
      <c r="M5456" s="161" t="s">
        <v>19202</v>
      </c>
    </row>
    <row r="5457" spans="9:13" x14ac:dyDescent="0.25">
      <c r="I5457" t="s">
        <v>4864</v>
      </c>
      <c r="J5457" s="161" t="s">
        <v>19202</v>
      </c>
      <c r="K5457" t="s">
        <v>19203</v>
      </c>
      <c r="L5457" t="s">
        <v>4292</v>
      </c>
      <c r="M5457" s="161" t="s">
        <v>19202</v>
      </c>
    </row>
    <row r="5458" spans="9:13" x14ac:dyDescent="0.25">
      <c r="I5458" t="s">
        <v>4196</v>
      </c>
      <c r="J5458" s="161" t="s">
        <v>19202</v>
      </c>
      <c r="K5458" t="s">
        <v>19203</v>
      </c>
      <c r="L5458" t="s">
        <v>4195</v>
      </c>
      <c r="M5458" s="161" t="s">
        <v>19202</v>
      </c>
    </row>
    <row r="5459" spans="9:13" x14ac:dyDescent="0.25">
      <c r="I5459" t="s">
        <v>11753</v>
      </c>
      <c r="J5459" s="161" t="s">
        <v>19202</v>
      </c>
      <c r="K5459" t="s">
        <v>19203</v>
      </c>
      <c r="L5459" t="s">
        <v>11752</v>
      </c>
      <c r="M5459" s="161" t="s">
        <v>19202</v>
      </c>
    </row>
    <row r="5460" spans="9:13" x14ac:dyDescent="0.25">
      <c r="I5460" t="s">
        <v>19845</v>
      </c>
      <c r="J5460" s="161" t="s">
        <v>19202</v>
      </c>
      <c r="K5460" t="s">
        <v>19203</v>
      </c>
      <c r="L5460" t="s">
        <v>19846</v>
      </c>
      <c r="M5460" s="161" t="s">
        <v>19202</v>
      </c>
    </row>
    <row r="5461" spans="9:13" x14ac:dyDescent="0.25">
      <c r="I5461" t="s">
        <v>9573</v>
      </c>
      <c r="J5461" s="161" t="s">
        <v>19202</v>
      </c>
      <c r="K5461" t="s">
        <v>19203</v>
      </c>
      <c r="L5461" t="s">
        <v>9572</v>
      </c>
      <c r="M5461" s="161" t="s">
        <v>19202</v>
      </c>
    </row>
    <row r="5462" spans="9:13" x14ac:dyDescent="0.25">
      <c r="I5462" t="s">
        <v>2568</v>
      </c>
      <c r="J5462" s="161" t="s">
        <v>19202</v>
      </c>
      <c r="K5462" t="s">
        <v>19203</v>
      </c>
      <c r="L5462" t="s">
        <v>2567</v>
      </c>
      <c r="M5462" s="161" t="s">
        <v>19202</v>
      </c>
    </row>
    <row r="5463" spans="9:13" x14ac:dyDescent="0.25">
      <c r="I5463" t="s">
        <v>6380</v>
      </c>
      <c r="J5463" s="161" t="s">
        <v>19202</v>
      </c>
      <c r="K5463" t="s">
        <v>19203</v>
      </c>
      <c r="L5463" t="s">
        <v>5221</v>
      </c>
      <c r="M5463" s="161" t="s">
        <v>19202</v>
      </c>
    </row>
    <row r="5464" spans="9:13" x14ac:dyDescent="0.25">
      <c r="I5464" t="s">
        <v>16147</v>
      </c>
      <c r="J5464" s="161" t="s">
        <v>19202</v>
      </c>
      <c r="K5464" t="s">
        <v>19203</v>
      </c>
      <c r="L5464" t="s">
        <v>13637</v>
      </c>
      <c r="M5464" s="161" t="s">
        <v>19202</v>
      </c>
    </row>
    <row r="5465" spans="9:13" x14ac:dyDescent="0.25">
      <c r="I5465" t="s">
        <v>16293</v>
      </c>
      <c r="J5465" s="161" t="s">
        <v>19202</v>
      </c>
      <c r="K5465" t="s">
        <v>19203</v>
      </c>
      <c r="L5465" t="s">
        <v>1676</v>
      </c>
      <c r="M5465" s="161" t="s">
        <v>19202</v>
      </c>
    </row>
    <row r="5466" spans="9:13" x14ac:dyDescent="0.25">
      <c r="I5466" t="s">
        <v>19847</v>
      </c>
      <c r="J5466" s="161" t="s">
        <v>19202</v>
      </c>
      <c r="K5466" t="s">
        <v>19203</v>
      </c>
      <c r="L5466" t="s">
        <v>19848</v>
      </c>
      <c r="M5466" s="161" t="s">
        <v>19202</v>
      </c>
    </row>
    <row r="5467" spans="9:13" x14ac:dyDescent="0.25">
      <c r="I5467" t="s">
        <v>19849</v>
      </c>
      <c r="J5467" s="161" t="s">
        <v>19202</v>
      </c>
      <c r="K5467" t="s">
        <v>19203</v>
      </c>
      <c r="L5467" t="s">
        <v>19837</v>
      </c>
      <c r="M5467" s="161" t="s">
        <v>19202</v>
      </c>
    </row>
    <row r="5468" spans="9:13" x14ac:dyDescent="0.25">
      <c r="I5468" t="s">
        <v>9571</v>
      </c>
      <c r="J5468" s="161" t="s">
        <v>19202</v>
      </c>
      <c r="K5468" t="s">
        <v>19203</v>
      </c>
      <c r="L5468" t="s">
        <v>9570</v>
      </c>
      <c r="M5468" s="161" t="s">
        <v>19202</v>
      </c>
    </row>
    <row r="5469" spans="9:13" x14ac:dyDescent="0.25">
      <c r="I5469" t="s">
        <v>4008</v>
      </c>
      <c r="J5469" s="161" t="s">
        <v>19202</v>
      </c>
      <c r="K5469" t="s">
        <v>19203</v>
      </c>
      <c r="L5469" t="s">
        <v>538</v>
      </c>
      <c r="M5469" s="161" t="s">
        <v>19202</v>
      </c>
    </row>
    <row r="5470" spans="9:13" x14ac:dyDescent="0.25">
      <c r="I5470" t="s">
        <v>11907</v>
      </c>
      <c r="J5470" s="161" t="s">
        <v>19202</v>
      </c>
      <c r="K5470" t="s">
        <v>19203</v>
      </c>
      <c r="L5470" t="s">
        <v>11906</v>
      </c>
      <c r="M5470" s="161" t="s">
        <v>19202</v>
      </c>
    </row>
    <row r="5471" spans="9:13" x14ac:dyDescent="0.25">
      <c r="I5471" t="s">
        <v>15669</v>
      </c>
      <c r="J5471" s="161" t="s">
        <v>19202</v>
      </c>
      <c r="K5471" t="s">
        <v>19203</v>
      </c>
      <c r="L5471" t="s">
        <v>15668</v>
      </c>
      <c r="M5471" s="161" t="s">
        <v>19202</v>
      </c>
    </row>
    <row r="5472" spans="9:13" x14ac:dyDescent="0.25">
      <c r="I5472" t="s">
        <v>18721</v>
      </c>
      <c r="J5472" s="161" t="s">
        <v>19202</v>
      </c>
      <c r="K5472" t="s">
        <v>19203</v>
      </c>
      <c r="L5472" t="s">
        <v>18723</v>
      </c>
      <c r="M5472" s="161" t="s">
        <v>19202</v>
      </c>
    </row>
    <row r="5473" spans="9:13" x14ac:dyDescent="0.25">
      <c r="I5473" t="s">
        <v>10785</v>
      </c>
      <c r="J5473" s="161" t="s">
        <v>19202</v>
      </c>
      <c r="K5473" t="s">
        <v>19203</v>
      </c>
      <c r="L5473" t="s">
        <v>10784</v>
      </c>
      <c r="M5473" s="161" t="s">
        <v>19202</v>
      </c>
    </row>
    <row r="5474" spans="9:13" x14ac:dyDescent="0.25">
      <c r="I5474" t="s">
        <v>3127</v>
      </c>
      <c r="J5474" s="161" t="s">
        <v>19202</v>
      </c>
      <c r="K5474" t="s">
        <v>19203</v>
      </c>
      <c r="L5474" t="s">
        <v>3126</v>
      </c>
      <c r="M5474" s="161" t="s">
        <v>19202</v>
      </c>
    </row>
    <row r="5475" spans="9:13" x14ac:dyDescent="0.25">
      <c r="I5475" t="s">
        <v>16684</v>
      </c>
      <c r="J5475" s="161" t="s">
        <v>19202</v>
      </c>
      <c r="K5475" t="s">
        <v>19203</v>
      </c>
      <c r="L5475" t="s">
        <v>16683</v>
      </c>
      <c r="M5475" s="161" t="s">
        <v>19202</v>
      </c>
    </row>
    <row r="5476" spans="9:13" x14ac:dyDescent="0.25">
      <c r="I5476" t="s">
        <v>11756</v>
      </c>
      <c r="J5476" s="161" t="s">
        <v>19202</v>
      </c>
      <c r="K5476" t="s">
        <v>19203</v>
      </c>
      <c r="L5476" t="s">
        <v>3512</v>
      </c>
      <c r="M5476" s="161" t="s">
        <v>19202</v>
      </c>
    </row>
    <row r="5477" spans="9:13" x14ac:dyDescent="0.25">
      <c r="I5477" t="s">
        <v>10869</v>
      </c>
      <c r="J5477" s="161" t="s">
        <v>19202</v>
      </c>
      <c r="K5477" t="s">
        <v>19203</v>
      </c>
      <c r="L5477" t="s">
        <v>10868</v>
      </c>
      <c r="M5477" s="161" t="s">
        <v>19202</v>
      </c>
    </row>
    <row r="5478" spans="9:13" x14ac:dyDescent="0.25">
      <c r="I5478" t="s">
        <v>2701</v>
      </c>
      <c r="J5478" s="161" t="s">
        <v>19202</v>
      </c>
      <c r="K5478" t="s">
        <v>19203</v>
      </c>
      <c r="L5478" t="s">
        <v>2700</v>
      </c>
      <c r="M5478" s="161" t="s">
        <v>19202</v>
      </c>
    </row>
    <row r="5479" spans="9:13" x14ac:dyDescent="0.25">
      <c r="I5479" t="s">
        <v>2699</v>
      </c>
      <c r="J5479" s="161" t="s">
        <v>19202</v>
      </c>
      <c r="K5479" t="s">
        <v>19203</v>
      </c>
      <c r="L5479" t="s">
        <v>2698</v>
      </c>
      <c r="M5479" s="161" t="s">
        <v>19202</v>
      </c>
    </row>
    <row r="5480" spans="9:13" x14ac:dyDescent="0.25">
      <c r="I5480" t="s">
        <v>2697</v>
      </c>
      <c r="J5480" s="161" t="s">
        <v>19202</v>
      </c>
      <c r="K5480" t="s">
        <v>19203</v>
      </c>
      <c r="L5480" t="s">
        <v>2696</v>
      </c>
      <c r="M5480" s="161" t="s">
        <v>19202</v>
      </c>
    </row>
    <row r="5481" spans="9:13" x14ac:dyDescent="0.25">
      <c r="I5481" t="s">
        <v>2693</v>
      </c>
      <c r="J5481" s="161" t="s">
        <v>19202</v>
      </c>
      <c r="K5481" t="s">
        <v>19203</v>
      </c>
      <c r="L5481" t="s">
        <v>2692</v>
      </c>
      <c r="M5481" s="161" t="s">
        <v>19202</v>
      </c>
    </row>
    <row r="5482" spans="9:13" x14ac:dyDescent="0.25">
      <c r="I5482" t="s">
        <v>2658</v>
      </c>
      <c r="J5482" s="161" t="s">
        <v>19202</v>
      </c>
      <c r="K5482" t="s">
        <v>19203</v>
      </c>
      <c r="L5482" t="s">
        <v>2657</v>
      </c>
      <c r="M5482" s="161" t="s">
        <v>19202</v>
      </c>
    </row>
    <row r="5483" spans="9:13" x14ac:dyDescent="0.25">
      <c r="I5483" t="s">
        <v>2655</v>
      </c>
      <c r="J5483" s="161" t="s">
        <v>19202</v>
      </c>
      <c r="K5483" t="s">
        <v>19203</v>
      </c>
      <c r="L5483" t="s">
        <v>2654</v>
      </c>
      <c r="M5483" s="161" t="s">
        <v>19202</v>
      </c>
    </row>
    <row r="5484" spans="9:13" x14ac:dyDescent="0.25">
      <c r="I5484" t="s">
        <v>9885</v>
      </c>
      <c r="J5484" s="161" t="s">
        <v>19202</v>
      </c>
      <c r="K5484" t="s">
        <v>19203</v>
      </c>
      <c r="L5484" t="s">
        <v>9884</v>
      </c>
      <c r="M5484" s="161" t="s">
        <v>19202</v>
      </c>
    </row>
    <row r="5485" spans="9:13" x14ac:dyDescent="0.25">
      <c r="I5485" t="s">
        <v>2689</v>
      </c>
      <c r="J5485" s="161" t="s">
        <v>19202</v>
      </c>
      <c r="K5485" t="s">
        <v>19203</v>
      </c>
      <c r="L5485" t="s">
        <v>2688</v>
      </c>
      <c r="M5485" s="161" t="s">
        <v>19202</v>
      </c>
    </row>
    <row r="5486" spans="9:13" x14ac:dyDescent="0.25">
      <c r="I5486" t="s">
        <v>9280</v>
      </c>
      <c r="J5486" s="161" t="s">
        <v>19202</v>
      </c>
      <c r="K5486" t="s">
        <v>19203</v>
      </c>
      <c r="L5486" t="s">
        <v>9279</v>
      </c>
      <c r="M5486" s="161" t="s">
        <v>19202</v>
      </c>
    </row>
    <row r="5487" spans="9:13" x14ac:dyDescent="0.25">
      <c r="I5487" t="s">
        <v>2617</v>
      </c>
      <c r="J5487" s="161" t="s">
        <v>19202</v>
      </c>
      <c r="K5487" t="s">
        <v>19203</v>
      </c>
      <c r="L5487" t="s">
        <v>2616</v>
      </c>
      <c r="M5487" s="161" t="s">
        <v>19202</v>
      </c>
    </row>
    <row r="5488" spans="9:13" x14ac:dyDescent="0.25">
      <c r="I5488" t="s">
        <v>2611</v>
      </c>
      <c r="J5488" s="161" t="s">
        <v>19202</v>
      </c>
      <c r="K5488" t="s">
        <v>19203</v>
      </c>
      <c r="L5488" t="s">
        <v>2610</v>
      </c>
      <c r="M5488" s="161" t="s">
        <v>19202</v>
      </c>
    </row>
    <row r="5489" spans="9:13" x14ac:dyDescent="0.25">
      <c r="I5489" t="s">
        <v>2605</v>
      </c>
      <c r="J5489" s="161" t="s">
        <v>19202</v>
      </c>
      <c r="K5489" t="s">
        <v>19203</v>
      </c>
      <c r="L5489" t="s">
        <v>2604</v>
      </c>
      <c r="M5489" s="161" t="s">
        <v>19202</v>
      </c>
    </row>
    <row r="5490" spans="9:13" x14ac:dyDescent="0.25">
      <c r="I5490" t="s">
        <v>3051</v>
      </c>
      <c r="J5490" s="161" t="s">
        <v>19202</v>
      </c>
      <c r="K5490" t="s">
        <v>19203</v>
      </c>
      <c r="L5490" t="s">
        <v>3050</v>
      </c>
      <c r="M5490" s="161" t="s">
        <v>19202</v>
      </c>
    </row>
    <row r="5491" spans="9:13" x14ac:dyDescent="0.25">
      <c r="I5491" t="s">
        <v>3049</v>
      </c>
      <c r="J5491" s="161" t="s">
        <v>19202</v>
      </c>
      <c r="K5491" t="s">
        <v>19203</v>
      </c>
      <c r="L5491" t="s">
        <v>3048</v>
      </c>
      <c r="M5491" s="161" t="s">
        <v>19202</v>
      </c>
    </row>
    <row r="5492" spans="9:13" x14ac:dyDescent="0.25">
      <c r="I5492" t="s">
        <v>3045</v>
      </c>
      <c r="J5492" s="161" t="s">
        <v>19202</v>
      </c>
      <c r="K5492" t="s">
        <v>19203</v>
      </c>
      <c r="L5492" t="s">
        <v>2995</v>
      </c>
      <c r="M5492" s="161" t="s">
        <v>19202</v>
      </c>
    </row>
    <row r="5493" spans="9:13" x14ac:dyDescent="0.25">
      <c r="I5493" t="s">
        <v>3042</v>
      </c>
      <c r="J5493" s="161" t="s">
        <v>19202</v>
      </c>
      <c r="K5493" t="s">
        <v>19203</v>
      </c>
      <c r="L5493" t="s">
        <v>3041</v>
      </c>
      <c r="M5493" s="161" t="s">
        <v>19202</v>
      </c>
    </row>
    <row r="5494" spans="9:13" x14ac:dyDescent="0.25">
      <c r="I5494" t="s">
        <v>3040</v>
      </c>
      <c r="J5494" s="161" t="s">
        <v>19202</v>
      </c>
      <c r="K5494" t="s">
        <v>19203</v>
      </c>
      <c r="L5494" t="s">
        <v>3039</v>
      </c>
      <c r="M5494" s="161" t="s">
        <v>19202</v>
      </c>
    </row>
    <row r="5495" spans="9:13" x14ac:dyDescent="0.25">
      <c r="I5495" t="s">
        <v>3038</v>
      </c>
      <c r="J5495" s="161" t="s">
        <v>19202</v>
      </c>
      <c r="K5495" t="s">
        <v>19203</v>
      </c>
      <c r="L5495" t="s">
        <v>3037</v>
      </c>
      <c r="M5495" s="161" t="s">
        <v>19202</v>
      </c>
    </row>
    <row r="5496" spans="9:13" x14ac:dyDescent="0.25">
      <c r="I5496" t="s">
        <v>2601</v>
      </c>
      <c r="J5496" s="161" t="s">
        <v>19202</v>
      </c>
      <c r="K5496" t="s">
        <v>19203</v>
      </c>
      <c r="L5496" t="s">
        <v>2600</v>
      </c>
      <c r="M5496" s="161" t="s">
        <v>19202</v>
      </c>
    </row>
    <row r="5497" spans="9:13" x14ac:dyDescent="0.25">
      <c r="I5497" t="s">
        <v>3034</v>
      </c>
      <c r="J5497" s="161" t="s">
        <v>19202</v>
      </c>
      <c r="K5497" t="s">
        <v>19203</v>
      </c>
      <c r="L5497" t="s">
        <v>3033</v>
      </c>
      <c r="M5497" s="161" t="s">
        <v>19202</v>
      </c>
    </row>
    <row r="5498" spans="9:13" x14ac:dyDescent="0.25">
      <c r="I5498" t="s">
        <v>3408</v>
      </c>
      <c r="J5498" s="161" t="s">
        <v>19202</v>
      </c>
      <c r="K5498" t="s">
        <v>19203</v>
      </c>
      <c r="L5498" t="s">
        <v>3407</v>
      </c>
      <c r="M5498" s="161" t="s">
        <v>19202</v>
      </c>
    </row>
    <row r="5499" spans="9:13" x14ac:dyDescent="0.25">
      <c r="I5499" t="s">
        <v>2599</v>
      </c>
      <c r="J5499" s="161" t="s">
        <v>19202</v>
      </c>
      <c r="K5499" t="s">
        <v>19203</v>
      </c>
      <c r="L5499" t="s">
        <v>2598</v>
      </c>
      <c r="M5499" s="161" t="s">
        <v>19202</v>
      </c>
    </row>
    <row r="5500" spans="9:13" x14ac:dyDescent="0.25">
      <c r="I5500" t="s">
        <v>5280</v>
      </c>
      <c r="J5500" s="161" t="s">
        <v>19202</v>
      </c>
      <c r="K5500" t="s">
        <v>19203</v>
      </c>
      <c r="L5500" t="s">
        <v>5279</v>
      </c>
      <c r="M5500" s="161" t="s">
        <v>19202</v>
      </c>
    </row>
    <row r="5501" spans="9:13" x14ac:dyDescent="0.25">
      <c r="I5501" t="s">
        <v>19850</v>
      </c>
      <c r="J5501" s="161" t="s">
        <v>19202</v>
      </c>
      <c r="K5501" t="s">
        <v>19203</v>
      </c>
      <c r="L5501" t="s">
        <v>19851</v>
      </c>
      <c r="M5501" s="161" t="s">
        <v>19202</v>
      </c>
    </row>
    <row r="5502" spans="9:13" x14ac:dyDescent="0.25">
      <c r="I5502" t="s">
        <v>9084</v>
      </c>
      <c r="J5502" s="161" t="s">
        <v>19202</v>
      </c>
      <c r="K5502" t="s">
        <v>19203</v>
      </c>
      <c r="L5502" t="s">
        <v>9083</v>
      </c>
      <c r="M5502" s="161" t="s">
        <v>19202</v>
      </c>
    </row>
    <row r="5503" spans="9:13" x14ac:dyDescent="0.25">
      <c r="I5503" t="s">
        <v>12698</v>
      </c>
      <c r="J5503" s="161" t="s">
        <v>19202</v>
      </c>
      <c r="K5503" t="s">
        <v>19203</v>
      </c>
      <c r="L5503" t="s">
        <v>12697</v>
      </c>
      <c r="M5503" s="161" t="s">
        <v>19202</v>
      </c>
    </row>
    <row r="5504" spans="9:13" x14ac:dyDescent="0.25">
      <c r="I5504" t="s">
        <v>12007</v>
      </c>
      <c r="J5504" s="161" t="s">
        <v>19202</v>
      </c>
      <c r="K5504" t="s">
        <v>19203</v>
      </c>
      <c r="L5504" t="s">
        <v>12006</v>
      </c>
      <c r="M5504" s="161" t="s">
        <v>19202</v>
      </c>
    </row>
    <row r="5505" spans="9:13" x14ac:dyDescent="0.25">
      <c r="I5505" t="s">
        <v>10819</v>
      </c>
      <c r="J5505" s="161" t="s">
        <v>19202</v>
      </c>
      <c r="K5505" t="s">
        <v>19203</v>
      </c>
      <c r="L5505" t="s">
        <v>10818</v>
      </c>
      <c r="M5505" s="161" t="s">
        <v>19202</v>
      </c>
    </row>
    <row r="5506" spans="9:13" x14ac:dyDescent="0.25">
      <c r="I5506" t="s">
        <v>2603</v>
      </c>
      <c r="J5506" s="161" t="s">
        <v>19202</v>
      </c>
      <c r="K5506" t="s">
        <v>19203</v>
      </c>
      <c r="L5506" t="s">
        <v>2602</v>
      </c>
      <c r="M5506" s="161" t="s">
        <v>19202</v>
      </c>
    </row>
    <row r="5507" spans="9:13" x14ac:dyDescent="0.25">
      <c r="I5507" t="s">
        <v>10526</v>
      </c>
      <c r="J5507" s="161" t="s">
        <v>19202</v>
      </c>
      <c r="K5507" t="s">
        <v>19203</v>
      </c>
      <c r="L5507" t="s">
        <v>10525</v>
      </c>
      <c r="M5507" s="161" t="s">
        <v>19202</v>
      </c>
    </row>
    <row r="5508" spans="9:13" x14ac:dyDescent="0.25">
      <c r="I5508" t="s">
        <v>11755</v>
      </c>
      <c r="J5508" s="161" t="s">
        <v>19202</v>
      </c>
      <c r="K5508" t="s">
        <v>19203</v>
      </c>
      <c r="L5508" t="s">
        <v>11754</v>
      </c>
      <c r="M5508" s="161" t="s">
        <v>19202</v>
      </c>
    </row>
    <row r="5509" spans="9:13" x14ac:dyDescent="0.25">
      <c r="I5509" t="s">
        <v>11751</v>
      </c>
      <c r="J5509" s="161" t="s">
        <v>19202</v>
      </c>
      <c r="K5509" t="s">
        <v>19203</v>
      </c>
      <c r="L5509" t="s">
        <v>4717</v>
      </c>
      <c r="M5509" s="161" t="s">
        <v>19202</v>
      </c>
    </row>
    <row r="5510" spans="9:13" x14ac:dyDescent="0.25">
      <c r="I5510" t="s">
        <v>9114</v>
      </c>
      <c r="J5510" s="161" t="s">
        <v>19202</v>
      </c>
      <c r="K5510" t="s">
        <v>19203</v>
      </c>
      <c r="L5510" t="s">
        <v>9113</v>
      </c>
      <c r="M5510" s="161" t="s">
        <v>19202</v>
      </c>
    </row>
    <row r="5511" spans="9:13" x14ac:dyDescent="0.25">
      <c r="I5511" t="s">
        <v>19852</v>
      </c>
      <c r="J5511" s="161" t="s">
        <v>19202</v>
      </c>
      <c r="K5511" t="s">
        <v>19203</v>
      </c>
      <c r="L5511" t="s">
        <v>19853</v>
      </c>
      <c r="M5511" s="161" t="s">
        <v>19202</v>
      </c>
    </row>
    <row r="5512" spans="9:13" x14ac:dyDescent="0.25">
      <c r="I5512" t="s">
        <v>9126</v>
      </c>
      <c r="J5512" s="161" t="s">
        <v>19202</v>
      </c>
      <c r="K5512" t="s">
        <v>19203</v>
      </c>
      <c r="L5512" t="s">
        <v>9125</v>
      </c>
      <c r="M5512" s="161" t="s">
        <v>19202</v>
      </c>
    </row>
    <row r="5513" spans="9:13" x14ac:dyDescent="0.25">
      <c r="I5513" t="s">
        <v>9955</v>
      </c>
      <c r="J5513" s="161" t="s">
        <v>19202</v>
      </c>
      <c r="K5513" t="s">
        <v>19203</v>
      </c>
      <c r="L5513" t="s">
        <v>9954</v>
      </c>
      <c r="M5513" s="161" t="s">
        <v>19202</v>
      </c>
    </row>
    <row r="5514" spans="9:13" x14ac:dyDescent="0.25">
      <c r="I5514" t="s">
        <v>9874</v>
      </c>
      <c r="J5514" s="161" t="s">
        <v>19202</v>
      </c>
      <c r="K5514" t="s">
        <v>19203</v>
      </c>
      <c r="L5514" t="s">
        <v>9873</v>
      </c>
      <c r="M5514" s="161" t="s">
        <v>19202</v>
      </c>
    </row>
    <row r="5515" spans="9:13" x14ac:dyDescent="0.25">
      <c r="I5515" t="s">
        <v>5769</v>
      </c>
      <c r="J5515" s="161" t="s">
        <v>19202</v>
      </c>
      <c r="K5515" t="s">
        <v>19203</v>
      </c>
      <c r="L5515" t="s">
        <v>5768</v>
      </c>
      <c r="M5515" s="161" t="s">
        <v>19202</v>
      </c>
    </row>
    <row r="5516" spans="9:13" x14ac:dyDescent="0.25">
      <c r="I5516" t="s">
        <v>16943</v>
      </c>
      <c r="J5516" s="161" t="s">
        <v>19202</v>
      </c>
      <c r="K5516" t="s">
        <v>19203</v>
      </c>
      <c r="L5516" t="s">
        <v>425</v>
      </c>
      <c r="M5516" s="161" t="s">
        <v>19202</v>
      </c>
    </row>
    <row r="5517" spans="9:13" x14ac:dyDescent="0.25">
      <c r="I5517" t="s">
        <v>17124</v>
      </c>
      <c r="J5517" s="161" t="s">
        <v>19202</v>
      </c>
      <c r="K5517" t="s">
        <v>19203</v>
      </c>
      <c r="L5517" t="s">
        <v>17123</v>
      </c>
      <c r="M5517" s="161" t="s">
        <v>19202</v>
      </c>
    </row>
    <row r="5518" spans="9:13" x14ac:dyDescent="0.25">
      <c r="I5518" t="s">
        <v>3207</v>
      </c>
      <c r="J5518" s="161" t="s">
        <v>19202</v>
      </c>
      <c r="K5518" t="s">
        <v>19203</v>
      </c>
      <c r="L5518" t="s">
        <v>3206</v>
      </c>
      <c r="M5518" s="161" t="s">
        <v>19202</v>
      </c>
    </row>
    <row r="5519" spans="9:13" x14ac:dyDescent="0.25">
      <c r="I5519" t="s">
        <v>414</v>
      </c>
      <c r="J5519" s="161" t="s">
        <v>19202</v>
      </c>
      <c r="K5519" t="s">
        <v>19203</v>
      </c>
      <c r="L5519" t="s">
        <v>413</v>
      </c>
      <c r="M5519" s="161" t="s">
        <v>19202</v>
      </c>
    </row>
    <row r="5520" spans="9:13" x14ac:dyDescent="0.25">
      <c r="I5520" t="s">
        <v>10875</v>
      </c>
      <c r="J5520" s="161" t="s">
        <v>19202</v>
      </c>
      <c r="K5520" t="s">
        <v>19203</v>
      </c>
      <c r="L5520" t="s">
        <v>10874</v>
      </c>
      <c r="M5520" s="161" t="s">
        <v>19202</v>
      </c>
    </row>
    <row r="5521" spans="9:13" x14ac:dyDescent="0.25">
      <c r="I5521" t="s">
        <v>11144</v>
      </c>
      <c r="J5521" s="161" t="s">
        <v>19202</v>
      </c>
      <c r="K5521" t="s">
        <v>19203</v>
      </c>
      <c r="L5521" t="s">
        <v>11143</v>
      </c>
      <c r="M5521" s="161" t="s">
        <v>19202</v>
      </c>
    </row>
    <row r="5522" spans="9:13" x14ac:dyDescent="0.25">
      <c r="I5522" t="s">
        <v>3113</v>
      </c>
      <c r="J5522" s="161" t="s">
        <v>19202</v>
      </c>
      <c r="K5522" t="s">
        <v>19203</v>
      </c>
      <c r="L5522" t="s">
        <v>3112</v>
      </c>
      <c r="M5522" s="161" t="s">
        <v>19202</v>
      </c>
    </row>
    <row r="5523" spans="9:13" x14ac:dyDescent="0.25">
      <c r="I5523" t="s">
        <v>19854</v>
      </c>
      <c r="J5523" s="161" t="s">
        <v>19202</v>
      </c>
      <c r="K5523" t="s">
        <v>19203</v>
      </c>
      <c r="L5523" t="s">
        <v>19855</v>
      </c>
      <c r="M5523" s="161" t="s">
        <v>19202</v>
      </c>
    </row>
    <row r="5524" spans="9:13" x14ac:dyDescent="0.25">
      <c r="I5524" t="s">
        <v>8235</v>
      </c>
      <c r="J5524" s="161" t="s">
        <v>19202</v>
      </c>
      <c r="K5524" t="s">
        <v>19203</v>
      </c>
      <c r="L5524" t="s">
        <v>8234</v>
      </c>
      <c r="M5524" s="161" t="s">
        <v>19202</v>
      </c>
    </row>
    <row r="5525" spans="9:13" x14ac:dyDescent="0.25">
      <c r="I5525" t="s">
        <v>2558</v>
      </c>
      <c r="J5525" s="161" t="s">
        <v>19202</v>
      </c>
      <c r="K5525" t="s">
        <v>19203</v>
      </c>
      <c r="L5525" t="s">
        <v>2557</v>
      </c>
      <c r="M5525" s="161" t="s">
        <v>19202</v>
      </c>
    </row>
    <row r="5526" spans="9:13" x14ac:dyDescent="0.25">
      <c r="I5526" t="s">
        <v>15672</v>
      </c>
      <c r="J5526" s="161" t="s">
        <v>19202</v>
      </c>
      <c r="K5526" t="s">
        <v>19203</v>
      </c>
      <c r="L5526" t="s">
        <v>11786</v>
      </c>
      <c r="M5526" s="161" t="s">
        <v>19202</v>
      </c>
    </row>
    <row r="5527" spans="9:13" x14ac:dyDescent="0.25">
      <c r="I5527" t="s">
        <v>3107</v>
      </c>
      <c r="J5527" s="161" t="s">
        <v>19202</v>
      </c>
      <c r="K5527" t="s">
        <v>19203</v>
      </c>
      <c r="L5527" t="s">
        <v>3106</v>
      </c>
      <c r="M5527" s="161" t="s">
        <v>19202</v>
      </c>
    </row>
    <row r="5528" spans="9:13" x14ac:dyDescent="0.25">
      <c r="I5528" t="s">
        <v>14574</v>
      </c>
      <c r="J5528" s="161" t="s">
        <v>19202</v>
      </c>
      <c r="K5528" t="s">
        <v>19203</v>
      </c>
      <c r="L5528" t="s">
        <v>14573</v>
      </c>
      <c r="M5528" s="161" t="s">
        <v>19202</v>
      </c>
    </row>
    <row r="5529" spans="9:13" x14ac:dyDescent="0.25">
      <c r="I5529" t="s">
        <v>3989</v>
      </c>
      <c r="J5529" s="161" t="s">
        <v>19202</v>
      </c>
      <c r="K5529" t="s">
        <v>19203</v>
      </c>
      <c r="L5529" t="s">
        <v>3988</v>
      </c>
      <c r="M5529" s="161" t="s">
        <v>19202</v>
      </c>
    </row>
    <row r="5530" spans="9:13" x14ac:dyDescent="0.25">
      <c r="I5530" t="s">
        <v>19856</v>
      </c>
      <c r="J5530" s="161" t="s">
        <v>19202</v>
      </c>
      <c r="K5530" t="s">
        <v>19203</v>
      </c>
      <c r="L5530" t="s">
        <v>17326</v>
      </c>
      <c r="M5530" s="161" t="s">
        <v>19202</v>
      </c>
    </row>
    <row r="5531" spans="9:13" x14ac:dyDescent="0.25">
      <c r="I5531" t="s">
        <v>19857</v>
      </c>
      <c r="J5531" s="161" t="s">
        <v>19202</v>
      </c>
      <c r="K5531" t="s">
        <v>19203</v>
      </c>
      <c r="L5531" t="s">
        <v>19858</v>
      </c>
      <c r="M5531" s="161" t="s">
        <v>19202</v>
      </c>
    </row>
    <row r="5532" spans="9:13" x14ac:dyDescent="0.25">
      <c r="I5532" t="s">
        <v>6767</v>
      </c>
      <c r="J5532" s="161" t="s">
        <v>19202</v>
      </c>
      <c r="K5532" t="s">
        <v>19203</v>
      </c>
      <c r="L5532" t="s">
        <v>6564</v>
      </c>
      <c r="M5532" s="161" t="s">
        <v>19202</v>
      </c>
    </row>
    <row r="5533" spans="9:13" x14ac:dyDescent="0.25">
      <c r="I5533" t="s">
        <v>6139</v>
      </c>
      <c r="J5533" s="161" t="s">
        <v>19202</v>
      </c>
      <c r="K5533" t="s">
        <v>19203</v>
      </c>
      <c r="L5533" t="s">
        <v>6138</v>
      </c>
      <c r="M5533" s="161" t="s">
        <v>19202</v>
      </c>
    </row>
    <row r="5534" spans="9:13" x14ac:dyDescent="0.25">
      <c r="I5534" t="s">
        <v>9456</v>
      </c>
      <c r="J5534" s="161" t="s">
        <v>19202</v>
      </c>
      <c r="K5534" t="s">
        <v>19203</v>
      </c>
      <c r="L5534" t="s">
        <v>9455</v>
      </c>
      <c r="M5534" s="161" t="s">
        <v>19202</v>
      </c>
    </row>
    <row r="5535" spans="9:13" x14ac:dyDescent="0.25">
      <c r="I5535" t="s">
        <v>3115</v>
      </c>
      <c r="J5535" s="161" t="s">
        <v>19202</v>
      </c>
      <c r="K5535" t="s">
        <v>19203</v>
      </c>
      <c r="L5535" t="s">
        <v>3114</v>
      </c>
      <c r="M5535" s="161" t="s">
        <v>19202</v>
      </c>
    </row>
    <row r="5536" spans="9:13" x14ac:dyDescent="0.25">
      <c r="I5536" t="s">
        <v>19859</v>
      </c>
      <c r="J5536" s="161" t="s">
        <v>19202</v>
      </c>
      <c r="K5536" t="s">
        <v>19203</v>
      </c>
      <c r="L5536" t="s">
        <v>19860</v>
      </c>
      <c r="M5536" s="161" t="s">
        <v>19202</v>
      </c>
    </row>
    <row r="5537" spans="9:13" x14ac:dyDescent="0.25">
      <c r="I5537" t="s">
        <v>19861</v>
      </c>
      <c r="J5537" s="161" t="s">
        <v>19202</v>
      </c>
      <c r="K5537" t="s">
        <v>19203</v>
      </c>
      <c r="L5537" t="s">
        <v>632</v>
      </c>
      <c r="M5537" s="161" t="s">
        <v>19202</v>
      </c>
    </row>
    <row r="5538" spans="9:13" x14ac:dyDescent="0.25">
      <c r="I5538" t="s">
        <v>19862</v>
      </c>
      <c r="J5538" s="161" t="s">
        <v>19202</v>
      </c>
      <c r="K5538" t="s">
        <v>19203</v>
      </c>
      <c r="L5538" t="s">
        <v>19863</v>
      </c>
      <c r="M5538" s="161" t="s">
        <v>19202</v>
      </c>
    </row>
    <row r="5539" spans="9:13" x14ac:dyDescent="0.25">
      <c r="I5539" t="s">
        <v>17212</v>
      </c>
      <c r="J5539" s="161" t="s">
        <v>19202</v>
      </c>
      <c r="K5539" t="s">
        <v>19203</v>
      </c>
      <c r="L5539" t="s">
        <v>17211</v>
      </c>
      <c r="M5539" s="161" t="s">
        <v>19202</v>
      </c>
    </row>
    <row r="5540" spans="9:13" x14ac:dyDescent="0.25">
      <c r="I5540" t="s">
        <v>19864</v>
      </c>
      <c r="J5540" s="161" t="s">
        <v>19202</v>
      </c>
      <c r="K5540" t="s">
        <v>19203</v>
      </c>
      <c r="L5540" t="s">
        <v>13327</v>
      </c>
      <c r="M5540" s="161" t="s">
        <v>19202</v>
      </c>
    </row>
    <row r="5541" spans="9:13" x14ac:dyDescent="0.25">
      <c r="I5541" t="s">
        <v>6515</v>
      </c>
      <c r="J5541" s="161" t="s">
        <v>19202</v>
      </c>
      <c r="K5541" t="s">
        <v>19203</v>
      </c>
      <c r="L5541" t="s">
        <v>3995</v>
      </c>
      <c r="M5541" s="161" t="s">
        <v>19202</v>
      </c>
    </row>
    <row r="5542" spans="9:13" x14ac:dyDescent="0.25">
      <c r="I5542" t="s">
        <v>9116</v>
      </c>
      <c r="J5542" s="161" t="s">
        <v>19202</v>
      </c>
      <c r="K5542" t="s">
        <v>19203</v>
      </c>
      <c r="L5542" t="s">
        <v>9115</v>
      </c>
      <c r="M5542" s="161" t="s">
        <v>19202</v>
      </c>
    </row>
    <row r="5543" spans="9:13" x14ac:dyDescent="0.25">
      <c r="I5543" t="s">
        <v>4843</v>
      </c>
      <c r="J5543" s="161" t="s">
        <v>19202</v>
      </c>
      <c r="K5543" t="s">
        <v>19203</v>
      </c>
      <c r="L5543" t="s">
        <v>4842</v>
      </c>
      <c r="M5543" s="161" t="s">
        <v>19202</v>
      </c>
    </row>
    <row r="5544" spans="9:13" x14ac:dyDescent="0.25">
      <c r="I5544" t="s">
        <v>9418</v>
      </c>
      <c r="J5544" s="161" t="s">
        <v>19202</v>
      </c>
      <c r="K5544" t="s">
        <v>19203</v>
      </c>
      <c r="L5544" t="s">
        <v>9417</v>
      </c>
      <c r="M5544" s="161" t="s">
        <v>19202</v>
      </c>
    </row>
    <row r="5545" spans="9:13" x14ac:dyDescent="0.25">
      <c r="I5545" t="s">
        <v>3406</v>
      </c>
      <c r="J5545" s="161" t="s">
        <v>19202</v>
      </c>
      <c r="K5545" t="s">
        <v>19203</v>
      </c>
      <c r="L5545" t="s">
        <v>3405</v>
      </c>
      <c r="M5545" s="161" t="s">
        <v>19202</v>
      </c>
    </row>
    <row r="5546" spans="9:13" x14ac:dyDescent="0.25">
      <c r="I5546" t="s">
        <v>3404</v>
      </c>
      <c r="J5546" s="161" t="s">
        <v>19202</v>
      </c>
      <c r="K5546" t="s">
        <v>19203</v>
      </c>
      <c r="L5546" t="s">
        <v>3403</v>
      </c>
      <c r="M5546" s="161" t="s">
        <v>19202</v>
      </c>
    </row>
    <row r="5547" spans="9:13" x14ac:dyDescent="0.25">
      <c r="I5547" t="s">
        <v>3402</v>
      </c>
      <c r="J5547" s="161" t="s">
        <v>19202</v>
      </c>
      <c r="K5547" t="s">
        <v>19203</v>
      </c>
      <c r="L5547" t="s">
        <v>3401</v>
      </c>
      <c r="M5547" s="161" t="s">
        <v>19202</v>
      </c>
    </row>
    <row r="5548" spans="9:13" x14ac:dyDescent="0.25">
      <c r="I5548" t="s">
        <v>9454</v>
      </c>
      <c r="J5548" s="161" t="s">
        <v>19202</v>
      </c>
      <c r="K5548" t="s">
        <v>19203</v>
      </c>
      <c r="L5548" t="s">
        <v>9453</v>
      </c>
      <c r="M5548" s="161" t="s">
        <v>19202</v>
      </c>
    </row>
    <row r="5549" spans="9:13" x14ac:dyDescent="0.25">
      <c r="I5549" t="s">
        <v>3032</v>
      </c>
      <c r="J5549" s="161" t="s">
        <v>19202</v>
      </c>
      <c r="K5549" t="s">
        <v>19203</v>
      </c>
      <c r="L5549" t="s">
        <v>3031</v>
      </c>
      <c r="M5549" s="161" t="s">
        <v>19202</v>
      </c>
    </row>
    <row r="5550" spans="9:13" x14ac:dyDescent="0.25">
      <c r="I5550" t="s">
        <v>9611</v>
      </c>
      <c r="J5550" s="161" t="s">
        <v>19202</v>
      </c>
      <c r="K5550" t="s">
        <v>19203</v>
      </c>
      <c r="L5550" t="s">
        <v>9610</v>
      </c>
      <c r="M5550" s="161" t="s">
        <v>19202</v>
      </c>
    </row>
    <row r="5551" spans="9:13" x14ac:dyDescent="0.25">
      <c r="I5551" t="s">
        <v>9609</v>
      </c>
      <c r="J5551" s="161" t="s">
        <v>19202</v>
      </c>
      <c r="K5551" t="s">
        <v>19203</v>
      </c>
      <c r="L5551" t="s">
        <v>9608</v>
      </c>
      <c r="M5551" s="161" t="s">
        <v>19202</v>
      </c>
    </row>
    <row r="5552" spans="9:13" x14ac:dyDescent="0.25">
      <c r="I5552" t="s">
        <v>10855</v>
      </c>
      <c r="J5552" s="161" t="s">
        <v>19202</v>
      </c>
      <c r="K5552" t="s">
        <v>19203</v>
      </c>
      <c r="L5552" t="s">
        <v>10854</v>
      </c>
      <c r="M5552" s="161" t="s">
        <v>19202</v>
      </c>
    </row>
    <row r="5553" spans="9:13" x14ac:dyDescent="0.25">
      <c r="I5553" t="s">
        <v>5199</v>
      </c>
      <c r="J5553" s="161" t="s">
        <v>19202</v>
      </c>
      <c r="K5553" t="s">
        <v>19203</v>
      </c>
      <c r="L5553" t="s">
        <v>5198</v>
      </c>
      <c r="M5553" s="161" t="s">
        <v>19202</v>
      </c>
    </row>
    <row r="5554" spans="9:13" x14ac:dyDescent="0.25">
      <c r="I5554" t="s">
        <v>769</v>
      </c>
      <c r="J5554" s="161" t="s">
        <v>19202</v>
      </c>
      <c r="K5554" t="s">
        <v>19203</v>
      </c>
      <c r="L5554" t="s">
        <v>768</v>
      </c>
      <c r="M5554" s="161" t="s">
        <v>19202</v>
      </c>
    </row>
    <row r="5555" spans="9:13" x14ac:dyDescent="0.25">
      <c r="I5555" t="s">
        <v>19865</v>
      </c>
      <c r="J5555" s="161" t="s">
        <v>19202</v>
      </c>
      <c r="K5555" t="s">
        <v>19203</v>
      </c>
      <c r="L5555" t="s">
        <v>19866</v>
      </c>
      <c r="M5555" s="161" t="s">
        <v>19202</v>
      </c>
    </row>
    <row r="5556" spans="9:13" x14ac:dyDescent="0.25">
      <c r="I5556" t="s">
        <v>19867</v>
      </c>
      <c r="J5556" s="161" t="s">
        <v>19202</v>
      </c>
      <c r="K5556" t="s">
        <v>19203</v>
      </c>
      <c r="L5556" t="s">
        <v>19868</v>
      </c>
      <c r="M5556" s="161" t="s">
        <v>19202</v>
      </c>
    </row>
    <row r="5557" spans="9:13" x14ac:dyDescent="0.25">
      <c r="I5557" t="s">
        <v>19869</v>
      </c>
      <c r="J5557" s="161" t="s">
        <v>19202</v>
      </c>
      <c r="K5557" t="s">
        <v>19203</v>
      </c>
      <c r="L5557" t="s">
        <v>13234</v>
      </c>
      <c r="M5557" s="161" t="s">
        <v>19202</v>
      </c>
    </row>
    <row r="5558" spans="9:13" x14ac:dyDescent="0.25">
      <c r="I5558" t="s">
        <v>3203</v>
      </c>
      <c r="J5558" s="161" t="s">
        <v>19202</v>
      </c>
      <c r="K5558" t="s">
        <v>19203</v>
      </c>
      <c r="L5558" t="s">
        <v>3202</v>
      </c>
      <c r="M5558" s="161" t="s">
        <v>19202</v>
      </c>
    </row>
    <row r="5559" spans="9:13" x14ac:dyDescent="0.25">
      <c r="I5559" t="s">
        <v>19870</v>
      </c>
      <c r="J5559" s="161" t="s">
        <v>19202</v>
      </c>
      <c r="K5559" t="s">
        <v>19203</v>
      </c>
      <c r="L5559" t="s">
        <v>19871</v>
      </c>
      <c r="M5559" s="161" t="s">
        <v>19202</v>
      </c>
    </row>
    <row r="5560" spans="9:13" x14ac:dyDescent="0.25">
      <c r="I5560" t="s">
        <v>673</v>
      </c>
      <c r="J5560" s="161" t="s">
        <v>19202</v>
      </c>
      <c r="K5560" t="s">
        <v>19203</v>
      </c>
      <c r="L5560" t="s">
        <v>109</v>
      </c>
      <c r="M5560" s="161" t="s">
        <v>19202</v>
      </c>
    </row>
    <row r="5561" spans="9:13" x14ac:dyDescent="0.25">
      <c r="I5561" t="s">
        <v>9122</v>
      </c>
      <c r="J5561" s="161" t="s">
        <v>19202</v>
      </c>
      <c r="K5561" t="s">
        <v>19203</v>
      </c>
      <c r="L5561" t="s">
        <v>9121</v>
      </c>
      <c r="M5561" s="161" t="s">
        <v>19202</v>
      </c>
    </row>
    <row r="5562" spans="9:13" x14ac:dyDescent="0.25">
      <c r="I5562" t="s">
        <v>8898</v>
      </c>
      <c r="J5562" s="161" t="s">
        <v>19202</v>
      </c>
      <c r="K5562" t="s">
        <v>19203</v>
      </c>
      <c r="L5562" t="s">
        <v>8897</v>
      </c>
      <c r="M5562" s="161" t="s">
        <v>19202</v>
      </c>
    </row>
    <row r="5563" spans="9:13" x14ac:dyDescent="0.25">
      <c r="I5563" t="s">
        <v>10409</v>
      </c>
      <c r="J5563" s="161" t="s">
        <v>19202</v>
      </c>
      <c r="K5563" t="s">
        <v>19203</v>
      </c>
      <c r="L5563" t="s">
        <v>10408</v>
      </c>
      <c r="M5563" s="161" t="s">
        <v>19202</v>
      </c>
    </row>
    <row r="5564" spans="9:13" x14ac:dyDescent="0.25">
      <c r="I5564" t="s">
        <v>3400</v>
      </c>
      <c r="J5564" s="161" t="s">
        <v>19202</v>
      </c>
      <c r="K5564" t="s">
        <v>19203</v>
      </c>
      <c r="L5564" t="s">
        <v>3399</v>
      </c>
      <c r="M5564" s="161" t="s">
        <v>19202</v>
      </c>
    </row>
    <row r="5565" spans="9:13" x14ac:dyDescent="0.25">
      <c r="I5565" t="s">
        <v>12132</v>
      </c>
      <c r="J5565" s="161" t="s">
        <v>19202</v>
      </c>
      <c r="K5565" t="s">
        <v>19203</v>
      </c>
      <c r="L5565" t="s">
        <v>12131</v>
      </c>
      <c r="M5565" s="161" t="s">
        <v>19202</v>
      </c>
    </row>
    <row r="5566" spans="9:13" x14ac:dyDescent="0.25">
      <c r="I5566" t="s">
        <v>19872</v>
      </c>
      <c r="J5566" s="161" t="s">
        <v>19202</v>
      </c>
      <c r="K5566" t="s">
        <v>19203</v>
      </c>
      <c r="L5566" t="s">
        <v>19873</v>
      </c>
      <c r="M5566" s="161" t="s">
        <v>19202</v>
      </c>
    </row>
    <row r="5567" spans="9:13" x14ac:dyDescent="0.25">
      <c r="I5567" t="s">
        <v>19874</v>
      </c>
      <c r="J5567" s="161" t="s">
        <v>19202</v>
      </c>
      <c r="K5567" t="s">
        <v>19203</v>
      </c>
      <c r="L5567" t="s">
        <v>19875</v>
      </c>
      <c r="M5567" s="161" t="s">
        <v>19202</v>
      </c>
    </row>
    <row r="5568" spans="9:13" x14ac:dyDescent="0.25">
      <c r="I5568" t="s">
        <v>10960</v>
      </c>
      <c r="J5568" s="161" t="s">
        <v>19202</v>
      </c>
      <c r="K5568" t="s">
        <v>19203</v>
      </c>
      <c r="L5568" t="s">
        <v>10959</v>
      </c>
      <c r="M5568" s="161" t="s">
        <v>19202</v>
      </c>
    </row>
    <row r="5569" spans="9:13" x14ac:dyDescent="0.25">
      <c r="I5569" t="s">
        <v>13615</v>
      </c>
      <c r="J5569" s="161" t="s">
        <v>19202</v>
      </c>
      <c r="K5569" t="s">
        <v>19203</v>
      </c>
      <c r="L5569" t="s">
        <v>13614</v>
      </c>
      <c r="M5569" s="161" t="s">
        <v>19202</v>
      </c>
    </row>
    <row r="5570" spans="9:13" x14ac:dyDescent="0.25">
      <c r="I5570" t="s">
        <v>9760</v>
      </c>
      <c r="J5570" s="161" t="s">
        <v>19202</v>
      </c>
      <c r="K5570" t="s">
        <v>19203</v>
      </c>
      <c r="L5570" t="s">
        <v>9759</v>
      </c>
      <c r="M5570" s="161" t="s">
        <v>19202</v>
      </c>
    </row>
    <row r="5571" spans="9:13" x14ac:dyDescent="0.25">
      <c r="I5571" t="s">
        <v>10795</v>
      </c>
      <c r="J5571" s="161" t="s">
        <v>19202</v>
      </c>
      <c r="K5571" t="s">
        <v>19203</v>
      </c>
      <c r="L5571" t="s">
        <v>10794</v>
      </c>
      <c r="M5571" s="161" t="s">
        <v>19202</v>
      </c>
    </row>
    <row r="5572" spans="9:13" x14ac:dyDescent="0.25">
      <c r="I5572" t="s">
        <v>6058</v>
      </c>
      <c r="J5572" s="161" t="s">
        <v>19202</v>
      </c>
      <c r="K5572" t="s">
        <v>19203</v>
      </c>
      <c r="L5572" t="s">
        <v>6057</v>
      </c>
      <c r="M5572" s="161" t="s">
        <v>19202</v>
      </c>
    </row>
    <row r="5573" spans="9:13" x14ac:dyDescent="0.25">
      <c r="I5573" t="s">
        <v>9577</v>
      </c>
      <c r="J5573" s="161" t="s">
        <v>19202</v>
      </c>
      <c r="K5573" t="s">
        <v>19203</v>
      </c>
      <c r="L5573" t="s">
        <v>9576</v>
      </c>
      <c r="M5573" s="161" t="s">
        <v>19202</v>
      </c>
    </row>
    <row r="5574" spans="9:13" x14ac:dyDescent="0.25">
      <c r="I5574" t="s">
        <v>15440</v>
      </c>
      <c r="J5574" s="161" t="s">
        <v>19202</v>
      </c>
      <c r="K5574" t="s">
        <v>19203</v>
      </c>
      <c r="L5574" t="s">
        <v>15439</v>
      </c>
      <c r="M5574" s="161" t="s">
        <v>19202</v>
      </c>
    </row>
    <row r="5575" spans="9:13" x14ac:dyDescent="0.25">
      <c r="I5575" t="s">
        <v>4652</v>
      </c>
      <c r="J5575" s="161" t="s">
        <v>19202</v>
      </c>
      <c r="K5575" t="s">
        <v>19203</v>
      </c>
      <c r="L5575" t="s">
        <v>538</v>
      </c>
      <c r="M5575" s="161" t="s">
        <v>19202</v>
      </c>
    </row>
    <row r="5576" spans="9:13" x14ac:dyDescent="0.25">
      <c r="I5576" t="s">
        <v>6062</v>
      </c>
      <c r="J5576" s="161" t="s">
        <v>19202</v>
      </c>
      <c r="K5576" t="s">
        <v>19203</v>
      </c>
      <c r="L5576" t="s">
        <v>6061</v>
      </c>
      <c r="M5576" s="161" t="s">
        <v>19202</v>
      </c>
    </row>
    <row r="5577" spans="9:13" x14ac:dyDescent="0.25">
      <c r="I5577" t="s">
        <v>12694</v>
      </c>
      <c r="J5577" s="161" t="s">
        <v>19202</v>
      </c>
      <c r="K5577" t="s">
        <v>19203</v>
      </c>
      <c r="L5577" t="s">
        <v>12693</v>
      </c>
      <c r="M5577" s="161" t="s">
        <v>19202</v>
      </c>
    </row>
    <row r="5578" spans="9:13" x14ac:dyDescent="0.25">
      <c r="I5578" t="s">
        <v>8728</v>
      </c>
      <c r="J5578" s="161" t="s">
        <v>19202</v>
      </c>
      <c r="K5578" t="s">
        <v>19203</v>
      </c>
      <c r="L5578" t="s">
        <v>8727</v>
      </c>
      <c r="M5578" s="161" t="s">
        <v>19202</v>
      </c>
    </row>
    <row r="5579" spans="9:13" x14ac:dyDescent="0.25">
      <c r="I5579" t="s">
        <v>11771</v>
      </c>
      <c r="J5579" s="161" t="s">
        <v>19202</v>
      </c>
      <c r="K5579" t="s">
        <v>19203</v>
      </c>
      <c r="L5579" t="s">
        <v>11770</v>
      </c>
      <c r="M5579" s="161" t="s">
        <v>19202</v>
      </c>
    </row>
    <row r="5580" spans="9:13" x14ac:dyDescent="0.25">
      <c r="I5580" t="s">
        <v>12696</v>
      </c>
      <c r="J5580" s="161" t="s">
        <v>19202</v>
      </c>
      <c r="K5580" t="s">
        <v>19203</v>
      </c>
      <c r="L5580" t="s">
        <v>12695</v>
      </c>
      <c r="M5580" s="161" t="s">
        <v>19202</v>
      </c>
    </row>
    <row r="5581" spans="9:13" x14ac:dyDescent="0.25">
      <c r="I5581" t="s">
        <v>15787</v>
      </c>
      <c r="J5581" s="161" t="s">
        <v>19202</v>
      </c>
      <c r="K5581" t="s">
        <v>19203</v>
      </c>
      <c r="L5581" t="s">
        <v>1387</v>
      </c>
      <c r="M5581" s="161" t="s">
        <v>19202</v>
      </c>
    </row>
    <row r="5582" spans="9:13" x14ac:dyDescent="0.25">
      <c r="I5582" t="s">
        <v>19876</v>
      </c>
      <c r="J5582" s="161" t="s">
        <v>19202</v>
      </c>
      <c r="K5582" t="s">
        <v>19203</v>
      </c>
      <c r="L5582" t="s">
        <v>15558</v>
      </c>
      <c r="M5582" s="161" t="s">
        <v>19202</v>
      </c>
    </row>
    <row r="5583" spans="9:13" x14ac:dyDescent="0.25">
      <c r="I5583" t="s">
        <v>19877</v>
      </c>
      <c r="J5583" s="161" t="s">
        <v>19202</v>
      </c>
      <c r="K5583" t="s">
        <v>19203</v>
      </c>
      <c r="L5583" t="s">
        <v>19878</v>
      </c>
      <c r="M5583" s="161" t="s">
        <v>19202</v>
      </c>
    </row>
    <row r="5584" spans="9:13" x14ac:dyDescent="0.25">
      <c r="I5584" t="s">
        <v>10064</v>
      </c>
      <c r="J5584" s="161" t="s">
        <v>19202</v>
      </c>
      <c r="K5584" t="s">
        <v>19203</v>
      </c>
      <c r="L5584" t="s">
        <v>10063</v>
      </c>
      <c r="M5584" s="161" t="s">
        <v>19202</v>
      </c>
    </row>
    <row r="5585" spans="9:13" x14ac:dyDescent="0.25">
      <c r="I5585" t="s">
        <v>6535</v>
      </c>
      <c r="J5585" s="161" t="s">
        <v>19202</v>
      </c>
      <c r="K5585" t="s">
        <v>19203</v>
      </c>
      <c r="L5585" t="s">
        <v>6534</v>
      </c>
      <c r="M5585" s="161" t="s">
        <v>19202</v>
      </c>
    </row>
    <row r="5586" spans="9:13" x14ac:dyDescent="0.25">
      <c r="I5586" t="s">
        <v>10460</v>
      </c>
      <c r="J5586" s="161" t="s">
        <v>19202</v>
      </c>
      <c r="K5586" t="s">
        <v>19203</v>
      </c>
      <c r="L5586" t="s">
        <v>10459</v>
      </c>
      <c r="M5586" s="161" t="s">
        <v>19202</v>
      </c>
    </row>
    <row r="5587" spans="9:13" x14ac:dyDescent="0.25">
      <c r="I5587" t="s">
        <v>11986</v>
      </c>
      <c r="J5587" s="161" t="s">
        <v>19202</v>
      </c>
      <c r="K5587" t="s">
        <v>19203</v>
      </c>
      <c r="L5587" t="s">
        <v>11985</v>
      </c>
      <c r="M5587" s="161" t="s">
        <v>19202</v>
      </c>
    </row>
    <row r="5588" spans="9:13" x14ac:dyDescent="0.25">
      <c r="I5588" t="s">
        <v>872</v>
      </c>
      <c r="J5588" s="161" t="s">
        <v>19202</v>
      </c>
      <c r="K5588" t="s">
        <v>19203</v>
      </c>
      <c r="L5588" t="s">
        <v>871</v>
      </c>
      <c r="M5588" s="161" t="s">
        <v>19202</v>
      </c>
    </row>
    <row r="5589" spans="9:13" x14ac:dyDescent="0.25">
      <c r="I5589" t="s">
        <v>17269</v>
      </c>
      <c r="J5589" s="161" t="s">
        <v>19202</v>
      </c>
      <c r="K5589" t="s">
        <v>19203</v>
      </c>
      <c r="L5589" t="s">
        <v>1676</v>
      </c>
      <c r="M5589" s="161" t="s">
        <v>19202</v>
      </c>
    </row>
    <row r="5590" spans="9:13" x14ac:dyDescent="0.25">
      <c r="I5590" t="s">
        <v>19879</v>
      </c>
      <c r="J5590" s="161" t="s">
        <v>19202</v>
      </c>
      <c r="K5590" t="s">
        <v>19203</v>
      </c>
      <c r="L5590" t="s">
        <v>19880</v>
      </c>
      <c r="M5590" s="161" t="s">
        <v>19202</v>
      </c>
    </row>
    <row r="5591" spans="9:13" x14ac:dyDescent="0.25">
      <c r="I5591" t="s">
        <v>17644</v>
      </c>
      <c r="J5591" s="161" t="s">
        <v>19202</v>
      </c>
      <c r="K5591" t="s">
        <v>19203</v>
      </c>
      <c r="L5591" t="s">
        <v>17643</v>
      </c>
      <c r="M5591" s="161" t="s">
        <v>19202</v>
      </c>
    </row>
    <row r="5592" spans="9:13" x14ac:dyDescent="0.25">
      <c r="I5592" t="s">
        <v>19881</v>
      </c>
      <c r="J5592" s="161" t="s">
        <v>19202</v>
      </c>
      <c r="K5592" t="s">
        <v>19203</v>
      </c>
      <c r="L5592" t="s">
        <v>19882</v>
      </c>
      <c r="M5592" s="161" t="s">
        <v>19202</v>
      </c>
    </row>
    <row r="5593" spans="9:13" x14ac:dyDescent="0.25">
      <c r="I5593" t="s">
        <v>19883</v>
      </c>
      <c r="J5593" s="161" t="s">
        <v>19202</v>
      </c>
      <c r="K5593" t="s">
        <v>19203</v>
      </c>
      <c r="L5593" t="s">
        <v>621</v>
      </c>
      <c r="M5593" s="161" t="s">
        <v>19202</v>
      </c>
    </row>
    <row r="5594" spans="9:13" x14ac:dyDescent="0.25">
      <c r="I5594" t="s">
        <v>4830</v>
      </c>
      <c r="J5594" s="161" t="s">
        <v>19202</v>
      </c>
      <c r="K5594" t="s">
        <v>19203</v>
      </c>
      <c r="L5594" t="s">
        <v>4829</v>
      </c>
      <c r="M5594" s="161" t="s">
        <v>19202</v>
      </c>
    </row>
    <row r="5595" spans="9:13" x14ac:dyDescent="0.25">
      <c r="I5595" t="s">
        <v>19884</v>
      </c>
      <c r="J5595" s="161" t="s">
        <v>19202</v>
      </c>
      <c r="K5595" t="s">
        <v>19203</v>
      </c>
      <c r="L5595" t="s">
        <v>19885</v>
      </c>
      <c r="M5595" s="161" t="s">
        <v>19202</v>
      </c>
    </row>
    <row r="5596" spans="9:13" x14ac:dyDescent="0.25">
      <c r="I5596" t="s">
        <v>2988</v>
      </c>
      <c r="J5596" s="161" t="s">
        <v>19202</v>
      </c>
      <c r="K5596" t="s">
        <v>19203</v>
      </c>
      <c r="L5596" t="s">
        <v>2987</v>
      </c>
      <c r="M5596" s="161" t="s">
        <v>19202</v>
      </c>
    </row>
    <row r="5597" spans="9:13" x14ac:dyDescent="0.25">
      <c r="I5597" t="s">
        <v>6123</v>
      </c>
      <c r="J5597" s="161" t="s">
        <v>19202</v>
      </c>
      <c r="K5597" t="s">
        <v>19203</v>
      </c>
      <c r="L5597" t="s">
        <v>6122</v>
      </c>
      <c r="M5597" s="161" t="s">
        <v>19202</v>
      </c>
    </row>
    <row r="5598" spans="9:13" x14ac:dyDescent="0.25">
      <c r="I5598" t="s">
        <v>9130</v>
      </c>
      <c r="J5598" s="161" t="s">
        <v>19202</v>
      </c>
      <c r="K5598" t="s">
        <v>19203</v>
      </c>
      <c r="L5598" t="s">
        <v>9129</v>
      </c>
      <c r="M5598" s="161" t="s">
        <v>19202</v>
      </c>
    </row>
    <row r="5599" spans="9:13" x14ac:dyDescent="0.25">
      <c r="I5599" t="s">
        <v>19886</v>
      </c>
      <c r="J5599" s="161" t="s">
        <v>19202</v>
      </c>
      <c r="K5599" t="s">
        <v>19203</v>
      </c>
      <c r="L5599" t="s">
        <v>19887</v>
      </c>
      <c r="M5599" s="161" t="s">
        <v>19202</v>
      </c>
    </row>
    <row r="5600" spans="9:13" x14ac:dyDescent="0.25">
      <c r="I5600" t="s">
        <v>3077</v>
      </c>
      <c r="J5600" s="161" t="s">
        <v>19202</v>
      </c>
      <c r="K5600" t="s">
        <v>19203</v>
      </c>
      <c r="L5600" t="s">
        <v>3076</v>
      </c>
      <c r="M5600" s="161" t="s">
        <v>19202</v>
      </c>
    </row>
    <row r="5601" spans="9:13" x14ac:dyDescent="0.25">
      <c r="I5601" t="s">
        <v>3398</v>
      </c>
      <c r="J5601" s="161" t="s">
        <v>19202</v>
      </c>
      <c r="K5601" t="s">
        <v>19203</v>
      </c>
      <c r="L5601" t="s">
        <v>3397</v>
      </c>
      <c r="M5601" s="161" t="s">
        <v>19202</v>
      </c>
    </row>
    <row r="5602" spans="9:13" x14ac:dyDescent="0.25">
      <c r="I5602" t="s">
        <v>9112</v>
      </c>
      <c r="J5602" s="161" t="s">
        <v>19202</v>
      </c>
      <c r="K5602" t="s">
        <v>19203</v>
      </c>
      <c r="L5602" t="s">
        <v>9111</v>
      </c>
      <c r="M5602" s="161" t="s">
        <v>19202</v>
      </c>
    </row>
    <row r="5603" spans="9:13" x14ac:dyDescent="0.25">
      <c r="I5603" t="s">
        <v>6628</v>
      </c>
      <c r="J5603" s="161" t="s">
        <v>19202</v>
      </c>
      <c r="K5603" t="s">
        <v>19203</v>
      </c>
      <c r="L5603" t="s">
        <v>6627</v>
      </c>
      <c r="M5603" s="161" t="s">
        <v>19202</v>
      </c>
    </row>
    <row r="5604" spans="9:13" x14ac:dyDescent="0.25">
      <c r="I5604" t="s">
        <v>2685</v>
      </c>
      <c r="J5604" s="161" t="s">
        <v>19202</v>
      </c>
      <c r="K5604" t="s">
        <v>19203</v>
      </c>
      <c r="L5604" t="s">
        <v>2684</v>
      </c>
      <c r="M5604" s="161" t="s">
        <v>19202</v>
      </c>
    </row>
    <row r="5605" spans="9:13" x14ac:dyDescent="0.25">
      <c r="I5605" t="s">
        <v>19888</v>
      </c>
      <c r="J5605" s="161" t="s">
        <v>19202</v>
      </c>
      <c r="K5605" t="s">
        <v>19203</v>
      </c>
      <c r="L5605" t="s">
        <v>19889</v>
      </c>
      <c r="M5605" s="161" t="s">
        <v>19202</v>
      </c>
    </row>
    <row r="5606" spans="9:13" x14ac:dyDescent="0.25">
      <c r="I5606" t="s">
        <v>14702</v>
      </c>
      <c r="J5606" s="161" t="s">
        <v>19202</v>
      </c>
      <c r="K5606" t="s">
        <v>19203</v>
      </c>
      <c r="L5606" t="s">
        <v>14701</v>
      </c>
      <c r="M5606" s="161" t="s">
        <v>19202</v>
      </c>
    </row>
    <row r="5607" spans="9:13" x14ac:dyDescent="0.25">
      <c r="I5607" t="s">
        <v>13910</v>
      </c>
      <c r="J5607" s="161" t="s">
        <v>19202</v>
      </c>
      <c r="K5607" t="s">
        <v>19203</v>
      </c>
      <c r="L5607" t="s">
        <v>6310</v>
      </c>
      <c r="M5607" s="161" t="s">
        <v>19202</v>
      </c>
    </row>
    <row r="5608" spans="9:13" x14ac:dyDescent="0.25">
      <c r="I5608" t="s">
        <v>19890</v>
      </c>
      <c r="J5608" s="161" t="s">
        <v>19202</v>
      </c>
      <c r="K5608" t="s">
        <v>19203</v>
      </c>
      <c r="L5608" t="s">
        <v>19891</v>
      </c>
      <c r="M5608" s="161" t="s">
        <v>19202</v>
      </c>
    </row>
    <row r="5609" spans="9:13" x14ac:dyDescent="0.25">
      <c r="I5609" t="s">
        <v>794</v>
      </c>
      <c r="J5609" s="161" t="s">
        <v>19202</v>
      </c>
      <c r="K5609" t="s">
        <v>19203</v>
      </c>
      <c r="L5609" t="s">
        <v>793</v>
      </c>
      <c r="M5609" s="161" t="s">
        <v>19202</v>
      </c>
    </row>
    <row r="5610" spans="9:13" x14ac:dyDescent="0.25">
      <c r="I5610" t="s">
        <v>4868</v>
      </c>
      <c r="J5610" s="161" t="s">
        <v>19202</v>
      </c>
      <c r="K5610" t="s">
        <v>19203</v>
      </c>
      <c r="L5610" t="s">
        <v>4867</v>
      </c>
      <c r="M5610" s="161" t="s">
        <v>19202</v>
      </c>
    </row>
    <row r="5611" spans="9:13" x14ac:dyDescent="0.25">
      <c r="I5611" t="s">
        <v>19892</v>
      </c>
      <c r="J5611" s="161" t="s">
        <v>19202</v>
      </c>
      <c r="K5611" t="s">
        <v>19203</v>
      </c>
      <c r="L5611" t="s">
        <v>19893</v>
      </c>
      <c r="M5611" s="161" t="s">
        <v>19202</v>
      </c>
    </row>
    <row r="5612" spans="9:13" x14ac:dyDescent="0.25">
      <c r="I5612" t="s">
        <v>11799</v>
      </c>
      <c r="J5612" s="161" t="s">
        <v>19202</v>
      </c>
      <c r="K5612" t="s">
        <v>19203</v>
      </c>
      <c r="L5612" t="s">
        <v>11798</v>
      </c>
      <c r="M5612" s="161" t="s">
        <v>19202</v>
      </c>
    </row>
    <row r="5613" spans="9:13" x14ac:dyDescent="0.25">
      <c r="I5613" t="s">
        <v>10887</v>
      </c>
      <c r="J5613" s="161" t="s">
        <v>19202</v>
      </c>
      <c r="K5613" t="s">
        <v>19203</v>
      </c>
      <c r="L5613" t="s">
        <v>10886</v>
      </c>
      <c r="M5613" s="161" t="s">
        <v>19202</v>
      </c>
    </row>
    <row r="5614" spans="9:13" x14ac:dyDescent="0.25">
      <c r="I5614" t="s">
        <v>4362</v>
      </c>
      <c r="J5614" s="161" t="s">
        <v>19202</v>
      </c>
      <c r="K5614" t="s">
        <v>19203</v>
      </c>
      <c r="L5614" t="s">
        <v>4361</v>
      </c>
      <c r="M5614" s="161" t="s">
        <v>19202</v>
      </c>
    </row>
    <row r="5615" spans="9:13" x14ac:dyDescent="0.25">
      <c r="I5615" t="s">
        <v>19894</v>
      </c>
      <c r="J5615" s="161" t="s">
        <v>19202</v>
      </c>
      <c r="K5615" t="s">
        <v>19203</v>
      </c>
      <c r="L5615" t="s">
        <v>19895</v>
      </c>
      <c r="M5615" s="161" t="s">
        <v>19202</v>
      </c>
    </row>
    <row r="5616" spans="9:13" x14ac:dyDescent="0.25">
      <c r="I5616" t="s">
        <v>8722</v>
      </c>
      <c r="J5616" s="161" t="s">
        <v>19202</v>
      </c>
      <c r="K5616" t="s">
        <v>19203</v>
      </c>
      <c r="L5616" t="s">
        <v>8721</v>
      </c>
      <c r="M5616" s="161" t="s">
        <v>19202</v>
      </c>
    </row>
    <row r="5617" spans="9:13" x14ac:dyDescent="0.25">
      <c r="I5617" t="s">
        <v>10956</v>
      </c>
      <c r="J5617" s="161" t="s">
        <v>19202</v>
      </c>
      <c r="K5617" t="s">
        <v>19203</v>
      </c>
      <c r="L5617" t="s">
        <v>10955</v>
      </c>
      <c r="M5617" s="161" t="s">
        <v>19202</v>
      </c>
    </row>
    <row r="5618" spans="9:13" x14ac:dyDescent="0.25">
      <c r="I5618" t="s">
        <v>15134</v>
      </c>
      <c r="J5618" s="161" t="s">
        <v>19202</v>
      </c>
      <c r="K5618" t="s">
        <v>19203</v>
      </c>
      <c r="L5618" t="s">
        <v>5752</v>
      </c>
      <c r="M5618" s="161" t="s">
        <v>19202</v>
      </c>
    </row>
    <row r="5619" spans="9:13" x14ac:dyDescent="0.25">
      <c r="I5619" t="s">
        <v>3255</v>
      </c>
      <c r="J5619" s="161" t="s">
        <v>19202</v>
      </c>
      <c r="K5619" t="s">
        <v>19203</v>
      </c>
      <c r="L5619" t="s">
        <v>3254</v>
      </c>
      <c r="M5619" s="161" t="s">
        <v>19202</v>
      </c>
    </row>
    <row r="5620" spans="9:13" x14ac:dyDescent="0.25">
      <c r="I5620" t="s">
        <v>19896</v>
      </c>
      <c r="J5620" s="161" t="s">
        <v>19202</v>
      </c>
      <c r="K5620" t="s">
        <v>19203</v>
      </c>
      <c r="L5620" t="s">
        <v>3862</v>
      </c>
      <c r="M5620" s="161" t="s">
        <v>19202</v>
      </c>
    </row>
    <row r="5621" spans="9:13" x14ac:dyDescent="0.25">
      <c r="I5621" t="s">
        <v>2683</v>
      </c>
      <c r="J5621" s="161" t="s">
        <v>19202</v>
      </c>
      <c r="K5621" t="s">
        <v>19203</v>
      </c>
      <c r="L5621" t="s">
        <v>2682</v>
      </c>
      <c r="M5621" s="161" t="s">
        <v>19202</v>
      </c>
    </row>
    <row r="5622" spans="9:13" x14ac:dyDescent="0.25">
      <c r="I5622" t="s">
        <v>19897</v>
      </c>
      <c r="J5622" s="161" t="s">
        <v>19202</v>
      </c>
      <c r="K5622" t="s">
        <v>19203</v>
      </c>
      <c r="L5622" t="s">
        <v>19898</v>
      </c>
      <c r="M5622" s="161" t="s">
        <v>19202</v>
      </c>
    </row>
    <row r="5623" spans="9:13" x14ac:dyDescent="0.25">
      <c r="I5623" t="s">
        <v>6179</v>
      </c>
      <c r="J5623" s="161" t="s">
        <v>19202</v>
      </c>
      <c r="K5623" t="s">
        <v>19203</v>
      </c>
      <c r="L5623" t="s">
        <v>6178</v>
      </c>
      <c r="M5623" s="161" t="s">
        <v>19202</v>
      </c>
    </row>
    <row r="5624" spans="9:13" x14ac:dyDescent="0.25">
      <c r="I5624" t="s">
        <v>6177</v>
      </c>
      <c r="J5624" s="161" t="s">
        <v>19202</v>
      </c>
      <c r="K5624" t="s">
        <v>19203</v>
      </c>
      <c r="L5624" t="s">
        <v>6176</v>
      </c>
      <c r="M5624" s="161" t="s">
        <v>19202</v>
      </c>
    </row>
    <row r="5625" spans="9:13" x14ac:dyDescent="0.25">
      <c r="I5625" t="s">
        <v>9136</v>
      </c>
      <c r="J5625" s="161" t="s">
        <v>19202</v>
      </c>
      <c r="K5625" t="s">
        <v>19203</v>
      </c>
      <c r="L5625" t="s">
        <v>9135</v>
      </c>
      <c r="M5625" s="161" t="s">
        <v>19202</v>
      </c>
    </row>
    <row r="5626" spans="9:13" x14ac:dyDescent="0.25">
      <c r="I5626" t="s">
        <v>17728</v>
      </c>
      <c r="J5626" s="161" t="s">
        <v>19202</v>
      </c>
      <c r="K5626" t="s">
        <v>19203</v>
      </c>
      <c r="L5626" t="s">
        <v>538</v>
      </c>
      <c r="M5626" s="161" t="s">
        <v>19202</v>
      </c>
    </row>
    <row r="5627" spans="9:13" x14ac:dyDescent="0.25">
      <c r="I5627" t="s">
        <v>19899</v>
      </c>
      <c r="J5627" s="161" t="s">
        <v>19202</v>
      </c>
      <c r="K5627" t="s">
        <v>19203</v>
      </c>
      <c r="L5627" t="s">
        <v>1156</v>
      </c>
      <c r="M5627" s="161" t="s">
        <v>19202</v>
      </c>
    </row>
    <row r="5628" spans="9:13" x14ac:dyDescent="0.25">
      <c r="I5628" t="s">
        <v>6798</v>
      </c>
      <c r="J5628" s="161" t="s">
        <v>19202</v>
      </c>
      <c r="K5628" t="s">
        <v>19203</v>
      </c>
      <c r="L5628" t="s">
        <v>6797</v>
      </c>
      <c r="M5628" s="161" t="s">
        <v>19202</v>
      </c>
    </row>
    <row r="5629" spans="9:13" x14ac:dyDescent="0.25">
      <c r="I5629" t="s">
        <v>15002</v>
      </c>
      <c r="J5629" s="161" t="s">
        <v>19202</v>
      </c>
      <c r="K5629" t="s">
        <v>19203</v>
      </c>
      <c r="L5629" t="s">
        <v>15001</v>
      </c>
      <c r="M5629" s="161" t="s">
        <v>19202</v>
      </c>
    </row>
    <row r="5630" spans="9:13" x14ac:dyDescent="0.25">
      <c r="I5630" t="s">
        <v>2500</v>
      </c>
      <c r="J5630" s="161" t="s">
        <v>19202</v>
      </c>
      <c r="K5630" t="s">
        <v>19203</v>
      </c>
      <c r="L5630" t="s">
        <v>2499</v>
      </c>
      <c r="M5630" s="161" t="s">
        <v>19202</v>
      </c>
    </row>
    <row r="5631" spans="9:13" x14ac:dyDescent="0.25">
      <c r="I5631" t="s">
        <v>2630</v>
      </c>
      <c r="J5631" s="161" t="s">
        <v>19202</v>
      </c>
      <c r="K5631" t="s">
        <v>19203</v>
      </c>
      <c r="L5631" t="s">
        <v>2629</v>
      </c>
      <c r="M5631" s="161" t="s">
        <v>19202</v>
      </c>
    </row>
    <row r="5632" spans="9:13" x14ac:dyDescent="0.25">
      <c r="I5632" t="s">
        <v>19900</v>
      </c>
      <c r="J5632" s="161" t="s">
        <v>19202</v>
      </c>
      <c r="K5632" t="s">
        <v>19203</v>
      </c>
      <c r="L5632" t="s">
        <v>19901</v>
      </c>
      <c r="M5632" s="161" t="s">
        <v>19202</v>
      </c>
    </row>
    <row r="5633" spans="9:13" x14ac:dyDescent="0.25">
      <c r="I5633" t="s">
        <v>19902</v>
      </c>
      <c r="J5633" s="161" t="s">
        <v>19202</v>
      </c>
      <c r="K5633" t="s">
        <v>19203</v>
      </c>
      <c r="L5633" t="s">
        <v>19903</v>
      </c>
      <c r="M5633" s="161" t="s">
        <v>19202</v>
      </c>
    </row>
    <row r="5634" spans="9:13" x14ac:dyDescent="0.25">
      <c r="I5634" t="s">
        <v>19904</v>
      </c>
      <c r="J5634" s="161" t="s">
        <v>19202</v>
      </c>
      <c r="K5634" t="s">
        <v>19203</v>
      </c>
      <c r="L5634" t="s">
        <v>13655</v>
      </c>
      <c r="M5634" s="161" t="s">
        <v>19202</v>
      </c>
    </row>
    <row r="5635" spans="9:13" x14ac:dyDescent="0.25">
      <c r="I5635" t="s">
        <v>12692</v>
      </c>
      <c r="J5635" s="161" t="s">
        <v>19202</v>
      </c>
      <c r="K5635" t="s">
        <v>19203</v>
      </c>
      <c r="L5635" t="s">
        <v>12691</v>
      </c>
      <c r="M5635" s="161" t="s">
        <v>19202</v>
      </c>
    </row>
    <row r="5636" spans="9:13" x14ac:dyDescent="0.25">
      <c r="I5636" t="s">
        <v>17204</v>
      </c>
      <c r="J5636" s="161" t="s">
        <v>19202</v>
      </c>
      <c r="K5636" t="s">
        <v>19203</v>
      </c>
      <c r="L5636" t="s">
        <v>17203</v>
      </c>
      <c r="M5636" s="161" t="s">
        <v>19202</v>
      </c>
    </row>
    <row r="5637" spans="9:13" x14ac:dyDescent="0.25">
      <c r="I5637" t="s">
        <v>17202</v>
      </c>
      <c r="J5637" s="161" t="s">
        <v>19202</v>
      </c>
      <c r="K5637" t="s">
        <v>19203</v>
      </c>
      <c r="L5637" t="s">
        <v>17201</v>
      </c>
      <c r="M5637" s="161" t="s">
        <v>19202</v>
      </c>
    </row>
    <row r="5638" spans="9:13" x14ac:dyDescent="0.25">
      <c r="I5638" t="s">
        <v>8243</v>
      </c>
      <c r="J5638" s="161" t="s">
        <v>19202</v>
      </c>
      <c r="K5638" t="s">
        <v>19203</v>
      </c>
      <c r="L5638" t="s">
        <v>8242</v>
      </c>
      <c r="M5638" s="161" t="s">
        <v>19202</v>
      </c>
    </row>
    <row r="5639" spans="9:13" x14ac:dyDescent="0.25">
      <c r="I5639" t="s">
        <v>19905</v>
      </c>
      <c r="J5639" s="161" t="s">
        <v>19202</v>
      </c>
      <c r="K5639" t="s">
        <v>19203</v>
      </c>
      <c r="L5639" t="s">
        <v>19906</v>
      </c>
      <c r="M5639" s="161" t="s">
        <v>19202</v>
      </c>
    </row>
    <row r="5640" spans="9:13" x14ac:dyDescent="0.25">
      <c r="I5640" t="s">
        <v>3137</v>
      </c>
      <c r="J5640" s="161" t="s">
        <v>19202</v>
      </c>
      <c r="K5640" t="s">
        <v>19203</v>
      </c>
      <c r="L5640" t="s">
        <v>3136</v>
      </c>
      <c r="M5640" s="161" t="s">
        <v>19202</v>
      </c>
    </row>
    <row r="5641" spans="9:13" x14ac:dyDescent="0.25">
      <c r="I5641" t="s">
        <v>11747</v>
      </c>
      <c r="J5641" s="161" t="s">
        <v>19202</v>
      </c>
      <c r="K5641" t="s">
        <v>19203</v>
      </c>
      <c r="L5641" t="s">
        <v>11746</v>
      </c>
      <c r="M5641" s="161" t="s">
        <v>19202</v>
      </c>
    </row>
    <row r="5642" spans="9:13" x14ac:dyDescent="0.25">
      <c r="I5642" t="s">
        <v>9981</v>
      </c>
      <c r="J5642" s="161" t="s">
        <v>19202</v>
      </c>
      <c r="K5642" t="s">
        <v>19203</v>
      </c>
      <c r="L5642" t="s">
        <v>9980</v>
      </c>
      <c r="M5642" s="161" t="s">
        <v>19202</v>
      </c>
    </row>
    <row r="5643" spans="9:13" x14ac:dyDescent="0.25">
      <c r="I5643" t="s">
        <v>8241</v>
      </c>
      <c r="J5643" s="161" t="s">
        <v>19202</v>
      </c>
      <c r="K5643" t="s">
        <v>19203</v>
      </c>
      <c r="L5643" t="s">
        <v>8240</v>
      </c>
      <c r="M5643" s="161" t="s">
        <v>19202</v>
      </c>
    </row>
    <row r="5644" spans="9:13" x14ac:dyDescent="0.25">
      <c r="I5644" t="s">
        <v>19907</v>
      </c>
      <c r="J5644" s="161" t="s">
        <v>19202</v>
      </c>
      <c r="K5644" t="s">
        <v>19203</v>
      </c>
      <c r="L5644" t="s">
        <v>19908</v>
      </c>
      <c r="M5644" s="161" t="s">
        <v>19202</v>
      </c>
    </row>
    <row r="5645" spans="9:13" x14ac:dyDescent="0.25">
      <c r="I5645" t="s">
        <v>19909</v>
      </c>
      <c r="J5645" s="161" t="s">
        <v>19202</v>
      </c>
      <c r="K5645" t="s">
        <v>19203</v>
      </c>
      <c r="L5645" t="s">
        <v>19910</v>
      </c>
      <c r="M5645" s="161" t="s">
        <v>19202</v>
      </c>
    </row>
    <row r="5646" spans="9:13" x14ac:dyDescent="0.25">
      <c r="I5646" t="s">
        <v>9024</v>
      </c>
      <c r="J5646" s="161" t="s">
        <v>19202</v>
      </c>
      <c r="K5646" t="s">
        <v>19203</v>
      </c>
      <c r="L5646" t="s">
        <v>9023</v>
      </c>
      <c r="M5646" s="161" t="s">
        <v>19202</v>
      </c>
    </row>
    <row r="5647" spans="9:13" x14ac:dyDescent="0.25">
      <c r="I5647" t="s">
        <v>10407</v>
      </c>
      <c r="J5647" s="161" t="s">
        <v>19202</v>
      </c>
      <c r="K5647" t="s">
        <v>19203</v>
      </c>
      <c r="L5647" t="s">
        <v>10406</v>
      </c>
      <c r="M5647" s="161" t="s">
        <v>19202</v>
      </c>
    </row>
    <row r="5648" spans="9:13" x14ac:dyDescent="0.25">
      <c r="I5648" t="s">
        <v>5739</v>
      </c>
      <c r="J5648" s="161" t="s">
        <v>19202</v>
      </c>
      <c r="K5648" t="s">
        <v>19203</v>
      </c>
      <c r="L5648" t="s">
        <v>5738</v>
      </c>
      <c r="M5648" s="161" t="s">
        <v>19202</v>
      </c>
    </row>
    <row r="5649" spans="9:13" x14ac:dyDescent="0.25">
      <c r="I5649" t="s">
        <v>7609</v>
      </c>
      <c r="J5649" s="161" t="s">
        <v>19202</v>
      </c>
      <c r="K5649" t="s">
        <v>19203</v>
      </c>
      <c r="L5649" t="s">
        <v>7608</v>
      </c>
      <c r="M5649" s="161" t="s">
        <v>19202</v>
      </c>
    </row>
    <row r="5650" spans="9:13" x14ac:dyDescent="0.25">
      <c r="I5650" t="s">
        <v>19911</v>
      </c>
      <c r="J5650" s="161" t="s">
        <v>19202</v>
      </c>
      <c r="K5650" t="s">
        <v>19203</v>
      </c>
      <c r="L5650" t="s">
        <v>19912</v>
      </c>
      <c r="M5650" s="161" t="s">
        <v>19202</v>
      </c>
    </row>
    <row r="5651" spans="9:13" x14ac:dyDescent="0.25">
      <c r="I5651" t="s">
        <v>8984</v>
      </c>
      <c r="J5651" s="161" t="s">
        <v>19202</v>
      </c>
      <c r="K5651" t="s">
        <v>19203</v>
      </c>
      <c r="L5651" t="s">
        <v>8983</v>
      </c>
      <c r="M5651" s="161" t="s">
        <v>19202</v>
      </c>
    </row>
    <row r="5652" spans="9:13" x14ac:dyDescent="0.25">
      <c r="I5652" t="s">
        <v>19913</v>
      </c>
      <c r="J5652" s="161" t="s">
        <v>19202</v>
      </c>
      <c r="K5652" t="s">
        <v>19203</v>
      </c>
      <c r="L5652" t="s">
        <v>13327</v>
      </c>
      <c r="M5652" s="161" t="s">
        <v>19202</v>
      </c>
    </row>
    <row r="5653" spans="9:13" x14ac:dyDescent="0.25">
      <c r="I5653" t="s">
        <v>11759</v>
      </c>
      <c r="J5653" s="161" t="s">
        <v>19202</v>
      </c>
      <c r="K5653" t="s">
        <v>19203</v>
      </c>
      <c r="L5653" t="s">
        <v>11758</v>
      </c>
      <c r="M5653" s="161" t="s">
        <v>19202</v>
      </c>
    </row>
    <row r="5654" spans="9:13" x14ac:dyDescent="0.25">
      <c r="I5654" t="s">
        <v>8200</v>
      </c>
      <c r="J5654" s="161" t="s">
        <v>19202</v>
      </c>
      <c r="K5654" t="s">
        <v>19203</v>
      </c>
      <c r="L5654" t="s">
        <v>8199</v>
      </c>
      <c r="M5654" s="161" t="s">
        <v>19202</v>
      </c>
    </row>
    <row r="5655" spans="9:13" x14ac:dyDescent="0.25">
      <c r="I5655" t="s">
        <v>2508</v>
      </c>
      <c r="J5655" s="161" t="s">
        <v>19202</v>
      </c>
      <c r="K5655" t="s">
        <v>19203</v>
      </c>
      <c r="L5655" t="s">
        <v>2507</v>
      </c>
      <c r="M5655" s="161" t="s">
        <v>19202</v>
      </c>
    </row>
    <row r="5656" spans="9:13" x14ac:dyDescent="0.25">
      <c r="I5656" t="s">
        <v>10739</v>
      </c>
      <c r="J5656" s="161" t="s">
        <v>19202</v>
      </c>
      <c r="K5656" t="s">
        <v>19203</v>
      </c>
      <c r="L5656" t="s">
        <v>10738</v>
      </c>
      <c r="M5656" s="161" t="s">
        <v>19202</v>
      </c>
    </row>
    <row r="5657" spans="9:13" x14ac:dyDescent="0.25">
      <c r="I5657" t="s">
        <v>6593</v>
      </c>
      <c r="J5657" s="161" t="s">
        <v>19202</v>
      </c>
      <c r="K5657" t="s">
        <v>19203</v>
      </c>
      <c r="L5657" t="s">
        <v>6592</v>
      </c>
      <c r="M5657" s="161" t="s">
        <v>19202</v>
      </c>
    </row>
    <row r="5658" spans="9:13" x14ac:dyDescent="0.25">
      <c r="I5658" t="s">
        <v>992</v>
      </c>
      <c r="J5658" s="161" t="s">
        <v>19202</v>
      </c>
      <c r="K5658" t="s">
        <v>19203</v>
      </c>
      <c r="L5658" t="s">
        <v>991</v>
      </c>
      <c r="M5658" s="161" t="s">
        <v>19202</v>
      </c>
    </row>
    <row r="5659" spans="9:13" x14ac:dyDescent="0.25">
      <c r="I5659" t="s">
        <v>13818</v>
      </c>
      <c r="J5659" s="161" t="s">
        <v>19202</v>
      </c>
      <c r="K5659" t="s">
        <v>19203</v>
      </c>
      <c r="L5659" t="s">
        <v>13817</v>
      </c>
      <c r="M5659" s="161" t="s">
        <v>19202</v>
      </c>
    </row>
    <row r="5660" spans="9:13" x14ac:dyDescent="0.25">
      <c r="I5660" t="s">
        <v>2530</v>
      </c>
      <c r="J5660" s="161" t="s">
        <v>19202</v>
      </c>
      <c r="K5660" t="s">
        <v>19203</v>
      </c>
      <c r="L5660" t="s">
        <v>2529</v>
      </c>
      <c r="M5660" s="161" t="s">
        <v>19202</v>
      </c>
    </row>
    <row r="5661" spans="9:13" x14ac:dyDescent="0.25">
      <c r="I5661" t="s">
        <v>10435</v>
      </c>
      <c r="J5661" s="161" t="s">
        <v>19202</v>
      </c>
      <c r="K5661" t="s">
        <v>19203</v>
      </c>
      <c r="L5661" t="s">
        <v>10434</v>
      </c>
      <c r="M5661" s="161" t="s">
        <v>19202</v>
      </c>
    </row>
    <row r="5662" spans="9:13" x14ac:dyDescent="0.25">
      <c r="I5662" t="s">
        <v>9000</v>
      </c>
      <c r="J5662" s="161" t="s">
        <v>19202</v>
      </c>
      <c r="K5662" t="s">
        <v>19203</v>
      </c>
      <c r="L5662" t="s">
        <v>8999</v>
      </c>
      <c r="M5662" s="161" t="s">
        <v>19202</v>
      </c>
    </row>
    <row r="5663" spans="9:13" x14ac:dyDescent="0.25">
      <c r="I5663" t="s">
        <v>12690</v>
      </c>
      <c r="J5663" s="161" t="s">
        <v>19202</v>
      </c>
      <c r="K5663" t="s">
        <v>19203</v>
      </c>
      <c r="L5663" t="s">
        <v>12689</v>
      </c>
      <c r="M5663" s="161" t="s">
        <v>19202</v>
      </c>
    </row>
    <row r="5664" spans="9:13" x14ac:dyDescent="0.25">
      <c r="I5664" t="s">
        <v>17740</v>
      </c>
      <c r="J5664" s="161" t="s">
        <v>19202</v>
      </c>
      <c r="K5664" t="s">
        <v>19203</v>
      </c>
      <c r="L5664" t="s">
        <v>181</v>
      </c>
      <c r="M5664" s="161" t="s">
        <v>19202</v>
      </c>
    </row>
    <row r="5665" spans="9:13" x14ac:dyDescent="0.25">
      <c r="I5665" t="s">
        <v>12800</v>
      </c>
      <c r="J5665" s="161" t="s">
        <v>19202</v>
      </c>
      <c r="K5665" t="s">
        <v>19203</v>
      </c>
      <c r="L5665" t="s">
        <v>12799</v>
      </c>
      <c r="M5665" s="161" t="s">
        <v>19202</v>
      </c>
    </row>
    <row r="5666" spans="9:13" x14ac:dyDescent="0.25">
      <c r="I5666" t="s">
        <v>19914</v>
      </c>
      <c r="J5666" s="161" t="s">
        <v>19202</v>
      </c>
      <c r="K5666" t="s">
        <v>19203</v>
      </c>
      <c r="L5666" t="s">
        <v>6176</v>
      </c>
      <c r="M5666" s="161" t="s">
        <v>19202</v>
      </c>
    </row>
    <row r="5667" spans="9:13" x14ac:dyDescent="0.25">
      <c r="I5667" t="s">
        <v>61</v>
      </c>
      <c r="J5667" s="161" t="s">
        <v>19202</v>
      </c>
      <c r="K5667" t="s">
        <v>19203</v>
      </c>
      <c r="L5667" t="s">
        <v>60</v>
      </c>
      <c r="M5667" s="161" t="s">
        <v>19202</v>
      </c>
    </row>
    <row r="5668" spans="9:13" x14ac:dyDescent="0.25">
      <c r="I5668" t="s">
        <v>2515</v>
      </c>
      <c r="J5668" s="161" t="s">
        <v>19202</v>
      </c>
      <c r="K5668" t="s">
        <v>19203</v>
      </c>
      <c r="L5668" t="s">
        <v>588</v>
      </c>
      <c r="M5668" s="161" t="s">
        <v>19202</v>
      </c>
    </row>
    <row r="5669" spans="9:13" x14ac:dyDescent="0.25">
      <c r="I5669" t="s">
        <v>2512</v>
      </c>
      <c r="J5669" s="161" t="s">
        <v>19202</v>
      </c>
      <c r="K5669" t="s">
        <v>19203</v>
      </c>
      <c r="L5669" t="s">
        <v>2511</v>
      </c>
      <c r="M5669" s="161" t="s">
        <v>19202</v>
      </c>
    </row>
    <row r="5670" spans="9:13" x14ac:dyDescent="0.25">
      <c r="I5670" t="s">
        <v>1147</v>
      </c>
      <c r="J5670" s="161" t="s">
        <v>19202</v>
      </c>
      <c r="K5670" t="s">
        <v>19203</v>
      </c>
      <c r="L5670" t="s">
        <v>1146</v>
      </c>
      <c r="M5670" s="161" t="s">
        <v>19202</v>
      </c>
    </row>
    <row r="5671" spans="9:13" x14ac:dyDescent="0.25">
      <c r="I5671" t="s">
        <v>8994</v>
      </c>
      <c r="J5671" s="161" t="s">
        <v>19202</v>
      </c>
      <c r="K5671" t="s">
        <v>19203</v>
      </c>
      <c r="L5671" t="s">
        <v>8993</v>
      </c>
      <c r="M5671" s="161" t="s">
        <v>19202</v>
      </c>
    </row>
    <row r="5672" spans="9:13" x14ac:dyDescent="0.25">
      <c r="I5672" t="s">
        <v>6623</v>
      </c>
      <c r="J5672" s="161" t="s">
        <v>19202</v>
      </c>
      <c r="K5672" t="s">
        <v>19203</v>
      </c>
      <c r="L5672" t="s">
        <v>6074</v>
      </c>
      <c r="M5672" s="161" t="s">
        <v>19202</v>
      </c>
    </row>
    <row r="5673" spans="9:13" x14ac:dyDescent="0.25">
      <c r="I5673" t="s">
        <v>19915</v>
      </c>
      <c r="J5673" s="161" t="s">
        <v>19202</v>
      </c>
      <c r="K5673" t="s">
        <v>19203</v>
      </c>
      <c r="L5673" t="s">
        <v>19916</v>
      </c>
      <c r="M5673" s="161" t="s">
        <v>19202</v>
      </c>
    </row>
    <row r="5674" spans="9:13" x14ac:dyDescent="0.25">
      <c r="I5674" t="s">
        <v>12727</v>
      </c>
      <c r="J5674" s="161" t="s">
        <v>19202</v>
      </c>
      <c r="K5674" t="s">
        <v>19203</v>
      </c>
      <c r="L5674" t="s">
        <v>12726</v>
      </c>
      <c r="M5674" s="161" t="s">
        <v>19202</v>
      </c>
    </row>
    <row r="5675" spans="9:13" x14ac:dyDescent="0.25">
      <c r="I5675" t="s">
        <v>6493</v>
      </c>
      <c r="J5675" s="161" t="s">
        <v>19202</v>
      </c>
      <c r="K5675" t="s">
        <v>19203</v>
      </c>
      <c r="L5675" t="s">
        <v>6492</v>
      </c>
      <c r="M5675" s="161" t="s">
        <v>19202</v>
      </c>
    </row>
    <row r="5676" spans="9:13" x14ac:dyDescent="0.25">
      <c r="I5676" t="s">
        <v>749</v>
      </c>
      <c r="J5676" s="161" t="s">
        <v>19202</v>
      </c>
      <c r="K5676" t="s">
        <v>19203</v>
      </c>
      <c r="L5676" t="s">
        <v>748</v>
      </c>
      <c r="M5676" s="161" t="s">
        <v>19202</v>
      </c>
    </row>
    <row r="5677" spans="9:13" x14ac:dyDescent="0.25">
      <c r="I5677" t="s">
        <v>2510</v>
      </c>
      <c r="J5677" s="161" t="s">
        <v>19202</v>
      </c>
      <c r="K5677" t="s">
        <v>19203</v>
      </c>
      <c r="L5677" t="s">
        <v>2509</v>
      </c>
      <c r="M5677" s="161" t="s">
        <v>19202</v>
      </c>
    </row>
    <row r="5678" spans="9:13" x14ac:dyDescent="0.25">
      <c r="I5678" t="s">
        <v>6056</v>
      </c>
      <c r="J5678" s="161" t="s">
        <v>19202</v>
      </c>
      <c r="K5678" t="s">
        <v>19203</v>
      </c>
      <c r="L5678" t="s">
        <v>6055</v>
      </c>
      <c r="M5678" s="161" t="s">
        <v>19202</v>
      </c>
    </row>
    <row r="5679" spans="9:13" x14ac:dyDescent="0.25">
      <c r="I5679" t="s">
        <v>19917</v>
      </c>
      <c r="J5679" s="161" t="s">
        <v>19202</v>
      </c>
      <c r="K5679" t="s">
        <v>19203</v>
      </c>
      <c r="L5679" t="s">
        <v>19918</v>
      </c>
      <c r="M5679" s="161" t="s">
        <v>19202</v>
      </c>
    </row>
    <row r="5680" spans="9:13" x14ac:dyDescent="0.25">
      <c r="I5680" t="s">
        <v>6119</v>
      </c>
      <c r="J5680" s="161" t="s">
        <v>19202</v>
      </c>
      <c r="K5680" t="s">
        <v>19203</v>
      </c>
      <c r="L5680" t="s">
        <v>6118</v>
      </c>
      <c r="M5680" s="161" t="s">
        <v>19202</v>
      </c>
    </row>
    <row r="5681" spans="9:13" x14ac:dyDescent="0.25">
      <c r="I5681" t="s">
        <v>19919</v>
      </c>
      <c r="J5681" s="161" t="s">
        <v>19202</v>
      </c>
      <c r="K5681" t="s">
        <v>19203</v>
      </c>
      <c r="L5681" t="s">
        <v>19920</v>
      </c>
      <c r="M5681" s="161" t="s">
        <v>19202</v>
      </c>
    </row>
    <row r="5682" spans="9:13" x14ac:dyDescent="0.25">
      <c r="I5682" t="s">
        <v>4123</v>
      </c>
      <c r="J5682" s="161" t="s">
        <v>19202</v>
      </c>
      <c r="K5682" t="s">
        <v>19203</v>
      </c>
      <c r="L5682" t="s">
        <v>123</v>
      </c>
      <c r="M5682" s="161" t="s">
        <v>19202</v>
      </c>
    </row>
    <row r="5683" spans="9:13" x14ac:dyDescent="0.25">
      <c r="I5683" t="s">
        <v>3199</v>
      </c>
      <c r="J5683" s="161" t="s">
        <v>19202</v>
      </c>
      <c r="K5683" t="s">
        <v>19203</v>
      </c>
      <c r="L5683" t="s">
        <v>3198</v>
      </c>
      <c r="M5683" s="161" t="s">
        <v>19202</v>
      </c>
    </row>
    <row r="5684" spans="9:13" x14ac:dyDescent="0.25">
      <c r="I5684" t="s">
        <v>2502</v>
      </c>
      <c r="J5684" s="161" t="s">
        <v>19202</v>
      </c>
      <c r="K5684" t="s">
        <v>19203</v>
      </c>
      <c r="L5684" t="s">
        <v>2501</v>
      </c>
      <c r="M5684" s="161" t="s">
        <v>19202</v>
      </c>
    </row>
    <row r="5685" spans="9:13" x14ac:dyDescent="0.25">
      <c r="I5685" t="s">
        <v>2506</v>
      </c>
      <c r="J5685" s="161" t="s">
        <v>19202</v>
      </c>
      <c r="K5685" t="s">
        <v>19203</v>
      </c>
      <c r="L5685" t="s">
        <v>2505</v>
      </c>
      <c r="M5685" s="161" t="s">
        <v>19202</v>
      </c>
    </row>
    <row r="5686" spans="9:13" x14ac:dyDescent="0.25">
      <c r="I5686" t="s">
        <v>19921</v>
      </c>
      <c r="J5686" s="161" t="s">
        <v>19202</v>
      </c>
      <c r="K5686" t="s">
        <v>19203</v>
      </c>
      <c r="L5686" t="s">
        <v>2700</v>
      </c>
      <c r="M5686" s="161" t="s">
        <v>19202</v>
      </c>
    </row>
    <row r="5687" spans="9:13" x14ac:dyDescent="0.25">
      <c r="I5687" t="s">
        <v>19922</v>
      </c>
      <c r="J5687" s="161" t="s">
        <v>19202</v>
      </c>
      <c r="K5687" t="s">
        <v>19203</v>
      </c>
      <c r="L5687" t="s">
        <v>12771</v>
      </c>
      <c r="M5687" s="161" t="s">
        <v>19202</v>
      </c>
    </row>
    <row r="5688" spans="9:13" x14ac:dyDescent="0.25">
      <c r="I5688" t="s">
        <v>19923</v>
      </c>
      <c r="J5688" s="161" t="s">
        <v>19202</v>
      </c>
      <c r="K5688" t="s">
        <v>19203</v>
      </c>
      <c r="L5688" t="s">
        <v>19924</v>
      </c>
      <c r="M5688" s="161" t="s">
        <v>19202</v>
      </c>
    </row>
    <row r="5689" spans="9:13" x14ac:dyDescent="0.25">
      <c r="I5689" t="s">
        <v>2514</v>
      </c>
      <c r="J5689" s="161" t="s">
        <v>19202</v>
      </c>
      <c r="K5689" t="s">
        <v>19203</v>
      </c>
      <c r="L5689" t="s">
        <v>2513</v>
      </c>
      <c r="M5689" s="161" t="s">
        <v>19202</v>
      </c>
    </row>
    <row r="5690" spans="9:13" x14ac:dyDescent="0.25">
      <c r="I5690" t="s">
        <v>6171</v>
      </c>
      <c r="J5690" s="161" t="s">
        <v>19202</v>
      </c>
      <c r="K5690" t="s">
        <v>19203</v>
      </c>
      <c r="L5690" t="s">
        <v>6170</v>
      </c>
      <c r="M5690" s="161" t="s">
        <v>19202</v>
      </c>
    </row>
    <row r="5691" spans="9:13" x14ac:dyDescent="0.25">
      <c r="I5691" t="s">
        <v>2687</v>
      </c>
      <c r="J5691" s="161" t="s">
        <v>19202</v>
      </c>
      <c r="K5691" t="s">
        <v>19203</v>
      </c>
      <c r="L5691" t="s">
        <v>2686</v>
      </c>
      <c r="M5691" s="161" t="s">
        <v>19202</v>
      </c>
    </row>
    <row r="5692" spans="9:13" x14ac:dyDescent="0.25">
      <c r="I5692" t="s">
        <v>2000</v>
      </c>
      <c r="J5692" s="161" t="s">
        <v>19202</v>
      </c>
      <c r="K5692" t="s">
        <v>19203</v>
      </c>
      <c r="L5692" t="s">
        <v>1999</v>
      </c>
      <c r="M5692" s="161" t="s">
        <v>19202</v>
      </c>
    </row>
    <row r="5693" spans="9:13" x14ac:dyDescent="0.25">
      <c r="I5693" t="s">
        <v>14727</v>
      </c>
      <c r="J5693" s="161" t="s">
        <v>19202</v>
      </c>
      <c r="K5693" t="s">
        <v>19203</v>
      </c>
      <c r="L5693" t="s">
        <v>14726</v>
      </c>
      <c r="M5693" s="161" t="s">
        <v>19202</v>
      </c>
    </row>
    <row r="5694" spans="9:13" x14ac:dyDescent="0.25">
      <c r="I5694" t="s">
        <v>11697</v>
      </c>
      <c r="J5694" s="161" t="s">
        <v>19202</v>
      </c>
      <c r="K5694" t="s">
        <v>19203</v>
      </c>
      <c r="L5694" t="s">
        <v>11696</v>
      </c>
      <c r="M5694" s="161" t="s">
        <v>19202</v>
      </c>
    </row>
    <row r="5695" spans="9:13" x14ac:dyDescent="0.25">
      <c r="I5695" t="s">
        <v>5789</v>
      </c>
      <c r="J5695" s="161" t="s">
        <v>19202</v>
      </c>
      <c r="K5695" t="s">
        <v>19203</v>
      </c>
      <c r="L5695" t="s">
        <v>5788</v>
      </c>
      <c r="M5695" s="161" t="s">
        <v>19202</v>
      </c>
    </row>
    <row r="5696" spans="9:13" x14ac:dyDescent="0.25">
      <c r="I5696" t="s">
        <v>786</v>
      </c>
      <c r="J5696" s="161" t="s">
        <v>19202</v>
      </c>
      <c r="K5696" t="s">
        <v>19203</v>
      </c>
      <c r="L5696" t="s">
        <v>785</v>
      </c>
      <c r="M5696" s="161" t="s">
        <v>19202</v>
      </c>
    </row>
    <row r="5697" spans="9:13" x14ac:dyDescent="0.25">
      <c r="I5697" t="s">
        <v>2532</v>
      </c>
      <c r="J5697" s="161" t="s">
        <v>19202</v>
      </c>
      <c r="K5697" t="s">
        <v>19203</v>
      </c>
      <c r="L5697" t="s">
        <v>2531</v>
      </c>
      <c r="M5697" s="161" t="s">
        <v>19202</v>
      </c>
    </row>
    <row r="5698" spans="9:13" x14ac:dyDescent="0.25">
      <c r="I5698" t="s">
        <v>9002</v>
      </c>
      <c r="J5698" s="161" t="s">
        <v>19202</v>
      </c>
      <c r="K5698" t="s">
        <v>19203</v>
      </c>
      <c r="L5698" t="s">
        <v>9001</v>
      </c>
      <c r="M5698" s="161" t="s">
        <v>19202</v>
      </c>
    </row>
    <row r="5699" spans="9:13" x14ac:dyDescent="0.25">
      <c r="I5699" t="s">
        <v>6514</v>
      </c>
      <c r="J5699" s="161" t="s">
        <v>19202</v>
      </c>
      <c r="K5699" t="s">
        <v>19203</v>
      </c>
      <c r="L5699" t="s">
        <v>6513</v>
      </c>
      <c r="M5699" s="161" t="s">
        <v>19202</v>
      </c>
    </row>
    <row r="5700" spans="9:13" x14ac:dyDescent="0.25">
      <c r="I5700" t="s">
        <v>2496</v>
      </c>
      <c r="J5700" s="161" t="s">
        <v>19202</v>
      </c>
      <c r="K5700" t="s">
        <v>19203</v>
      </c>
      <c r="L5700" t="s">
        <v>1208</v>
      </c>
      <c r="M5700" s="161" t="s">
        <v>19202</v>
      </c>
    </row>
    <row r="5701" spans="9:13" x14ac:dyDescent="0.25">
      <c r="I5701" t="s">
        <v>9975</v>
      </c>
      <c r="J5701" s="161" t="s">
        <v>19202</v>
      </c>
      <c r="K5701" t="s">
        <v>19203</v>
      </c>
      <c r="L5701" t="s">
        <v>9974</v>
      </c>
      <c r="M5701" s="161" t="s">
        <v>19202</v>
      </c>
    </row>
    <row r="5702" spans="9:13" x14ac:dyDescent="0.25">
      <c r="I5702" t="s">
        <v>8998</v>
      </c>
      <c r="J5702" s="161" t="s">
        <v>19202</v>
      </c>
      <c r="K5702" t="s">
        <v>19203</v>
      </c>
      <c r="L5702" t="s">
        <v>8997</v>
      </c>
      <c r="M5702" s="161" t="s">
        <v>19202</v>
      </c>
    </row>
    <row r="5703" spans="9:13" x14ac:dyDescent="0.25">
      <c r="I5703" t="s">
        <v>12700</v>
      </c>
      <c r="J5703" s="161" t="s">
        <v>19202</v>
      </c>
      <c r="K5703" t="s">
        <v>19203</v>
      </c>
      <c r="L5703" t="s">
        <v>12699</v>
      </c>
      <c r="M5703" s="161" t="s">
        <v>19202</v>
      </c>
    </row>
    <row r="5704" spans="9:13" x14ac:dyDescent="0.25">
      <c r="I5704" t="s">
        <v>6763</v>
      </c>
      <c r="J5704" s="161" t="s">
        <v>19202</v>
      </c>
      <c r="K5704" t="s">
        <v>19203</v>
      </c>
      <c r="L5704" t="s">
        <v>6762</v>
      </c>
      <c r="M5704" s="161" t="s">
        <v>19202</v>
      </c>
    </row>
    <row r="5705" spans="9:13" x14ac:dyDescent="0.25">
      <c r="I5705" t="s">
        <v>12731</v>
      </c>
      <c r="J5705" s="161" t="s">
        <v>19202</v>
      </c>
      <c r="K5705" t="s">
        <v>19203</v>
      </c>
      <c r="L5705" t="s">
        <v>12730</v>
      </c>
      <c r="M5705" s="161" t="s">
        <v>19202</v>
      </c>
    </row>
    <row r="5706" spans="9:13" x14ac:dyDescent="0.25">
      <c r="I5706" t="s">
        <v>5791</v>
      </c>
      <c r="J5706" s="161" t="s">
        <v>19202</v>
      </c>
      <c r="K5706" t="s">
        <v>19203</v>
      </c>
      <c r="L5706" t="s">
        <v>5790</v>
      </c>
      <c r="M5706" s="161" t="s">
        <v>19202</v>
      </c>
    </row>
    <row r="5707" spans="9:13" x14ac:dyDescent="0.25">
      <c r="I5707" t="s">
        <v>14725</v>
      </c>
      <c r="J5707" s="161" t="s">
        <v>19202</v>
      </c>
      <c r="K5707" t="s">
        <v>19203</v>
      </c>
      <c r="L5707" t="s">
        <v>14724</v>
      </c>
      <c r="M5707" s="161" t="s">
        <v>19202</v>
      </c>
    </row>
    <row r="5708" spans="9:13" x14ac:dyDescent="0.25">
      <c r="I5708" t="s">
        <v>8980</v>
      </c>
      <c r="J5708" s="161" t="s">
        <v>19202</v>
      </c>
      <c r="K5708" t="s">
        <v>19203</v>
      </c>
      <c r="L5708" t="s">
        <v>8979</v>
      </c>
      <c r="M5708" s="161" t="s">
        <v>19202</v>
      </c>
    </row>
    <row r="5709" spans="9:13" x14ac:dyDescent="0.25">
      <c r="I5709" t="s">
        <v>2498</v>
      </c>
      <c r="J5709" s="161" t="s">
        <v>19202</v>
      </c>
      <c r="K5709" t="s">
        <v>19203</v>
      </c>
      <c r="L5709" t="s">
        <v>2497</v>
      </c>
      <c r="M5709" s="161" t="s">
        <v>19202</v>
      </c>
    </row>
    <row r="5710" spans="9:13" x14ac:dyDescent="0.25">
      <c r="I5710" t="s">
        <v>10953</v>
      </c>
      <c r="J5710" s="161" t="s">
        <v>19202</v>
      </c>
      <c r="K5710" t="s">
        <v>19203</v>
      </c>
      <c r="L5710" t="s">
        <v>10952</v>
      </c>
      <c r="M5710" s="161" t="s">
        <v>19202</v>
      </c>
    </row>
    <row r="5711" spans="9:13" x14ac:dyDescent="0.25">
      <c r="I5711" t="s">
        <v>868</v>
      </c>
      <c r="J5711" s="161" t="s">
        <v>19202</v>
      </c>
      <c r="K5711" t="s">
        <v>19203</v>
      </c>
      <c r="L5711" t="s">
        <v>867</v>
      </c>
      <c r="M5711" s="161" t="s">
        <v>19202</v>
      </c>
    </row>
    <row r="5712" spans="9:13" x14ac:dyDescent="0.25">
      <c r="I5712" t="s">
        <v>5781</v>
      </c>
      <c r="J5712" s="161" t="s">
        <v>19202</v>
      </c>
      <c r="K5712" t="s">
        <v>19203</v>
      </c>
      <c r="L5712" t="s">
        <v>5780</v>
      </c>
      <c r="M5712" s="161" t="s">
        <v>19202</v>
      </c>
    </row>
    <row r="5713" spans="9:13" x14ac:dyDescent="0.25">
      <c r="I5713" t="s">
        <v>5449</v>
      </c>
      <c r="J5713" s="161" t="s">
        <v>19202</v>
      </c>
      <c r="K5713" t="s">
        <v>19203</v>
      </c>
      <c r="L5713" t="s">
        <v>5448</v>
      </c>
      <c r="M5713" s="161" t="s">
        <v>19202</v>
      </c>
    </row>
    <row r="5714" spans="9:13" x14ac:dyDescent="0.25">
      <c r="I5714" t="s">
        <v>19925</v>
      </c>
      <c r="J5714" s="161" t="s">
        <v>19202</v>
      </c>
      <c r="K5714" t="s">
        <v>19203</v>
      </c>
      <c r="L5714" t="s">
        <v>19926</v>
      </c>
      <c r="M5714" s="161" t="s">
        <v>19202</v>
      </c>
    </row>
    <row r="5715" spans="9:13" x14ac:dyDescent="0.25">
      <c r="I5715" t="s">
        <v>5919</v>
      </c>
      <c r="J5715" s="161" t="s">
        <v>19202</v>
      </c>
      <c r="K5715" t="s">
        <v>19203</v>
      </c>
      <c r="L5715" t="s">
        <v>5918</v>
      </c>
      <c r="M5715" s="161" t="s">
        <v>19202</v>
      </c>
    </row>
    <row r="5716" spans="9:13" x14ac:dyDescent="0.25">
      <c r="I5716" t="s">
        <v>12688</v>
      </c>
      <c r="J5716" s="161" t="s">
        <v>19202</v>
      </c>
      <c r="K5716" t="s">
        <v>19203</v>
      </c>
      <c r="L5716" t="s">
        <v>12687</v>
      </c>
      <c r="M5716" s="161" t="s">
        <v>19202</v>
      </c>
    </row>
    <row r="5717" spans="9:13" x14ac:dyDescent="0.25">
      <c r="I5717" t="s">
        <v>5310</v>
      </c>
      <c r="J5717" s="161" t="s">
        <v>19202</v>
      </c>
      <c r="K5717" t="s">
        <v>19203</v>
      </c>
      <c r="L5717" t="s">
        <v>5309</v>
      </c>
      <c r="M5717" s="161" t="s">
        <v>19202</v>
      </c>
    </row>
    <row r="5718" spans="9:13" x14ac:dyDescent="0.25">
      <c r="I5718" t="s">
        <v>4787</v>
      </c>
      <c r="J5718" s="161" t="s">
        <v>19202</v>
      </c>
      <c r="K5718" t="s">
        <v>19203</v>
      </c>
      <c r="L5718" t="s">
        <v>4786</v>
      </c>
      <c r="M5718" s="161" t="s">
        <v>19202</v>
      </c>
    </row>
    <row r="5719" spans="9:13" x14ac:dyDescent="0.25">
      <c r="I5719" t="s">
        <v>6622</v>
      </c>
      <c r="J5719" s="161" t="s">
        <v>19202</v>
      </c>
      <c r="K5719" t="s">
        <v>19203</v>
      </c>
      <c r="L5719" t="s">
        <v>6621</v>
      </c>
      <c r="M5719" s="161" t="s">
        <v>19202</v>
      </c>
    </row>
    <row r="5720" spans="9:13" x14ac:dyDescent="0.25">
      <c r="I5720" t="s">
        <v>8990</v>
      </c>
      <c r="J5720" s="161" t="s">
        <v>19202</v>
      </c>
      <c r="K5720" t="s">
        <v>19203</v>
      </c>
      <c r="L5720" t="s">
        <v>8989</v>
      </c>
      <c r="M5720" s="161" t="s">
        <v>19202</v>
      </c>
    </row>
    <row r="5721" spans="9:13" x14ac:dyDescent="0.25">
      <c r="I5721" t="s">
        <v>870</v>
      </c>
      <c r="J5721" s="161" t="s">
        <v>19202</v>
      </c>
      <c r="K5721" t="s">
        <v>19203</v>
      </c>
      <c r="L5721" t="s">
        <v>869</v>
      </c>
      <c r="M5721" s="161" t="s">
        <v>19202</v>
      </c>
    </row>
    <row r="5722" spans="9:13" x14ac:dyDescent="0.25">
      <c r="I5722" t="s">
        <v>17246</v>
      </c>
      <c r="J5722" s="161" t="s">
        <v>19202</v>
      </c>
      <c r="K5722" t="s">
        <v>19203</v>
      </c>
      <c r="L5722" t="s">
        <v>17245</v>
      </c>
      <c r="M5722" s="161" t="s">
        <v>19202</v>
      </c>
    </row>
    <row r="5723" spans="9:13" x14ac:dyDescent="0.25">
      <c r="I5723" t="s">
        <v>9939</v>
      </c>
      <c r="J5723" s="161" t="s">
        <v>19202</v>
      </c>
      <c r="K5723" t="s">
        <v>19203</v>
      </c>
      <c r="L5723" t="s">
        <v>9938</v>
      </c>
      <c r="M5723" s="161" t="s">
        <v>19202</v>
      </c>
    </row>
    <row r="5724" spans="9:13" x14ac:dyDescent="0.25">
      <c r="I5724" t="s">
        <v>19927</v>
      </c>
      <c r="J5724" s="161" t="s">
        <v>19202</v>
      </c>
      <c r="K5724" t="s">
        <v>19203</v>
      </c>
      <c r="L5724" t="s">
        <v>3708</v>
      </c>
      <c r="M5724" s="161" t="s">
        <v>19202</v>
      </c>
    </row>
    <row r="5725" spans="9:13" x14ac:dyDescent="0.25">
      <c r="I5725" t="s">
        <v>7656</v>
      </c>
      <c r="J5725" s="161" t="s">
        <v>19202</v>
      </c>
      <c r="K5725" t="s">
        <v>19203</v>
      </c>
      <c r="L5725" t="s">
        <v>7655</v>
      </c>
      <c r="M5725" s="161" t="s">
        <v>19202</v>
      </c>
    </row>
    <row r="5726" spans="9:13" x14ac:dyDescent="0.25">
      <c r="I5726" t="s">
        <v>8992</v>
      </c>
      <c r="J5726" s="161" t="s">
        <v>19202</v>
      </c>
      <c r="K5726" t="s">
        <v>19203</v>
      </c>
      <c r="L5726" t="s">
        <v>8991</v>
      </c>
      <c r="M5726" s="161" t="s">
        <v>19202</v>
      </c>
    </row>
    <row r="5727" spans="9:13" x14ac:dyDescent="0.25">
      <c r="I5727" t="s">
        <v>5639</v>
      </c>
      <c r="J5727" s="161" t="s">
        <v>19202</v>
      </c>
      <c r="K5727" t="s">
        <v>19203</v>
      </c>
      <c r="L5727" t="s">
        <v>5638</v>
      </c>
      <c r="M5727" s="161" t="s">
        <v>19202</v>
      </c>
    </row>
    <row r="5728" spans="9:13" x14ac:dyDescent="0.25">
      <c r="I5728" t="s">
        <v>9752</v>
      </c>
      <c r="J5728" s="161" t="s">
        <v>19202</v>
      </c>
      <c r="K5728" t="s">
        <v>19203</v>
      </c>
      <c r="L5728" t="s">
        <v>9751</v>
      </c>
      <c r="M5728" s="161" t="s">
        <v>19202</v>
      </c>
    </row>
    <row r="5729" spans="9:13" x14ac:dyDescent="0.25">
      <c r="I5729" t="s">
        <v>9750</v>
      </c>
      <c r="J5729" s="161" t="s">
        <v>19202</v>
      </c>
      <c r="K5729" t="s">
        <v>19203</v>
      </c>
      <c r="L5729" t="s">
        <v>9749</v>
      </c>
      <c r="M5729" s="161" t="s">
        <v>19202</v>
      </c>
    </row>
    <row r="5730" spans="9:13" x14ac:dyDescent="0.25">
      <c r="I5730" t="s">
        <v>10412</v>
      </c>
      <c r="J5730" s="161" t="s">
        <v>19202</v>
      </c>
      <c r="K5730" t="s">
        <v>19203</v>
      </c>
      <c r="L5730" t="s">
        <v>10411</v>
      </c>
      <c r="M5730" s="161" t="s">
        <v>19202</v>
      </c>
    </row>
    <row r="5731" spans="9:13" x14ac:dyDescent="0.25">
      <c r="I5731" t="s">
        <v>330</v>
      </c>
      <c r="J5731" s="161" t="s">
        <v>19202</v>
      </c>
      <c r="K5731" t="s">
        <v>19203</v>
      </c>
      <c r="L5731" t="s">
        <v>329</v>
      </c>
      <c r="M5731" s="161" t="s">
        <v>19202</v>
      </c>
    </row>
    <row r="5732" spans="9:13" x14ac:dyDescent="0.25">
      <c r="I5732" t="s">
        <v>16182</v>
      </c>
      <c r="J5732" s="161" t="s">
        <v>19202</v>
      </c>
      <c r="K5732" t="s">
        <v>19203</v>
      </c>
      <c r="L5732" t="s">
        <v>1108</v>
      </c>
      <c r="M5732" s="161" t="s">
        <v>19202</v>
      </c>
    </row>
    <row r="5733" spans="9:13" x14ac:dyDescent="0.25">
      <c r="I5733" t="s">
        <v>8986</v>
      </c>
      <c r="J5733" s="161" t="s">
        <v>19202</v>
      </c>
      <c r="K5733" t="s">
        <v>19203</v>
      </c>
      <c r="L5733" t="s">
        <v>8985</v>
      </c>
      <c r="M5733" s="161" t="s">
        <v>19202</v>
      </c>
    </row>
    <row r="5734" spans="9:13" x14ac:dyDescent="0.25">
      <c r="I5734" t="s">
        <v>3226</v>
      </c>
      <c r="J5734" s="161" t="s">
        <v>19202</v>
      </c>
      <c r="K5734" t="s">
        <v>19203</v>
      </c>
      <c r="L5734" t="s">
        <v>3225</v>
      </c>
      <c r="M5734" s="161" t="s">
        <v>19202</v>
      </c>
    </row>
    <row r="5735" spans="9:13" x14ac:dyDescent="0.25">
      <c r="I5735" t="s">
        <v>5850</v>
      </c>
      <c r="J5735" s="161" t="s">
        <v>19202</v>
      </c>
      <c r="K5735" t="s">
        <v>19203</v>
      </c>
      <c r="L5735" t="s">
        <v>5849</v>
      </c>
      <c r="M5735" s="161" t="s">
        <v>19202</v>
      </c>
    </row>
    <row r="5736" spans="9:13" x14ac:dyDescent="0.25">
      <c r="I5736" t="s">
        <v>5933</v>
      </c>
      <c r="J5736" s="161" t="s">
        <v>19202</v>
      </c>
      <c r="K5736" t="s">
        <v>19203</v>
      </c>
      <c r="L5736" t="s">
        <v>5932</v>
      </c>
      <c r="M5736" s="161" t="s">
        <v>19202</v>
      </c>
    </row>
    <row r="5737" spans="9:13" x14ac:dyDescent="0.25">
      <c r="I5737" t="s">
        <v>7605</v>
      </c>
      <c r="J5737" s="161" t="s">
        <v>19202</v>
      </c>
      <c r="K5737" t="s">
        <v>19203</v>
      </c>
      <c r="L5737" t="s">
        <v>7604</v>
      </c>
      <c r="M5737" s="161" t="s">
        <v>19202</v>
      </c>
    </row>
    <row r="5738" spans="9:13" x14ac:dyDescent="0.25">
      <c r="I5738" t="s">
        <v>9754</v>
      </c>
      <c r="J5738" s="161" t="s">
        <v>19202</v>
      </c>
      <c r="K5738" t="s">
        <v>19203</v>
      </c>
      <c r="L5738" t="s">
        <v>9753</v>
      </c>
      <c r="M5738" s="161" t="s">
        <v>19202</v>
      </c>
    </row>
    <row r="5739" spans="9:13" x14ac:dyDescent="0.25">
      <c r="I5739" t="s">
        <v>5655</v>
      </c>
      <c r="J5739" s="161" t="s">
        <v>19202</v>
      </c>
      <c r="K5739" t="s">
        <v>19203</v>
      </c>
      <c r="L5739" t="s">
        <v>5654</v>
      </c>
      <c r="M5739" s="161" t="s">
        <v>19202</v>
      </c>
    </row>
    <row r="5740" spans="9:13" x14ac:dyDescent="0.25">
      <c r="I5740" t="s">
        <v>5785</v>
      </c>
      <c r="J5740" s="161" t="s">
        <v>19202</v>
      </c>
      <c r="K5740" t="s">
        <v>19203</v>
      </c>
      <c r="L5740" t="s">
        <v>5784</v>
      </c>
      <c r="M5740" s="161" t="s">
        <v>19202</v>
      </c>
    </row>
    <row r="5741" spans="9:13" x14ac:dyDescent="0.25">
      <c r="I5741" t="s">
        <v>5308</v>
      </c>
      <c r="J5741" s="161" t="s">
        <v>19202</v>
      </c>
      <c r="K5741" t="s">
        <v>19203</v>
      </c>
      <c r="L5741" t="s">
        <v>5307</v>
      </c>
      <c r="M5741" s="161" t="s">
        <v>19202</v>
      </c>
    </row>
    <row r="5742" spans="9:13" x14ac:dyDescent="0.25">
      <c r="I5742" t="s">
        <v>17819</v>
      </c>
      <c r="J5742" s="161" t="s">
        <v>19202</v>
      </c>
      <c r="K5742" t="s">
        <v>19203</v>
      </c>
      <c r="L5742" t="s">
        <v>17818</v>
      </c>
      <c r="M5742" s="161" t="s">
        <v>19202</v>
      </c>
    </row>
    <row r="5743" spans="9:13" x14ac:dyDescent="0.25">
      <c r="I5743" t="s">
        <v>9756</v>
      </c>
      <c r="J5743" s="161" t="s">
        <v>19202</v>
      </c>
      <c r="K5743" t="s">
        <v>19203</v>
      </c>
      <c r="L5743" t="s">
        <v>9755</v>
      </c>
      <c r="M5743" s="161" t="s">
        <v>19202</v>
      </c>
    </row>
    <row r="5744" spans="9:13" x14ac:dyDescent="0.25">
      <c r="I5744" t="s">
        <v>9748</v>
      </c>
      <c r="J5744" s="161" t="s">
        <v>19202</v>
      </c>
      <c r="K5744" t="s">
        <v>19203</v>
      </c>
      <c r="L5744" t="s">
        <v>9747</v>
      </c>
      <c r="M5744" s="161" t="s">
        <v>19202</v>
      </c>
    </row>
    <row r="5745" spans="9:13" x14ac:dyDescent="0.25">
      <c r="I5745" t="s">
        <v>19928</v>
      </c>
      <c r="J5745" s="161" t="s">
        <v>19202</v>
      </c>
      <c r="K5745" t="s">
        <v>19203</v>
      </c>
      <c r="L5745" t="s">
        <v>19929</v>
      </c>
      <c r="M5745" s="161" t="s">
        <v>19202</v>
      </c>
    </row>
    <row r="5746" spans="9:13" x14ac:dyDescent="0.25">
      <c r="I5746" t="s">
        <v>8988</v>
      </c>
      <c r="J5746" s="161" t="s">
        <v>19202</v>
      </c>
      <c r="K5746" t="s">
        <v>19203</v>
      </c>
      <c r="L5746" t="s">
        <v>8987</v>
      </c>
      <c r="M5746" s="161" t="s">
        <v>19202</v>
      </c>
    </row>
    <row r="5747" spans="9:13" x14ac:dyDescent="0.25">
      <c r="I5747" t="s">
        <v>10954</v>
      </c>
      <c r="J5747" s="161" t="s">
        <v>19202</v>
      </c>
      <c r="K5747" t="s">
        <v>19203</v>
      </c>
      <c r="L5747" t="s">
        <v>6760</v>
      </c>
      <c r="M5747" s="161" t="s">
        <v>19202</v>
      </c>
    </row>
    <row r="5748" spans="9:13" x14ac:dyDescent="0.25">
      <c r="I5748" t="s">
        <v>9274</v>
      </c>
      <c r="J5748" s="161" t="s">
        <v>19202</v>
      </c>
      <c r="K5748" t="s">
        <v>19203</v>
      </c>
      <c r="L5748" t="s">
        <v>9273</v>
      </c>
      <c r="M5748" s="161" t="s">
        <v>19202</v>
      </c>
    </row>
    <row r="5749" spans="9:13" x14ac:dyDescent="0.25">
      <c r="I5749" t="s">
        <v>12415</v>
      </c>
      <c r="J5749" s="161" t="s">
        <v>19202</v>
      </c>
      <c r="K5749" t="s">
        <v>19203</v>
      </c>
      <c r="L5749" t="s">
        <v>6024</v>
      </c>
      <c r="M5749" s="161" t="s">
        <v>19202</v>
      </c>
    </row>
    <row r="5750" spans="9:13" x14ac:dyDescent="0.25">
      <c r="I5750" t="s">
        <v>12414</v>
      </c>
      <c r="J5750" s="161" t="s">
        <v>19202</v>
      </c>
      <c r="K5750" t="s">
        <v>19203</v>
      </c>
      <c r="L5750" t="s">
        <v>12413</v>
      </c>
      <c r="M5750" s="161" t="s">
        <v>19202</v>
      </c>
    </row>
    <row r="5751" spans="9:13" x14ac:dyDescent="0.25">
      <c r="I5751" t="s">
        <v>12412</v>
      </c>
      <c r="J5751" s="161" t="s">
        <v>19202</v>
      </c>
      <c r="K5751" t="s">
        <v>19203</v>
      </c>
      <c r="L5751" t="s">
        <v>12411</v>
      </c>
      <c r="M5751" s="161" t="s">
        <v>19202</v>
      </c>
    </row>
    <row r="5752" spans="9:13" x14ac:dyDescent="0.25">
      <c r="I5752" t="s">
        <v>19930</v>
      </c>
      <c r="J5752" s="161" t="s">
        <v>19202</v>
      </c>
      <c r="K5752" t="s">
        <v>19203</v>
      </c>
      <c r="L5752" t="s">
        <v>19931</v>
      </c>
      <c r="M5752" s="161" t="s">
        <v>19202</v>
      </c>
    </row>
    <row r="5753" spans="9:13" x14ac:dyDescent="0.25">
      <c r="I5753" t="s">
        <v>19932</v>
      </c>
      <c r="J5753" s="161" t="s">
        <v>19202</v>
      </c>
      <c r="K5753" t="s">
        <v>19203</v>
      </c>
      <c r="L5753" t="s">
        <v>19933</v>
      </c>
      <c r="M5753" s="161" t="s">
        <v>19202</v>
      </c>
    </row>
    <row r="5754" spans="9:13" x14ac:dyDescent="0.25">
      <c r="I5754" t="s">
        <v>19934</v>
      </c>
      <c r="J5754" s="161" t="s">
        <v>19202</v>
      </c>
      <c r="K5754" t="s">
        <v>19203</v>
      </c>
      <c r="L5754" t="s">
        <v>19935</v>
      </c>
      <c r="M5754" s="161" t="s">
        <v>19202</v>
      </c>
    </row>
    <row r="5755" spans="9:13" x14ac:dyDescent="0.25">
      <c r="I5755" t="s">
        <v>19936</v>
      </c>
      <c r="J5755" s="161" t="s">
        <v>19202</v>
      </c>
      <c r="K5755" t="s">
        <v>19203</v>
      </c>
      <c r="L5755" t="s">
        <v>19937</v>
      </c>
      <c r="M5755" s="161" t="s">
        <v>19202</v>
      </c>
    </row>
    <row r="5756" spans="9:13" x14ac:dyDescent="0.25">
      <c r="I5756" t="s">
        <v>5854</v>
      </c>
      <c r="J5756" s="161" t="s">
        <v>19202</v>
      </c>
      <c r="K5756" t="s">
        <v>19203</v>
      </c>
      <c r="L5756" t="s">
        <v>5853</v>
      </c>
      <c r="M5756" s="161" t="s">
        <v>19202</v>
      </c>
    </row>
    <row r="5757" spans="9:13" x14ac:dyDescent="0.25">
      <c r="I5757" t="s">
        <v>5848</v>
      </c>
      <c r="J5757" s="161" t="s">
        <v>19202</v>
      </c>
      <c r="K5757" t="s">
        <v>19203</v>
      </c>
      <c r="L5757" t="s">
        <v>5847</v>
      </c>
      <c r="M5757" s="161" t="s">
        <v>19202</v>
      </c>
    </row>
    <row r="5758" spans="9:13" x14ac:dyDescent="0.25">
      <c r="I5758" t="s">
        <v>17665</v>
      </c>
      <c r="J5758" s="161" t="s">
        <v>19202</v>
      </c>
      <c r="K5758" t="s">
        <v>19203</v>
      </c>
      <c r="L5758" t="s">
        <v>17664</v>
      </c>
      <c r="M5758" s="161" t="s">
        <v>19202</v>
      </c>
    </row>
    <row r="5759" spans="9:13" x14ac:dyDescent="0.25">
      <c r="I5759" t="s">
        <v>17794</v>
      </c>
      <c r="J5759" s="161" t="s">
        <v>19202</v>
      </c>
      <c r="K5759" t="s">
        <v>19203</v>
      </c>
      <c r="L5759" t="s">
        <v>17793</v>
      </c>
      <c r="M5759" s="161" t="s">
        <v>19202</v>
      </c>
    </row>
    <row r="5760" spans="9:13" x14ac:dyDescent="0.25">
      <c r="I5760" t="s">
        <v>17200</v>
      </c>
      <c r="J5760" s="161" t="s">
        <v>19202</v>
      </c>
      <c r="K5760" t="s">
        <v>19203</v>
      </c>
      <c r="L5760" t="s">
        <v>17199</v>
      </c>
      <c r="M5760" s="161" t="s">
        <v>19202</v>
      </c>
    </row>
    <row r="5761" spans="9:13" x14ac:dyDescent="0.25">
      <c r="I5761" t="s">
        <v>19938</v>
      </c>
      <c r="J5761" s="161" t="s">
        <v>19202</v>
      </c>
      <c r="K5761" t="s">
        <v>19203</v>
      </c>
      <c r="L5761" t="s">
        <v>19939</v>
      </c>
      <c r="M5761" s="161" t="s">
        <v>19202</v>
      </c>
    </row>
    <row r="5762" spans="9:13" x14ac:dyDescent="0.25">
      <c r="I5762" t="s">
        <v>18109</v>
      </c>
      <c r="J5762" s="161" t="s">
        <v>19202</v>
      </c>
      <c r="K5762" t="s">
        <v>19203</v>
      </c>
      <c r="L5762" t="s">
        <v>3569</v>
      </c>
      <c r="M5762" s="161" t="s">
        <v>19202</v>
      </c>
    </row>
    <row r="5763" spans="9:13" x14ac:dyDescent="0.25">
      <c r="I5763" t="s">
        <v>3998</v>
      </c>
      <c r="J5763" s="161" t="s">
        <v>19202</v>
      </c>
      <c r="K5763" t="s">
        <v>19203</v>
      </c>
      <c r="L5763" t="s">
        <v>3997</v>
      </c>
      <c r="M5763" s="161" t="s">
        <v>19202</v>
      </c>
    </row>
    <row r="5764" spans="9:13" x14ac:dyDescent="0.25">
      <c r="I5764" t="s">
        <v>19940</v>
      </c>
      <c r="J5764" s="161" t="s">
        <v>19202</v>
      </c>
      <c r="K5764" t="s">
        <v>19203</v>
      </c>
      <c r="L5764" t="s">
        <v>19941</v>
      </c>
      <c r="M5764" s="161" t="s">
        <v>19202</v>
      </c>
    </row>
    <row r="5765" spans="9:13" x14ac:dyDescent="0.25">
      <c r="I5765" t="s">
        <v>639</v>
      </c>
      <c r="J5765" s="161" t="s">
        <v>19202</v>
      </c>
      <c r="K5765" t="s">
        <v>19203</v>
      </c>
      <c r="L5765" t="s">
        <v>638</v>
      </c>
      <c r="M5765" s="161" t="s">
        <v>19202</v>
      </c>
    </row>
    <row r="5766" spans="9:13" x14ac:dyDescent="0.25">
      <c r="I5766" t="s">
        <v>8960</v>
      </c>
      <c r="J5766" s="161" t="s">
        <v>19202</v>
      </c>
      <c r="K5766" t="s">
        <v>19203</v>
      </c>
      <c r="L5766" t="s">
        <v>8959</v>
      </c>
      <c r="M5766" s="161" t="s">
        <v>19202</v>
      </c>
    </row>
    <row r="5767" spans="9:13" x14ac:dyDescent="0.25">
      <c r="I5767" t="s">
        <v>15288</v>
      </c>
      <c r="J5767" s="161" t="s">
        <v>19202</v>
      </c>
      <c r="K5767" t="s">
        <v>19203</v>
      </c>
      <c r="L5767" t="s">
        <v>15287</v>
      </c>
      <c r="M5767" s="161" t="s">
        <v>19202</v>
      </c>
    </row>
    <row r="5768" spans="9:13" x14ac:dyDescent="0.25">
      <c r="I5768" t="s">
        <v>15177</v>
      </c>
      <c r="J5768" s="161" t="s">
        <v>19202</v>
      </c>
      <c r="K5768" t="s">
        <v>19203</v>
      </c>
      <c r="L5768" t="s">
        <v>1212</v>
      </c>
      <c r="M5768" s="161" t="s">
        <v>19202</v>
      </c>
    </row>
    <row r="5769" spans="9:13" x14ac:dyDescent="0.25">
      <c r="I5769" t="s">
        <v>624</v>
      </c>
      <c r="J5769" s="161" t="s">
        <v>19202</v>
      </c>
      <c r="K5769" t="s">
        <v>19203</v>
      </c>
      <c r="L5769" t="s">
        <v>623</v>
      </c>
      <c r="M5769" s="161" t="s">
        <v>19202</v>
      </c>
    </row>
    <row r="5770" spans="9:13" x14ac:dyDescent="0.25">
      <c r="I5770" t="s">
        <v>4734</v>
      </c>
      <c r="J5770" s="161" t="s">
        <v>19202</v>
      </c>
      <c r="K5770" t="s">
        <v>19203</v>
      </c>
      <c r="L5770" t="s">
        <v>4733</v>
      </c>
      <c r="M5770" s="161" t="s">
        <v>19202</v>
      </c>
    </row>
    <row r="5771" spans="9:13" x14ac:dyDescent="0.25">
      <c r="I5771" t="s">
        <v>14926</v>
      </c>
      <c r="J5771" s="161" t="s">
        <v>19202</v>
      </c>
      <c r="K5771" t="s">
        <v>19203</v>
      </c>
      <c r="L5771" t="s">
        <v>14925</v>
      </c>
      <c r="M5771" s="161" t="s">
        <v>19202</v>
      </c>
    </row>
    <row r="5772" spans="9:13" x14ac:dyDescent="0.25">
      <c r="I5772" t="s">
        <v>3119</v>
      </c>
      <c r="J5772" s="161" t="s">
        <v>19202</v>
      </c>
      <c r="K5772" t="s">
        <v>19203</v>
      </c>
      <c r="L5772" t="s">
        <v>3118</v>
      </c>
      <c r="M5772" s="161" t="s">
        <v>19202</v>
      </c>
    </row>
    <row r="5773" spans="9:13" x14ac:dyDescent="0.25">
      <c r="I5773" t="s">
        <v>5653</v>
      </c>
      <c r="J5773" s="161" t="s">
        <v>19202</v>
      </c>
      <c r="K5773" t="s">
        <v>19203</v>
      </c>
      <c r="L5773" t="s">
        <v>5652</v>
      </c>
      <c r="M5773" s="161" t="s">
        <v>19202</v>
      </c>
    </row>
    <row r="5774" spans="9:13" x14ac:dyDescent="0.25">
      <c r="I5774" t="s">
        <v>19942</v>
      </c>
      <c r="J5774" s="161" t="s">
        <v>19202</v>
      </c>
      <c r="K5774" t="s">
        <v>19203</v>
      </c>
      <c r="L5774" t="s">
        <v>19943</v>
      </c>
      <c r="M5774" s="161" t="s">
        <v>19202</v>
      </c>
    </row>
    <row r="5775" spans="9:13" x14ac:dyDescent="0.25">
      <c r="I5775" t="s">
        <v>17801</v>
      </c>
      <c r="J5775" s="161" t="s">
        <v>19202</v>
      </c>
      <c r="K5775" t="s">
        <v>19203</v>
      </c>
      <c r="L5775" t="s">
        <v>17800</v>
      </c>
      <c r="M5775" s="161" t="s">
        <v>19202</v>
      </c>
    </row>
    <row r="5776" spans="9:13" x14ac:dyDescent="0.25">
      <c r="I5776" t="s">
        <v>5779</v>
      </c>
      <c r="J5776" s="161" t="s">
        <v>19202</v>
      </c>
      <c r="K5776" t="s">
        <v>19203</v>
      </c>
      <c r="L5776" t="s">
        <v>5778</v>
      </c>
      <c r="M5776" s="161" t="s">
        <v>19202</v>
      </c>
    </row>
    <row r="5777" spans="9:13" x14ac:dyDescent="0.25">
      <c r="I5777" t="s">
        <v>5729</v>
      </c>
      <c r="J5777" s="161" t="s">
        <v>19202</v>
      </c>
      <c r="K5777" t="s">
        <v>19203</v>
      </c>
      <c r="L5777" t="s">
        <v>5728</v>
      </c>
      <c r="M5777" s="161" t="s">
        <v>19202</v>
      </c>
    </row>
    <row r="5778" spans="9:13" x14ac:dyDescent="0.25">
      <c r="I5778" t="s">
        <v>12919</v>
      </c>
      <c r="J5778" s="161" t="s">
        <v>19202</v>
      </c>
      <c r="K5778" t="s">
        <v>19203</v>
      </c>
      <c r="L5778" t="s">
        <v>12918</v>
      </c>
      <c r="M5778" s="161" t="s">
        <v>19202</v>
      </c>
    </row>
    <row r="5779" spans="9:13" x14ac:dyDescent="0.25">
      <c r="I5779" t="s">
        <v>19944</v>
      </c>
      <c r="J5779" s="161" t="s">
        <v>19202</v>
      </c>
      <c r="K5779" t="s">
        <v>19203</v>
      </c>
      <c r="L5779" t="s">
        <v>3756</v>
      </c>
      <c r="M5779" s="161" t="s">
        <v>19202</v>
      </c>
    </row>
    <row r="5780" spans="9:13" x14ac:dyDescent="0.25">
      <c r="I5780" t="s">
        <v>2593</v>
      </c>
      <c r="J5780" s="161" t="s">
        <v>19202</v>
      </c>
      <c r="K5780" t="s">
        <v>19203</v>
      </c>
      <c r="L5780" t="s">
        <v>2592</v>
      </c>
      <c r="M5780" s="161" t="s">
        <v>19202</v>
      </c>
    </row>
    <row r="5781" spans="9:13" x14ac:dyDescent="0.25">
      <c r="I5781" t="s">
        <v>5649</v>
      </c>
      <c r="J5781" s="161" t="s">
        <v>19202</v>
      </c>
      <c r="K5781" t="s">
        <v>19203</v>
      </c>
      <c r="L5781" t="s">
        <v>5648</v>
      </c>
      <c r="M5781" s="161" t="s">
        <v>19202</v>
      </c>
    </row>
    <row r="5782" spans="9:13" x14ac:dyDescent="0.25">
      <c r="I5782" t="s">
        <v>5777</v>
      </c>
      <c r="J5782" s="161" t="s">
        <v>19202</v>
      </c>
      <c r="K5782" t="s">
        <v>19203</v>
      </c>
      <c r="L5782" t="s">
        <v>5776</v>
      </c>
      <c r="M5782" s="161" t="s">
        <v>19202</v>
      </c>
    </row>
    <row r="5783" spans="9:13" x14ac:dyDescent="0.25">
      <c r="I5783" t="s">
        <v>11877</v>
      </c>
      <c r="J5783" s="161" t="s">
        <v>19202</v>
      </c>
      <c r="K5783" t="s">
        <v>19203</v>
      </c>
      <c r="L5783" t="s">
        <v>11876</v>
      </c>
      <c r="M5783" s="161" t="s">
        <v>19202</v>
      </c>
    </row>
    <row r="5784" spans="9:13" x14ac:dyDescent="0.25">
      <c r="I5784" t="s">
        <v>630</v>
      </c>
      <c r="J5784" s="161" t="s">
        <v>19202</v>
      </c>
      <c r="K5784" t="s">
        <v>19203</v>
      </c>
      <c r="L5784" t="s">
        <v>629</v>
      </c>
      <c r="M5784" s="161" t="s">
        <v>19202</v>
      </c>
    </row>
    <row r="5785" spans="9:13" x14ac:dyDescent="0.25">
      <c r="I5785" t="s">
        <v>633</v>
      </c>
      <c r="J5785" s="161" t="s">
        <v>19202</v>
      </c>
      <c r="K5785" t="s">
        <v>19203</v>
      </c>
      <c r="L5785" t="s">
        <v>632</v>
      </c>
      <c r="M5785" s="161" t="s">
        <v>19202</v>
      </c>
    </row>
    <row r="5786" spans="9:13" x14ac:dyDescent="0.25">
      <c r="I5786" t="s">
        <v>631</v>
      </c>
      <c r="J5786" s="161" t="s">
        <v>19202</v>
      </c>
      <c r="K5786" t="s">
        <v>19203</v>
      </c>
      <c r="L5786" t="s">
        <v>538</v>
      </c>
      <c r="M5786" s="161" t="s">
        <v>19202</v>
      </c>
    </row>
    <row r="5787" spans="9:13" x14ac:dyDescent="0.25">
      <c r="I5787" t="s">
        <v>643</v>
      </c>
      <c r="J5787" s="161" t="s">
        <v>19202</v>
      </c>
      <c r="K5787" t="s">
        <v>19203</v>
      </c>
      <c r="L5787" t="s">
        <v>642</v>
      </c>
      <c r="M5787" s="161" t="s">
        <v>19202</v>
      </c>
    </row>
    <row r="5788" spans="9:13" x14ac:dyDescent="0.25">
      <c r="I5788" t="s">
        <v>19945</v>
      </c>
      <c r="J5788" s="161" t="s">
        <v>19202</v>
      </c>
      <c r="K5788" t="s">
        <v>19203</v>
      </c>
      <c r="L5788" t="s">
        <v>19946</v>
      </c>
      <c r="M5788" s="161" t="s">
        <v>19202</v>
      </c>
    </row>
    <row r="5789" spans="9:13" x14ac:dyDescent="0.25">
      <c r="I5789" t="s">
        <v>15713</v>
      </c>
      <c r="J5789" s="161" t="s">
        <v>19202</v>
      </c>
      <c r="K5789" t="s">
        <v>19203</v>
      </c>
      <c r="L5789" t="s">
        <v>15712</v>
      </c>
      <c r="M5789" s="161" t="s">
        <v>19202</v>
      </c>
    </row>
    <row r="5790" spans="9:13" x14ac:dyDescent="0.25">
      <c r="I5790" t="s">
        <v>13148</v>
      </c>
      <c r="J5790" s="161" t="s">
        <v>19202</v>
      </c>
      <c r="K5790" t="s">
        <v>19203</v>
      </c>
      <c r="L5790" t="s">
        <v>13147</v>
      </c>
      <c r="M5790" s="161" t="s">
        <v>19202</v>
      </c>
    </row>
    <row r="5791" spans="9:13" x14ac:dyDescent="0.25">
      <c r="I5791" t="s">
        <v>5651</v>
      </c>
      <c r="J5791" s="161" t="s">
        <v>19202</v>
      </c>
      <c r="K5791" t="s">
        <v>19203</v>
      </c>
      <c r="L5791" t="s">
        <v>5650</v>
      </c>
      <c r="M5791" s="161" t="s">
        <v>19202</v>
      </c>
    </row>
    <row r="5792" spans="9:13" x14ac:dyDescent="0.25">
      <c r="I5792" t="s">
        <v>8646</v>
      </c>
      <c r="J5792" s="161" t="s">
        <v>19202</v>
      </c>
      <c r="K5792" t="s">
        <v>19203</v>
      </c>
      <c r="L5792" t="s">
        <v>8645</v>
      </c>
      <c r="M5792" s="161" t="s">
        <v>19202</v>
      </c>
    </row>
    <row r="5793" spans="9:13" x14ac:dyDescent="0.25">
      <c r="I5793" t="s">
        <v>5725</v>
      </c>
      <c r="J5793" s="161" t="s">
        <v>19202</v>
      </c>
      <c r="K5793" t="s">
        <v>19203</v>
      </c>
      <c r="L5793" t="s">
        <v>5724</v>
      </c>
      <c r="M5793" s="161" t="s">
        <v>19202</v>
      </c>
    </row>
    <row r="5794" spans="9:13" x14ac:dyDescent="0.25">
      <c r="I5794" t="s">
        <v>1996</v>
      </c>
      <c r="J5794" s="161" t="s">
        <v>19202</v>
      </c>
      <c r="K5794" t="s">
        <v>19203</v>
      </c>
      <c r="L5794" t="s">
        <v>1995</v>
      </c>
      <c r="M5794" s="161" t="s">
        <v>19202</v>
      </c>
    </row>
    <row r="5795" spans="9:13" x14ac:dyDescent="0.25">
      <c r="I5795" t="s">
        <v>17194</v>
      </c>
      <c r="J5795" s="161" t="s">
        <v>19202</v>
      </c>
      <c r="K5795" t="s">
        <v>19203</v>
      </c>
      <c r="L5795" t="s">
        <v>17193</v>
      </c>
      <c r="M5795" s="161" t="s">
        <v>19202</v>
      </c>
    </row>
    <row r="5796" spans="9:13" x14ac:dyDescent="0.25">
      <c r="I5796" t="s">
        <v>17162</v>
      </c>
      <c r="J5796" s="161" t="s">
        <v>19202</v>
      </c>
      <c r="K5796" t="s">
        <v>19203</v>
      </c>
      <c r="L5796" t="s">
        <v>17161</v>
      </c>
      <c r="M5796" s="161" t="s">
        <v>19202</v>
      </c>
    </row>
    <row r="5797" spans="9:13" x14ac:dyDescent="0.25">
      <c r="I5797" t="s">
        <v>6449</v>
      </c>
      <c r="J5797" s="161" t="s">
        <v>19202</v>
      </c>
      <c r="K5797" t="s">
        <v>19203</v>
      </c>
      <c r="L5797" t="s">
        <v>6448</v>
      </c>
      <c r="M5797" s="161" t="s">
        <v>19202</v>
      </c>
    </row>
    <row r="5798" spans="9:13" x14ac:dyDescent="0.25">
      <c r="I5798" t="s">
        <v>5647</v>
      </c>
      <c r="J5798" s="161" t="s">
        <v>19202</v>
      </c>
      <c r="K5798" t="s">
        <v>19203</v>
      </c>
      <c r="L5798" t="s">
        <v>5646</v>
      </c>
      <c r="M5798" s="161" t="s">
        <v>19202</v>
      </c>
    </row>
    <row r="5799" spans="9:13" x14ac:dyDescent="0.25">
      <c r="I5799" t="s">
        <v>2284</v>
      </c>
      <c r="J5799" s="161" t="s">
        <v>19202</v>
      </c>
      <c r="K5799" t="s">
        <v>19203</v>
      </c>
      <c r="L5799" t="s">
        <v>2283</v>
      </c>
      <c r="M5799" s="161" t="s">
        <v>19202</v>
      </c>
    </row>
    <row r="5800" spans="9:13" x14ac:dyDescent="0.25">
      <c r="I5800" t="s">
        <v>14920</v>
      </c>
      <c r="J5800" s="161" t="s">
        <v>19202</v>
      </c>
      <c r="K5800" t="s">
        <v>19203</v>
      </c>
      <c r="L5800" t="s">
        <v>1555</v>
      </c>
      <c r="M5800" s="161" t="s">
        <v>19202</v>
      </c>
    </row>
    <row r="5801" spans="9:13" x14ac:dyDescent="0.25">
      <c r="I5801" t="s">
        <v>620</v>
      </c>
      <c r="J5801" s="161" t="s">
        <v>19202</v>
      </c>
      <c r="K5801" t="s">
        <v>19203</v>
      </c>
      <c r="L5801" t="s">
        <v>619</v>
      </c>
      <c r="M5801" s="161" t="s">
        <v>19202</v>
      </c>
    </row>
    <row r="5802" spans="9:13" x14ac:dyDescent="0.25">
      <c r="I5802" t="s">
        <v>561</v>
      </c>
      <c r="J5802" s="161" t="s">
        <v>19202</v>
      </c>
      <c r="K5802" t="s">
        <v>19203</v>
      </c>
      <c r="L5802" t="s">
        <v>560</v>
      </c>
      <c r="M5802" s="161" t="s">
        <v>19202</v>
      </c>
    </row>
    <row r="5803" spans="9:13" x14ac:dyDescent="0.25">
      <c r="I5803" t="s">
        <v>17168</v>
      </c>
      <c r="J5803" s="161" t="s">
        <v>19202</v>
      </c>
      <c r="K5803" t="s">
        <v>19203</v>
      </c>
      <c r="L5803" t="s">
        <v>17167</v>
      </c>
      <c r="M5803" s="161" t="s">
        <v>19202</v>
      </c>
    </row>
    <row r="5804" spans="9:13" x14ac:dyDescent="0.25">
      <c r="I5804" t="s">
        <v>7660</v>
      </c>
      <c r="J5804" s="161" t="s">
        <v>19202</v>
      </c>
      <c r="K5804" t="s">
        <v>19203</v>
      </c>
      <c r="L5804" t="s">
        <v>7659</v>
      </c>
      <c r="M5804" s="161" t="s">
        <v>19202</v>
      </c>
    </row>
    <row r="5805" spans="9:13" x14ac:dyDescent="0.25">
      <c r="I5805" t="s">
        <v>4281</v>
      </c>
      <c r="J5805" s="161" t="s">
        <v>19202</v>
      </c>
      <c r="K5805" t="s">
        <v>19203</v>
      </c>
      <c r="L5805" t="s">
        <v>4280</v>
      </c>
      <c r="M5805" s="161" t="s">
        <v>19202</v>
      </c>
    </row>
    <row r="5806" spans="9:13" x14ac:dyDescent="0.25">
      <c r="I5806" t="s">
        <v>13146</v>
      </c>
      <c r="J5806" s="161" t="s">
        <v>19202</v>
      </c>
      <c r="K5806" t="s">
        <v>19203</v>
      </c>
      <c r="L5806" t="s">
        <v>13145</v>
      </c>
      <c r="M5806" s="161" t="s">
        <v>19202</v>
      </c>
    </row>
    <row r="5807" spans="9:13" x14ac:dyDescent="0.25">
      <c r="I5807" t="s">
        <v>19947</v>
      </c>
      <c r="J5807" s="161" t="s">
        <v>19202</v>
      </c>
      <c r="K5807" t="s">
        <v>19203</v>
      </c>
      <c r="L5807" t="s">
        <v>19948</v>
      </c>
      <c r="M5807" s="161" t="s">
        <v>19202</v>
      </c>
    </row>
    <row r="5808" spans="9:13" x14ac:dyDescent="0.25">
      <c r="I5808" t="s">
        <v>3837</v>
      </c>
      <c r="J5808" s="161" t="s">
        <v>19202</v>
      </c>
      <c r="K5808" t="s">
        <v>19203</v>
      </c>
      <c r="L5808" t="s">
        <v>3836</v>
      </c>
      <c r="M5808" s="161" t="s">
        <v>19202</v>
      </c>
    </row>
    <row r="5809" spans="9:13" x14ac:dyDescent="0.25">
      <c r="I5809" t="s">
        <v>5735</v>
      </c>
      <c r="J5809" s="161" t="s">
        <v>19202</v>
      </c>
      <c r="K5809" t="s">
        <v>19203</v>
      </c>
      <c r="L5809" t="s">
        <v>5734</v>
      </c>
      <c r="M5809" s="161" t="s">
        <v>19202</v>
      </c>
    </row>
    <row r="5810" spans="9:13" x14ac:dyDescent="0.25">
      <c r="I5810" t="s">
        <v>2493</v>
      </c>
      <c r="J5810" s="161" t="s">
        <v>19202</v>
      </c>
      <c r="K5810" t="s">
        <v>19203</v>
      </c>
      <c r="L5810" t="s">
        <v>2492</v>
      </c>
      <c r="M5810" s="161" t="s">
        <v>19202</v>
      </c>
    </row>
    <row r="5811" spans="9:13" x14ac:dyDescent="0.25">
      <c r="I5811" t="s">
        <v>19949</v>
      </c>
      <c r="J5811" s="161" t="s">
        <v>19202</v>
      </c>
      <c r="K5811" t="s">
        <v>19203</v>
      </c>
      <c r="L5811" t="s">
        <v>19950</v>
      </c>
      <c r="M5811" s="161" t="s">
        <v>19202</v>
      </c>
    </row>
    <row r="5812" spans="9:13" x14ac:dyDescent="0.25">
      <c r="I5812" t="s">
        <v>5759</v>
      </c>
      <c r="J5812" s="161" t="s">
        <v>19202</v>
      </c>
      <c r="K5812" t="s">
        <v>19203</v>
      </c>
      <c r="L5812" t="s">
        <v>5758</v>
      </c>
      <c r="M5812" s="161" t="s">
        <v>19202</v>
      </c>
    </row>
    <row r="5813" spans="9:13" x14ac:dyDescent="0.25">
      <c r="I5813" t="s">
        <v>8245</v>
      </c>
      <c r="J5813" s="161" t="s">
        <v>19202</v>
      </c>
      <c r="K5813" t="s">
        <v>19203</v>
      </c>
      <c r="L5813" t="s">
        <v>8244</v>
      </c>
      <c r="M5813" s="161" t="s">
        <v>19202</v>
      </c>
    </row>
    <row r="5814" spans="9:13" x14ac:dyDescent="0.25">
      <c r="I5814" t="s">
        <v>15898</v>
      </c>
      <c r="J5814" s="161" t="s">
        <v>19202</v>
      </c>
      <c r="K5814" t="s">
        <v>19203</v>
      </c>
      <c r="L5814" t="s">
        <v>5296</v>
      </c>
      <c r="M5814" s="161" t="s">
        <v>19202</v>
      </c>
    </row>
    <row r="5815" spans="9:13" x14ac:dyDescent="0.25">
      <c r="I5815" t="s">
        <v>10066</v>
      </c>
      <c r="J5815" s="161" t="s">
        <v>19202</v>
      </c>
      <c r="K5815" t="s">
        <v>19203</v>
      </c>
      <c r="L5815" t="s">
        <v>10065</v>
      </c>
      <c r="M5815" s="161" t="s">
        <v>19202</v>
      </c>
    </row>
    <row r="5816" spans="9:13" x14ac:dyDescent="0.25">
      <c r="I5816" t="s">
        <v>13613</v>
      </c>
      <c r="J5816" s="161" t="s">
        <v>19202</v>
      </c>
      <c r="K5816" t="s">
        <v>19203</v>
      </c>
      <c r="L5816" t="s">
        <v>13612</v>
      </c>
      <c r="M5816" s="161" t="s">
        <v>19202</v>
      </c>
    </row>
    <row r="5817" spans="9:13" x14ac:dyDescent="0.25">
      <c r="I5817" t="s">
        <v>5787</v>
      </c>
      <c r="J5817" s="161" t="s">
        <v>19202</v>
      </c>
      <c r="K5817" t="s">
        <v>19203</v>
      </c>
      <c r="L5817" t="s">
        <v>5786</v>
      </c>
      <c r="M5817" s="161" t="s">
        <v>19202</v>
      </c>
    </row>
    <row r="5818" spans="9:13" x14ac:dyDescent="0.25">
      <c r="I5818" t="s">
        <v>1538</v>
      </c>
      <c r="J5818" s="161" t="s">
        <v>19202</v>
      </c>
      <c r="K5818" t="s">
        <v>19203</v>
      </c>
      <c r="L5818" t="s">
        <v>1537</v>
      </c>
      <c r="M5818" s="161" t="s">
        <v>19202</v>
      </c>
    </row>
    <row r="5819" spans="9:13" x14ac:dyDescent="0.25">
      <c r="I5819" t="s">
        <v>2504</v>
      </c>
      <c r="J5819" s="161" t="s">
        <v>19202</v>
      </c>
      <c r="K5819" t="s">
        <v>19203</v>
      </c>
      <c r="L5819" t="s">
        <v>2503</v>
      </c>
      <c r="M5819" s="161" t="s">
        <v>19202</v>
      </c>
    </row>
    <row r="5820" spans="9:13" x14ac:dyDescent="0.25">
      <c r="I5820" t="s">
        <v>19951</v>
      </c>
      <c r="J5820" s="161" t="s">
        <v>19202</v>
      </c>
      <c r="K5820" t="s">
        <v>19203</v>
      </c>
      <c r="L5820" t="s">
        <v>19952</v>
      </c>
      <c r="M5820" s="161" t="s">
        <v>19202</v>
      </c>
    </row>
    <row r="5821" spans="9:13" x14ac:dyDescent="0.25">
      <c r="I5821" t="s">
        <v>5637</v>
      </c>
      <c r="J5821" s="161" t="s">
        <v>19202</v>
      </c>
      <c r="K5821" t="s">
        <v>19203</v>
      </c>
      <c r="L5821" t="s">
        <v>5636</v>
      </c>
      <c r="M5821" s="161" t="s">
        <v>19202</v>
      </c>
    </row>
    <row r="5822" spans="9:13" x14ac:dyDescent="0.25">
      <c r="I5822" t="s">
        <v>5635</v>
      </c>
      <c r="J5822" s="161" t="s">
        <v>19202</v>
      </c>
      <c r="K5822" t="s">
        <v>19203</v>
      </c>
      <c r="L5822" t="s">
        <v>5634</v>
      </c>
      <c r="M5822" s="161" t="s">
        <v>19202</v>
      </c>
    </row>
    <row r="5823" spans="9:13" x14ac:dyDescent="0.25">
      <c r="I5823" t="s">
        <v>3839</v>
      </c>
      <c r="J5823" s="161" t="s">
        <v>19202</v>
      </c>
      <c r="K5823" t="s">
        <v>19203</v>
      </c>
      <c r="L5823" t="s">
        <v>3838</v>
      </c>
      <c r="M5823" s="161" t="s">
        <v>19202</v>
      </c>
    </row>
    <row r="5824" spans="9:13" x14ac:dyDescent="0.25">
      <c r="I5824" t="s">
        <v>5102</v>
      </c>
      <c r="J5824" s="161" t="s">
        <v>19202</v>
      </c>
      <c r="K5824" t="s">
        <v>19203</v>
      </c>
      <c r="L5824" t="s">
        <v>5101</v>
      </c>
      <c r="M5824" s="161" t="s">
        <v>19202</v>
      </c>
    </row>
    <row r="5825" spans="9:13" x14ac:dyDescent="0.25">
      <c r="I5825" t="s">
        <v>14136</v>
      </c>
      <c r="J5825" s="161" t="s">
        <v>19202</v>
      </c>
      <c r="K5825" t="s">
        <v>19203</v>
      </c>
      <c r="L5825" t="s">
        <v>14135</v>
      </c>
      <c r="M5825" s="161" t="s">
        <v>19202</v>
      </c>
    </row>
    <row r="5826" spans="9:13" x14ac:dyDescent="0.25">
      <c r="I5826" t="s">
        <v>626</v>
      </c>
      <c r="J5826" s="161" t="s">
        <v>19202</v>
      </c>
      <c r="K5826" t="s">
        <v>19203</v>
      </c>
      <c r="L5826" t="s">
        <v>625</v>
      </c>
      <c r="M5826" s="161" t="s">
        <v>19202</v>
      </c>
    </row>
    <row r="5827" spans="9:13" x14ac:dyDescent="0.25">
      <c r="I5827" t="s">
        <v>4611</v>
      </c>
      <c r="J5827" s="161" t="s">
        <v>19202</v>
      </c>
      <c r="K5827" t="s">
        <v>19203</v>
      </c>
      <c r="L5827" t="s">
        <v>4610</v>
      </c>
      <c r="M5827" s="161" t="s">
        <v>19202</v>
      </c>
    </row>
    <row r="5828" spans="9:13" x14ac:dyDescent="0.25">
      <c r="I5828" t="s">
        <v>2542</v>
      </c>
      <c r="J5828" s="161" t="s">
        <v>19202</v>
      </c>
      <c r="K5828" t="s">
        <v>19203</v>
      </c>
      <c r="L5828" t="s">
        <v>2541</v>
      </c>
      <c r="M5828" s="161" t="s">
        <v>19202</v>
      </c>
    </row>
    <row r="5829" spans="9:13" x14ac:dyDescent="0.25">
      <c r="I5829" t="s">
        <v>6765</v>
      </c>
      <c r="J5829" s="161" t="s">
        <v>19202</v>
      </c>
      <c r="K5829" t="s">
        <v>19203</v>
      </c>
      <c r="L5829" t="s">
        <v>6764</v>
      </c>
      <c r="M5829" s="161" t="s">
        <v>19202</v>
      </c>
    </row>
    <row r="5830" spans="9:13" x14ac:dyDescent="0.25">
      <c r="I5830" t="s">
        <v>11879</v>
      </c>
      <c r="J5830" s="161" t="s">
        <v>19202</v>
      </c>
      <c r="K5830" t="s">
        <v>19203</v>
      </c>
      <c r="L5830" t="s">
        <v>11878</v>
      </c>
      <c r="M5830" s="161" t="s">
        <v>19202</v>
      </c>
    </row>
    <row r="5831" spans="9:13" x14ac:dyDescent="0.25">
      <c r="I5831" t="s">
        <v>19953</v>
      </c>
      <c r="J5831" s="161" t="s">
        <v>19202</v>
      </c>
      <c r="K5831" t="s">
        <v>19203</v>
      </c>
      <c r="L5831" t="s">
        <v>19954</v>
      </c>
      <c r="M5831" s="161" t="s">
        <v>19202</v>
      </c>
    </row>
    <row r="5832" spans="9:13" x14ac:dyDescent="0.25">
      <c r="I5832" t="s">
        <v>1992</v>
      </c>
      <c r="J5832" s="161" t="s">
        <v>19202</v>
      </c>
      <c r="K5832" t="s">
        <v>19203</v>
      </c>
      <c r="L5832" t="s">
        <v>1991</v>
      </c>
      <c r="M5832" s="161" t="s">
        <v>19202</v>
      </c>
    </row>
    <row r="5833" spans="9:13" x14ac:dyDescent="0.25">
      <c r="I5833" t="s">
        <v>6822</v>
      </c>
      <c r="J5833" s="161" t="s">
        <v>19202</v>
      </c>
      <c r="K5833" t="s">
        <v>19203</v>
      </c>
      <c r="L5833" t="s">
        <v>6821</v>
      </c>
      <c r="M5833" s="161" t="s">
        <v>19202</v>
      </c>
    </row>
    <row r="5834" spans="9:13" x14ac:dyDescent="0.25">
      <c r="I5834" t="s">
        <v>15477</v>
      </c>
      <c r="J5834" s="161" t="s">
        <v>19202</v>
      </c>
      <c r="K5834" t="s">
        <v>19203</v>
      </c>
      <c r="L5834" t="s">
        <v>15186</v>
      </c>
      <c r="M5834" s="161" t="s">
        <v>19202</v>
      </c>
    </row>
    <row r="5835" spans="9:13" x14ac:dyDescent="0.25">
      <c r="I5835" t="s">
        <v>4732</v>
      </c>
      <c r="J5835" s="161" t="s">
        <v>19202</v>
      </c>
      <c r="K5835" t="s">
        <v>19203</v>
      </c>
      <c r="L5835" t="s">
        <v>4731</v>
      </c>
      <c r="M5835" s="161" t="s">
        <v>19202</v>
      </c>
    </row>
    <row r="5836" spans="9:13" x14ac:dyDescent="0.25">
      <c r="I5836" t="s">
        <v>5529</v>
      </c>
      <c r="J5836" s="161" t="s">
        <v>19202</v>
      </c>
      <c r="K5836" t="s">
        <v>19203</v>
      </c>
      <c r="L5836" t="s">
        <v>5528</v>
      </c>
      <c r="M5836" s="161" t="s">
        <v>19202</v>
      </c>
    </row>
    <row r="5837" spans="9:13" x14ac:dyDescent="0.25">
      <c r="I5837" t="s">
        <v>7607</v>
      </c>
      <c r="J5837" s="161" t="s">
        <v>19202</v>
      </c>
      <c r="K5837" t="s">
        <v>19203</v>
      </c>
      <c r="L5837" t="s">
        <v>7606</v>
      </c>
      <c r="M5837" s="161" t="s">
        <v>19202</v>
      </c>
    </row>
    <row r="5838" spans="9:13" x14ac:dyDescent="0.25">
      <c r="I5838" t="s">
        <v>11142</v>
      </c>
      <c r="J5838" s="161" t="s">
        <v>19202</v>
      </c>
      <c r="K5838" t="s">
        <v>19203</v>
      </c>
      <c r="L5838" t="s">
        <v>11141</v>
      </c>
      <c r="M5838" s="161" t="s">
        <v>19202</v>
      </c>
    </row>
    <row r="5839" spans="9:13" x14ac:dyDescent="0.25">
      <c r="I5839" t="s">
        <v>17166</v>
      </c>
      <c r="J5839" s="161" t="s">
        <v>19202</v>
      </c>
      <c r="K5839" t="s">
        <v>19203</v>
      </c>
      <c r="L5839" t="s">
        <v>17165</v>
      </c>
      <c r="M5839" s="161" t="s">
        <v>19202</v>
      </c>
    </row>
    <row r="5840" spans="9:13" x14ac:dyDescent="0.25">
      <c r="I5840" t="s">
        <v>15895</v>
      </c>
      <c r="J5840" s="161" t="s">
        <v>19202</v>
      </c>
      <c r="K5840" t="s">
        <v>19203</v>
      </c>
      <c r="L5840" t="s">
        <v>15894</v>
      </c>
      <c r="M5840" s="161" t="s">
        <v>19202</v>
      </c>
    </row>
    <row r="5841" spans="9:13" x14ac:dyDescent="0.25">
      <c r="I5841" t="s">
        <v>19955</v>
      </c>
      <c r="J5841" s="161" t="s">
        <v>19202</v>
      </c>
      <c r="K5841" t="s">
        <v>19203</v>
      </c>
      <c r="L5841" t="s">
        <v>19956</v>
      </c>
      <c r="M5841" s="161" t="s">
        <v>19202</v>
      </c>
    </row>
    <row r="5842" spans="9:13" x14ac:dyDescent="0.25">
      <c r="I5842" t="s">
        <v>10433</v>
      </c>
      <c r="J5842" s="161" t="s">
        <v>19202</v>
      </c>
      <c r="K5842" t="s">
        <v>19203</v>
      </c>
      <c r="L5842" t="s">
        <v>10432</v>
      </c>
      <c r="M5842" s="161" t="s">
        <v>19202</v>
      </c>
    </row>
    <row r="5843" spans="9:13" x14ac:dyDescent="0.25">
      <c r="I5843" t="s">
        <v>519</v>
      </c>
      <c r="J5843" s="161" t="s">
        <v>19202</v>
      </c>
      <c r="K5843" t="s">
        <v>19203</v>
      </c>
      <c r="L5843" t="s">
        <v>518</v>
      </c>
      <c r="M5843" s="161" t="s">
        <v>19202</v>
      </c>
    </row>
    <row r="5844" spans="9:13" x14ac:dyDescent="0.25">
      <c r="I5844" t="s">
        <v>11066</v>
      </c>
      <c r="J5844" s="161" t="s">
        <v>19202</v>
      </c>
      <c r="K5844" t="s">
        <v>19203</v>
      </c>
      <c r="L5844" t="s">
        <v>11065</v>
      </c>
      <c r="M5844" s="161" t="s">
        <v>19202</v>
      </c>
    </row>
    <row r="5845" spans="9:13" x14ac:dyDescent="0.25">
      <c r="I5845" t="s">
        <v>19957</v>
      </c>
      <c r="J5845" s="161" t="s">
        <v>19202</v>
      </c>
      <c r="K5845" t="s">
        <v>19203</v>
      </c>
      <c r="L5845" t="s">
        <v>13823</v>
      </c>
      <c r="M5845" s="161" t="s">
        <v>19202</v>
      </c>
    </row>
    <row r="5846" spans="9:13" x14ac:dyDescent="0.25">
      <c r="I5846" t="s">
        <v>5717</v>
      </c>
      <c r="J5846" s="161" t="s">
        <v>19202</v>
      </c>
      <c r="K5846" t="s">
        <v>19203</v>
      </c>
      <c r="L5846" t="s">
        <v>5716</v>
      </c>
      <c r="M5846" s="161" t="s">
        <v>19202</v>
      </c>
    </row>
    <row r="5847" spans="9:13" x14ac:dyDescent="0.25">
      <c r="I5847" t="s">
        <v>641</v>
      </c>
      <c r="J5847" s="161" t="s">
        <v>19202</v>
      </c>
      <c r="K5847" t="s">
        <v>19203</v>
      </c>
      <c r="L5847" t="s">
        <v>640</v>
      </c>
      <c r="M5847" s="161" t="s">
        <v>19202</v>
      </c>
    </row>
    <row r="5848" spans="9:13" x14ac:dyDescent="0.25">
      <c r="I5848" t="s">
        <v>16444</v>
      </c>
      <c r="J5848" s="161" t="s">
        <v>19202</v>
      </c>
      <c r="K5848" t="s">
        <v>19203</v>
      </c>
      <c r="L5848" t="s">
        <v>16443</v>
      </c>
      <c r="M5848" s="161" t="s">
        <v>19202</v>
      </c>
    </row>
    <row r="5849" spans="9:13" x14ac:dyDescent="0.25">
      <c r="I5849" t="s">
        <v>5733</v>
      </c>
      <c r="J5849" s="161" t="s">
        <v>19202</v>
      </c>
      <c r="K5849" t="s">
        <v>19203</v>
      </c>
      <c r="L5849" t="s">
        <v>5732</v>
      </c>
      <c r="M5849" s="161" t="s">
        <v>19202</v>
      </c>
    </row>
    <row r="5850" spans="9:13" x14ac:dyDescent="0.25">
      <c r="I5850" t="s">
        <v>5641</v>
      </c>
      <c r="J5850" s="161" t="s">
        <v>19202</v>
      </c>
      <c r="K5850" t="s">
        <v>19203</v>
      </c>
      <c r="L5850" t="s">
        <v>5640</v>
      </c>
      <c r="M5850" s="161" t="s">
        <v>19202</v>
      </c>
    </row>
    <row r="5851" spans="9:13" x14ac:dyDescent="0.25">
      <c r="I5851" t="s">
        <v>5721</v>
      </c>
      <c r="J5851" s="161" t="s">
        <v>19202</v>
      </c>
      <c r="K5851" t="s">
        <v>19203</v>
      </c>
      <c r="L5851" t="s">
        <v>5720</v>
      </c>
      <c r="M5851" s="161" t="s">
        <v>19202</v>
      </c>
    </row>
    <row r="5852" spans="9:13" x14ac:dyDescent="0.25">
      <c r="I5852" t="s">
        <v>11984</v>
      </c>
      <c r="J5852" s="161" t="s">
        <v>19202</v>
      </c>
      <c r="K5852" t="s">
        <v>19203</v>
      </c>
      <c r="L5852" t="s">
        <v>970</v>
      </c>
      <c r="M5852" s="161" t="s">
        <v>19202</v>
      </c>
    </row>
    <row r="5853" spans="9:13" x14ac:dyDescent="0.25">
      <c r="I5853" t="s">
        <v>16631</v>
      </c>
      <c r="J5853" s="161" t="s">
        <v>19202</v>
      </c>
      <c r="K5853" t="s">
        <v>19203</v>
      </c>
      <c r="L5853" t="s">
        <v>16630</v>
      </c>
      <c r="M5853" s="161" t="s">
        <v>19202</v>
      </c>
    </row>
    <row r="5854" spans="9:13" x14ac:dyDescent="0.25">
      <c r="I5854" t="s">
        <v>19958</v>
      </c>
      <c r="J5854" s="161" t="s">
        <v>19202</v>
      </c>
      <c r="K5854" t="s">
        <v>19203</v>
      </c>
      <c r="L5854" t="s">
        <v>19959</v>
      </c>
      <c r="M5854" s="161" t="s">
        <v>19202</v>
      </c>
    </row>
    <row r="5855" spans="9:13" x14ac:dyDescent="0.25">
      <c r="I5855" t="s">
        <v>7603</v>
      </c>
      <c r="J5855" s="161" t="s">
        <v>19202</v>
      </c>
      <c r="K5855" t="s">
        <v>19203</v>
      </c>
      <c r="L5855" t="s">
        <v>7602</v>
      </c>
      <c r="M5855" s="161" t="s">
        <v>19202</v>
      </c>
    </row>
    <row r="5856" spans="9:13" x14ac:dyDescent="0.25">
      <c r="I5856" t="s">
        <v>8668</v>
      </c>
      <c r="J5856" s="161" t="s">
        <v>19202</v>
      </c>
      <c r="K5856" t="s">
        <v>19203</v>
      </c>
      <c r="L5856" t="s">
        <v>8667</v>
      </c>
      <c r="M5856" s="161" t="s">
        <v>19202</v>
      </c>
    </row>
    <row r="5857" spans="9:13" x14ac:dyDescent="0.25">
      <c r="I5857" t="s">
        <v>8658</v>
      </c>
      <c r="J5857" s="161" t="s">
        <v>19202</v>
      </c>
      <c r="K5857" t="s">
        <v>19203</v>
      </c>
      <c r="L5857" t="s">
        <v>8657</v>
      </c>
      <c r="M5857" s="161" t="s">
        <v>19202</v>
      </c>
    </row>
    <row r="5858" spans="9:13" x14ac:dyDescent="0.25">
      <c r="I5858" t="s">
        <v>15900</v>
      </c>
      <c r="J5858" s="161" t="s">
        <v>19202</v>
      </c>
      <c r="K5858" t="s">
        <v>19203</v>
      </c>
      <c r="L5858" t="s">
        <v>15899</v>
      </c>
      <c r="M5858" s="161" t="s">
        <v>19202</v>
      </c>
    </row>
    <row r="5859" spans="9:13" x14ac:dyDescent="0.25">
      <c r="I5859" t="s">
        <v>8996</v>
      </c>
      <c r="J5859" s="161" t="s">
        <v>19202</v>
      </c>
      <c r="K5859" t="s">
        <v>19203</v>
      </c>
      <c r="L5859" t="s">
        <v>8995</v>
      </c>
      <c r="M5859" s="161" t="s">
        <v>19202</v>
      </c>
    </row>
    <row r="5860" spans="9:13" x14ac:dyDescent="0.25">
      <c r="I5860" t="s">
        <v>637</v>
      </c>
      <c r="J5860" s="161" t="s">
        <v>19202</v>
      </c>
      <c r="K5860" t="s">
        <v>19203</v>
      </c>
      <c r="L5860" t="s">
        <v>636</v>
      </c>
      <c r="M5860" s="161" t="s">
        <v>19202</v>
      </c>
    </row>
    <row r="5861" spans="9:13" x14ac:dyDescent="0.25">
      <c r="I5861" t="s">
        <v>19960</v>
      </c>
      <c r="J5861" s="161" t="s">
        <v>19202</v>
      </c>
      <c r="K5861" t="s">
        <v>19203</v>
      </c>
      <c r="L5861" t="s">
        <v>1520</v>
      </c>
      <c r="M5861" s="161" t="s">
        <v>19202</v>
      </c>
    </row>
    <row r="5862" spans="9:13" x14ac:dyDescent="0.25">
      <c r="I5862" t="s">
        <v>5775</v>
      </c>
      <c r="J5862" s="161" t="s">
        <v>19202</v>
      </c>
      <c r="K5862" t="s">
        <v>19203</v>
      </c>
      <c r="L5862" t="s">
        <v>5774</v>
      </c>
      <c r="M5862" s="161" t="s">
        <v>19202</v>
      </c>
    </row>
    <row r="5863" spans="9:13" x14ac:dyDescent="0.25">
      <c r="I5863" t="s">
        <v>19961</v>
      </c>
      <c r="J5863" s="161" t="s">
        <v>19202</v>
      </c>
      <c r="K5863" t="s">
        <v>19203</v>
      </c>
      <c r="L5863" t="s">
        <v>19962</v>
      </c>
      <c r="M5863" s="161" t="s">
        <v>19202</v>
      </c>
    </row>
    <row r="5864" spans="9:13" x14ac:dyDescent="0.25">
      <c r="I5864" t="s">
        <v>5761</v>
      </c>
      <c r="J5864" s="161" t="s">
        <v>19202</v>
      </c>
      <c r="K5864" t="s">
        <v>19203</v>
      </c>
      <c r="L5864" t="s">
        <v>5760</v>
      </c>
      <c r="M5864" s="161" t="s">
        <v>19202</v>
      </c>
    </row>
    <row r="5865" spans="9:13" x14ac:dyDescent="0.25">
      <c r="I5865" t="s">
        <v>5276</v>
      </c>
      <c r="J5865" s="161" t="s">
        <v>19202</v>
      </c>
      <c r="K5865" t="s">
        <v>19203</v>
      </c>
      <c r="L5865" t="s">
        <v>5275</v>
      </c>
      <c r="M5865" s="161" t="s">
        <v>19202</v>
      </c>
    </row>
    <row r="5866" spans="9:13" x14ac:dyDescent="0.25">
      <c r="I5866" t="s">
        <v>12044</v>
      </c>
      <c r="J5866" s="161" t="s">
        <v>19202</v>
      </c>
      <c r="K5866" t="s">
        <v>19203</v>
      </c>
      <c r="L5866" t="s">
        <v>12043</v>
      </c>
      <c r="M5866" s="161" t="s">
        <v>19202</v>
      </c>
    </row>
    <row r="5867" spans="9:13" x14ac:dyDescent="0.25">
      <c r="I5867" t="s">
        <v>15932</v>
      </c>
      <c r="J5867" s="161" t="s">
        <v>19202</v>
      </c>
      <c r="K5867" t="s">
        <v>19203</v>
      </c>
      <c r="L5867" t="s">
        <v>15931</v>
      </c>
      <c r="M5867" s="161" t="s">
        <v>19202</v>
      </c>
    </row>
    <row r="5868" spans="9:13" x14ac:dyDescent="0.25">
      <c r="I5868" t="s">
        <v>8198</v>
      </c>
      <c r="J5868" s="161" t="s">
        <v>19202</v>
      </c>
      <c r="K5868" t="s">
        <v>19203</v>
      </c>
      <c r="L5868" t="s">
        <v>8197</v>
      </c>
      <c r="M5868" s="161" t="s">
        <v>19202</v>
      </c>
    </row>
    <row r="5869" spans="9:13" x14ac:dyDescent="0.25">
      <c r="I5869" t="s">
        <v>11943</v>
      </c>
      <c r="J5869" s="161" t="s">
        <v>19202</v>
      </c>
      <c r="K5869" t="s">
        <v>19203</v>
      </c>
      <c r="L5869" t="s">
        <v>11942</v>
      </c>
      <c r="M5869" s="161" t="s">
        <v>19202</v>
      </c>
    </row>
    <row r="5870" spans="9:13" x14ac:dyDescent="0.25">
      <c r="I5870" t="s">
        <v>19963</v>
      </c>
      <c r="J5870" s="161" t="s">
        <v>19202</v>
      </c>
      <c r="K5870" t="s">
        <v>19203</v>
      </c>
      <c r="L5870" t="s">
        <v>19964</v>
      </c>
      <c r="M5870" s="161" t="s">
        <v>19202</v>
      </c>
    </row>
    <row r="5871" spans="9:13" x14ac:dyDescent="0.25">
      <c r="I5871" t="s">
        <v>5224</v>
      </c>
      <c r="J5871" s="161" t="s">
        <v>19202</v>
      </c>
      <c r="K5871" t="s">
        <v>19203</v>
      </c>
      <c r="L5871" t="s">
        <v>5223</v>
      </c>
      <c r="M5871" s="161" t="s">
        <v>19202</v>
      </c>
    </row>
    <row r="5872" spans="9:13" x14ac:dyDescent="0.25">
      <c r="I5872" t="s">
        <v>8976</v>
      </c>
      <c r="J5872" s="161" t="s">
        <v>19202</v>
      </c>
      <c r="K5872" t="s">
        <v>19203</v>
      </c>
      <c r="L5872" t="s">
        <v>8975</v>
      </c>
      <c r="M5872" s="161" t="s">
        <v>19202</v>
      </c>
    </row>
    <row r="5873" spans="9:13" x14ac:dyDescent="0.25">
      <c r="I5873" t="s">
        <v>6100</v>
      </c>
      <c r="J5873" s="161" t="s">
        <v>19202</v>
      </c>
      <c r="K5873" t="s">
        <v>19203</v>
      </c>
      <c r="L5873" t="s">
        <v>6099</v>
      </c>
      <c r="M5873" s="161" t="s">
        <v>19202</v>
      </c>
    </row>
    <row r="5874" spans="9:13" x14ac:dyDescent="0.25">
      <c r="I5874" t="s">
        <v>5643</v>
      </c>
      <c r="J5874" s="161" t="s">
        <v>19202</v>
      </c>
      <c r="K5874" t="s">
        <v>19203</v>
      </c>
      <c r="L5874" t="s">
        <v>5642</v>
      </c>
      <c r="M5874" s="161" t="s">
        <v>19202</v>
      </c>
    </row>
    <row r="5875" spans="9:13" x14ac:dyDescent="0.25">
      <c r="I5875" t="s">
        <v>622</v>
      </c>
      <c r="J5875" s="161" t="s">
        <v>19202</v>
      </c>
      <c r="K5875" t="s">
        <v>19203</v>
      </c>
      <c r="L5875" t="s">
        <v>621</v>
      </c>
      <c r="M5875" s="161" t="s">
        <v>19202</v>
      </c>
    </row>
    <row r="5876" spans="9:13" x14ac:dyDescent="0.25">
      <c r="I5876" t="s">
        <v>618</v>
      </c>
      <c r="J5876" s="161" t="s">
        <v>19202</v>
      </c>
      <c r="K5876" t="s">
        <v>19203</v>
      </c>
      <c r="L5876" t="s">
        <v>444</v>
      </c>
      <c r="M5876" s="161" t="s">
        <v>19202</v>
      </c>
    </row>
    <row r="5877" spans="9:13" x14ac:dyDescent="0.25">
      <c r="I5877" t="s">
        <v>12042</v>
      </c>
      <c r="J5877" s="161" t="s">
        <v>19202</v>
      </c>
      <c r="K5877" t="s">
        <v>19203</v>
      </c>
      <c r="L5877" t="s">
        <v>12041</v>
      </c>
      <c r="M5877" s="161" t="s">
        <v>19202</v>
      </c>
    </row>
    <row r="5878" spans="9:13" x14ac:dyDescent="0.25">
      <c r="I5878" t="s">
        <v>9384</v>
      </c>
      <c r="J5878" s="161" t="s">
        <v>19202</v>
      </c>
      <c r="K5878" t="s">
        <v>19203</v>
      </c>
      <c r="L5878" t="s">
        <v>9383</v>
      </c>
      <c r="M5878" s="161" t="s">
        <v>19202</v>
      </c>
    </row>
    <row r="5879" spans="9:13" x14ac:dyDescent="0.25">
      <c r="I5879" t="s">
        <v>14967</v>
      </c>
      <c r="J5879" s="161" t="s">
        <v>19202</v>
      </c>
      <c r="K5879" t="s">
        <v>19203</v>
      </c>
      <c r="L5879" t="s">
        <v>14966</v>
      </c>
      <c r="M5879" s="161" t="s">
        <v>19202</v>
      </c>
    </row>
    <row r="5880" spans="9:13" x14ac:dyDescent="0.25">
      <c r="I5880" t="s">
        <v>19965</v>
      </c>
      <c r="J5880" s="161" t="s">
        <v>19202</v>
      </c>
      <c r="K5880" t="s">
        <v>19203</v>
      </c>
      <c r="L5880" t="s">
        <v>19966</v>
      </c>
      <c r="M5880" s="161" t="s">
        <v>19202</v>
      </c>
    </row>
    <row r="5881" spans="9:13" x14ac:dyDescent="0.25">
      <c r="I5881" t="s">
        <v>12388</v>
      </c>
      <c r="J5881" s="161" t="s">
        <v>19202</v>
      </c>
      <c r="K5881" t="s">
        <v>19203</v>
      </c>
      <c r="L5881" t="s">
        <v>12387</v>
      </c>
      <c r="M5881" s="161" t="s">
        <v>19202</v>
      </c>
    </row>
    <row r="5882" spans="9:13" x14ac:dyDescent="0.25">
      <c r="I5882" t="s">
        <v>12356</v>
      </c>
      <c r="J5882" s="161" t="s">
        <v>19202</v>
      </c>
      <c r="K5882" t="s">
        <v>19203</v>
      </c>
      <c r="L5882" t="s">
        <v>12355</v>
      </c>
      <c r="M5882" s="161" t="s">
        <v>19202</v>
      </c>
    </row>
    <row r="5883" spans="9:13" x14ac:dyDescent="0.25">
      <c r="I5883" t="s">
        <v>5231</v>
      </c>
      <c r="J5883" s="161" t="s">
        <v>19202</v>
      </c>
      <c r="K5883" t="s">
        <v>19203</v>
      </c>
      <c r="L5883" t="s">
        <v>475</v>
      </c>
      <c r="M5883" s="161" t="s">
        <v>19202</v>
      </c>
    </row>
    <row r="5884" spans="9:13" x14ac:dyDescent="0.25">
      <c r="I5884" t="s">
        <v>5222</v>
      </c>
      <c r="J5884" s="161" t="s">
        <v>19202</v>
      </c>
      <c r="K5884" t="s">
        <v>19203</v>
      </c>
      <c r="L5884" t="s">
        <v>5221</v>
      </c>
      <c r="M5884" s="161" t="s">
        <v>19202</v>
      </c>
    </row>
    <row r="5885" spans="9:13" x14ac:dyDescent="0.25">
      <c r="I5885" t="s">
        <v>5271</v>
      </c>
      <c r="J5885" s="161" t="s">
        <v>19202</v>
      </c>
      <c r="K5885" t="s">
        <v>19203</v>
      </c>
      <c r="L5885" t="s">
        <v>824</v>
      </c>
      <c r="M5885" s="161" t="s">
        <v>19202</v>
      </c>
    </row>
    <row r="5886" spans="9:13" x14ac:dyDescent="0.25">
      <c r="I5886" t="s">
        <v>5268</v>
      </c>
      <c r="J5886" s="161" t="s">
        <v>19202</v>
      </c>
      <c r="K5886" t="s">
        <v>19203</v>
      </c>
      <c r="L5886" t="s">
        <v>5267</v>
      </c>
      <c r="M5886" s="161" t="s">
        <v>19202</v>
      </c>
    </row>
    <row r="5887" spans="9:13" x14ac:dyDescent="0.25">
      <c r="I5887" t="s">
        <v>19967</v>
      </c>
      <c r="J5887" s="161" t="s">
        <v>19202</v>
      </c>
      <c r="K5887" t="s">
        <v>19203</v>
      </c>
      <c r="L5887" t="s">
        <v>19968</v>
      </c>
      <c r="M5887" s="161" t="s">
        <v>19202</v>
      </c>
    </row>
    <row r="5888" spans="9:13" x14ac:dyDescent="0.25">
      <c r="I5888" t="s">
        <v>613</v>
      </c>
      <c r="J5888" s="161" t="s">
        <v>19202</v>
      </c>
      <c r="K5888" t="s">
        <v>19203</v>
      </c>
      <c r="L5888" t="s">
        <v>612</v>
      </c>
      <c r="M5888" s="161" t="s">
        <v>19202</v>
      </c>
    </row>
    <row r="5889" spans="9:13" x14ac:dyDescent="0.25">
      <c r="I5889" t="s">
        <v>2656</v>
      </c>
      <c r="J5889" s="161" t="s">
        <v>19202</v>
      </c>
      <c r="K5889" t="s">
        <v>19203</v>
      </c>
      <c r="L5889" t="s">
        <v>405</v>
      </c>
      <c r="M5889" s="161" t="s">
        <v>19202</v>
      </c>
    </row>
    <row r="5890" spans="9:13" x14ac:dyDescent="0.25">
      <c r="I5890" t="s">
        <v>6102</v>
      </c>
      <c r="J5890" s="161" t="s">
        <v>19202</v>
      </c>
      <c r="K5890" t="s">
        <v>19203</v>
      </c>
      <c r="L5890" t="s">
        <v>6101</v>
      </c>
      <c r="M5890" s="161" t="s">
        <v>19202</v>
      </c>
    </row>
    <row r="5891" spans="9:13" x14ac:dyDescent="0.25">
      <c r="I5891" t="s">
        <v>2520</v>
      </c>
      <c r="J5891" s="161" t="s">
        <v>19202</v>
      </c>
      <c r="K5891" t="s">
        <v>19203</v>
      </c>
      <c r="L5891" t="s">
        <v>2519</v>
      </c>
      <c r="M5891" s="161" t="s">
        <v>19202</v>
      </c>
    </row>
    <row r="5892" spans="9:13" x14ac:dyDescent="0.25">
      <c r="I5892" t="s">
        <v>8956</v>
      </c>
      <c r="J5892" s="161" t="s">
        <v>19202</v>
      </c>
      <c r="K5892" t="s">
        <v>19203</v>
      </c>
      <c r="L5892" t="s">
        <v>8955</v>
      </c>
      <c r="M5892" s="161" t="s">
        <v>19202</v>
      </c>
    </row>
    <row r="5893" spans="9:13" x14ac:dyDescent="0.25">
      <c r="I5893" t="s">
        <v>6369</v>
      </c>
      <c r="J5893" s="161" t="s">
        <v>19202</v>
      </c>
      <c r="K5893" t="s">
        <v>19203</v>
      </c>
      <c r="L5893" t="s">
        <v>6368</v>
      </c>
      <c r="M5893" s="161" t="s">
        <v>19202</v>
      </c>
    </row>
    <row r="5894" spans="9:13" x14ac:dyDescent="0.25">
      <c r="I5894" t="s">
        <v>17146</v>
      </c>
      <c r="J5894" s="161" t="s">
        <v>19202</v>
      </c>
      <c r="K5894" t="s">
        <v>19203</v>
      </c>
      <c r="L5894" t="s">
        <v>17145</v>
      </c>
      <c r="M5894" s="161" t="s">
        <v>19202</v>
      </c>
    </row>
    <row r="5895" spans="9:13" x14ac:dyDescent="0.25">
      <c r="I5895" t="s">
        <v>1998</v>
      </c>
      <c r="J5895" s="161" t="s">
        <v>19202</v>
      </c>
      <c r="K5895" t="s">
        <v>19203</v>
      </c>
      <c r="L5895" t="s">
        <v>1997</v>
      </c>
      <c r="M5895" s="161" t="s">
        <v>19202</v>
      </c>
    </row>
    <row r="5896" spans="9:13" x14ac:dyDescent="0.25">
      <c r="I5896" t="s">
        <v>4005</v>
      </c>
      <c r="J5896" s="161" t="s">
        <v>19202</v>
      </c>
      <c r="K5896" t="s">
        <v>19203</v>
      </c>
      <c r="L5896" t="s">
        <v>713</v>
      </c>
      <c r="M5896" s="161" t="s">
        <v>19202</v>
      </c>
    </row>
    <row r="5897" spans="9:13" x14ac:dyDescent="0.25">
      <c r="I5897" t="s">
        <v>5243</v>
      </c>
      <c r="J5897" s="161" t="s">
        <v>19202</v>
      </c>
      <c r="K5897" t="s">
        <v>19203</v>
      </c>
      <c r="L5897" t="s">
        <v>5242</v>
      </c>
      <c r="M5897" s="161" t="s">
        <v>19202</v>
      </c>
    </row>
    <row r="5898" spans="9:13" x14ac:dyDescent="0.25">
      <c r="I5898" t="s">
        <v>5239</v>
      </c>
      <c r="J5898" s="161" t="s">
        <v>19202</v>
      </c>
      <c r="K5898" t="s">
        <v>19203</v>
      </c>
      <c r="L5898" t="s">
        <v>5238</v>
      </c>
      <c r="M5898" s="161" t="s">
        <v>19202</v>
      </c>
    </row>
    <row r="5899" spans="9:13" x14ac:dyDescent="0.25">
      <c r="I5899" t="s">
        <v>5228</v>
      </c>
      <c r="J5899" s="161" t="s">
        <v>19202</v>
      </c>
      <c r="K5899" t="s">
        <v>19203</v>
      </c>
      <c r="L5899" t="s">
        <v>5227</v>
      </c>
      <c r="M5899" s="161" t="s">
        <v>19202</v>
      </c>
    </row>
    <row r="5900" spans="9:13" x14ac:dyDescent="0.25">
      <c r="I5900" t="s">
        <v>5216</v>
      </c>
      <c r="J5900" s="161" t="s">
        <v>19202</v>
      </c>
      <c r="K5900" t="s">
        <v>19203</v>
      </c>
      <c r="L5900" t="s">
        <v>5215</v>
      </c>
      <c r="M5900" s="161" t="s">
        <v>19202</v>
      </c>
    </row>
    <row r="5901" spans="9:13" x14ac:dyDescent="0.25">
      <c r="I5901" t="s">
        <v>4609</v>
      </c>
      <c r="J5901" s="161" t="s">
        <v>19202</v>
      </c>
      <c r="K5901" t="s">
        <v>19203</v>
      </c>
      <c r="L5901" t="s">
        <v>1314</v>
      </c>
      <c r="M5901" s="161" t="s">
        <v>19202</v>
      </c>
    </row>
    <row r="5902" spans="9:13" x14ac:dyDescent="0.25">
      <c r="I5902" t="s">
        <v>6712</v>
      </c>
      <c r="J5902" s="161" t="s">
        <v>19202</v>
      </c>
      <c r="K5902" t="s">
        <v>19203</v>
      </c>
      <c r="L5902" t="s">
        <v>6711</v>
      </c>
      <c r="M5902" s="161" t="s">
        <v>19202</v>
      </c>
    </row>
    <row r="5903" spans="9:13" x14ac:dyDescent="0.25">
      <c r="I5903" t="s">
        <v>2397</v>
      </c>
      <c r="J5903" s="161" t="s">
        <v>19202</v>
      </c>
      <c r="K5903" t="s">
        <v>19203</v>
      </c>
      <c r="L5903" t="s">
        <v>2396</v>
      </c>
      <c r="M5903" s="161" t="s">
        <v>19202</v>
      </c>
    </row>
    <row r="5904" spans="9:13" x14ac:dyDescent="0.25">
      <c r="I5904" t="s">
        <v>8666</v>
      </c>
      <c r="J5904" s="161" t="s">
        <v>19202</v>
      </c>
      <c r="K5904" t="s">
        <v>19203</v>
      </c>
      <c r="L5904" t="s">
        <v>8665</v>
      </c>
      <c r="M5904" s="161" t="s">
        <v>19202</v>
      </c>
    </row>
    <row r="5905" spans="9:13" x14ac:dyDescent="0.25">
      <c r="I5905" t="s">
        <v>17244</v>
      </c>
      <c r="J5905" s="161" t="s">
        <v>19202</v>
      </c>
      <c r="K5905" t="s">
        <v>19203</v>
      </c>
      <c r="L5905" t="s">
        <v>17243</v>
      </c>
      <c r="M5905" s="161" t="s">
        <v>19202</v>
      </c>
    </row>
    <row r="5906" spans="9:13" x14ac:dyDescent="0.25">
      <c r="I5906" t="s">
        <v>3587</v>
      </c>
      <c r="J5906" s="161" t="s">
        <v>19202</v>
      </c>
      <c r="K5906" t="s">
        <v>19203</v>
      </c>
      <c r="L5906" t="s">
        <v>3586</v>
      </c>
      <c r="M5906" s="161" t="s">
        <v>19202</v>
      </c>
    </row>
    <row r="5907" spans="9:13" x14ac:dyDescent="0.25">
      <c r="I5907" t="s">
        <v>5272</v>
      </c>
      <c r="J5907" s="161" t="s">
        <v>19202</v>
      </c>
      <c r="K5907" t="s">
        <v>19203</v>
      </c>
      <c r="L5907" t="s">
        <v>3524</v>
      </c>
      <c r="M5907" s="161" t="s">
        <v>19202</v>
      </c>
    </row>
    <row r="5908" spans="9:13" x14ac:dyDescent="0.25">
      <c r="I5908" t="s">
        <v>784</v>
      </c>
      <c r="J5908" s="161" t="s">
        <v>19202</v>
      </c>
      <c r="K5908" t="s">
        <v>19203</v>
      </c>
      <c r="L5908" t="s">
        <v>783</v>
      </c>
      <c r="M5908" s="161" t="s">
        <v>19202</v>
      </c>
    </row>
    <row r="5909" spans="9:13" x14ac:dyDescent="0.25">
      <c r="I5909" t="s">
        <v>12994</v>
      </c>
      <c r="J5909" s="161" t="s">
        <v>19202</v>
      </c>
      <c r="K5909" t="s">
        <v>19203</v>
      </c>
      <c r="L5909" t="s">
        <v>12993</v>
      </c>
      <c r="M5909" s="161" t="s">
        <v>19202</v>
      </c>
    </row>
    <row r="5910" spans="9:13" x14ac:dyDescent="0.25">
      <c r="I5910" t="s">
        <v>924</v>
      </c>
      <c r="J5910" s="161" t="s">
        <v>19202</v>
      </c>
      <c r="K5910" t="s">
        <v>19203</v>
      </c>
      <c r="L5910" t="s">
        <v>923</v>
      </c>
      <c r="M5910" s="161" t="s">
        <v>19202</v>
      </c>
    </row>
    <row r="5911" spans="9:13" x14ac:dyDescent="0.25">
      <c r="I5911" t="s">
        <v>12758</v>
      </c>
      <c r="J5911" s="161" t="s">
        <v>19202</v>
      </c>
      <c r="K5911" t="s">
        <v>19203</v>
      </c>
      <c r="L5911" t="s">
        <v>1555</v>
      </c>
      <c r="M5911" s="161" t="s">
        <v>19202</v>
      </c>
    </row>
    <row r="5912" spans="9:13" x14ac:dyDescent="0.25">
      <c r="I5912" t="s">
        <v>19969</v>
      </c>
      <c r="J5912" s="161" t="s">
        <v>19202</v>
      </c>
      <c r="K5912" t="s">
        <v>19203</v>
      </c>
      <c r="L5912" t="s">
        <v>712</v>
      </c>
      <c r="M5912" s="161" t="s">
        <v>19202</v>
      </c>
    </row>
    <row r="5913" spans="9:13" x14ac:dyDescent="0.25">
      <c r="I5913" t="s">
        <v>17616</v>
      </c>
      <c r="J5913" s="161" t="s">
        <v>19202</v>
      </c>
      <c r="K5913" t="s">
        <v>19203</v>
      </c>
      <c r="L5913" t="s">
        <v>17615</v>
      </c>
      <c r="M5913" s="161" t="s">
        <v>19202</v>
      </c>
    </row>
    <row r="5914" spans="9:13" x14ac:dyDescent="0.25">
      <c r="I5914" t="s">
        <v>6025</v>
      </c>
      <c r="J5914" s="161" t="s">
        <v>19202</v>
      </c>
      <c r="K5914" t="s">
        <v>19203</v>
      </c>
      <c r="L5914" t="s">
        <v>6024</v>
      </c>
      <c r="M5914" s="161" t="s">
        <v>19202</v>
      </c>
    </row>
    <row r="5915" spans="9:13" x14ac:dyDescent="0.25">
      <c r="I5915" t="s">
        <v>5230</v>
      </c>
      <c r="J5915" s="161" t="s">
        <v>19202</v>
      </c>
      <c r="K5915" t="s">
        <v>19203</v>
      </c>
      <c r="L5915" t="s">
        <v>5229</v>
      </c>
      <c r="M5915" s="161" t="s">
        <v>19202</v>
      </c>
    </row>
    <row r="5916" spans="9:13" x14ac:dyDescent="0.25">
      <c r="I5916" t="s">
        <v>5210</v>
      </c>
      <c r="J5916" s="161" t="s">
        <v>19202</v>
      </c>
      <c r="K5916" t="s">
        <v>19203</v>
      </c>
      <c r="L5916" t="s">
        <v>5209</v>
      </c>
      <c r="M5916" s="161" t="s">
        <v>19202</v>
      </c>
    </row>
    <row r="5917" spans="9:13" x14ac:dyDescent="0.25">
      <c r="I5917" t="s">
        <v>5208</v>
      </c>
      <c r="J5917" s="161" t="s">
        <v>19202</v>
      </c>
      <c r="K5917" t="s">
        <v>19203</v>
      </c>
      <c r="L5917" t="s">
        <v>5207</v>
      </c>
      <c r="M5917" s="161" t="s">
        <v>19202</v>
      </c>
    </row>
    <row r="5918" spans="9:13" x14ac:dyDescent="0.25">
      <c r="I5918" t="s">
        <v>5270</v>
      </c>
      <c r="J5918" s="161" t="s">
        <v>19202</v>
      </c>
      <c r="K5918" t="s">
        <v>19203</v>
      </c>
      <c r="L5918" t="s">
        <v>5269</v>
      </c>
      <c r="M5918" s="161" t="s">
        <v>19202</v>
      </c>
    </row>
    <row r="5919" spans="9:13" x14ac:dyDescent="0.25">
      <c r="I5919" t="s">
        <v>6371</v>
      </c>
      <c r="J5919" s="161" t="s">
        <v>19202</v>
      </c>
      <c r="K5919" t="s">
        <v>19203</v>
      </c>
      <c r="L5919" t="s">
        <v>6370</v>
      </c>
      <c r="M5919" s="161" t="s">
        <v>19202</v>
      </c>
    </row>
    <row r="5920" spans="9:13" x14ac:dyDescent="0.25">
      <c r="I5920" t="s">
        <v>1118</v>
      </c>
      <c r="J5920" s="161" t="s">
        <v>19202</v>
      </c>
      <c r="K5920" t="s">
        <v>19203</v>
      </c>
      <c r="L5920" t="s">
        <v>1117</v>
      </c>
      <c r="M5920" s="161" t="s">
        <v>19202</v>
      </c>
    </row>
    <row r="5921" spans="9:13" x14ac:dyDescent="0.25">
      <c r="I5921" t="s">
        <v>16180</v>
      </c>
      <c r="J5921" s="161" t="s">
        <v>19202</v>
      </c>
      <c r="K5921" t="s">
        <v>19203</v>
      </c>
      <c r="L5921" t="s">
        <v>16179</v>
      </c>
      <c r="M5921" s="161" t="s">
        <v>19202</v>
      </c>
    </row>
    <row r="5922" spans="9:13" x14ac:dyDescent="0.25">
      <c r="I5922" t="s">
        <v>2639</v>
      </c>
      <c r="J5922" s="161" t="s">
        <v>19202</v>
      </c>
      <c r="K5922" t="s">
        <v>19203</v>
      </c>
      <c r="L5922" t="s">
        <v>261</v>
      </c>
      <c r="M5922" s="161" t="s">
        <v>19202</v>
      </c>
    </row>
    <row r="5923" spans="9:13" x14ac:dyDescent="0.25">
      <c r="I5923" t="s">
        <v>714</v>
      </c>
      <c r="J5923" s="161" t="s">
        <v>19202</v>
      </c>
      <c r="K5923" t="s">
        <v>19203</v>
      </c>
      <c r="L5923" t="s">
        <v>713</v>
      </c>
      <c r="M5923" s="161" t="s">
        <v>19202</v>
      </c>
    </row>
    <row r="5924" spans="9:13" x14ac:dyDescent="0.25">
      <c r="I5924" t="s">
        <v>19970</v>
      </c>
      <c r="J5924" s="161" t="s">
        <v>19202</v>
      </c>
      <c r="K5924" t="s">
        <v>19203</v>
      </c>
      <c r="L5924" t="s">
        <v>19971</v>
      </c>
      <c r="M5924" s="161" t="s">
        <v>19202</v>
      </c>
    </row>
    <row r="5925" spans="9:13" x14ac:dyDescent="0.25">
      <c r="I5925" t="s">
        <v>17693</v>
      </c>
      <c r="J5925" s="161" t="s">
        <v>19202</v>
      </c>
      <c r="K5925" t="s">
        <v>19203</v>
      </c>
      <c r="L5925" t="s">
        <v>14962</v>
      </c>
      <c r="M5925" s="161" t="s">
        <v>19202</v>
      </c>
    </row>
    <row r="5926" spans="9:13" x14ac:dyDescent="0.25">
      <c r="I5926" t="s">
        <v>2415</v>
      </c>
      <c r="J5926" s="161" t="s">
        <v>19202</v>
      </c>
      <c r="K5926" t="s">
        <v>19203</v>
      </c>
      <c r="L5926" t="s">
        <v>2414</v>
      </c>
      <c r="M5926" s="161" t="s">
        <v>19202</v>
      </c>
    </row>
    <row r="5927" spans="9:13" x14ac:dyDescent="0.25">
      <c r="I5927" t="s">
        <v>635</v>
      </c>
      <c r="J5927" s="161" t="s">
        <v>19202</v>
      </c>
      <c r="K5927" t="s">
        <v>19203</v>
      </c>
      <c r="L5927" t="s">
        <v>634</v>
      </c>
      <c r="M5927" s="161" t="s">
        <v>19202</v>
      </c>
    </row>
    <row r="5928" spans="9:13" x14ac:dyDescent="0.25">
      <c r="I5928" t="s">
        <v>8954</v>
      </c>
      <c r="J5928" s="161" t="s">
        <v>19202</v>
      </c>
      <c r="K5928" t="s">
        <v>19203</v>
      </c>
      <c r="L5928" t="s">
        <v>8953</v>
      </c>
      <c r="M5928" s="161" t="s">
        <v>19202</v>
      </c>
    </row>
    <row r="5929" spans="9:13" x14ac:dyDescent="0.25">
      <c r="I5929" t="s">
        <v>6382</v>
      </c>
      <c r="J5929" s="161" t="s">
        <v>19202</v>
      </c>
      <c r="K5929" t="s">
        <v>19203</v>
      </c>
      <c r="L5929" t="s">
        <v>6381</v>
      </c>
      <c r="M5929" s="161" t="s">
        <v>19202</v>
      </c>
    </row>
    <row r="5930" spans="9:13" x14ac:dyDescent="0.25">
      <c r="I5930" t="s">
        <v>17997</v>
      </c>
      <c r="J5930" s="161" t="s">
        <v>19202</v>
      </c>
      <c r="K5930" t="s">
        <v>19203</v>
      </c>
      <c r="L5930" t="s">
        <v>17996</v>
      </c>
      <c r="M5930" s="161" t="s">
        <v>19202</v>
      </c>
    </row>
    <row r="5931" spans="9:13" x14ac:dyDescent="0.25">
      <c r="I5931" t="s">
        <v>8958</v>
      </c>
      <c r="J5931" s="161" t="s">
        <v>19202</v>
      </c>
      <c r="K5931" t="s">
        <v>19203</v>
      </c>
      <c r="L5931" t="s">
        <v>8957</v>
      </c>
      <c r="M5931" s="161" t="s">
        <v>19202</v>
      </c>
    </row>
    <row r="5932" spans="9:13" x14ac:dyDescent="0.25">
      <c r="I5932" t="s">
        <v>19972</v>
      </c>
      <c r="J5932" s="161" t="s">
        <v>19202</v>
      </c>
      <c r="K5932" t="s">
        <v>19203</v>
      </c>
      <c r="L5932" t="s">
        <v>19973</v>
      </c>
      <c r="M5932" s="161" t="s">
        <v>19202</v>
      </c>
    </row>
    <row r="5933" spans="9:13" x14ac:dyDescent="0.25">
      <c r="I5933" t="s">
        <v>17864</v>
      </c>
      <c r="J5933" s="161" t="s">
        <v>19202</v>
      </c>
      <c r="K5933" t="s">
        <v>19203</v>
      </c>
      <c r="L5933" t="s">
        <v>17863</v>
      </c>
      <c r="M5933" s="161" t="s">
        <v>19202</v>
      </c>
    </row>
    <row r="5934" spans="9:13" x14ac:dyDescent="0.25">
      <c r="I5934" t="s">
        <v>5715</v>
      </c>
      <c r="J5934" s="161" t="s">
        <v>19202</v>
      </c>
      <c r="K5934" t="s">
        <v>19203</v>
      </c>
      <c r="L5934" t="s">
        <v>5714</v>
      </c>
      <c r="M5934" s="161" t="s">
        <v>19202</v>
      </c>
    </row>
    <row r="5935" spans="9:13" x14ac:dyDescent="0.25">
      <c r="I5935" t="s">
        <v>12168</v>
      </c>
      <c r="J5935" s="161" t="s">
        <v>19202</v>
      </c>
      <c r="K5935" t="s">
        <v>19203</v>
      </c>
      <c r="L5935" t="s">
        <v>12167</v>
      </c>
      <c r="M5935" s="161" t="s">
        <v>19202</v>
      </c>
    </row>
    <row r="5936" spans="9:13" x14ac:dyDescent="0.25">
      <c r="I5936" t="s">
        <v>12206</v>
      </c>
      <c r="J5936" s="161" t="s">
        <v>19202</v>
      </c>
      <c r="K5936" t="s">
        <v>19203</v>
      </c>
      <c r="L5936" t="s">
        <v>12205</v>
      </c>
      <c r="M5936" s="161" t="s">
        <v>19202</v>
      </c>
    </row>
    <row r="5937" spans="9:13" x14ac:dyDescent="0.25">
      <c r="I5937" t="s">
        <v>19974</v>
      </c>
      <c r="J5937" s="161" t="s">
        <v>19202</v>
      </c>
      <c r="K5937" t="s">
        <v>19203</v>
      </c>
      <c r="L5937" t="s">
        <v>19975</v>
      </c>
      <c r="M5937" s="161" t="s">
        <v>19202</v>
      </c>
    </row>
    <row r="5938" spans="9:13" x14ac:dyDescent="0.25">
      <c r="I5938" t="s">
        <v>19976</v>
      </c>
      <c r="J5938" s="161" t="s">
        <v>19202</v>
      </c>
      <c r="K5938" t="s">
        <v>19203</v>
      </c>
      <c r="L5938" t="s">
        <v>19977</v>
      </c>
      <c r="M5938" s="161" t="s">
        <v>19202</v>
      </c>
    </row>
    <row r="5939" spans="9:13" x14ac:dyDescent="0.25">
      <c r="I5939" t="s">
        <v>14996</v>
      </c>
      <c r="J5939" s="161" t="s">
        <v>19202</v>
      </c>
      <c r="K5939" t="s">
        <v>19203</v>
      </c>
      <c r="L5939" t="s">
        <v>14995</v>
      </c>
      <c r="M5939" s="161" t="s">
        <v>19202</v>
      </c>
    </row>
    <row r="5940" spans="9:13" x14ac:dyDescent="0.25">
      <c r="I5940" t="s">
        <v>1542</v>
      </c>
      <c r="J5940" s="161" t="s">
        <v>19202</v>
      </c>
      <c r="K5940" t="s">
        <v>19203</v>
      </c>
      <c r="L5940" t="s">
        <v>1541</v>
      </c>
      <c r="M5940" s="161" t="s">
        <v>19202</v>
      </c>
    </row>
    <row r="5941" spans="9:13" x14ac:dyDescent="0.25">
      <c r="I5941" t="s">
        <v>5771</v>
      </c>
      <c r="J5941" s="161" t="s">
        <v>19202</v>
      </c>
      <c r="K5941" t="s">
        <v>19203</v>
      </c>
      <c r="L5941" t="s">
        <v>5770</v>
      </c>
      <c r="M5941" s="161" t="s">
        <v>19202</v>
      </c>
    </row>
    <row r="5942" spans="9:13" x14ac:dyDescent="0.25">
      <c r="I5942" t="s">
        <v>14019</v>
      </c>
      <c r="J5942" s="161" t="s">
        <v>19202</v>
      </c>
      <c r="K5942" t="s">
        <v>19203</v>
      </c>
      <c r="L5942" t="s">
        <v>14018</v>
      </c>
      <c r="M5942" s="161" t="s">
        <v>19202</v>
      </c>
    </row>
    <row r="5943" spans="9:13" x14ac:dyDescent="0.25">
      <c r="I5943" t="s">
        <v>5201</v>
      </c>
      <c r="J5943" s="161" t="s">
        <v>19202</v>
      </c>
      <c r="K5943" t="s">
        <v>19203</v>
      </c>
      <c r="L5943" t="s">
        <v>5200</v>
      </c>
      <c r="M5943" s="161" t="s">
        <v>19202</v>
      </c>
    </row>
    <row r="5944" spans="9:13" x14ac:dyDescent="0.25">
      <c r="I5944" t="s">
        <v>5241</v>
      </c>
      <c r="J5944" s="161" t="s">
        <v>19202</v>
      </c>
      <c r="K5944" t="s">
        <v>19203</v>
      </c>
      <c r="L5944" t="s">
        <v>5240</v>
      </c>
      <c r="M5944" s="161" t="s">
        <v>19202</v>
      </c>
    </row>
    <row r="5945" spans="9:13" x14ac:dyDescent="0.25">
      <c r="I5945" t="s">
        <v>5214</v>
      </c>
      <c r="J5945" s="161" t="s">
        <v>19202</v>
      </c>
      <c r="K5945" t="s">
        <v>19203</v>
      </c>
      <c r="L5945" t="s">
        <v>5213</v>
      </c>
      <c r="M5945" s="161" t="s">
        <v>19202</v>
      </c>
    </row>
    <row r="5946" spans="9:13" x14ac:dyDescent="0.25">
      <c r="I5946" t="s">
        <v>3819</v>
      </c>
      <c r="J5946" s="161" t="s">
        <v>19202</v>
      </c>
      <c r="K5946" t="s">
        <v>19203</v>
      </c>
      <c r="L5946" t="s">
        <v>3818</v>
      </c>
      <c r="M5946" s="161" t="s">
        <v>19202</v>
      </c>
    </row>
    <row r="5947" spans="9:13" x14ac:dyDescent="0.25">
      <c r="I5947" t="s">
        <v>476</v>
      </c>
      <c r="J5947" s="161" t="s">
        <v>19202</v>
      </c>
      <c r="K5947" t="s">
        <v>19203</v>
      </c>
      <c r="L5947" t="s">
        <v>475</v>
      </c>
      <c r="M5947" s="161" t="s">
        <v>19202</v>
      </c>
    </row>
    <row r="5948" spans="9:13" x14ac:dyDescent="0.25">
      <c r="I5948" t="s">
        <v>8662</v>
      </c>
      <c r="J5948" s="161" t="s">
        <v>19202</v>
      </c>
      <c r="K5948" t="s">
        <v>19203</v>
      </c>
      <c r="L5948" t="s">
        <v>8661</v>
      </c>
      <c r="M5948" s="161" t="s">
        <v>19202</v>
      </c>
    </row>
    <row r="5949" spans="9:13" x14ac:dyDescent="0.25">
      <c r="I5949" t="s">
        <v>5235</v>
      </c>
      <c r="J5949" s="161" t="s">
        <v>19202</v>
      </c>
      <c r="K5949" t="s">
        <v>19203</v>
      </c>
      <c r="L5949" t="s">
        <v>5234</v>
      </c>
      <c r="M5949" s="161" t="s">
        <v>19202</v>
      </c>
    </row>
    <row r="5950" spans="9:13" x14ac:dyDescent="0.25">
      <c r="I5950" t="s">
        <v>5452</v>
      </c>
      <c r="J5950" s="161" t="s">
        <v>19202</v>
      </c>
      <c r="K5950" t="s">
        <v>19203</v>
      </c>
      <c r="L5950" t="s">
        <v>331</v>
      </c>
      <c r="M5950" s="161" t="s">
        <v>19202</v>
      </c>
    </row>
    <row r="5951" spans="9:13" x14ac:dyDescent="0.25">
      <c r="I5951" t="s">
        <v>8285</v>
      </c>
      <c r="J5951" s="161" t="s">
        <v>19202</v>
      </c>
      <c r="K5951" t="s">
        <v>19203</v>
      </c>
      <c r="L5951" t="s">
        <v>8284</v>
      </c>
      <c r="M5951" s="161" t="s">
        <v>19202</v>
      </c>
    </row>
    <row r="5952" spans="9:13" x14ac:dyDescent="0.25">
      <c r="I5952" t="s">
        <v>5763</v>
      </c>
      <c r="J5952" s="161" t="s">
        <v>19202</v>
      </c>
      <c r="K5952" t="s">
        <v>19203</v>
      </c>
      <c r="L5952" t="s">
        <v>5762</v>
      </c>
      <c r="M5952" s="161" t="s">
        <v>19202</v>
      </c>
    </row>
    <row r="5953" spans="9:13" x14ac:dyDescent="0.25">
      <c r="I5953" t="s">
        <v>15667</v>
      </c>
      <c r="J5953" s="161" t="s">
        <v>19202</v>
      </c>
      <c r="K5953" t="s">
        <v>19203</v>
      </c>
      <c r="L5953" t="s">
        <v>15666</v>
      </c>
      <c r="M5953" s="161" t="s">
        <v>19202</v>
      </c>
    </row>
    <row r="5954" spans="9:13" x14ac:dyDescent="0.25">
      <c r="I5954" t="s">
        <v>5206</v>
      </c>
      <c r="J5954" s="161" t="s">
        <v>19202</v>
      </c>
      <c r="K5954" t="s">
        <v>19203</v>
      </c>
      <c r="L5954" t="s">
        <v>824</v>
      </c>
      <c r="M5954" s="161" t="s">
        <v>19202</v>
      </c>
    </row>
    <row r="5955" spans="9:13" x14ac:dyDescent="0.25">
      <c r="I5955" t="s">
        <v>2871</v>
      </c>
      <c r="J5955" s="161" t="s">
        <v>19202</v>
      </c>
      <c r="K5955" t="s">
        <v>19203</v>
      </c>
      <c r="L5955" t="s">
        <v>2870</v>
      </c>
      <c r="M5955" s="161" t="s">
        <v>19202</v>
      </c>
    </row>
    <row r="5956" spans="9:13" x14ac:dyDescent="0.25">
      <c r="I5956" t="s">
        <v>19978</v>
      </c>
      <c r="J5956" s="161" t="s">
        <v>19202</v>
      </c>
      <c r="K5956" t="s">
        <v>19203</v>
      </c>
      <c r="L5956" t="s">
        <v>664</v>
      </c>
      <c r="M5956" s="161" t="s">
        <v>19202</v>
      </c>
    </row>
    <row r="5957" spans="9:13" x14ac:dyDescent="0.25">
      <c r="I5957" t="s">
        <v>17266</v>
      </c>
      <c r="J5957" s="161" t="s">
        <v>19202</v>
      </c>
      <c r="K5957" t="s">
        <v>19203</v>
      </c>
      <c r="L5957" t="s">
        <v>17265</v>
      </c>
      <c r="M5957" s="161" t="s">
        <v>19202</v>
      </c>
    </row>
    <row r="5958" spans="9:13" x14ac:dyDescent="0.25">
      <c r="I5958" t="s">
        <v>5773</v>
      </c>
      <c r="J5958" s="161" t="s">
        <v>19202</v>
      </c>
      <c r="K5958" t="s">
        <v>19203</v>
      </c>
      <c r="L5958" t="s">
        <v>5772</v>
      </c>
      <c r="M5958" s="161" t="s">
        <v>19202</v>
      </c>
    </row>
    <row r="5959" spans="9:13" x14ac:dyDescent="0.25">
      <c r="I5959" t="s">
        <v>19979</v>
      </c>
      <c r="J5959" s="161" t="s">
        <v>19202</v>
      </c>
      <c r="K5959" t="s">
        <v>19203</v>
      </c>
      <c r="L5959" t="s">
        <v>19980</v>
      </c>
      <c r="M5959" s="161" t="s">
        <v>19202</v>
      </c>
    </row>
    <row r="5960" spans="9:13" x14ac:dyDescent="0.25">
      <c r="I5960" t="s">
        <v>8880</v>
      </c>
      <c r="J5960" s="161" t="s">
        <v>19202</v>
      </c>
      <c r="K5960" t="s">
        <v>19203</v>
      </c>
      <c r="L5960" t="s">
        <v>8879</v>
      </c>
      <c r="M5960" s="161" t="s">
        <v>19202</v>
      </c>
    </row>
    <row r="5961" spans="9:13" x14ac:dyDescent="0.25">
      <c r="I5961" t="s">
        <v>12921</v>
      </c>
      <c r="J5961" s="161" t="s">
        <v>19202</v>
      </c>
      <c r="K5961" t="s">
        <v>19203</v>
      </c>
      <c r="L5961" t="s">
        <v>12920</v>
      </c>
      <c r="M5961" s="161" t="s">
        <v>19202</v>
      </c>
    </row>
    <row r="5962" spans="9:13" x14ac:dyDescent="0.25">
      <c r="I5962" t="s">
        <v>16627</v>
      </c>
      <c r="J5962" s="161" t="s">
        <v>19202</v>
      </c>
      <c r="K5962" t="s">
        <v>19203</v>
      </c>
      <c r="L5962" t="s">
        <v>1520</v>
      </c>
      <c r="M5962" s="161" t="s">
        <v>19202</v>
      </c>
    </row>
    <row r="5963" spans="9:13" x14ac:dyDescent="0.25">
      <c r="I5963" t="s">
        <v>17872</v>
      </c>
      <c r="J5963" s="161" t="s">
        <v>19202</v>
      </c>
      <c r="K5963" t="s">
        <v>19203</v>
      </c>
      <c r="L5963" t="s">
        <v>17871</v>
      </c>
      <c r="M5963" s="161" t="s">
        <v>19202</v>
      </c>
    </row>
    <row r="5964" spans="9:13" x14ac:dyDescent="0.25">
      <c r="I5964" t="s">
        <v>9502</v>
      </c>
      <c r="J5964" s="161" t="s">
        <v>19202</v>
      </c>
      <c r="K5964" t="s">
        <v>19203</v>
      </c>
      <c r="L5964" t="s">
        <v>9501</v>
      </c>
      <c r="M5964" s="161" t="s">
        <v>19202</v>
      </c>
    </row>
    <row r="5965" spans="9:13" x14ac:dyDescent="0.25">
      <c r="I5965" t="s">
        <v>17164</v>
      </c>
      <c r="J5965" s="161" t="s">
        <v>19202</v>
      </c>
      <c r="K5965" t="s">
        <v>19203</v>
      </c>
      <c r="L5965" t="s">
        <v>17163</v>
      </c>
      <c r="M5965" s="161" t="s">
        <v>19202</v>
      </c>
    </row>
    <row r="5966" spans="9:13" x14ac:dyDescent="0.25">
      <c r="I5966" t="s">
        <v>5946</v>
      </c>
      <c r="J5966" s="161" t="s">
        <v>19202</v>
      </c>
      <c r="K5966" t="s">
        <v>19203</v>
      </c>
      <c r="L5966" t="s">
        <v>5945</v>
      </c>
      <c r="M5966" s="161" t="s">
        <v>19202</v>
      </c>
    </row>
    <row r="5967" spans="9:13" x14ac:dyDescent="0.25">
      <c r="I5967" t="s">
        <v>11941</v>
      </c>
      <c r="J5967" s="161" t="s">
        <v>19202</v>
      </c>
      <c r="K5967" t="s">
        <v>19203</v>
      </c>
      <c r="L5967" t="s">
        <v>11940</v>
      </c>
      <c r="M5967" s="161" t="s">
        <v>19202</v>
      </c>
    </row>
    <row r="5968" spans="9:13" x14ac:dyDescent="0.25">
      <c r="I5968" t="s">
        <v>15244</v>
      </c>
      <c r="J5968" s="161" t="s">
        <v>19202</v>
      </c>
      <c r="K5968" t="s">
        <v>19203</v>
      </c>
      <c r="L5968" t="s">
        <v>15243</v>
      </c>
      <c r="M5968" s="161" t="s">
        <v>19202</v>
      </c>
    </row>
    <row r="5969" spans="9:13" x14ac:dyDescent="0.25">
      <c r="I5969" t="s">
        <v>5274</v>
      </c>
      <c r="J5969" s="161" t="s">
        <v>19202</v>
      </c>
      <c r="K5969" t="s">
        <v>19203</v>
      </c>
      <c r="L5969" t="s">
        <v>5273</v>
      </c>
      <c r="M5969" s="161" t="s">
        <v>19202</v>
      </c>
    </row>
    <row r="5970" spans="9:13" x14ac:dyDescent="0.25">
      <c r="I5970" t="s">
        <v>5266</v>
      </c>
      <c r="J5970" s="161" t="s">
        <v>19202</v>
      </c>
      <c r="K5970" t="s">
        <v>19203</v>
      </c>
      <c r="L5970" t="s">
        <v>5265</v>
      </c>
      <c r="M5970" s="161" t="s">
        <v>19202</v>
      </c>
    </row>
    <row r="5971" spans="9:13" x14ac:dyDescent="0.25">
      <c r="I5971" t="s">
        <v>7139</v>
      </c>
      <c r="J5971" s="161" t="s">
        <v>19202</v>
      </c>
      <c r="K5971" t="s">
        <v>19203</v>
      </c>
      <c r="L5971" t="s">
        <v>7138</v>
      </c>
      <c r="M5971" s="161" t="s">
        <v>19202</v>
      </c>
    </row>
    <row r="5972" spans="9:13" x14ac:dyDescent="0.25">
      <c r="I5972" t="s">
        <v>523</v>
      </c>
      <c r="J5972" s="161" t="s">
        <v>19202</v>
      </c>
      <c r="K5972" t="s">
        <v>19203</v>
      </c>
      <c r="L5972" t="s">
        <v>522</v>
      </c>
      <c r="M5972" s="161" t="s">
        <v>19202</v>
      </c>
    </row>
    <row r="5973" spans="9:13" x14ac:dyDescent="0.25">
      <c r="I5973" t="s">
        <v>9536</v>
      </c>
      <c r="J5973" s="161" t="s">
        <v>19202</v>
      </c>
      <c r="K5973" t="s">
        <v>19203</v>
      </c>
      <c r="L5973" t="s">
        <v>9535</v>
      </c>
      <c r="M5973" s="161" t="s">
        <v>19202</v>
      </c>
    </row>
    <row r="5974" spans="9:13" x14ac:dyDescent="0.25">
      <c r="I5974" t="s">
        <v>11905</v>
      </c>
      <c r="J5974" s="161" t="s">
        <v>19202</v>
      </c>
      <c r="K5974" t="s">
        <v>19203</v>
      </c>
      <c r="L5974" t="s">
        <v>11904</v>
      </c>
      <c r="M5974" s="161" t="s">
        <v>19202</v>
      </c>
    </row>
    <row r="5975" spans="9:13" x14ac:dyDescent="0.25">
      <c r="I5975" t="s">
        <v>16146</v>
      </c>
      <c r="J5975" s="161" t="s">
        <v>19202</v>
      </c>
      <c r="K5975" t="s">
        <v>19203</v>
      </c>
      <c r="L5975" t="s">
        <v>5411</v>
      </c>
      <c r="M5975" s="161" t="s">
        <v>19202</v>
      </c>
    </row>
    <row r="5976" spans="9:13" x14ac:dyDescent="0.25">
      <c r="I5976" t="s">
        <v>8192</v>
      </c>
      <c r="J5976" s="161" t="s">
        <v>19202</v>
      </c>
      <c r="K5976" t="s">
        <v>19203</v>
      </c>
      <c r="L5976" t="s">
        <v>8191</v>
      </c>
      <c r="M5976" s="161" t="s">
        <v>19202</v>
      </c>
    </row>
    <row r="5977" spans="9:13" x14ac:dyDescent="0.25">
      <c r="I5977" t="s">
        <v>5767</v>
      </c>
      <c r="J5977" s="161" t="s">
        <v>19202</v>
      </c>
      <c r="K5977" t="s">
        <v>19203</v>
      </c>
      <c r="L5977" t="s">
        <v>5766</v>
      </c>
      <c r="M5977" s="161" t="s">
        <v>19202</v>
      </c>
    </row>
    <row r="5978" spans="9:13" x14ac:dyDescent="0.25">
      <c r="I5978" t="s">
        <v>19981</v>
      </c>
      <c r="J5978" s="161" t="s">
        <v>19202</v>
      </c>
      <c r="K5978" t="s">
        <v>19203</v>
      </c>
      <c r="L5978" t="s">
        <v>19982</v>
      </c>
      <c r="M5978" s="161" t="s">
        <v>19202</v>
      </c>
    </row>
    <row r="5979" spans="9:13" x14ac:dyDescent="0.25">
      <c r="I5979" t="s">
        <v>17254</v>
      </c>
      <c r="J5979" s="161" t="s">
        <v>19202</v>
      </c>
      <c r="K5979" t="s">
        <v>19203</v>
      </c>
      <c r="L5979" t="s">
        <v>17253</v>
      </c>
      <c r="M5979" s="161" t="s">
        <v>19202</v>
      </c>
    </row>
    <row r="5980" spans="9:13" x14ac:dyDescent="0.25">
      <c r="I5980" t="s">
        <v>13200</v>
      </c>
      <c r="J5980" s="161" t="s">
        <v>19202</v>
      </c>
      <c r="K5980" t="s">
        <v>19203</v>
      </c>
      <c r="L5980" t="s">
        <v>13199</v>
      </c>
      <c r="M5980" s="161" t="s">
        <v>19202</v>
      </c>
    </row>
    <row r="5981" spans="9:13" x14ac:dyDescent="0.25">
      <c r="I5981" t="s">
        <v>4002</v>
      </c>
      <c r="J5981" s="161" t="s">
        <v>19202</v>
      </c>
      <c r="K5981" t="s">
        <v>19203</v>
      </c>
      <c r="L5981" t="s">
        <v>903</v>
      </c>
      <c r="M5981" s="161" t="s">
        <v>19202</v>
      </c>
    </row>
    <row r="5982" spans="9:13" x14ac:dyDescent="0.25">
      <c r="I5982" t="s">
        <v>4553</v>
      </c>
      <c r="J5982" s="161" t="s">
        <v>19202</v>
      </c>
      <c r="K5982" t="s">
        <v>19203</v>
      </c>
      <c r="L5982" t="s">
        <v>1639</v>
      </c>
      <c r="M5982" s="161" t="s">
        <v>19202</v>
      </c>
    </row>
    <row r="5983" spans="9:13" x14ac:dyDescent="0.25">
      <c r="I5983" t="s">
        <v>16057</v>
      </c>
      <c r="J5983" s="161" t="s">
        <v>19202</v>
      </c>
      <c r="K5983" t="s">
        <v>19203</v>
      </c>
      <c r="L5983" t="s">
        <v>16056</v>
      </c>
      <c r="M5983" s="161" t="s">
        <v>19202</v>
      </c>
    </row>
    <row r="5984" spans="9:13" x14ac:dyDescent="0.25">
      <c r="I5984" t="s">
        <v>8962</v>
      </c>
      <c r="J5984" s="161" t="s">
        <v>19202</v>
      </c>
      <c r="K5984" t="s">
        <v>19203</v>
      </c>
      <c r="L5984" t="s">
        <v>8961</v>
      </c>
      <c r="M5984" s="161" t="s">
        <v>19202</v>
      </c>
    </row>
    <row r="5985" spans="9:13" x14ac:dyDescent="0.25">
      <c r="I5985" t="s">
        <v>5765</v>
      </c>
      <c r="J5985" s="161" t="s">
        <v>19202</v>
      </c>
      <c r="K5985" t="s">
        <v>19203</v>
      </c>
      <c r="L5985" t="s">
        <v>5764</v>
      </c>
      <c r="M5985" s="161" t="s">
        <v>19202</v>
      </c>
    </row>
    <row r="5986" spans="9:13" x14ac:dyDescent="0.25">
      <c r="I5986" t="s">
        <v>5212</v>
      </c>
      <c r="J5986" s="161" t="s">
        <v>19202</v>
      </c>
      <c r="K5986" t="s">
        <v>19203</v>
      </c>
      <c r="L5986" t="s">
        <v>5211</v>
      </c>
      <c r="M5986" s="161" t="s">
        <v>19202</v>
      </c>
    </row>
    <row r="5987" spans="9:13" x14ac:dyDescent="0.25">
      <c r="I5987" t="s">
        <v>17772</v>
      </c>
      <c r="J5987" s="161" t="s">
        <v>19202</v>
      </c>
      <c r="K5987" t="s">
        <v>19203</v>
      </c>
      <c r="L5987" t="s">
        <v>1479</v>
      </c>
      <c r="M5987" s="161" t="s">
        <v>19202</v>
      </c>
    </row>
    <row r="5988" spans="9:13" x14ac:dyDescent="0.25">
      <c r="I5988" t="s">
        <v>8190</v>
      </c>
      <c r="J5988" s="161" t="s">
        <v>19202</v>
      </c>
      <c r="K5988" t="s">
        <v>19203</v>
      </c>
      <c r="L5988" t="s">
        <v>8189</v>
      </c>
      <c r="M5988" s="161" t="s">
        <v>19202</v>
      </c>
    </row>
    <row r="5989" spans="9:13" x14ac:dyDescent="0.25">
      <c r="I5989" t="s">
        <v>3541</v>
      </c>
      <c r="J5989" s="161" t="s">
        <v>19202</v>
      </c>
      <c r="K5989" t="s">
        <v>19203</v>
      </c>
      <c r="L5989" t="s">
        <v>934</v>
      </c>
      <c r="M5989" s="161" t="s">
        <v>19202</v>
      </c>
    </row>
    <row r="5990" spans="9:13" x14ac:dyDescent="0.25">
      <c r="I5990" t="s">
        <v>12757</v>
      </c>
      <c r="J5990" s="161" t="s">
        <v>19202</v>
      </c>
      <c r="K5990" t="s">
        <v>19203</v>
      </c>
      <c r="L5990" t="s">
        <v>123</v>
      </c>
      <c r="M5990" s="161" t="s">
        <v>19202</v>
      </c>
    </row>
    <row r="5991" spans="9:13" x14ac:dyDescent="0.25">
      <c r="I5991" t="s">
        <v>7177</v>
      </c>
      <c r="J5991" s="161" t="s">
        <v>19202</v>
      </c>
      <c r="K5991" t="s">
        <v>19203</v>
      </c>
      <c r="L5991" t="s">
        <v>7176</v>
      </c>
      <c r="M5991" s="161" t="s">
        <v>19202</v>
      </c>
    </row>
    <row r="5992" spans="9:13" x14ac:dyDescent="0.25">
      <c r="I5992" t="s">
        <v>5203</v>
      </c>
      <c r="J5992" s="161" t="s">
        <v>19202</v>
      </c>
      <c r="K5992" t="s">
        <v>19203</v>
      </c>
      <c r="L5992" t="s">
        <v>5202</v>
      </c>
      <c r="M5992" s="161" t="s">
        <v>19202</v>
      </c>
    </row>
    <row r="5993" spans="9:13" x14ac:dyDescent="0.25">
      <c r="I5993" t="s">
        <v>4552</v>
      </c>
      <c r="J5993" s="161" t="s">
        <v>19202</v>
      </c>
      <c r="K5993" t="s">
        <v>19203</v>
      </c>
      <c r="L5993" t="s">
        <v>4551</v>
      </c>
      <c r="M5993" s="161" t="s">
        <v>19202</v>
      </c>
    </row>
    <row r="5994" spans="9:13" x14ac:dyDescent="0.25">
      <c r="I5994" t="s">
        <v>2395</v>
      </c>
      <c r="J5994" s="161" t="s">
        <v>19202</v>
      </c>
      <c r="K5994" t="s">
        <v>19203</v>
      </c>
      <c r="L5994" t="s">
        <v>2394</v>
      </c>
      <c r="M5994" s="161" t="s">
        <v>19202</v>
      </c>
    </row>
    <row r="5995" spans="9:13" x14ac:dyDescent="0.25">
      <c r="I5995" t="s">
        <v>2389</v>
      </c>
      <c r="J5995" s="161" t="s">
        <v>19202</v>
      </c>
      <c r="K5995" t="s">
        <v>19203</v>
      </c>
      <c r="L5995" t="s">
        <v>2388</v>
      </c>
      <c r="M5995" s="161" t="s">
        <v>19202</v>
      </c>
    </row>
    <row r="5996" spans="9:13" x14ac:dyDescent="0.25">
      <c r="I5996" t="s">
        <v>6023</v>
      </c>
      <c r="J5996" s="161" t="s">
        <v>19202</v>
      </c>
      <c r="K5996" t="s">
        <v>19203</v>
      </c>
      <c r="L5996" t="s">
        <v>6022</v>
      </c>
      <c r="M5996" s="161" t="s">
        <v>19202</v>
      </c>
    </row>
    <row r="5997" spans="9:13" x14ac:dyDescent="0.25">
      <c r="I5997" t="s">
        <v>5687</v>
      </c>
      <c r="J5997" s="161" t="s">
        <v>19202</v>
      </c>
      <c r="K5997" t="s">
        <v>19203</v>
      </c>
      <c r="L5997" t="s">
        <v>5686</v>
      </c>
      <c r="M5997" s="161" t="s">
        <v>19202</v>
      </c>
    </row>
    <row r="5998" spans="9:13" x14ac:dyDescent="0.25">
      <c r="I5998" t="s">
        <v>8642</v>
      </c>
      <c r="J5998" s="161" t="s">
        <v>19202</v>
      </c>
      <c r="K5998" t="s">
        <v>19203</v>
      </c>
      <c r="L5998" t="s">
        <v>8641</v>
      </c>
      <c r="M5998" s="161" t="s">
        <v>19202</v>
      </c>
    </row>
    <row r="5999" spans="9:13" x14ac:dyDescent="0.25">
      <c r="I5999" t="s">
        <v>5948</v>
      </c>
      <c r="J5999" s="161" t="s">
        <v>19202</v>
      </c>
      <c r="K5999" t="s">
        <v>19203</v>
      </c>
      <c r="L5999" t="s">
        <v>5947</v>
      </c>
      <c r="M5999" s="161" t="s">
        <v>19202</v>
      </c>
    </row>
    <row r="6000" spans="9:13" x14ac:dyDescent="0.25">
      <c r="I6000" t="s">
        <v>5954</v>
      </c>
      <c r="J6000" s="161" t="s">
        <v>19202</v>
      </c>
      <c r="K6000" t="s">
        <v>19203</v>
      </c>
      <c r="L6000" t="s">
        <v>5953</v>
      </c>
      <c r="M6000" s="161" t="s">
        <v>19202</v>
      </c>
    </row>
    <row r="6001" spans="9:13" x14ac:dyDescent="0.25">
      <c r="I6001" t="s">
        <v>5996</v>
      </c>
      <c r="J6001" s="161" t="s">
        <v>19202</v>
      </c>
      <c r="K6001" t="s">
        <v>19203</v>
      </c>
      <c r="L6001" t="s">
        <v>5995</v>
      </c>
      <c r="M6001" s="161" t="s">
        <v>19202</v>
      </c>
    </row>
    <row r="6002" spans="9:13" x14ac:dyDescent="0.25">
      <c r="I6002" t="s">
        <v>5264</v>
      </c>
      <c r="J6002" s="161" t="s">
        <v>19202</v>
      </c>
      <c r="K6002" t="s">
        <v>19203</v>
      </c>
      <c r="L6002" t="s">
        <v>5263</v>
      </c>
      <c r="M6002" s="161" t="s">
        <v>19202</v>
      </c>
    </row>
    <row r="6003" spans="9:13" x14ac:dyDescent="0.25">
      <c r="I6003" t="s">
        <v>5645</v>
      </c>
      <c r="J6003" s="161" t="s">
        <v>19202</v>
      </c>
      <c r="K6003" t="s">
        <v>19203</v>
      </c>
      <c r="L6003" t="s">
        <v>5644</v>
      </c>
      <c r="M6003" s="161" t="s">
        <v>19202</v>
      </c>
    </row>
    <row r="6004" spans="9:13" x14ac:dyDescent="0.25">
      <c r="I6004" t="s">
        <v>525</v>
      </c>
      <c r="J6004" s="161" t="s">
        <v>19202</v>
      </c>
      <c r="K6004" t="s">
        <v>19203</v>
      </c>
      <c r="L6004" t="s">
        <v>524</v>
      </c>
      <c r="M6004" s="161" t="s">
        <v>19202</v>
      </c>
    </row>
    <row r="6005" spans="9:13" x14ac:dyDescent="0.25">
      <c r="I6005" t="s">
        <v>17100</v>
      </c>
      <c r="J6005" s="161" t="s">
        <v>19202</v>
      </c>
      <c r="K6005" t="s">
        <v>19203</v>
      </c>
      <c r="L6005" t="s">
        <v>17099</v>
      </c>
      <c r="M6005" s="161" t="s">
        <v>19202</v>
      </c>
    </row>
    <row r="6006" spans="9:13" x14ac:dyDescent="0.25">
      <c r="I6006" t="s">
        <v>9842</v>
      </c>
      <c r="J6006" s="161" t="s">
        <v>19202</v>
      </c>
      <c r="K6006" t="s">
        <v>19203</v>
      </c>
      <c r="L6006" t="s">
        <v>9841</v>
      </c>
      <c r="M6006" s="161" t="s">
        <v>19202</v>
      </c>
    </row>
    <row r="6007" spans="9:13" x14ac:dyDescent="0.25">
      <c r="I6007" t="s">
        <v>17978</v>
      </c>
      <c r="J6007" s="161" t="s">
        <v>19202</v>
      </c>
      <c r="K6007" t="s">
        <v>19203</v>
      </c>
      <c r="L6007" t="s">
        <v>17977</v>
      </c>
      <c r="M6007" s="161" t="s">
        <v>19202</v>
      </c>
    </row>
    <row r="6008" spans="9:13" x14ac:dyDescent="0.25">
      <c r="I6008" t="s">
        <v>12354</v>
      </c>
      <c r="J6008" s="161" t="s">
        <v>19202</v>
      </c>
      <c r="K6008" t="s">
        <v>19203</v>
      </c>
      <c r="L6008" t="s">
        <v>12353</v>
      </c>
      <c r="M6008" s="161" t="s">
        <v>19202</v>
      </c>
    </row>
    <row r="6009" spans="9:13" x14ac:dyDescent="0.25">
      <c r="I6009" t="s">
        <v>5994</v>
      </c>
      <c r="J6009" s="161" t="s">
        <v>19202</v>
      </c>
      <c r="K6009" t="s">
        <v>19203</v>
      </c>
      <c r="L6009" t="s">
        <v>5993</v>
      </c>
      <c r="M6009" s="161" t="s">
        <v>19202</v>
      </c>
    </row>
    <row r="6010" spans="9:13" x14ac:dyDescent="0.25">
      <c r="I6010" t="s">
        <v>4437</v>
      </c>
      <c r="J6010" s="161" t="s">
        <v>19202</v>
      </c>
      <c r="K6010" t="s">
        <v>19203</v>
      </c>
      <c r="L6010" t="s">
        <v>4436</v>
      </c>
      <c r="M6010" s="161" t="s">
        <v>19202</v>
      </c>
    </row>
    <row r="6011" spans="9:13" x14ac:dyDescent="0.25">
      <c r="I6011" t="s">
        <v>14572</v>
      </c>
      <c r="J6011" s="161" t="s">
        <v>19202</v>
      </c>
      <c r="K6011" t="s">
        <v>19203</v>
      </c>
      <c r="L6011" t="s">
        <v>14571</v>
      </c>
      <c r="M6011" s="161" t="s">
        <v>19202</v>
      </c>
    </row>
    <row r="6012" spans="9:13" x14ac:dyDescent="0.25">
      <c r="I6012" t="s">
        <v>13905</v>
      </c>
      <c r="J6012" s="161" t="s">
        <v>19202</v>
      </c>
      <c r="K6012" t="s">
        <v>19203</v>
      </c>
      <c r="L6012" t="s">
        <v>13904</v>
      </c>
      <c r="M6012" s="161" t="s">
        <v>19202</v>
      </c>
    </row>
    <row r="6013" spans="9:13" x14ac:dyDescent="0.25">
      <c r="I6013" t="s">
        <v>15661</v>
      </c>
      <c r="J6013" s="161" t="s">
        <v>19202</v>
      </c>
      <c r="K6013" t="s">
        <v>19203</v>
      </c>
      <c r="L6013" t="s">
        <v>15660</v>
      </c>
      <c r="M6013" s="161" t="s">
        <v>19202</v>
      </c>
    </row>
    <row r="6014" spans="9:13" x14ac:dyDescent="0.25">
      <c r="I6014" t="s">
        <v>14976</v>
      </c>
      <c r="J6014" s="161" t="s">
        <v>19202</v>
      </c>
      <c r="K6014" t="s">
        <v>19203</v>
      </c>
      <c r="L6014" t="s">
        <v>14975</v>
      </c>
      <c r="M6014" s="161" t="s">
        <v>19202</v>
      </c>
    </row>
    <row r="6015" spans="9:13" x14ac:dyDescent="0.25">
      <c r="I6015" t="s">
        <v>19983</v>
      </c>
      <c r="J6015" s="161" t="s">
        <v>19202</v>
      </c>
      <c r="K6015" t="s">
        <v>19203</v>
      </c>
      <c r="L6015" t="s">
        <v>19984</v>
      </c>
      <c r="M6015" s="161" t="s">
        <v>19202</v>
      </c>
    </row>
    <row r="6016" spans="9:13" x14ac:dyDescent="0.25">
      <c r="I6016" t="s">
        <v>6027</v>
      </c>
      <c r="J6016" s="161" t="s">
        <v>19202</v>
      </c>
      <c r="K6016" t="s">
        <v>19203</v>
      </c>
      <c r="L6016" t="s">
        <v>6026</v>
      </c>
      <c r="M6016" s="161" t="s">
        <v>19202</v>
      </c>
    </row>
    <row r="6017" spans="9:13" x14ac:dyDescent="0.25">
      <c r="I6017" t="s">
        <v>15897</v>
      </c>
      <c r="J6017" s="161" t="s">
        <v>19202</v>
      </c>
      <c r="K6017" t="s">
        <v>19203</v>
      </c>
      <c r="L6017" t="s">
        <v>15896</v>
      </c>
      <c r="M6017" s="161" t="s">
        <v>19202</v>
      </c>
    </row>
    <row r="6018" spans="9:13" x14ac:dyDescent="0.25">
      <c r="I6018" t="s">
        <v>1994</v>
      </c>
      <c r="J6018" s="161" t="s">
        <v>19202</v>
      </c>
      <c r="K6018" t="s">
        <v>19203</v>
      </c>
      <c r="L6018" t="s">
        <v>1993</v>
      </c>
      <c r="M6018" s="161" t="s">
        <v>19202</v>
      </c>
    </row>
    <row r="6019" spans="9:13" x14ac:dyDescent="0.25">
      <c r="I6019" t="s">
        <v>12729</v>
      </c>
      <c r="J6019" s="161" t="s">
        <v>19202</v>
      </c>
      <c r="K6019" t="s">
        <v>19203</v>
      </c>
      <c r="L6019" t="s">
        <v>12728</v>
      </c>
      <c r="M6019" s="161" t="s">
        <v>19202</v>
      </c>
    </row>
    <row r="6020" spans="9:13" x14ac:dyDescent="0.25">
      <c r="I6020" t="s">
        <v>4434</v>
      </c>
      <c r="J6020" s="161" t="s">
        <v>19202</v>
      </c>
      <c r="K6020" t="s">
        <v>19203</v>
      </c>
      <c r="L6020" t="s">
        <v>4433</v>
      </c>
      <c r="M6020" s="161" t="s">
        <v>19202</v>
      </c>
    </row>
    <row r="6021" spans="9:13" x14ac:dyDescent="0.25">
      <c r="I6021" t="s">
        <v>4387</v>
      </c>
      <c r="J6021" s="161" t="s">
        <v>19202</v>
      </c>
      <c r="K6021" t="s">
        <v>19203</v>
      </c>
      <c r="L6021" t="s">
        <v>4386</v>
      </c>
      <c r="M6021" s="161" t="s">
        <v>19202</v>
      </c>
    </row>
    <row r="6022" spans="9:13" x14ac:dyDescent="0.25">
      <c r="I6022" t="s">
        <v>5719</v>
      </c>
      <c r="J6022" s="161" t="s">
        <v>19202</v>
      </c>
      <c r="K6022" t="s">
        <v>19203</v>
      </c>
      <c r="L6022" t="s">
        <v>5718</v>
      </c>
      <c r="M6022" s="161" t="s">
        <v>19202</v>
      </c>
    </row>
    <row r="6023" spans="9:13" x14ac:dyDescent="0.25">
      <c r="I6023" t="s">
        <v>8856</v>
      </c>
      <c r="J6023" s="161" t="s">
        <v>19202</v>
      </c>
      <c r="K6023" t="s">
        <v>19203</v>
      </c>
      <c r="L6023" t="s">
        <v>8855</v>
      </c>
      <c r="M6023" s="161" t="s">
        <v>19202</v>
      </c>
    </row>
    <row r="6024" spans="9:13" x14ac:dyDescent="0.25">
      <c r="I6024" t="s">
        <v>4004</v>
      </c>
      <c r="J6024" s="161" t="s">
        <v>19202</v>
      </c>
      <c r="K6024" t="s">
        <v>19203</v>
      </c>
      <c r="L6024" t="s">
        <v>4003</v>
      </c>
      <c r="M6024" s="161" t="s">
        <v>19202</v>
      </c>
    </row>
    <row r="6025" spans="9:13" x14ac:dyDescent="0.25">
      <c r="I6025" t="s">
        <v>9796</v>
      </c>
      <c r="J6025" s="161" t="s">
        <v>19202</v>
      </c>
      <c r="K6025" t="s">
        <v>19203</v>
      </c>
      <c r="L6025" t="s">
        <v>9795</v>
      </c>
      <c r="M6025" s="161" t="s">
        <v>19202</v>
      </c>
    </row>
    <row r="6026" spans="9:13" x14ac:dyDescent="0.25">
      <c r="I6026" t="s">
        <v>420</v>
      </c>
      <c r="J6026" s="161" t="s">
        <v>19202</v>
      </c>
      <c r="K6026" t="s">
        <v>19203</v>
      </c>
      <c r="L6026" t="s">
        <v>419</v>
      </c>
      <c r="M6026" s="161" t="s">
        <v>19202</v>
      </c>
    </row>
    <row r="6027" spans="9:13" x14ac:dyDescent="0.25">
      <c r="I6027" t="s">
        <v>15131</v>
      </c>
      <c r="J6027" s="161" t="s">
        <v>19202</v>
      </c>
      <c r="K6027" t="s">
        <v>19203</v>
      </c>
      <c r="L6027" t="s">
        <v>13703</v>
      </c>
      <c r="M6027" s="161" t="s">
        <v>19202</v>
      </c>
    </row>
    <row r="6028" spans="9:13" x14ac:dyDescent="0.25">
      <c r="I6028" t="s">
        <v>15128</v>
      </c>
      <c r="J6028" s="161" t="s">
        <v>19202</v>
      </c>
      <c r="K6028" t="s">
        <v>19203</v>
      </c>
      <c r="L6028" t="s">
        <v>15127</v>
      </c>
      <c r="M6028" s="161" t="s">
        <v>19202</v>
      </c>
    </row>
    <row r="6029" spans="9:13" x14ac:dyDescent="0.25">
      <c r="I6029" t="s">
        <v>19985</v>
      </c>
      <c r="J6029" s="161" t="s">
        <v>19202</v>
      </c>
      <c r="K6029" t="s">
        <v>19203</v>
      </c>
      <c r="L6029" t="s">
        <v>19986</v>
      </c>
      <c r="M6029" s="161" t="s">
        <v>19202</v>
      </c>
    </row>
    <row r="6030" spans="9:13" x14ac:dyDescent="0.25">
      <c r="I6030" t="s">
        <v>2002</v>
      </c>
      <c r="J6030" s="161" t="s">
        <v>19202</v>
      </c>
      <c r="K6030" t="s">
        <v>19203</v>
      </c>
      <c r="L6030" t="s">
        <v>2001</v>
      </c>
      <c r="M6030" s="161" t="s">
        <v>19202</v>
      </c>
    </row>
    <row r="6031" spans="9:13" x14ac:dyDescent="0.25">
      <c r="I6031" t="s">
        <v>12040</v>
      </c>
      <c r="J6031" s="161" t="s">
        <v>19202</v>
      </c>
      <c r="K6031" t="s">
        <v>19203</v>
      </c>
      <c r="L6031" t="s">
        <v>12039</v>
      </c>
      <c r="M6031" s="161" t="s">
        <v>19202</v>
      </c>
    </row>
    <row r="6032" spans="9:13" x14ac:dyDescent="0.25">
      <c r="I6032" t="s">
        <v>4559</v>
      </c>
      <c r="J6032" s="161" t="s">
        <v>19202</v>
      </c>
      <c r="K6032" t="s">
        <v>19203</v>
      </c>
      <c r="L6032" t="s">
        <v>4558</v>
      </c>
      <c r="M6032" s="161" t="s">
        <v>19202</v>
      </c>
    </row>
    <row r="6033" spans="9:13" x14ac:dyDescent="0.25">
      <c r="I6033" t="s">
        <v>2006</v>
      </c>
      <c r="J6033" s="161" t="s">
        <v>19202</v>
      </c>
      <c r="K6033" t="s">
        <v>19203</v>
      </c>
      <c r="L6033" t="s">
        <v>2005</v>
      </c>
      <c r="M6033" s="161" t="s">
        <v>19202</v>
      </c>
    </row>
    <row r="6034" spans="9:13" x14ac:dyDescent="0.25">
      <c r="I6034" t="s">
        <v>5727</v>
      </c>
      <c r="J6034" s="161" t="s">
        <v>19202</v>
      </c>
      <c r="K6034" t="s">
        <v>19203</v>
      </c>
      <c r="L6034" t="s">
        <v>5726</v>
      </c>
      <c r="M6034" s="161" t="s">
        <v>19202</v>
      </c>
    </row>
    <row r="6035" spans="9:13" x14ac:dyDescent="0.25">
      <c r="I6035" t="s">
        <v>19987</v>
      </c>
      <c r="J6035" s="161" t="s">
        <v>19202</v>
      </c>
      <c r="K6035" t="s">
        <v>19203</v>
      </c>
      <c r="L6035" t="s">
        <v>19988</v>
      </c>
      <c r="M6035" s="161" t="s">
        <v>19202</v>
      </c>
    </row>
    <row r="6036" spans="9:13" x14ac:dyDescent="0.25">
      <c r="I6036" t="s">
        <v>2463</v>
      </c>
      <c r="J6036" s="161" t="s">
        <v>19202</v>
      </c>
      <c r="K6036" t="s">
        <v>19203</v>
      </c>
      <c r="L6036" t="s">
        <v>2462</v>
      </c>
      <c r="M6036" s="161" t="s">
        <v>19202</v>
      </c>
    </row>
    <row r="6037" spans="9:13" x14ac:dyDescent="0.25">
      <c r="I6037" t="s">
        <v>6029</v>
      </c>
      <c r="J6037" s="161" t="s">
        <v>19202</v>
      </c>
      <c r="K6037" t="s">
        <v>19203</v>
      </c>
      <c r="L6037" t="s">
        <v>6028</v>
      </c>
      <c r="M6037" s="161" t="s">
        <v>19202</v>
      </c>
    </row>
    <row r="6038" spans="9:13" x14ac:dyDescent="0.25">
      <c r="I6038" t="s">
        <v>675</v>
      </c>
      <c r="J6038" s="161" t="s">
        <v>19202</v>
      </c>
      <c r="K6038" t="s">
        <v>19203</v>
      </c>
      <c r="L6038" t="s">
        <v>674</v>
      </c>
      <c r="M6038" s="161" t="s">
        <v>19202</v>
      </c>
    </row>
    <row r="6039" spans="9:13" x14ac:dyDescent="0.25">
      <c r="I6039" t="s">
        <v>8720</v>
      </c>
      <c r="J6039" s="161" t="s">
        <v>19202</v>
      </c>
      <c r="K6039" t="s">
        <v>19203</v>
      </c>
      <c r="L6039" t="s">
        <v>8719</v>
      </c>
      <c r="M6039" s="161" t="s">
        <v>19202</v>
      </c>
    </row>
    <row r="6040" spans="9:13" x14ac:dyDescent="0.25">
      <c r="I6040" t="s">
        <v>14570</v>
      </c>
      <c r="J6040" s="161" t="s">
        <v>19202</v>
      </c>
      <c r="K6040" t="s">
        <v>19203</v>
      </c>
      <c r="L6040" t="s">
        <v>14569</v>
      </c>
      <c r="M6040" s="161" t="s">
        <v>19202</v>
      </c>
    </row>
    <row r="6041" spans="9:13" x14ac:dyDescent="0.25">
      <c r="I6041" t="s">
        <v>2479</v>
      </c>
      <c r="J6041" s="161" t="s">
        <v>19202</v>
      </c>
      <c r="K6041" t="s">
        <v>19203</v>
      </c>
      <c r="L6041" t="s">
        <v>2478</v>
      </c>
      <c r="M6041" s="161" t="s">
        <v>19202</v>
      </c>
    </row>
    <row r="6042" spans="9:13" x14ac:dyDescent="0.25">
      <c r="I6042" t="s">
        <v>19989</v>
      </c>
      <c r="J6042" s="161" t="s">
        <v>19202</v>
      </c>
      <c r="K6042" t="s">
        <v>19203</v>
      </c>
      <c r="L6042" t="s">
        <v>19990</v>
      </c>
      <c r="M6042" s="161" t="s">
        <v>19202</v>
      </c>
    </row>
    <row r="6043" spans="9:13" x14ac:dyDescent="0.25">
      <c r="I6043" t="s">
        <v>19991</v>
      </c>
      <c r="J6043" s="161" t="s">
        <v>19202</v>
      </c>
      <c r="K6043" t="s">
        <v>19203</v>
      </c>
      <c r="L6043" t="s">
        <v>19992</v>
      </c>
      <c r="M6043" s="161" t="s">
        <v>19202</v>
      </c>
    </row>
    <row r="6044" spans="9:13" x14ac:dyDescent="0.25">
      <c r="I6044" t="s">
        <v>12762</v>
      </c>
      <c r="J6044" s="161" t="s">
        <v>19202</v>
      </c>
      <c r="K6044" t="s">
        <v>19203</v>
      </c>
      <c r="L6044" t="s">
        <v>12761</v>
      </c>
      <c r="M6044" s="161" t="s">
        <v>19202</v>
      </c>
    </row>
    <row r="6045" spans="9:13" x14ac:dyDescent="0.25">
      <c r="I6045" t="s">
        <v>12760</v>
      </c>
      <c r="J6045" s="161" t="s">
        <v>19202</v>
      </c>
      <c r="K6045" t="s">
        <v>19203</v>
      </c>
      <c r="L6045" t="s">
        <v>12759</v>
      </c>
      <c r="M6045" s="161" t="s">
        <v>19202</v>
      </c>
    </row>
    <row r="6046" spans="9:13" x14ac:dyDescent="0.25">
      <c r="I6046" t="s">
        <v>5942</v>
      </c>
      <c r="J6046" s="161" t="s">
        <v>19202</v>
      </c>
      <c r="K6046" t="s">
        <v>19203</v>
      </c>
      <c r="L6046" t="s">
        <v>5941</v>
      </c>
      <c r="M6046" s="161" t="s">
        <v>19202</v>
      </c>
    </row>
    <row r="6047" spans="9:13" x14ac:dyDescent="0.25">
      <c r="I6047" t="s">
        <v>15309</v>
      </c>
      <c r="J6047" s="161" t="s">
        <v>19202</v>
      </c>
      <c r="K6047" t="s">
        <v>19203</v>
      </c>
      <c r="L6047" t="s">
        <v>15308</v>
      </c>
      <c r="M6047" s="161" t="s">
        <v>19202</v>
      </c>
    </row>
    <row r="6048" spans="9:13" x14ac:dyDescent="0.25">
      <c r="I6048" t="s">
        <v>15627</v>
      </c>
      <c r="J6048" s="161" t="s">
        <v>19202</v>
      </c>
      <c r="K6048" t="s">
        <v>19203</v>
      </c>
      <c r="L6048" t="s">
        <v>13969</v>
      </c>
      <c r="M6048" s="161" t="s">
        <v>19202</v>
      </c>
    </row>
    <row r="6049" spans="9:13" x14ac:dyDescent="0.25">
      <c r="I6049" t="s">
        <v>16291</v>
      </c>
      <c r="J6049" s="161" t="s">
        <v>19202</v>
      </c>
      <c r="K6049" t="s">
        <v>19203</v>
      </c>
      <c r="L6049" t="s">
        <v>16290</v>
      </c>
      <c r="M6049" s="161" t="s">
        <v>19202</v>
      </c>
    </row>
    <row r="6050" spans="9:13" x14ac:dyDescent="0.25">
      <c r="I6050" t="s">
        <v>2609</v>
      </c>
      <c r="J6050" s="161" t="s">
        <v>19202</v>
      </c>
      <c r="K6050" t="s">
        <v>19203</v>
      </c>
      <c r="L6050" t="s">
        <v>2608</v>
      </c>
      <c r="M6050" s="161" t="s">
        <v>19202</v>
      </c>
    </row>
    <row r="6051" spans="9:13" x14ac:dyDescent="0.25">
      <c r="I6051" t="s">
        <v>5952</v>
      </c>
      <c r="J6051" s="161" t="s">
        <v>19202</v>
      </c>
      <c r="K6051" t="s">
        <v>19203</v>
      </c>
      <c r="L6051" t="s">
        <v>5951</v>
      </c>
      <c r="M6051" s="161" t="s">
        <v>19202</v>
      </c>
    </row>
    <row r="6052" spans="9:13" x14ac:dyDescent="0.25">
      <c r="I6052" t="s">
        <v>16217</v>
      </c>
      <c r="J6052" s="161" t="s">
        <v>19202</v>
      </c>
      <c r="K6052" t="s">
        <v>19203</v>
      </c>
      <c r="L6052" t="s">
        <v>3928</v>
      </c>
      <c r="M6052" s="161" t="s">
        <v>19202</v>
      </c>
    </row>
    <row r="6053" spans="9:13" x14ac:dyDescent="0.25">
      <c r="I6053" t="s">
        <v>16942</v>
      </c>
      <c r="J6053" s="161" t="s">
        <v>19202</v>
      </c>
      <c r="K6053" t="s">
        <v>19203</v>
      </c>
      <c r="L6053" t="s">
        <v>16941</v>
      </c>
      <c r="M6053" s="161" t="s">
        <v>19202</v>
      </c>
    </row>
    <row r="6054" spans="9:13" x14ac:dyDescent="0.25">
      <c r="I6054" t="s">
        <v>9657</v>
      </c>
      <c r="J6054" s="161" t="s">
        <v>19202</v>
      </c>
      <c r="K6054" t="s">
        <v>19203</v>
      </c>
      <c r="L6054" t="s">
        <v>9656</v>
      </c>
      <c r="M6054" s="161" t="s">
        <v>19202</v>
      </c>
    </row>
    <row r="6055" spans="9:13" x14ac:dyDescent="0.25">
      <c r="I6055" t="s">
        <v>2471</v>
      </c>
      <c r="J6055" s="161" t="s">
        <v>19202</v>
      </c>
      <c r="K6055" t="s">
        <v>19203</v>
      </c>
      <c r="L6055" t="s">
        <v>2470</v>
      </c>
      <c r="M6055" s="161" t="s">
        <v>19202</v>
      </c>
    </row>
    <row r="6056" spans="9:13" x14ac:dyDescent="0.25">
      <c r="I6056" t="s">
        <v>11979</v>
      </c>
      <c r="J6056" s="161" t="s">
        <v>19202</v>
      </c>
      <c r="K6056" t="s">
        <v>19203</v>
      </c>
      <c r="L6056" t="s">
        <v>11978</v>
      </c>
      <c r="M6056" s="161" t="s">
        <v>19202</v>
      </c>
    </row>
    <row r="6057" spans="9:13" x14ac:dyDescent="0.25">
      <c r="I6057" t="s">
        <v>13850</v>
      </c>
      <c r="J6057" s="161" t="s">
        <v>19202</v>
      </c>
      <c r="K6057" t="s">
        <v>19203</v>
      </c>
      <c r="L6057" t="s">
        <v>658</v>
      </c>
      <c r="M6057" s="161" t="s">
        <v>19202</v>
      </c>
    </row>
    <row r="6058" spans="9:13" x14ac:dyDescent="0.25">
      <c r="I6058" t="s">
        <v>2566</v>
      </c>
      <c r="J6058" s="161" t="s">
        <v>19202</v>
      </c>
      <c r="K6058" t="s">
        <v>19203</v>
      </c>
      <c r="L6058" t="s">
        <v>2565</v>
      </c>
      <c r="M6058" s="161" t="s">
        <v>19202</v>
      </c>
    </row>
    <row r="6059" spans="9:13" x14ac:dyDescent="0.25">
      <c r="I6059" t="s">
        <v>10429</v>
      </c>
      <c r="J6059" s="161" t="s">
        <v>19202</v>
      </c>
      <c r="K6059" t="s">
        <v>19203</v>
      </c>
      <c r="L6059" t="s">
        <v>10428</v>
      </c>
      <c r="M6059" s="161" t="s">
        <v>19202</v>
      </c>
    </row>
    <row r="6060" spans="9:13" x14ac:dyDescent="0.25">
      <c r="I6060" t="s">
        <v>16940</v>
      </c>
      <c r="J6060" s="161" t="s">
        <v>19202</v>
      </c>
      <c r="K6060" t="s">
        <v>19203</v>
      </c>
      <c r="L6060" t="s">
        <v>16939</v>
      </c>
      <c r="M6060" s="161" t="s">
        <v>19202</v>
      </c>
    </row>
    <row r="6061" spans="9:13" x14ac:dyDescent="0.25">
      <c r="I6061" t="s">
        <v>16292</v>
      </c>
      <c r="J6061" s="161" t="s">
        <v>19202</v>
      </c>
      <c r="K6061" t="s">
        <v>19203</v>
      </c>
      <c r="L6061" t="s">
        <v>14028</v>
      </c>
      <c r="M6061" s="161" t="s">
        <v>19202</v>
      </c>
    </row>
    <row r="6062" spans="9:13" x14ac:dyDescent="0.25">
      <c r="I6062" t="s">
        <v>10431</v>
      </c>
      <c r="J6062" s="161" t="s">
        <v>19202</v>
      </c>
      <c r="K6062" t="s">
        <v>19203</v>
      </c>
      <c r="L6062" t="s">
        <v>10430</v>
      </c>
      <c r="M6062" s="161" t="s">
        <v>19202</v>
      </c>
    </row>
    <row r="6063" spans="9:13" x14ac:dyDescent="0.25">
      <c r="I6063" t="s">
        <v>5749</v>
      </c>
      <c r="J6063" s="161" t="s">
        <v>19202</v>
      </c>
      <c r="K6063" t="s">
        <v>19203</v>
      </c>
      <c r="L6063" t="s">
        <v>5748</v>
      </c>
      <c r="M6063" s="161" t="s">
        <v>19202</v>
      </c>
    </row>
    <row r="6064" spans="9:13" x14ac:dyDescent="0.25">
      <c r="I6064" t="s">
        <v>16041</v>
      </c>
      <c r="J6064" s="161" t="s">
        <v>19202</v>
      </c>
      <c r="K6064" t="s">
        <v>19203</v>
      </c>
      <c r="L6064" t="s">
        <v>16040</v>
      </c>
      <c r="M6064" s="161" t="s">
        <v>19202</v>
      </c>
    </row>
    <row r="6065" spans="9:13" x14ac:dyDescent="0.25">
      <c r="I6065" t="s">
        <v>9947</v>
      </c>
      <c r="J6065" s="161" t="s">
        <v>19202</v>
      </c>
      <c r="K6065" t="s">
        <v>19203</v>
      </c>
      <c r="L6065" t="s">
        <v>9946</v>
      </c>
      <c r="M6065" s="161" t="s">
        <v>19202</v>
      </c>
    </row>
    <row r="6066" spans="9:13" x14ac:dyDescent="0.25">
      <c r="I6066" t="s">
        <v>16099</v>
      </c>
      <c r="J6066" s="161" t="s">
        <v>19202</v>
      </c>
      <c r="K6066" t="s">
        <v>19203</v>
      </c>
      <c r="L6066" t="s">
        <v>15820</v>
      </c>
      <c r="M6066" s="161" t="s">
        <v>19202</v>
      </c>
    </row>
    <row r="6067" spans="9:13" x14ac:dyDescent="0.25">
      <c r="I6067" t="s">
        <v>16098</v>
      </c>
      <c r="J6067" s="161" t="s">
        <v>19202</v>
      </c>
      <c r="K6067" t="s">
        <v>19203</v>
      </c>
      <c r="L6067" t="s">
        <v>16097</v>
      </c>
      <c r="M6067" s="161" t="s">
        <v>19202</v>
      </c>
    </row>
    <row r="6068" spans="9:13" x14ac:dyDescent="0.25">
      <c r="I6068" t="s">
        <v>4001</v>
      </c>
      <c r="J6068" s="161" t="s">
        <v>19202</v>
      </c>
      <c r="K6068" t="s">
        <v>19203</v>
      </c>
      <c r="L6068" t="s">
        <v>159</v>
      </c>
      <c r="M6068" s="161" t="s">
        <v>19202</v>
      </c>
    </row>
    <row r="6069" spans="9:13" x14ac:dyDescent="0.25">
      <c r="I6069" t="s">
        <v>16221</v>
      </c>
      <c r="J6069" s="161" t="s">
        <v>19202</v>
      </c>
      <c r="K6069" t="s">
        <v>19203</v>
      </c>
      <c r="L6069" t="s">
        <v>16220</v>
      </c>
      <c r="M6069" s="161" t="s">
        <v>19202</v>
      </c>
    </row>
    <row r="6070" spans="9:13" x14ac:dyDescent="0.25">
      <c r="I6070" t="s">
        <v>8860</v>
      </c>
      <c r="J6070" s="161" t="s">
        <v>19202</v>
      </c>
      <c r="K6070" t="s">
        <v>19203</v>
      </c>
      <c r="L6070" t="s">
        <v>8859</v>
      </c>
      <c r="M6070" s="161" t="s">
        <v>19202</v>
      </c>
    </row>
    <row r="6071" spans="9:13" x14ac:dyDescent="0.25">
      <c r="I6071" t="s">
        <v>19993</v>
      </c>
      <c r="J6071" s="161" t="s">
        <v>19202</v>
      </c>
      <c r="K6071" t="s">
        <v>19203</v>
      </c>
      <c r="L6071" t="s">
        <v>6310</v>
      </c>
      <c r="M6071" s="161" t="s">
        <v>19202</v>
      </c>
    </row>
    <row r="6072" spans="9:13" x14ac:dyDescent="0.25">
      <c r="I6072" t="s">
        <v>5116</v>
      </c>
      <c r="J6072" s="161" t="s">
        <v>19202</v>
      </c>
      <c r="K6072" t="s">
        <v>19203</v>
      </c>
      <c r="L6072" t="s">
        <v>5115</v>
      </c>
      <c r="M6072" s="161" t="s">
        <v>19202</v>
      </c>
    </row>
    <row r="6073" spans="9:13" x14ac:dyDescent="0.25">
      <c r="I6073" t="s">
        <v>15057</v>
      </c>
      <c r="J6073" s="161" t="s">
        <v>19202</v>
      </c>
      <c r="K6073" t="s">
        <v>19203</v>
      </c>
      <c r="L6073" t="s">
        <v>15056</v>
      </c>
      <c r="M6073" s="161" t="s">
        <v>19202</v>
      </c>
    </row>
    <row r="6074" spans="9:13" x14ac:dyDescent="0.25">
      <c r="I6074" t="s">
        <v>2481</v>
      </c>
      <c r="J6074" s="161" t="s">
        <v>19202</v>
      </c>
      <c r="K6074" t="s">
        <v>19203</v>
      </c>
      <c r="L6074" t="s">
        <v>2480</v>
      </c>
      <c r="M6074" s="161" t="s">
        <v>19202</v>
      </c>
    </row>
    <row r="6075" spans="9:13" x14ac:dyDescent="0.25">
      <c r="I6075" t="s">
        <v>6905</v>
      </c>
      <c r="J6075" s="161" t="s">
        <v>19202</v>
      </c>
      <c r="K6075" t="s">
        <v>19203</v>
      </c>
      <c r="L6075" t="s">
        <v>6904</v>
      </c>
      <c r="M6075" s="161" t="s">
        <v>19202</v>
      </c>
    </row>
    <row r="6076" spans="9:13" x14ac:dyDescent="0.25">
      <c r="I6076" t="s">
        <v>8024</v>
      </c>
      <c r="J6076" s="161" t="s">
        <v>19202</v>
      </c>
      <c r="K6076" t="s">
        <v>19203</v>
      </c>
      <c r="L6076" t="s">
        <v>8023</v>
      </c>
      <c r="M6076" s="161" t="s">
        <v>19202</v>
      </c>
    </row>
    <row r="6077" spans="9:13" x14ac:dyDescent="0.25">
      <c r="I6077" t="s">
        <v>16216</v>
      </c>
      <c r="J6077" s="161" t="s">
        <v>19202</v>
      </c>
      <c r="K6077" t="s">
        <v>19203</v>
      </c>
      <c r="L6077" t="s">
        <v>16215</v>
      </c>
      <c r="M6077" s="161" t="s">
        <v>19202</v>
      </c>
    </row>
    <row r="6078" spans="9:13" x14ac:dyDescent="0.25">
      <c r="I6078" t="s">
        <v>7946</v>
      </c>
      <c r="J6078" s="161" t="s">
        <v>19202</v>
      </c>
      <c r="K6078" t="s">
        <v>19203</v>
      </c>
      <c r="L6078" t="s">
        <v>7945</v>
      </c>
      <c r="M6078" s="161" t="s">
        <v>19202</v>
      </c>
    </row>
    <row r="6079" spans="9:13" x14ac:dyDescent="0.25">
      <c r="I6079" t="s">
        <v>16662</v>
      </c>
      <c r="J6079" s="167" t="s">
        <v>19994</v>
      </c>
      <c r="K6079" t="s">
        <v>19203</v>
      </c>
      <c r="L6079" t="s">
        <v>16661</v>
      </c>
      <c r="M6079" s="167" t="s">
        <v>19994</v>
      </c>
    </row>
    <row r="6080" spans="9:13" x14ac:dyDescent="0.25">
      <c r="I6080" t="s">
        <v>19995</v>
      </c>
      <c r="J6080" s="161" t="s">
        <v>19202</v>
      </c>
      <c r="K6080" t="s">
        <v>19203</v>
      </c>
      <c r="L6080" t="s">
        <v>15147</v>
      </c>
      <c r="M6080" s="161" t="s">
        <v>19202</v>
      </c>
    </row>
    <row r="6081" spans="9:13" x14ac:dyDescent="0.25">
      <c r="I6081" t="s">
        <v>15513</v>
      </c>
      <c r="J6081" s="161" t="s">
        <v>19202</v>
      </c>
      <c r="K6081" t="s">
        <v>19203</v>
      </c>
      <c r="L6081" t="s">
        <v>5479</v>
      </c>
      <c r="M6081" s="161" t="s">
        <v>19202</v>
      </c>
    </row>
    <row r="6082" spans="9:13" x14ac:dyDescent="0.25">
      <c r="I6082" t="s">
        <v>15821</v>
      </c>
      <c r="J6082" s="161" t="s">
        <v>19202</v>
      </c>
      <c r="K6082" t="s">
        <v>19203</v>
      </c>
      <c r="L6082" t="s">
        <v>15820</v>
      </c>
      <c r="M6082" s="161" t="s">
        <v>19202</v>
      </c>
    </row>
    <row r="6083" spans="9:13" x14ac:dyDescent="0.25">
      <c r="I6083" t="s">
        <v>11070</v>
      </c>
      <c r="J6083" s="161" t="s">
        <v>19202</v>
      </c>
      <c r="K6083" t="s">
        <v>19203</v>
      </c>
      <c r="L6083" t="s">
        <v>11069</v>
      </c>
      <c r="M6083" s="161" t="s">
        <v>19202</v>
      </c>
    </row>
    <row r="6084" spans="9:13" x14ac:dyDescent="0.25">
      <c r="I6084" t="s">
        <v>5226</v>
      </c>
      <c r="J6084" s="161" t="s">
        <v>19202</v>
      </c>
      <c r="K6084" t="s">
        <v>19203</v>
      </c>
      <c r="L6084" t="s">
        <v>5225</v>
      </c>
      <c r="M6084" s="161" t="s">
        <v>19202</v>
      </c>
    </row>
    <row r="6085" spans="9:13" x14ac:dyDescent="0.25">
      <c r="I6085" t="s">
        <v>5218</v>
      </c>
      <c r="J6085" s="161" t="s">
        <v>19202</v>
      </c>
      <c r="K6085" t="s">
        <v>19203</v>
      </c>
      <c r="L6085" t="s">
        <v>5217</v>
      </c>
      <c r="M6085" s="161" t="s">
        <v>19202</v>
      </c>
    </row>
    <row r="6086" spans="9:13" x14ac:dyDescent="0.25">
      <c r="I6086" t="s">
        <v>5205</v>
      </c>
      <c r="J6086" s="161" t="s">
        <v>19202</v>
      </c>
      <c r="K6086" t="s">
        <v>19203</v>
      </c>
      <c r="L6086" t="s">
        <v>5204</v>
      </c>
      <c r="M6086" s="161" t="s">
        <v>19202</v>
      </c>
    </row>
    <row r="6087" spans="9:13" x14ac:dyDescent="0.25">
      <c r="I6087" t="s">
        <v>2475</v>
      </c>
      <c r="J6087" s="161" t="s">
        <v>19202</v>
      </c>
      <c r="K6087" t="s">
        <v>19203</v>
      </c>
      <c r="L6087" t="s">
        <v>2474</v>
      </c>
      <c r="M6087" s="161" t="s">
        <v>19202</v>
      </c>
    </row>
    <row r="6088" spans="9:13" x14ac:dyDescent="0.25">
      <c r="I6088" t="s">
        <v>15546</v>
      </c>
      <c r="J6088" s="161" t="s">
        <v>19202</v>
      </c>
      <c r="K6088" t="s">
        <v>19203</v>
      </c>
      <c r="L6088" t="s">
        <v>15545</v>
      </c>
      <c r="M6088" s="161" t="s">
        <v>19202</v>
      </c>
    </row>
    <row r="6089" spans="9:13" x14ac:dyDescent="0.25">
      <c r="I6089" t="s">
        <v>2483</v>
      </c>
      <c r="J6089" s="161" t="s">
        <v>19202</v>
      </c>
      <c r="K6089" t="s">
        <v>19203</v>
      </c>
      <c r="L6089" t="s">
        <v>2482</v>
      </c>
      <c r="M6089" s="161" t="s">
        <v>19202</v>
      </c>
    </row>
    <row r="6090" spans="9:13" x14ac:dyDescent="0.25">
      <c r="I6090" t="s">
        <v>16145</v>
      </c>
      <c r="J6090" s="161" t="s">
        <v>19202</v>
      </c>
      <c r="K6090" t="s">
        <v>19203</v>
      </c>
      <c r="L6090" t="s">
        <v>4363</v>
      </c>
      <c r="M6090" s="161" t="s">
        <v>19202</v>
      </c>
    </row>
    <row r="6091" spans="9:13" x14ac:dyDescent="0.25">
      <c r="I6091" t="s">
        <v>15959</v>
      </c>
      <c r="J6091" s="161" t="s">
        <v>19202</v>
      </c>
      <c r="K6091" t="s">
        <v>19203</v>
      </c>
      <c r="L6091" t="s">
        <v>15958</v>
      </c>
      <c r="M6091" s="161" t="s">
        <v>19202</v>
      </c>
    </row>
    <row r="6092" spans="9:13" x14ac:dyDescent="0.25">
      <c r="I6092" t="s">
        <v>16096</v>
      </c>
      <c r="J6092" s="161" t="s">
        <v>19202</v>
      </c>
      <c r="K6092" t="s">
        <v>19203</v>
      </c>
      <c r="L6092" t="s">
        <v>16095</v>
      </c>
      <c r="M6092" s="161" t="s">
        <v>19202</v>
      </c>
    </row>
    <row r="6093" spans="9:13" x14ac:dyDescent="0.25">
      <c r="I6093" t="s">
        <v>8660</v>
      </c>
      <c r="J6093" s="161" t="s">
        <v>19202</v>
      </c>
      <c r="K6093" t="s">
        <v>19203</v>
      </c>
      <c r="L6093" t="s">
        <v>8659</v>
      </c>
      <c r="M6093" s="161" t="s">
        <v>19202</v>
      </c>
    </row>
    <row r="6094" spans="9:13" x14ac:dyDescent="0.25">
      <c r="I6094" t="s">
        <v>9306</v>
      </c>
      <c r="J6094" s="161" t="s">
        <v>19202</v>
      </c>
      <c r="K6094" t="s">
        <v>19203</v>
      </c>
      <c r="L6094" t="s">
        <v>9305</v>
      </c>
      <c r="M6094" s="161" t="s">
        <v>19202</v>
      </c>
    </row>
    <row r="6095" spans="9:13" x14ac:dyDescent="0.25">
      <c r="I6095" t="s">
        <v>6017</v>
      </c>
      <c r="J6095" s="161" t="s">
        <v>19202</v>
      </c>
      <c r="K6095" t="s">
        <v>19203</v>
      </c>
      <c r="L6095" t="s">
        <v>5397</v>
      </c>
      <c r="M6095" s="161" t="s">
        <v>19202</v>
      </c>
    </row>
    <row r="6096" spans="9:13" x14ac:dyDescent="0.25">
      <c r="I6096" t="s">
        <v>6935</v>
      </c>
      <c r="J6096" s="161" t="s">
        <v>19202</v>
      </c>
      <c r="K6096" t="s">
        <v>19203</v>
      </c>
      <c r="L6096" t="s">
        <v>6934</v>
      </c>
      <c r="M6096" s="161" t="s">
        <v>19202</v>
      </c>
    </row>
    <row r="6097" spans="9:13" x14ac:dyDescent="0.25">
      <c r="I6097" t="s">
        <v>5237</v>
      </c>
      <c r="J6097" s="161" t="s">
        <v>19202</v>
      </c>
      <c r="K6097" t="s">
        <v>19203</v>
      </c>
      <c r="L6097" t="s">
        <v>5236</v>
      </c>
      <c r="M6097" s="161" t="s">
        <v>19202</v>
      </c>
    </row>
    <row r="6098" spans="9:13" x14ac:dyDescent="0.25">
      <c r="I6098" t="s">
        <v>15130</v>
      </c>
      <c r="J6098" s="161" t="s">
        <v>19202</v>
      </c>
      <c r="K6098" t="s">
        <v>19203</v>
      </c>
      <c r="L6098" t="s">
        <v>14995</v>
      </c>
      <c r="M6098" s="161" t="s">
        <v>19202</v>
      </c>
    </row>
    <row r="6099" spans="9:13" x14ac:dyDescent="0.25">
      <c r="I6099" t="s">
        <v>15824</v>
      </c>
      <c r="J6099" s="161" t="s">
        <v>19202</v>
      </c>
      <c r="K6099" t="s">
        <v>19203</v>
      </c>
      <c r="L6099" t="s">
        <v>270</v>
      </c>
      <c r="M6099" s="161" t="s">
        <v>19202</v>
      </c>
    </row>
    <row r="6100" spans="9:13" x14ac:dyDescent="0.25">
      <c r="I6100" t="s">
        <v>15626</v>
      </c>
      <c r="J6100" s="161" t="s">
        <v>19202</v>
      </c>
      <c r="K6100" t="s">
        <v>19203</v>
      </c>
      <c r="L6100" t="s">
        <v>15625</v>
      </c>
      <c r="M6100" s="161" t="s">
        <v>19202</v>
      </c>
    </row>
    <row r="6101" spans="9:13" x14ac:dyDescent="0.25">
      <c r="I6101" t="s">
        <v>7372</v>
      </c>
      <c r="J6101" s="161" t="s">
        <v>19202</v>
      </c>
      <c r="K6101" t="s">
        <v>19203</v>
      </c>
      <c r="L6101" t="s">
        <v>7371</v>
      </c>
      <c r="M6101" s="161" t="s">
        <v>19202</v>
      </c>
    </row>
    <row r="6102" spans="9:13" x14ac:dyDescent="0.25">
      <c r="I6102" t="s">
        <v>5955</v>
      </c>
      <c r="J6102" s="161" t="s">
        <v>19202</v>
      </c>
      <c r="K6102" t="s">
        <v>19203</v>
      </c>
      <c r="L6102" t="s">
        <v>3665</v>
      </c>
      <c r="M6102" s="161" t="s">
        <v>19202</v>
      </c>
    </row>
    <row r="6103" spans="9:13" x14ac:dyDescent="0.25">
      <c r="I6103" t="s">
        <v>480</v>
      </c>
      <c r="J6103" s="161" t="s">
        <v>19202</v>
      </c>
      <c r="K6103" t="s">
        <v>19203</v>
      </c>
      <c r="L6103" t="s">
        <v>479</v>
      </c>
      <c r="M6103" s="161" t="s">
        <v>19202</v>
      </c>
    </row>
    <row r="6104" spans="9:13" x14ac:dyDescent="0.25">
      <c r="I6104" t="s">
        <v>19996</v>
      </c>
      <c r="J6104" s="161" t="s">
        <v>19202</v>
      </c>
      <c r="K6104" t="s">
        <v>19203</v>
      </c>
      <c r="L6104" t="s">
        <v>4911</v>
      </c>
      <c r="M6104" s="161" t="s">
        <v>19202</v>
      </c>
    </row>
    <row r="6105" spans="9:13" x14ac:dyDescent="0.25">
      <c r="I6105" t="s">
        <v>16219</v>
      </c>
      <c r="J6105" s="161" t="s">
        <v>19202</v>
      </c>
      <c r="K6105" t="s">
        <v>19203</v>
      </c>
      <c r="L6105" t="s">
        <v>16218</v>
      </c>
      <c r="M6105" s="161" t="s">
        <v>19202</v>
      </c>
    </row>
    <row r="6106" spans="9:13" x14ac:dyDescent="0.25">
      <c r="I6106" t="s">
        <v>416</v>
      </c>
      <c r="J6106" s="161" t="s">
        <v>19202</v>
      </c>
      <c r="K6106" t="s">
        <v>19203</v>
      </c>
      <c r="L6106" t="s">
        <v>415</v>
      </c>
      <c r="M6106" s="161" t="s">
        <v>19202</v>
      </c>
    </row>
    <row r="6107" spans="9:13" x14ac:dyDescent="0.25">
      <c r="I6107" t="s">
        <v>19997</v>
      </c>
      <c r="J6107" s="161" t="s">
        <v>19202</v>
      </c>
      <c r="K6107" t="s">
        <v>19203</v>
      </c>
      <c r="L6107" t="s">
        <v>941</v>
      </c>
      <c r="M6107" s="161" t="s">
        <v>19202</v>
      </c>
    </row>
    <row r="6108" spans="9:13" x14ac:dyDescent="0.25">
      <c r="I6108" t="s">
        <v>16408</v>
      </c>
      <c r="J6108" s="161" t="s">
        <v>19202</v>
      </c>
      <c r="K6108" t="s">
        <v>19203</v>
      </c>
      <c r="L6108" t="s">
        <v>1646</v>
      </c>
      <c r="M6108" s="161" t="s">
        <v>19202</v>
      </c>
    </row>
    <row r="6109" spans="9:13" x14ac:dyDescent="0.25">
      <c r="I6109" t="s">
        <v>5614</v>
      </c>
      <c r="J6109" s="161" t="s">
        <v>19202</v>
      </c>
      <c r="K6109" t="s">
        <v>19203</v>
      </c>
      <c r="L6109" t="s">
        <v>5613</v>
      </c>
      <c r="M6109" s="161" t="s">
        <v>19202</v>
      </c>
    </row>
    <row r="6110" spans="9:13" x14ac:dyDescent="0.25">
      <c r="I6110" t="s">
        <v>5543</v>
      </c>
      <c r="J6110" s="161" t="s">
        <v>19202</v>
      </c>
      <c r="K6110" t="s">
        <v>19203</v>
      </c>
      <c r="L6110" t="s">
        <v>5542</v>
      </c>
      <c r="M6110" s="161" t="s">
        <v>19202</v>
      </c>
    </row>
    <row r="6111" spans="9:13" x14ac:dyDescent="0.25">
      <c r="I6111" t="s">
        <v>8652</v>
      </c>
      <c r="J6111" s="161" t="s">
        <v>19202</v>
      </c>
      <c r="K6111" t="s">
        <v>19203</v>
      </c>
      <c r="L6111" t="s">
        <v>8651</v>
      </c>
      <c r="M6111" s="161" t="s">
        <v>19202</v>
      </c>
    </row>
    <row r="6112" spans="9:13" x14ac:dyDescent="0.25">
      <c r="I6112" t="s">
        <v>16450</v>
      </c>
      <c r="J6112" s="161" t="s">
        <v>19202</v>
      </c>
      <c r="K6112" t="s">
        <v>19203</v>
      </c>
      <c r="L6112" t="s">
        <v>13197</v>
      </c>
      <c r="M6112" s="161" t="s">
        <v>19202</v>
      </c>
    </row>
    <row r="6113" spans="9:13" x14ac:dyDescent="0.25">
      <c r="I6113" t="s">
        <v>19998</v>
      </c>
      <c r="J6113" s="161" t="s">
        <v>19202</v>
      </c>
      <c r="K6113" t="s">
        <v>19203</v>
      </c>
      <c r="L6113" t="s">
        <v>3537</v>
      </c>
      <c r="M6113" s="161" t="s">
        <v>19202</v>
      </c>
    </row>
    <row r="6114" spans="9:13" x14ac:dyDescent="0.25">
      <c r="I6114" t="s">
        <v>15715</v>
      </c>
      <c r="J6114" s="161" t="s">
        <v>19202</v>
      </c>
      <c r="K6114" t="s">
        <v>19203</v>
      </c>
      <c r="L6114" t="s">
        <v>15714</v>
      </c>
      <c r="M6114" s="161" t="s">
        <v>19202</v>
      </c>
    </row>
    <row r="6115" spans="9:13" x14ac:dyDescent="0.25">
      <c r="I6115" t="s">
        <v>15823</v>
      </c>
      <c r="J6115" s="161" t="s">
        <v>19202</v>
      </c>
      <c r="K6115" t="s">
        <v>19203</v>
      </c>
      <c r="L6115" t="s">
        <v>15822</v>
      </c>
      <c r="M6115" s="161" t="s">
        <v>19202</v>
      </c>
    </row>
    <row r="6116" spans="9:13" x14ac:dyDescent="0.25">
      <c r="I6116" t="s">
        <v>9546</v>
      </c>
      <c r="J6116" s="161" t="s">
        <v>19202</v>
      </c>
      <c r="K6116" t="s">
        <v>19203</v>
      </c>
      <c r="L6116" t="s">
        <v>9545</v>
      </c>
      <c r="M6116" s="161" t="s">
        <v>19202</v>
      </c>
    </row>
    <row r="6117" spans="9:13" x14ac:dyDescent="0.25">
      <c r="I6117" t="s">
        <v>19999</v>
      </c>
      <c r="J6117" s="161" t="s">
        <v>19202</v>
      </c>
      <c r="K6117" t="s">
        <v>19203</v>
      </c>
      <c r="L6117" t="s">
        <v>20000</v>
      </c>
      <c r="M6117" s="161" t="s">
        <v>19202</v>
      </c>
    </row>
    <row r="6118" spans="9:13" x14ac:dyDescent="0.25">
      <c r="I6118" t="s">
        <v>2477</v>
      </c>
      <c r="J6118" s="161" t="s">
        <v>19202</v>
      </c>
      <c r="K6118" t="s">
        <v>19203</v>
      </c>
      <c r="L6118" t="s">
        <v>2476</v>
      </c>
      <c r="M6118" s="161" t="s">
        <v>19202</v>
      </c>
    </row>
    <row r="6119" spans="9:13" x14ac:dyDescent="0.25">
      <c r="I6119" t="s">
        <v>2843</v>
      </c>
      <c r="J6119" s="161" t="s">
        <v>19202</v>
      </c>
      <c r="K6119" t="s">
        <v>19203</v>
      </c>
      <c r="L6119" t="s">
        <v>2842</v>
      </c>
      <c r="M6119" s="161" t="s">
        <v>19202</v>
      </c>
    </row>
    <row r="6120" spans="9:13" x14ac:dyDescent="0.25">
      <c r="I6120" t="s">
        <v>15659</v>
      </c>
      <c r="J6120" s="161" t="s">
        <v>19202</v>
      </c>
      <c r="K6120" t="s">
        <v>19203</v>
      </c>
      <c r="L6120" t="s">
        <v>15658</v>
      </c>
      <c r="M6120" s="161" t="s">
        <v>19202</v>
      </c>
    </row>
    <row r="6121" spans="9:13" x14ac:dyDescent="0.25">
      <c r="I6121" t="s">
        <v>8978</v>
      </c>
      <c r="J6121" s="161" t="s">
        <v>19202</v>
      </c>
      <c r="K6121" t="s">
        <v>19203</v>
      </c>
      <c r="L6121" t="s">
        <v>8977</v>
      </c>
      <c r="M6121" s="161" t="s">
        <v>19202</v>
      </c>
    </row>
    <row r="6122" spans="9:13" x14ac:dyDescent="0.25">
      <c r="I6122" t="s">
        <v>20001</v>
      </c>
      <c r="J6122" s="161" t="s">
        <v>19202</v>
      </c>
      <c r="K6122" t="s">
        <v>19203</v>
      </c>
      <c r="L6122" t="s">
        <v>20002</v>
      </c>
      <c r="M6122" s="161" t="s">
        <v>19202</v>
      </c>
    </row>
    <row r="6123" spans="9:13" x14ac:dyDescent="0.25">
      <c r="I6123" t="s">
        <v>5338</v>
      </c>
      <c r="J6123" s="161" t="s">
        <v>19202</v>
      </c>
      <c r="K6123" t="s">
        <v>19203</v>
      </c>
      <c r="L6123" t="s">
        <v>5337</v>
      </c>
      <c r="M6123" s="161" t="s">
        <v>19202</v>
      </c>
    </row>
    <row r="6124" spans="9:13" x14ac:dyDescent="0.25">
      <c r="I6124" t="s">
        <v>14017</v>
      </c>
      <c r="J6124" s="161" t="s">
        <v>19202</v>
      </c>
      <c r="K6124" t="s">
        <v>19203</v>
      </c>
      <c r="L6124" t="s">
        <v>14016</v>
      </c>
      <c r="M6124" s="161" t="s">
        <v>19202</v>
      </c>
    </row>
    <row r="6125" spans="9:13" x14ac:dyDescent="0.25">
      <c r="I6125" t="s">
        <v>2467</v>
      </c>
      <c r="J6125" s="161" t="s">
        <v>19202</v>
      </c>
      <c r="K6125" t="s">
        <v>19203</v>
      </c>
      <c r="L6125" t="s">
        <v>2466</v>
      </c>
      <c r="M6125" s="161" t="s">
        <v>19202</v>
      </c>
    </row>
    <row r="6126" spans="9:13" x14ac:dyDescent="0.25">
      <c r="I6126" t="s">
        <v>5306</v>
      </c>
      <c r="J6126" s="161" t="s">
        <v>19202</v>
      </c>
      <c r="K6126" t="s">
        <v>19203</v>
      </c>
      <c r="L6126" t="s">
        <v>5305</v>
      </c>
      <c r="M6126" s="161" t="s">
        <v>19202</v>
      </c>
    </row>
    <row r="6127" spans="9:13" x14ac:dyDescent="0.25">
      <c r="I6127" t="s">
        <v>2678</v>
      </c>
      <c r="J6127" s="161" t="s">
        <v>19202</v>
      </c>
      <c r="K6127" t="s">
        <v>19203</v>
      </c>
      <c r="L6127" t="s">
        <v>2677</v>
      </c>
      <c r="M6127" s="161" t="s">
        <v>19202</v>
      </c>
    </row>
    <row r="6128" spans="9:13" x14ac:dyDescent="0.25">
      <c r="I6128" t="s">
        <v>14132</v>
      </c>
      <c r="J6128" s="161" t="s">
        <v>19202</v>
      </c>
      <c r="K6128" t="s">
        <v>19203</v>
      </c>
      <c r="L6128" t="s">
        <v>14131</v>
      </c>
      <c r="M6128" s="161" t="s">
        <v>19202</v>
      </c>
    </row>
    <row r="6129" spans="9:13" x14ac:dyDescent="0.25">
      <c r="I6129" t="s">
        <v>14051</v>
      </c>
      <c r="J6129" s="161" t="s">
        <v>19202</v>
      </c>
      <c r="K6129" t="s">
        <v>19203</v>
      </c>
      <c r="L6129" t="s">
        <v>14050</v>
      </c>
      <c r="M6129" s="161" t="s">
        <v>19202</v>
      </c>
    </row>
    <row r="6130" spans="9:13" x14ac:dyDescent="0.25">
      <c r="I6130" t="s">
        <v>20003</v>
      </c>
      <c r="J6130" s="161" t="s">
        <v>19202</v>
      </c>
      <c r="K6130" t="s">
        <v>19203</v>
      </c>
      <c r="L6130" t="s">
        <v>20004</v>
      </c>
      <c r="M6130" s="161" t="s">
        <v>19202</v>
      </c>
    </row>
    <row r="6131" spans="9:13" x14ac:dyDescent="0.25">
      <c r="I6131" t="s">
        <v>2643</v>
      </c>
      <c r="J6131" s="161" t="s">
        <v>19202</v>
      </c>
      <c r="K6131" t="s">
        <v>19203</v>
      </c>
      <c r="L6131" t="s">
        <v>2642</v>
      </c>
      <c r="M6131" s="161" t="s">
        <v>19202</v>
      </c>
    </row>
    <row r="6132" spans="9:13" x14ac:dyDescent="0.25">
      <c r="I6132" t="s">
        <v>2198</v>
      </c>
      <c r="J6132" s="161" t="s">
        <v>19202</v>
      </c>
      <c r="K6132" t="s">
        <v>19203</v>
      </c>
      <c r="L6132" t="s">
        <v>2197</v>
      </c>
      <c r="M6132" s="161" t="s">
        <v>19202</v>
      </c>
    </row>
    <row r="6133" spans="9:13" x14ac:dyDescent="0.25">
      <c r="I6133" t="s">
        <v>15176</v>
      </c>
      <c r="J6133" s="161" t="s">
        <v>19202</v>
      </c>
      <c r="K6133" t="s">
        <v>19203</v>
      </c>
      <c r="L6133" t="s">
        <v>1484</v>
      </c>
      <c r="M6133" s="161" t="s">
        <v>19202</v>
      </c>
    </row>
    <row r="6134" spans="9:13" x14ac:dyDescent="0.25">
      <c r="I6134" t="s">
        <v>10737</v>
      </c>
      <c r="J6134" s="161" t="s">
        <v>19202</v>
      </c>
      <c r="K6134" t="s">
        <v>19203</v>
      </c>
      <c r="L6134" t="s">
        <v>10736</v>
      </c>
      <c r="M6134" s="161" t="s">
        <v>19202</v>
      </c>
    </row>
    <row r="6135" spans="9:13" x14ac:dyDescent="0.25">
      <c r="I6135" t="s">
        <v>5340</v>
      </c>
      <c r="J6135" s="161" t="s">
        <v>19202</v>
      </c>
      <c r="K6135" t="s">
        <v>19203</v>
      </c>
      <c r="L6135" t="s">
        <v>5339</v>
      </c>
      <c r="M6135" s="161" t="s">
        <v>19202</v>
      </c>
    </row>
    <row r="6136" spans="9:13" x14ac:dyDescent="0.25">
      <c r="I6136" t="s">
        <v>5336</v>
      </c>
      <c r="J6136" s="161" t="s">
        <v>19202</v>
      </c>
      <c r="K6136" t="s">
        <v>19203</v>
      </c>
      <c r="L6136" t="s">
        <v>5335</v>
      </c>
      <c r="M6136" s="161" t="s">
        <v>19202</v>
      </c>
    </row>
    <row r="6137" spans="9:13" x14ac:dyDescent="0.25">
      <c r="I6137" t="s">
        <v>8670</v>
      </c>
      <c r="J6137" s="161" t="s">
        <v>19202</v>
      </c>
      <c r="K6137" t="s">
        <v>19203</v>
      </c>
      <c r="L6137" t="s">
        <v>8669</v>
      </c>
      <c r="M6137" s="161" t="s">
        <v>19202</v>
      </c>
    </row>
    <row r="6138" spans="9:13" x14ac:dyDescent="0.25">
      <c r="I6138" t="s">
        <v>13032</v>
      </c>
      <c r="J6138" s="161" t="s">
        <v>19202</v>
      </c>
      <c r="K6138" t="s">
        <v>19203</v>
      </c>
      <c r="L6138" t="s">
        <v>13031</v>
      </c>
      <c r="M6138" s="161" t="s">
        <v>19202</v>
      </c>
    </row>
    <row r="6139" spans="9:13" x14ac:dyDescent="0.25">
      <c r="I6139" t="s">
        <v>5936</v>
      </c>
      <c r="J6139" s="161" t="s">
        <v>19202</v>
      </c>
      <c r="K6139" t="s">
        <v>19203</v>
      </c>
      <c r="L6139" t="s">
        <v>370</v>
      </c>
      <c r="M6139" s="161" t="s">
        <v>19202</v>
      </c>
    </row>
    <row r="6140" spans="9:13" x14ac:dyDescent="0.25">
      <c r="I6140" t="s">
        <v>20005</v>
      </c>
      <c r="J6140" s="161" t="s">
        <v>19202</v>
      </c>
      <c r="K6140" t="s">
        <v>19203</v>
      </c>
      <c r="L6140" t="s">
        <v>20006</v>
      </c>
      <c r="M6140" s="161" t="s">
        <v>19202</v>
      </c>
    </row>
    <row r="6141" spans="9:13" x14ac:dyDescent="0.25">
      <c r="I6141" t="s">
        <v>2915</v>
      </c>
      <c r="J6141" s="161" t="s">
        <v>19202</v>
      </c>
      <c r="K6141" t="s">
        <v>19203</v>
      </c>
      <c r="L6141" t="s">
        <v>2914</v>
      </c>
      <c r="M6141" s="161" t="s">
        <v>19202</v>
      </c>
    </row>
    <row r="6142" spans="9:13" x14ac:dyDescent="0.25">
      <c r="I6142" t="s">
        <v>4555</v>
      </c>
      <c r="J6142" s="161" t="s">
        <v>19202</v>
      </c>
      <c r="K6142" t="s">
        <v>19203</v>
      </c>
      <c r="L6142" t="s">
        <v>4554</v>
      </c>
      <c r="M6142" s="161" t="s">
        <v>19202</v>
      </c>
    </row>
    <row r="6143" spans="9:13" x14ac:dyDescent="0.25">
      <c r="I6143" t="s">
        <v>8648</v>
      </c>
      <c r="J6143" s="161" t="s">
        <v>19202</v>
      </c>
      <c r="K6143" t="s">
        <v>19203</v>
      </c>
      <c r="L6143" t="s">
        <v>8647</v>
      </c>
      <c r="M6143" s="161" t="s">
        <v>19202</v>
      </c>
    </row>
    <row r="6144" spans="9:13" x14ac:dyDescent="0.25">
      <c r="I6144" t="s">
        <v>3916</v>
      </c>
      <c r="J6144" s="161" t="s">
        <v>19202</v>
      </c>
      <c r="K6144" t="s">
        <v>19203</v>
      </c>
      <c r="L6144" t="s">
        <v>3915</v>
      </c>
      <c r="M6144" s="161" t="s">
        <v>19202</v>
      </c>
    </row>
    <row r="6145" spans="9:13" x14ac:dyDescent="0.25">
      <c r="I6145" t="s">
        <v>9030</v>
      </c>
      <c r="J6145" s="161" t="s">
        <v>19202</v>
      </c>
      <c r="K6145" t="s">
        <v>19203</v>
      </c>
      <c r="L6145" t="s">
        <v>9029</v>
      </c>
      <c r="M6145" s="161" t="s">
        <v>19202</v>
      </c>
    </row>
    <row r="6146" spans="9:13" x14ac:dyDescent="0.25">
      <c r="I6146" t="s">
        <v>20007</v>
      </c>
      <c r="J6146" s="161" t="s">
        <v>19202</v>
      </c>
      <c r="K6146" t="s">
        <v>19203</v>
      </c>
      <c r="L6146" t="s">
        <v>20008</v>
      </c>
      <c r="M6146" s="161" t="s">
        <v>19202</v>
      </c>
    </row>
    <row r="6147" spans="9:13" x14ac:dyDescent="0.25">
      <c r="I6147" t="s">
        <v>4033</v>
      </c>
      <c r="J6147" s="161" t="s">
        <v>19202</v>
      </c>
      <c r="K6147" t="s">
        <v>19203</v>
      </c>
      <c r="L6147" t="s">
        <v>4032</v>
      </c>
      <c r="M6147" s="161" t="s">
        <v>19202</v>
      </c>
    </row>
    <row r="6148" spans="9:13" x14ac:dyDescent="0.25">
      <c r="I6148" t="s">
        <v>2465</v>
      </c>
      <c r="J6148" s="161" t="s">
        <v>19202</v>
      </c>
      <c r="K6148" t="s">
        <v>19203</v>
      </c>
      <c r="L6148" t="s">
        <v>2464</v>
      </c>
      <c r="M6148" s="161" t="s">
        <v>19202</v>
      </c>
    </row>
    <row r="6149" spans="9:13" x14ac:dyDescent="0.25">
      <c r="I6149" t="s">
        <v>3670</v>
      </c>
      <c r="J6149" s="161" t="s">
        <v>19202</v>
      </c>
      <c r="K6149" t="s">
        <v>19203</v>
      </c>
      <c r="L6149" t="s">
        <v>3669</v>
      </c>
      <c r="M6149" s="161" t="s">
        <v>19202</v>
      </c>
    </row>
    <row r="6150" spans="9:13" x14ac:dyDescent="0.25">
      <c r="I6150" t="s">
        <v>6695</v>
      </c>
      <c r="J6150" s="161" t="s">
        <v>19202</v>
      </c>
      <c r="K6150" t="s">
        <v>19203</v>
      </c>
      <c r="L6150" t="s">
        <v>6492</v>
      </c>
      <c r="M6150" s="161" t="s">
        <v>19202</v>
      </c>
    </row>
    <row r="6151" spans="9:13" x14ac:dyDescent="0.25">
      <c r="I6151" t="s">
        <v>5938</v>
      </c>
      <c r="J6151" s="161" t="s">
        <v>19202</v>
      </c>
      <c r="K6151" t="s">
        <v>19203</v>
      </c>
      <c r="L6151" t="s">
        <v>5937</v>
      </c>
      <c r="M6151" s="161" t="s">
        <v>19202</v>
      </c>
    </row>
    <row r="6152" spans="9:13" x14ac:dyDescent="0.25">
      <c r="I6152" t="s">
        <v>2459</v>
      </c>
      <c r="J6152" s="161" t="s">
        <v>19202</v>
      </c>
      <c r="K6152" t="s">
        <v>19203</v>
      </c>
      <c r="L6152" t="s">
        <v>2458</v>
      </c>
      <c r="M6152" s="161" t="s">
        <v>19202</v>
      </c>
    </row>
    <row r="6153" spans="9:13" x14ac:dyDescent="0.25">
      <c r="I6153" t="s">
        <v>10369</v>
      </c>
      <c r="J6153" s="161" t="s">
        <v>19202</v>
      </c>
      <c r="K6153" t="s">
        <v>19203</v>
      </c>
      <c r="L6153" t="s">
        <v>3797</v>
      </c>
      <c r="M6153" s="161" t="s">
        <v>19202</v>
      </c>
    </row>
    <row r="6154" spans="9:13" x14ac:dyDescent="0.25">
      <c r="I6154" t="s">
        <v>1978</v>
      </c>
      <c r="J6154" s="161" t="s">
        <v>19202</v>
      </c>
      <c r="K6154" t="s">
        <v>19203</v>
      </c>
      <c r="L6154" t="s">
        <v>1977</v>
      </c>
      <c r="M6154" s="161" t="s">
        <v>19202</v>
      </c>
    </row>
    <row r="6155" spans="9:13" x14ac:dyDescent="0.25">
      <c r="I6155" t="s">
        <v>20009</v>
      </c>
      <c r="J6155" s="161" t="s">
        <v>19202</v>
      </c>
      <c r="K6155" t="s">
        <v>19203</v>
      </c>
      <c r="L6155" t="s">
        <v>5202</v>
      </c>
      <c r="M6155" s="161" t="s">
        <v>19202</v>
      </c>
    </row>
    <row r="6156" spans="9:13" x14ac:dyDescent="0.25">
      <c r="I6156" t="s">
        <v>4326</v>
      </c>
      <c r="J6156" s="161" t="s">
        <v>19202</v>
      </c>
      <c r="K6156" t="s">
        <v>19203</v>
      </c>
      <c r="L6156" t="s">
        <v>1374</v>
      </c>
      <c r="M6156" s="161" t="s">
        <v>19202</v>
      </c>
    </row>
    <row r="6157" spans="9:13" x14ac:dyDescent="0.25">
      <c r="I6157" t="s">
        <v>6169</v>
      </c>
      <c r="J6157" s="161" t="s">
        <v>19202</v>
      </c>
      <c r="K6157" t="s">
        <v>19203</v>
      </c>
      <c r="L6157" t="s">
        <v>6168</v>
      </c>
      <c r="M6157" s="161" t="s">
        <v>19202</v>
      </c>
    </row>
    <row r="6158" spans="9:13" x14ac:dyDescent="0.25">
      <c r="I6158" t="s">
        <v>12997</v>
      </c>
      <c r="J6158" s="161" t="s">
        <v>19202</v>
      </c>
      <c r="K6158" t="s">
        <v>19203</v>
      </c>
      <c r="L6158" t="s">
        <v>12996</v>
      </c>
      <c r="M6158" s="161" t="s">
        <v>19202</v>
      </c>
    </row>
    <row r="6159" spans="9:13" x14ac:dyDescent="0.25">
      <c r="I6159" t="s">
        <v>20010</v>
      </c>
      <c r="J6159" s="161" t="s">
        <v>19202</v>
      </c>
      <c r="K6159" t="s">
        <v>19203</v>
      </c>
      <c r="L6159" t="s">
        <v>20011</v>
      </c>
      <c r="M6159" s="161" t="s">
        <v>19202</v>
      </c>
    </row>
    <row r="6160" spans="9:13" x14ac:dyDescent="0.25">
      <c r="I6160" t="s">
        <v>20012</v>
      </c>
      <c r="J6160" s="161" t="s">
        <v>19202</v>
      </c>
      <c r="K6160" t="s">
        <v>19203</v>
      </c>
      <c r="L6160" t="s">
        <v>20013</v>
      </c>
      <c r="M6160" s="161" t="s">
        <v>19202</v>
      </c>
    </row>
    <row r="6161" spans="9:13" x14ac:dyDescent="0.25">
      <c r="I6161" t="s">
        <v>2461</v>
      </c>
      <c r="J6161" s="161" t="s">
        <v>19202</v>
      </c>
      <c r="K6161" t="s">
        <v>19203</v>
      </c>
      <c r="L6161" t="s">
        <v>2460</v>
      </c>
      <c r="M6161" s="161" t="s">
        <v>19202</v>
      </c>
    </row>
    <row r="6162" spans="9:13" x14ac:dyDescent="0.25">
      <c r="I6162" t="s">
        <v>6021</v>
      </c>
      <c r="J6162" s="161" t="s">
        <v>19202</v>
      </c>
      <c r="K6162" t="s">
        <v>19203</v>
      </c>
      <c r="L6162" t="s">
        <v>6020</v>
      </c>
      <c r="M6162" s="161" t="s">
        <v>19202</v>
      </c>
    </row>
    <row r="6163" spans="9:13" x14ac:dyDescent="0.25">
      <c r="I6163" t="s">
        <v>20014</v>
      </c>
      <c r="J6163" s="161" t="s">
        <v>19202</v>
      </c>
      <c r="K6163" t="s">
        <v>19203</v>
      </c>
      <c r="L6163" t="s">
        <v>20015</v>
      </c>
      <c r="M6163" s="161" t="s">
        <v>19202</v>
      </c>
    </row>
    <row r="6164" spans="9:13" x14ac:dyDescent="0.25">
      <c r="I6164" t="s">
        <v>15512</v>
      </c>
      <c r="J6164" s="161" t="s">
        <v>19202</v>
      </c>
      <c r="K6164" t="s">
        <v>19203</v>
      </c>
      <c r="L6164" t="s">
        <v>15511</v>
      </c>
      <c r="M6164" s="161" t="s">
        <v>19202</v>
      </c>
    </row>
    <row r="6165" spans="9:13" x14ac:dyDescent="0.25">
      <c r="I6165" t="s">
        <v>12121</v>
      </c>
      <c r="J6165" s="161" t="s">
        <v>19202</v>
      </c>
      <c r="K6165" t="s">
        <v>19203</v>
      </c>
      <c r="L6165" t="s">
        <v>12120</v>
      </c>
      <c r="M6165" s="161" t="s">
        <v>19202</v>
      </c>
    </row>
    <row r="6166" spans="9:13" x14ac:dyDescent="0.25">
      <c r="I6166" t="s">
        <v>14963</v>
      </c>
      <c r="J6166" s="161" t="s">
        <v>19202</v>
      </c>
      <c r="K6166" t="s">
        <v>19203</v>
      </c>
      <c r="L6166" t="s">
        <v>14962</v>
      </c>
      <c r="M6166" s="161" t="s">
        <v>19202</v>
      </c>
    </row>
    <row r="6167" spans="9:13" x14ac:dyDescent="0.25">
      <c r="I6167" t="s">
        <v>15199</v>
      </c>
      <c r="J6167" s="161" t="s">
        <v>19202</v>
      </c>
      <c r="K6167" t="s">
        <v>19203</v>
      </c>
      <c r="L6167" t="s">
        <v>15198</v>
      </c>
      <c r="M6167" s="161" t="s">
        <v>19202</v>
      </c>
    </row>
    <row r="6168" spans="9:13" x14ac:dyDescent="0.25">
      <c r="I6168" t="s">
        <v>3668</v>
      </c>
      <c r="J6168" s="161" t="s">
        <v>19202</v>
      </c>
      <c r="K6168" t="s">
        <v>19203</v>
      </c>
      <c r="L6168" t="s">
        <v>3667</v>
      </c>
      <c r="M6168" s="161" t="s">
        <v>19202</v>
      </c>
    </row>
    <row r="6169" spans="9:13" x14ac:dyDescent="0.25">
      <c r="I6169" t="s">
        <v>5278</v>
      </c>
      <c r="J6169" s="161" t="s">
        <v>19202</v>
      </c>
      <c r="K6169" t="s">
        <v>19203</v>
      </c>
      <c r="L6169" t="s">
        <v>5277</v>
      </c>
      <c r="M6169" s="161" t="s">
        <v>19202</v>
      </c>
    </row>
    <row r="6170" spans="9:13" x14ac:dyDescent="0.25">
      <c r="I6170" t="s">
        <v>2680</v>
      </c>
      <c r="J6170" s="161" t="s">
        <v>19202</v>
      </c>
      <c r="K6170" t="s">
        <v>19203</v>
      </c>
      <c r="L6170" t="s">
        <v>2679</v>
      </c>
      <c r="M6170" s="161" t="s">
        <v>19202</v>
      </c>
    </row>
    <row r="6171" spans="9:13" x14ac:dyDescent="0.25">
      <c r="I6171" t="s">
        <v>13689</v>
      </c>
      <c r="J6171" s="161" t="s">
        <v>19202</v>
      </c>
      <c r="K6171" t="s">
        <v>19203</v>
      </c>
      <c r="L6171" t="s">
        <v>13688</v>
      </c>
      <c r="M6171" s="161" t="s">
        <v>19202</v>
      </c>
    </row>
    <row r="6172" spans="9:13" x14ac:dyDescent="0.25">
      <c r="I6172" t="s">
        <v>9004</v>
      </c>
      <c r="J6172" s="161" t="s">
        <v>19202</v>
      </c>
      <c r="K6172" t="s">
        <v>19203</v>
      </c>
      <c r="L6172" t="s">
        <v>9003</v>
      </c>
      <c r="M6172" s="161" t="s">
        <v>19202</v>
      </c>
    </row>
    <row r="6173" spans="9:13" x14ac:dyDescent="0.25">
      <c r="I6173" t="s">
        <v>20016</v>
      </c>
      <c r="J6173" s="161" t="s">
        <v>19202</v>
      </c>
      <c r="K6173" t="s">
        <v>19203</v>
      </c>
      <c r="L6173" t="s">
        <v>20017</v>
      </c>
      <c r="M6173" s="161" t="s">
        <v>19202</v>
      </c>
    </row>
    <row r="6174" spans="9:13" x14ac:dyDescent="0.25">
      <c r="I6174" t="s">
        <v>13198</v>
      </c>
      <c r="J6174" s="161" t="s">
        <v>19202</v>
      </c>
      <c r="K6174" t="s">
        <v>19203</v>
      </c>
      <c r="L6174" t="s">
        <v>13197</v>
      </c>
      <c r="M6174" s="161" t="s">
        <v>19202</v>
      </c>
    </row>
    <row r="6175" spans="9:13" x14ac:dyDescent="0.25">
      <c r="I6175" t="s">
        <v>628</v>
      </c>
      <c r="J6175" s="161" t="s">
        <v>19202</v>
      </c>
      <c r="K6175" t="s">
        <v>19203</v>
      </c>
      <c r="L6175" t="s">
        <v>627</v>
      </c>
      <c r="M6175" s="161" t="s">
        <v>19202</v>
      </c>
    </row>
    <row r="6176" spans="9:13" x14ac:dyDescent="0.25">
      <c r="I6176" t="s">
        <v>11971</v>
      </c>
      <c r="J6176" s="161" t="s">
        <v>19202</v>
      </c>
      <c r="K6176" t="s">
        <v>19203</v>
      </c>
      <c r="L6176" t="s">
        <v>11970</v>
      </c>
      <c r="M6176" s="161" t="s">
        <v>19202</v>
      </c>
    </row>
    <row r="6177" spans="9:13" x14ac:dyDescent="0.25">
      <c r="I6177" t="s">
        <v>10735</v>
      </c>
      <c r="J6177" s="161" t="s">
        <v>19202</v>
      </c>
      <c r="K6177" t="s">
        <v>19203</v>
      </c>
      <c r="L6177" t="s">
        <v>10734</v>
      </c>
      <c r="M6177" s="161" t="s">
        <v>19202</v>
      </c>
    </row>
    <row r="6178" spans="9:13" x14ac:dyDescent="0.25">
      <c r="I6178" t="s">
        <v>8718</v>
      </c>
      <c r="J6178" s="161" t="s">
        <v>19202</v>
      </c>
      <c r="K6178" t="s">
        <v>19203</v>
      </c>
      <c r="L6178" t="s">
        <v>8717</v>
      </c>
      <c r="M6178" s="161" t="s">
        <v>19202</v>
      </c>
    </row>
    <row r="6179" spans="9:13" x14ac:dyDescent="0.25">
      <c r="I6179" t="s">
        <v>3772</v>
      </c>
      <c r="J6179" s="161" t="s">
        <v>19202</v>
      </c>
      <c r="K6179" t="s">
        <v>19203</v>
      </c>
      <c r="L6179" t="s">
        <v>3771</v>
      </c>
      <c r="M6179" s="161" t="s">
        <v>19202</v>
      </c>
    </row>
    <row r="6180" spans="9:13" x14ac:dyDescent="0.25">
      <c r="I6180" t="s">
        <v>10405</v>
      </c>
      <c r="J6180" s="161" t="s">
        <v>19202</v>
      </c>
      <c r="K6180" t="s">
        <v>19203</v>
      </c>
      <c r="L6180" t="s">
        <v>10404</v>
      </c>
      <c r="M6180" s="161" t="s">
        <v>19202</v>
      </c>
    </row>
    <row r="6181" spans="9:13" x14ac:dyDescent="0.25">
      <c r="I6181" t="s">
        <v>12995</v>
      </c>
      <c r="J6181" s="161" t="s">
        <v>19202</v>
      </c>
      <c r="K6181" t="s">
        <v>19203</v>
      </c>
      <c r="L6181" t="s">
        <v>1520</v>
      </c>
      <c r="M6181" s="161" t="s">
        <v>19202</v>
      </c>
    </row>
    <row r="6182" spans="9:13" x14ac:dyDescent="0.25">
      <c r="I6182" t="s">
        <v>12806</v>
      </c>
      <c r="J6182" s="161" t="s">
        <v>19202</v>
      </c>
      <c r="K6182" t="s">
        <v>19203</v>
      </c>
      <c r="L6182" t="s">
        <v>12805</v>
      </c>
      <c r="M6182" s="161" t="s">
        <v>19202</v>
      </c>
    </row>
    <row r="6183" spans="9:13" x14ac:dyDescent="0.25">
      <c r="I6183" t="s">
        <v>9240</v>
      </c>
      <c r="J6183" s="161" t="s">
        <v>19202</v>
      </c>
      <c r="K6183" t="s">
        <v>19203</v>
      </c>
      <c r="L6183" t="s">
        <v>9239</v>
      </c>
      <c r="M6183" s="161" t="s">
        <v>19202</v>
      </c>
    </row>
    <row r="6184" spans="9:13" x14ac:dyDescent="0.25">
      <c r="I6184" t="s">
        <v>6868</v>
      </c>
      <c r="J6184" s="161" t="s">
        <v>19202</v>
      </c>
      <c r="K6184" t="s">
        <v>19203</v>
      </c>
      <c r="L6184" t="s">
        <v>6867</v>
      </c>
      <c r="M6184" s="161" t="s">
        <v>19202</v>
      </c>
    </row>
    <row r="6185" spans="9:13" x14ac:dyDescent="0.25">
      <c r="I6185" t="s">
        <v>2901</v>
      </c>
      <c r="J6185" s="161" t="s">
        <v>19202</v>
      </c>
      <c r="K6185" t="s">
        <v>19203</v>
      </c>
      <c r="L6185" t="s">
        <v>2900</v>
      </c>
      <c r="M6185" s="161" t="s">
        <v>19202</v>
      </c>
    </row>
    <row r="6186" spans="9:13" x14ac:dyDescent="0.25">
      <c r="I6186" t="s">
        <v>6761</v>
      </c>
      <c r="J6186" s="161" t="s">
        <v>19202</v>
      </c>
      <c r="K6186" t="s">
        <v>19203</v>
      </c>
      <c r="L6186" t="s">
        <v>6760</v>
      </c>
      <c r="M6186" s="161" t="s">
        <v>19202</v>
      </c>
    </row>
    <row r="6187" spans="9:13" x14ac:dyDescent="0.25">
      <c r="I6187" t="s">
        <v>2457</v>
      </c>
      <c r="J6187" s="161" t="s">
        <v>19202</v>
      </c>
      <c r="K6187" t="s">
        <v>19203</v>
      </c>
      <c r="L6187" t="s">
        <v>2456</v>
      </c>
      <c r="M6187" s="161" t="s">
        <v>19202</v>
      </c>
    </row>
    <row r="6188" spans="9:13" x14ac:dyDescent="0.25">
      <c r="I6188" t="s">
        <v>3927</v>
      </c>
      <c r="J6188" s="161" t="s">
        <v>19202</v>
      </c>
      <c r="K6188" t="s">
        <v>19203</v>
      </c>
      <c r="L6188" t="s">
        <v>3926</v>
      </c>
      <c r="M6188" s="161" t="s">
        <v>19202</v>
      </c>
    </row>
    <row r="6189" spans="9:13" x14ac:dyDescent="0.25">
      <c r="I6189" t="s">
        <v>9036</v>
      </c>
      <c r="J6189" s="161" t="s">
        <v>19202</v>
      </c>
      <c r="K6189" t="s">
        <v>19203</v>
      </c>
      <c r="L6189" t="s">
        <v>9035</v>
      </c>
      <c r="M6189" s="161" t="s">
        <v>19202</v>
      </c>
    </row>
    <row r="6190" spans="9:13" x14ac:dyDescent="0.25">
      <c r="I6190" t="s">
        <v>13849</v>
      </c>
      <c r="J6190" s="161" t="s">
        <v>19202</v>
      </c>
      <c r="K6190" t="s">
        <v>19203</v>
      </c>
      <c r="L6190" t="s">
        <v>13848</v>
      </c>
      <c r="M6190" s="161" t="s">
        <v>19202</v>
      </c>
    </row>
    <row r="6191" spans="9:13" x14ac:dyDescent="0.25">
      <c r="I6191" t="s">
        <v>15957</v>
      </c>
      <c r="J6191" s="161" t="s">
        <v>19202</v>
      </c>
      <c r="K6191" t="s">
        <v>19203</v>
      </c>
      <c r="L6191" t="s">
        <v>15590</v>
      </c>
      <c r="M6191" s="161" t="s">
        <v>19202</v>
      </c>
    </row>
    <row r="6192" spans="9:13" x14ac:dyDescent="0.25">
      <c r="I6192" t="s">
        <v>14870</v>
      </c>
      <c r="J6192" s="161" t="s">
        <v>19202</v>
      </c>
      <c r="K6192" t="s">
        <v>19203</v>
      </c>
      <c r="L6192" t="s">
        <v>14869</v>
      </c>
      <c r="M6192" s="161" t="s">
        <v>19202</v>
      </c>
    </row>
    <row r="6193" spans="9:13" x14ac:dyDescent="0.25">
      <c r="I6193" t="s">
        <v>9042</v>
      </c>
      <c r="J6193" s="161" t="s">
        <v>19202</v>
      </c>
      <c r="K6193" t="s">
        <v>19203</v>
      </c>
      <c r="L6193" t="s">
        <v>9041</v>
      </c>
      <c r="M6193" s="161" t="s">
        <v>19202</v>
      </c>
    </row>
    <row r="6194" spans="9:13" x14ac:dyDescent="0.25">
      <c r="I6194" t="s">
        <v>15698</v>
      </c>
      <c r="J6194" s="161" t="s">
        <v>19202</v>
      </c>
      <c r="K6194" t="s">
        <v>19203</v>
      </c>
      <c r="L6194" t="s">
        <v>15697</v>
      </c>
      <c r="M6194" s="161" t="s">
        <v>19202</v>
      </c>
    </row>
    <row r="6195" spans="9:13" x14ac:dyDescent="0.25">
      <c r="I6195" t="s">
        <v>10393</v>
      </c>
      <c r="J6195" s="161" t="s">
        <v>19202</v>
      </c>
      <c r="K6195" t="s">
        <v>19203</v>
      </c>
      <c r="L6195" t="s">
        <v>10392</v>
      </c>
      <c r="M6195" s="161" t="s">
        <v>19202</v>
      </c>
    </row>
    <row r="6196" spans="9:13" x14ac:dyDescent="0.25">
      <c r="I6196" t="s">
        <v>4192</v>
      </c>
      <c r="J6196" s="161" t="s">
        <v>19202</v>
      </c>
      <c r="K6196" t="s">
        <v>19203</v>
      </c>
      <c r="L6196" t="s">
        <v>4191</v>
      </c>
      <c r="M6196" s="161" t="s">
        <v>19202</v>
      </c>
    </row>
    <row r="6197" spans="9:13" x14ac:dyDescent="0.25">
      <c r="I6197" t="s">
        <v>20018</v>
      </c>
      <c r="J6197" s="161" t="s">
        <v>19202</v>
      </c>
      <c r="K6197" t="s">
        <v>19203</v>
      </c>
      <c r="L6197" t="s">
        <v>20019</v>
      </c>
      <c r="M6197" s="161" t="s">
        <v>19202</v>
      </c>
    </row>
    <row r="6198" spans="9:13" x14ac:dyDescent="0.25">
      <c r="I6198" t="s">
        <v>20020</v>
      </c>
      <c r="J6198" s="161" t="s">
        <v>19202</v>
      </c>
      <c r="K6198" t="s">
        <v>19203</v>
      </c>
      <c r="L6198" t="s">
        <v>20021</v>
      </c>
      <c r="M6198" s="161" t="s">
        <v>19202</v>
      </c>
    </row>
    <row r="6199" spans="9:13" x14ac:dyDescent="0.25">
      <c r="I6199" t="s">
        <v>15711</v>
      </c>
      <c r="J6199" s="161" t="s">
        <v>19202</v>
      </c>
      <c r="K6199" t="s">
        <v>19203</v>
      </c>
      <c r="L6199" t="s">
        <v>15432</v>
      </c>
      <c r="M6199" s="161" t="s">
        <v>19202</v>
      </c>
    </row>
    <row r="6200" spans="9:13" x14ac:dyDescent="0.25">
      <c r="I6200" t="s">
        <v>5753</v>
      </c>
      <c r="J6200" s="161" t="s">
        <v>19202</v>
      </c>
      <c r="K6200" t="s">
        <v>19203</v>
      </c>
      <c r="L6200" t="s">
        <v>5752</v>
      </c>
      <c r="M6200" s="161" t="s">
        <v>19202</v>
      </c>
    </row>
    <row r="6201" spans="9:13" x14ac:dyDescent="0.25">
      <c r="I6201" t="s">
        <v>1034</v>
      </c>
      <c r="J6201" s="161" t="s">
        <v>19202</v>
      </c>
      <c r="K6201" t="s">
        <v>19203</v>
      </c>
      <c r="L6201" t="s">
        <v>1033</v>
      </c>
      <c r="M6201" s="161" t="s">
        <v>19202</v>
      </c>
    </row>
    <row r="6202" spans="9:13" x14ac:dyDescent="0.25">
      <c r="I6202" t="s">
        <v>418</v>
      </c>
      <c r="J6202" s="161" t="s">
        <v>19202</v>
      </c>
      <c r="K6202" t="s">
        <v>19203</v>
      </c>
      <c r="L6202" t="s">
        <v>417</v>
      </c>
      <c r="M6202" s="161" t="s">
        <v>19202</v>
      </c>
    </row>
    <row r="6203" spans="9:13" x14ac:dyDescent="0.25">
      <c r="I6203" t="s">
        <v>20022</v>
      </c>
      <c r="J6203" s="161" t="s">
        <v>19202</v>
      </c>
      <c r="K6203" t="s">
        <v>19203</v>
      </c>
      <c r="L6203" t="s">
        <v>3686</v>
      </c>
      <c r="M6203" s="161" t="s">
        <v>19202</v>
      </c>
    </row>
    <row r="6204" spans="9:13" x14ac:dyDescent="0.25">
      <c r="I6204" t="s">
        <v>5723</v>
      </c>
      <c r="J6204" s="161" t="s">
        <v>19202</v>
      </c>
      <c r="K6204" t="s">
        <v>19203</v>
      </c>
      <c r="L6204" t="s">
        <v>5722</v>
      </c>
      <c r="M6204" s="161" t="s">
        <v>19202</v>
      </c>
    </row>
    <row r="6205" spans="9:13" x14ac:dyDescent="0.25">
      <c r="I6205" t="s">
        <v>20023</v>
      </c>
      <c r="J6205" s="161" t="s">
        <v>19202</v>
      </c>
      <c r="K6205" t="s">
        <v>19203</v>
      </c>
      <c r="L6205" t="s">
        <v>20024</v>
      </c>
      <c r="M6205" s="161" t="s">
        <v>19202</v>
      </c>
    </row>
    <row r="6206" spans="9:13" x14ac:dyDescent="0.25">
      <c r="I6206" t="s">
        <v>8656</v>
      </c>
      <c r="J6206" s="161" t="s">
        <v>19202</v>
      </c>
      <c r="K6206" t="s">
        <v>19203</v>
      </c>
      <c r="L6206" t="s">
        <v>8655</v>
      </c>
      <c r="M6206" s="161" t="s">
        <v>19202</v>
      </c>
    </row>
    <row r="6207" spans="9:13" x14ac:dyDescent="0.25">
      <c r="I6207" t="s">
        <v>2332</v>
      </c>
      <c r="J6207" s="161" t="s">
        <v>19202</v>
      </c>
      <c r="K6207" t="s">
        <v>19203</v>
      </c>
      <c r="L6207" t="s">
        <v>2331</v>
      </c>
      <c r="M6207" s="161" t="s">
        <v>19202</v>
      </c>
    </row>
    <row r="6208" spans="9:13" x14ac:dyDescent="0.25">
      <c r="I6208" t="s">
        <v>8628</v>
      </c>
      <c r="J6208" s="161" t="s">
        <v>19202</v>
      </c>
      <c r="K6208" t="s">
        <v>19203</v>
      </c>
      <c r="L6208" t="s">
        <v>8627</v>
      </c>
      <c r="M6208" s="161" t="s">
        <v>19202</v>
      </c>
    </row>
    <row r="6209" spans="9:13" x14ac:dyDescent="0.25">
      <c r="I6209" t="s">
        <v>5992</v>
      </c>
      <c r="J6209" s="161" t="s">
        <v>19202</v>
      </c>
      <c r="K6209" t="s">
        <v>19203</v>
      </c>
      <c r="L6209" t="s">
        <v>5991</v>
      </c>
      <c r="M6209" s="161" t="s">
        <v>19202</v>
      </c>
    </row>
    <row r="6210" spans="9:13" x14ac:dyDescent="0.25">
      <c r="I6210" t="s">
        <v>1057</v>
      </c>
      <c r="J6210" s="167" t="s">
        <v>19994</v>
      </c>
      <c r="K6210" t="s">
        <v>19203</v>
      </c>
      <c r="L6210" t="s">
        <v>1056</v>
      </c>
      <c r="M6210" s="167" t="s">
        <v>19994</v>
      </c>
    </row>
    <row r="6211" spans="9:13" x14ac:dyDescent="0.25">
      <c r="I6211" t="s">
        <v>10458</v>
      </c>
      <c r="J6211" s="161" t="s">
        <v>19202</v>
      </c>
      <c r="K6211" t="s">
        <v>19203</v>
      </c>
      <c r="L6211" t="s">
        <v>10457</v>
      </c>
      <c r="M6211" s="161" t="s">
        <v>19202</v>
      </c>
    </row>
    <row r="6212" spans="9:13" x14ac:dyDescent="0.25">
      <c r="I6212" t="s">
        <v>2469</v>
      </c>
      <c r="J6212" s="161" t="s">
        <v>19202</v>
      </c>
      <c r="K6212" t="s">
        <v>19203</v>
      </c>
      <c r="L6212" t="s">
        <v>2468</v>
      </c>
      <c r="M6212" s="161" t="s">
        <v>19202</v>
      </c>
    </row>
    <row r="6213" spans="9:13" x14ac:dyDescent="0.25">
      <c r="I6213" t="s">
        <v>9482</v>
      </c>
      <c r="J6213" s="161" t="s">
        <v>19202</v>
      </c>
      <c r="K6213" t="s">
        <v>19203</v>
      </c>
      <c r="L6213" t="s">
        <v>9481</v>
      </c>
      <c r="M6213" s="161" t="s">
        <v>19202</v>
      </c>
    </row>
    <row r="6214" spans="9:13" x14ac:dyDescent="0.25">
      <c r="I6214" t="s">
        <v>9649</v>
      </c>
      <c r="J6214" s="161" t="s">
        <v>19202</v>
      </c>
      <c r="K6214" t="s">
        <v>19203</v>
      </c>
      <c r="L6214" t="s">
        <v>9648</v>
      </c>
      <c r="M6214" s="161" t="s">
        <v>19202</v>
      </c>
    </row>
    <row r="6215" spans="9:13" x14ac:dyDescent="0.25">
      <c r="I6215" t="s">
        <v>8654</v>
      </c>
      <c r="J6215" s="161" t="s">
        <v>19202</v>
      </c>
      <c r="K6215" t="s">
        <v>19203</v>
      </c>
      <c r="L6215" t="s">
        <v>8653</v>
      </c>
      <c r="M6215" s="161" t="s">
        <v>19202</v>
      </c>
    </row>
    <row r="6216" spans="9:13" x14ac:dyDescent="0.25">
      <c r="I6216" t="s">
        <v>6016</v>
      </c>
      <c r="J6216" s="161" t="s">
        <v>19202</v>
      </c>
      <c r="K6216" t="s">
        <v>19203</v>
      </c>
      <c r="L6216" t="s">
        <v>6015</v>
      </c>
      <c r="M6216" s="161" t="s">
        <v>19202</v>
      </c>
    </row>
    <row r="6217" spans="9:13" x14ac:dyDescent="0.25">
      <c r="I6217" t="s">
        <v>6014</v>
      </c>
      <c r="J6217" s="161" t="s">
        <v>19202</v>
      </c>
      <c r="K6217" t="s">
        <v>19203</v>
      </c>
      <c r="L6217" t="s">
        <v>6013</v>
      </c>
      <c r="M6217" s="161" t="s">
        <v>19202</v>
      </c>
    </row>
    <row r="6218" spans="9:13" x14ac:dyDescent="0.25">
      <c r="I6218" t="s">
        <v>1059</v>
      </c>
      <c r="J6218" s="161" t="s">
        <v>19202</v>
      </c>
      <c r="K6218" t="s">
        <v>19203</v>
      </c>
      <c r="L6218" t="s">
        <v>1058</v>
      </c>
      <c r="M6218" s="161" t="s">
        <v>19202</v>
      </c>
    </row>
    <row r="6219" spans="9:13" x14ac:dyDescent="0.25">
      <c r="I6219" t="s">
        <v>16055</v>
      </c>
      <c r="J6219" s="161" t="s">
        <v>19202</v>
      </c>
      <c r="K6219" t="s">
        <v>19203</v>
      </c>
      <c r="L6219" t="s">
        <v>16054</v>
      </c>
      <c r="M6219" s="161" t="s">
        <v>19202</v>
      </c>
    </row>
    <row r="6220" spans="9:13" x14ac:dyDescent="0.25">
      <c r="I6220" t="s">
        <v>16053</v>
      </c>
      <c r="J6220" s="161" t="s">
        <v>19202</v>
      </c>
      <c r="K6220" t="s">
        <v>19203</v>
      </c>
      <c r="L6220" t="s">
        <v>16052</v>
      </c>
      <c r="M6220" s="161" t="s">
        <v>19202</v>
      </c>
    </row>
    <row r="6221" spans="9:13" x14ac:dyDescent="0.25">
      <c r="I6221" t="s">
        <v>611</v>
      </c>
      <c r="J6221" s="161" t="s">
        <v>19202</v>
      </c>
      <c r="K6221" t="s">
        <v>19203</v>
      </c>
      <c r="L6221" t="s">
        <v>610</v>
      </c>
      <c r="M6221" s="161" t="s">
        <v>19202</v>
      </c>
    </row>
    <row r="6222" spans="9:13" x14ac:dyDescent="0.25">
      <c r="I6222" t="s">
        <v>9659</v>
      </c>
      <c r="J6222" s="161" t="s">
        <v>19202</v>
      </c>
      <c r="K6222" t="s">
        <v>19203</v>
      </c>
      <c r="L6222" t="s">
        <v>9658</v>
      </c>
      <c r="M6222" s="161" t="s">
        <v>19202</v>
      </c>
    </row>
    <row r="6223" spans="9:13" x14ac:dyDescent="0.25">
      <c r="I6223" t="s">
        <v>9040</v>
      </c>
      <c r="J6223" s="161" t="s">
        <v>19202</v>
      </c>
      <c r="K6223" t="s">
        <v>19203</v>
      </c>
      <c r="L6223" t="s">
        <v>9039</v>
      </c>
      <c r="M6223" s="161" t="s">
        <v>19202</v>
      </c>
    </row>
    <row r="6224" spans="9:13" x14ac:dyDescent="0.25">
      <c r="I6224" t="s">
        <v>9034</v>
      </c>
      <c r="J6224" s="161" t="s">
        <v>19202</v>
      </c>
      <c r="K6224" t="s">
        <v>19203</v>
      </c>
      <c r="L6224" t="s">
        <v>9033</v>
      </c>
      <c r="M6224" s="161" t="s">
        <v>19202</v>
      </c>
    </row>
    <row r="6225" spans="9:13" x14ac:dyDescent="0.25">
      <c r="I6225" t="s">
        <v>4000</v>
      </c>
      <c r="J6225" s="161" t="s">
        <v>19202</v>
      </c>
      <c r="K6225" t="s">
        <v>19203</v>
      </c>
      <c r="L6225" t="s">
        <v>3999</v>
      </c>
      <c r="M6225" s="161" t="s">
        <v>19202</v>
      </c>
    </row>
    <row r="6226" spans="9:13" x14ac:dyDescent="0.25">
      <c r="I6226" t="s">
        <v>672</v>
      </c>
      <c r="J6226" s="161" t="s">
        <v>19202</v>
      </c>
      <c r="K6226" t="s">
        <v>19203</v>
      </c>
      <c r="L6226" t="s">
        <v>671</v>
      </c>
      <c r="M6226" s="161" t="s">
        <v>19202</v>
      </c>
    </row>
    <row r="6227" spans="9:13" x14ac:dyDescent="0.25">
      <c r="I6227" t="s">
        <v>16049</v>
      </c>
      <c r="J6227" s="161" t="s">
        <v>19202</v>
      </c>
      <c r="K6227" t="s">
        <v>19203</v>
      </c>
      <c r="L6227" t="s">
        <v>14899</v>
      </c>
      <c r="M6227" s="161" t="s">
        <v>19202</v>
      </c>
    </row>
    <row r="6228" spans="9:13" x14ac:dyDescent="0.25">
      <c r="I6228" t="s">
        <v>422</v>
      </c>
      <c r="J6228" s="161" t="s">
        <v>19202</v>
      </c>
      <c r="K6228" t="s">
        <v>19203</v>
      </c>
      <c r="L6228" t="s">
        <v>421</v>
      </c>
      <c r="M6228" s="161" t="s">
        <v>19202</v>
      </c>
    </row>
    <row r="6229" spans="9:13" x14ac:dyDescent="0.25">
      <c r="I6229" t="s">
        <v>8650</v>
      </c>
      <c r="J6229" s="161" t="s">
        <v>19202</v>
      </c>
      <c r="K6229" t="s">
        <v>19203</v>
      </c>
      <c r="L6229" t="s">
        <v>8649</v>
      </c>
      <c r="M6229" s="161" t="s">
        <v>19202</v>
      </c>
    </row>
    <row r="6230" spans="9:13" x14ac:dyDescent="0.25">
      <c r="I6230" t="s">
        <v>4190</v>
      </c>
      <c r="J6230" s="161" t="s">
        <v>19202</v>
      </c>
      <c r="K6230" t="s">
        <v>19203</v>
      </c>
      <c r="L6230" t="s">
        <v>4189</v>
      </c>
      <c r="M6230" s="161" t="s">
        <v>19202</v>
      </c>
    </row>
    <row r="6231" spans="9:13" x14ac:dyDescent="0.25">
      <c r="I6231" t="s">
        <v>5935</v>
      </c>
      <c r="J6231" s="161" t="s">
        <v>19202</v>
      </c>
      <c r="K6231" t="s">
        <v>19203</v>
      </c>
      <c r="L6231" t="s">
        <v>5934</v>
      </c>
      <c r="M6231" s="161" t="s">
        <v>19202</v>
      </c>
    </row>
    <row r="6232" spans="9:13" x14ac:dyDescent="0.25">
      <c r="I6232" t="s">
        <v>9038</v>
      </c>
      <c r="J6232" s="161" t="s">
        <v>19202</v>
      </c>
      <c r="K6232" t="s">
        <v>19203</v>
      </c>
      <c r="L6232" t="s">
        <v>9037</v>
      </c>
      <c r="M6232" s="161" t="s">
        <v>19202</v>
      </c>
    </row>
    <row r="6233" spans="9:13" x14ac:dyDescent="0.25">
      <c r="I6233" t="s">
        <v>6315</v>
      </c>
      <c r="J6233" s="161" t="s">
        <v>19202</v>
      </c>
      <c r="K6233" t="s">
        <v>19203</v>
      </c>
      <c r="L6233" t="s">
        <v>5138</v>
      </c>
      <c r="M6233" s="161" t="s">
        <v>19202</v>
      </c>
    </row>
    <row r="6234" spans="9:13" x14ac:dyDescent="0.25">
      <c r="I6234" t="s">
        <v>12127</v>
      </c>
      <c r="J6234" s="161" t="s">
        <v>19202</v>
      </c>
      <c r="K6234" t="s">
        <v>19203</v>
      </c>
      <c r="L6234" t="s">
        <v>12126</v>
      </c>
      <c r="M6234" s="161" t="s">
        <v>19202</v>
      </c>
    </row>
    <row r="6235" spans="9:13" x14ac:dyDescent="0.25">
      <c r="I6235" t="s">
        <v>9703</v>
      </c>
      <c r="J6235" s="161" t="s">
        <v>19202</v>
      </c>
      <c r="K6235" t="s">
        <v>19203</v>
      </c>
      <c r="L6235" t="s">
        <v>9702</v>
      </c>
      <c r="M6235" s="161" t="s">
        <v>19202</v>
      </c>
    </row>
    <row r="6236" spans="9:13" x14ac:dyDescent="0.25">
      <c r="I6236" t="s">
        <v>6489</v>
      </c>
      <c r="J6236" s="161" t="s">
        <v>19202</v>
      </c>
      <c r="K6236" t="s">
        <v>19203</v>
      </c>
      <c r="L6236" t="s">
        <v>6488</v>
      </c>
      <c r="M6236" s="161" t="s">
        <v>19202</v>
      </c>
    </row>
    <row r="6237" spans="9:13" x14ac:dyDescent="0.25">
      <c r="I6237" t="s">
        <v>14013</v>
      </c>
      <c r="J6237" s="161" t="s">
        <v>19202</v>
      </c>
      <c r="K6237" t="s">
        <v>19203</v>
      </c>
      <c r="L6237" t="s">
        <v>14012</v>
      </c>
      <c r="M6237" s="161" t="s">
        <v>19202</v>
      </c>
    </row>
    <row r="6238" spans="9:13" x14ac:dyDescent="0.25">
      <c r="I6238" t="s">
        <v>6790</v>
      </c>
      <c r="J6238" s="161" t="s">
        <v>19202</v>
      </c>
      <c r="K6238" t="s">
        <v>19203</v>
      </c>
      <c r="L6238" t="s">
        <v>6789</v>
      </c>
      <c r="M6238" s="161" t="s">
        <v>19202</v>
      </c>
    </row>
    <row r="6239" spans="9:13" x14ac:dyDescent="0.25">
      <c r="I6239" t="s">
        <v>12802</v>
      </c>
      <c r="J6239" s="161" t="s">
        <v>19202</v>
      </c>
      <c r="K6239" t="s">
        <v>19203</v>
      </c>
      <c r="L6239" t="s">
        <v>12801</v>
      </c>
      <c r="M6239" s="161" t="s">
        <v>19202</v>
      </c>
    </row>
    <row r="6240" spans="9:13" x14ac:dyDescent="0.25">
      <c r="I6240" t="s">
        <v>9032</v>
      </c>
      <c r="J6240" s="161" t="s">
        <v>19202</v>
      </c>
      <c r="K6240" t="s">
        <v>19203</v>
      </c>
      <c r="L6240" t="s">
        <v>9031</v>
      </c>
      <c r="M6240" s="161" t="s">
        <v>19202</v>
      </c>
    </row>
    <row r="6241" spans="9:13" x14ac:dyDescent="0.25">
      <c r="I6241" t="s">
        <v>20025</v>
      </c>
      <c r="J6241" s="161" t="s">
        <v>19202</v>
      </c>
      <c r="K6241" t="s">
        <v>19203</v>
      </c>
      <c r="L6241" t="s">
        <v>20026</v>
      </c>
      <c r="M6241" s="161" t="s">
        <v>19202</v>
      </c>
    </row>
    <row r="6242" spans="9:13" x14ac:dyDescent="0.25">
      <c r="I6242" t="s">
        <v>7019</v>
      </c>
      <c r="J6242" s="161" t="s">
        <v>19202</v>
      </c>
      <c r="K6242" t="s">
        <v>19203</v>
      </c>
      <c r="L6242" t="s">
        <v>7018</v>
      </c>
      <c r="M6242" s="161" t="s">
        <v>19202</v>
      </c>
    </row>
    <row r="6243" spans="9:13" x14ac:dyDescent="0.25">
      <c r="I6243" t="s">
        <v>14134</v>
      </c>
      <c r="J6243" s="161" t="s">
        <v>19202</v>
      </c>
      <c r="K6243" t="s">
        <v>19203</v>
      </c>
      <c r="L6243" t="s">
        <v>14133</v>
      </c>
      <c r="M6243" s="161" t="s">
        <v>19202</v>
      </c>
    </row>
    <row r="6244" spans="9:13" x14ac:dyDescent="0.25">
      <c r="I6244" t="s">
        <v>12865</v>
      </c>
      <c r="J6244" s="161" t="s">
        <v>19202</v>
      </c>
      <c r="K6244" t="s">
        <v>19203</v>
      </c>
      <c r="L6244" t="s">
        <v>12864</v>
      </c>
      <c r="M6244" s="161" t="s">
        <v>19202</v>
      </c>
    </row>
    <row r="6245" spans="9:13" x14ac:dyDescent="0.25">
      <c r="I6245" t="s">
        <v>12861</v>
      </c>
      <c r="J6245" s="161" t="s">
        <v>19202</v>
      </c>
      <c r="K6245" t="s">
        <v>19203</v>
      </c>
      <c r="L6245" t="s">
        <v>12860</v>
      </c>
      <c r="M6245" s="161" t="s">
        <v>19202</v>
      </c>
    </row>
    <row r="6246" spans="9:13" x14ac:dyDescent="0.25">
      <c r="I6246" t="s">
        <v>12859</v>
      </c>
      <c r="J6246" s="161" t="s">
        <v>19202</v>
      </c>
      <c r="K6246" t="s">
        <v>19203</v>
      </c>
      <c r="L6246" t="s">
        <v>12858</v>
      </c>
      <c r="M6246" s="161" t="s">
        <v>19202</v>
      </c>
    </row>
    <row r="6247" spans="9:13" x14ac:dyDescent="0.25">
      <c r="I6247" t="s">
        <v>20027</v>
      </c>
      <c r="J6247" s="161" t="s">
        <v>19202</v>
      </c>
      <c r="K6247" t="s">
        <v>19203</v>
      </c>
      <c r="L6247" t="s">
        <v>20028</v>
      </c>
      <c r="M6247" s="161" t="s">
        <v>19202</v>
      </c>
    </row>
    <row r="6248" spans="9:13" x14ac:dyDescent="0.25">
      <c r="I6248" t="s">
        <v>11974</v>
      </c>
      <c r="J6248" s="161" t="s">
        <v>19202</v>
      </c>
      <c r="K6248" t="s">
        <v>19203</v>
      </c>
      <c r="L6248" t="s">
        <v>122</v>
      </c>
      <c r="M6248" s="161" t="s">
        <v>19202</v>
      </c>
    </row>
    <row r="6249" spans="9:13" x14ac:dyDescent="0.25">
      <c r="I6249" t="s">
        <v>5707</v>
      </c>
      <c r="J6249" s="161" t="s">
        <v>19202</v>
      </c>
      <c r="K6249" t="s">
        <v>19203</v>
      </c>
      <c r="L6249" t="s">
        <v>5706</v>
      </c>
      <c r="M6249" s="161" t="s">
        <v>19202</v>
      </c>
    </row>
    <row r="6250" spans="9:13" x14ac:dyDescent="0.25">
      <c r="I6250" t="s">
        <v>6019</v>
      </c>
      <c r="J6250" s="161" t="s">
        <v>19202</v>
      </c>
      <c r="K6250" t="s">
        <v>19203</v>
      </c>
      <c r="L6250" t="s">
        <v>6018</v>
      </c>
      <c r="M6250" s="161" t="s">
        <v>19202</v>
      </c>
    </row>
    <row r="6251" spans="9:13" x14ac:dyDescent="0.25">
      <c r="I6251" t="s">
        <v>15819</v>
      </c>
      <c r="J6251" s="161" t="s">
        <v>19202</v>
      </c>
      <c r="K6251" t="s">
        <v>19203</v>
      </c>
      <c r="L6251" t="s">
        <v>15818</v>
      </c>
      <c r="M6251" s="161" t="s">
        <v>19202</v>
      </c>
    </row>
    <row r="6252" spans="9:13" x14ac:dyDescent="0.25">
      <c r="I6252" t="s">
        <v>15956</v>
      </c>
      <c r="J6252" s="161" t="s">
        <v>19202</v>
      </c>
      <c r="K6252" t="s">
        <v>19203</v>
      </c>
      <c r="L6252" t="s">
        <v>712</v>
      </c>
      <c r="M6252" s="161" t="s">
        <v>19202</v>
      </c>
    </row>
    <row r="6253" spans="9:13" x14ac:dyDescent="0.25">
      <c r="I6253" t="s">
        <v>20029</v>
      </c>
      <c r="J6253" s="161" t="s">
        <v>19202</v>
      </c>
      <c r="K6253" t="s">
        <v>19203</v>
      </c>
      <c r="L6253" t="s">
        <v>20030</v>
      </c>
      <c r="M6253" s="161" t="s">
        <v>19202</v>
      </c>
    </row>
    <row r="6254" spans="9:13" x14ac:dyDescent="0.25">
      <c r="I6254" t="s">
        <v>11135</v>
      </c>
      <c r="J6254" s="161" t="s">
        <v>19202</v>
      </c>
      <c r="K6254" t="s">
        <v>19203</v>
      </c>
      <c r="L6254" t="s">
        <v>11134</v>
      </c>
      <c r="M6254" s="161" t="s">
        <v>19202</v>
      </c>
    </row>
    <row r="6255" spans="9:13" x14ac:dyDescent="0.25">
      <c r="I6255" t="s">
        <v>16051</v>
      </c>
      <c r="J6255" s="161" t="s">
        <v>19202</v>
      </c>
      <c r="K6255" t="s">
        <v>19203</v>
      </c>
      <c r="L6255" t="s">
        <v>16050</v>
      </c>
      <c r="M6255" s="161" t="s">
        <v>19202</v>
      </c>
    </row>
    <row r="6256" spans="9:13" x14ac:dyDescent="0.25">
      <c r="I6256" t="s">
        <v>14015</v>
      </c>
      <c r="J6256" s="161" t="s">
        <v>19202</v>
      </c>
      <c r="K6256" t="s">
        <v>19203</v>
      </c>
      <c r="L6256" t="s">
        <v>14014</v>
      </c>
      <c r="M6256" s="161" t="s">
        <v>19202</v>
      </c>
    </row>
    <row r="6257" spans="9:13" x14ac:dyDescent="0.25">
      <c r="I6257" t="s">
        <v>11977</v>
      </c>
      <c r="J6257" s="161" t="s">
        <v>19202</v>
      </c>
      <c r="K6257" t="s">
        <v>19203</v>
      </c>
      <c r="L6257" t="s">
        <v>11976</v>
      </c>
      <c r="M6257" s="161" t="s">
        <v>19202</v>
      </c>
    </row>
    <row r="6258" spans="9:13" x14ac:dyDescent="0.25">
      <c r="I6258" t="s">
        <v>3770</v>
      </c>
      <c r="J6258" s="161" t="s">
        <v>19202</v>
      </c>
      <c r="K6258" t="s">
        <v>19203</v>
      </c>
      <c r="L6258" t="s">
        <v>3769</v>
      </c>
      <c r="M6258" s="161" t="s">
        <v>19202</v>
      </c>
    </row>
    <row r="6259" spans="9:13" x14ac:dyDescent="0.25">
      <c r="I6259" t="s">
        <v>9192</v>
      </c>
      <c r="J6259" s="161" t="s">
        <v>19202</v>
      </c>
      <c r="K6259" t="s">
        <v>19203</v>
      </c>
      <c r="L6259" t="s">
        <v>9191</v>
      </c>
      <c r="M6259" s="161" t="s">
        <v>19202</v>
      </c>
    </row>
    <row r="6260" spans="9:13" x14ac:dyDescent="0.25">
      <c r="I6260" t="s">
        <v>15446</v>
      </c>
      <c r="J6260" s="161" t="s">
        <v>19202</v>
      </c>
      <c r="K6260" t="s">
        <v>19203</v>
      </c>
      <c r="L6260" t="s">
        <v>15445</v>
      </c>
      <c r="M6260" s="161" t="s">
        <v>19202</v>
      </c>
    </row>
    <row r="6261" spans="9:13" x14ac:dyDescent="0.25">
      <c r="I6261" t="s">
        <v>16144</v>
      </c>
      <c r="J6261" s="161" t="s">
        <v>19202</v>
      </c>
      <c r="K6261" t="s">
        <v>19203</v>
      </c>
      <c r="L6261" t="s">
        <v>15646</v>
      </c>
      <c r="M6261" s="161" t="s">
        <v>19202</v>
      </c>
    </row>
    <row r="6262" spans="9:13" x14ac:dyDescent="0.25">
      <c r="I6262" t="s">
        <v>16377</v>
      </c>
      <c r="J6262" s="161" t="s">
        <v>19202</v>
      </c>
      <c r="K6262" t="s">
        <v>19203</v>
      </c>
      <c r="L6262" t="s">
        <v>16376</v>
      </c>
      <c r="M6262" s="161" t="s">
        <v>19202</v>
      </c>
    </row>
    <row r="6263" spans="9:13" x14ac:dyDescent="0.25">
      <c r="I6263" t="s">
        <v>13935</v>
      </c>
      <c r="J6263" s="161" t="s">
        <v>19202</v>
      </c>
      <c r="K6263" t="s">
        <v>19203</v>
      </c>
      <c r="L6263" t="s">
        <v>13934</v>
      </c>
      <c r="M6263" s="161" t="s">
        <v>19202</v>
      </c>
    </row>
    <row r="6264" spans="9:13" x14ac:dyDescent="0.25">
      <c r="I6264" t="s">
        <v>3619</v>
      </c>
      <c r="J6264" s="161" t="s">
        <v>19202</v>
      </c>
      <c r="K6264" t="s">
        <v>19203</v>
      </c>
      <c r="L6264" t="s">
        <v>2030</v>
      </c>
      <c r="M6264" s="161" t="s">
        <v>19202</v>
      </c>
    </row>
    <row r="6265" spans="9:13" x14ac:dyDescent="0.25">
      <c r="I6265" t="s">
        <v>20031</v>
      </c>
      <c r="J6265" s="161" t="s">
        <v>19202</v>
      </c>
      <c r="K6265" t="s">
        <v>19203</v>
      </c>
      <c r="L6265" t="s">
        <v>20032</v>
      </c>
      <c r="M6265" s="161" t="s">
        <v>19202</v>
      </c>
    </row>
    <row r="6266" spans="9:13" x14ac:dyDescent="0.25">
      <c r="I6266" t="s">
        <v>14245</v>
      </c>
      <c r="J6266" s="161" t="s">
        <v>19202</v>
      </c>
      <c r="K6266" t="s">
        <v>19203</v>
      </c>
      <c r="L6266" t="s">
        <v>14244</v>
      </c>
      <c r="M6266" s="161" t="s">
        <v>19202</v>
      </c>
    </row>
    <row r="6267" spans="9:13" x14ac:dyDescent="0.25">
      <c r="I6267" t="s">
        <v>9198</v>
      </c>
      <c r="J6267" s="161" t="s">
        <v>19202</v>
      </c>
      <c r="K6267" t="s">
        <v>19203</v>
      </c>
      <c r="L6267" t="s">
        <v>9197</v>
      </c>
      <c r="M6267" s="161" t="s">
        <v>19202</v>
      </c>
    </row>
    <row r="6268" spans="9:13" x14ac:dyDescent="0.25">
      <c r="I6268" t="s">
        <v>9028</v>
      </c>
      <c r="J6268" s="161" t="s">
        <v>19202</v>
      </c>
      <c r="K6268" t="s">
        <v>19203</v>
      </c>
      <c r="L6268" t="s">
        <v>9027</v>
      </c>
      <c r="M6268" s="161" t="s">
        <v>19202</v>
      </c>
    </row>
    <row r="6269" spans="9:13" x14ac:dyDescent="0.25">
      <c r="I6269" t="s">
        <v>12863</v>
      </c>
      <c r="J6269" s="161" t="s">
        <v>19202</v>
      </c>
      <c r="K6269" t="s">
        <v>19203</v>
      </c>
      <c r="L6269" t="s">
        <v>12862</v>
      </c>
      <c r="M6269" s="161" t="s">
        <v>19202</v>
      </c>
    </row>
    <row r="6270" spans="9:13" x14ac:dyDescent="0.25">
      <c r="I6270" t="s">
        <v>6454</v>
      </c>
      <c r="J6270" s="161" t="s">
        <v>19202</v>
      </c>
      <c r="K6270" t="s">
        <v>19203</v>
      </c>
      <c r="L6270" t="s">
        <v>6453</v>
      </c>
      <c r="M6270" s="161" t="s">
        <v>19202</v>
      </c>
    </row>
    <row r="6271" spans="9:13" x14ac:dyDescent="0.25">
      <c r="I6271" t="s">
        <v>6403</v>
      </c>
      <c r="J6271" s="161" t="s">
        <v>19202</v>
      </c>
      <c r="K6271" t="s">
        <v>19203</v>
      </c>
      <c r="L6271" t="s">
        <v>6402</v>
      </c>
      <c r="M6271" s="161" t="s">
        <v>19202</v>
      </c>
    </row>
    <row r="6272" spans="9:13" x14ac:dyDescent="0.25">
      <c r="I6272" t="s">
        <v>15129</v>
      </c>
      <c r="J6272" s="161" t="s">
        <v>19202</v>
      </c>
      <c r="K6272" t="s">
        <v>19203</v>
      </c>
      <c r="L6272" t="s">
        <v>12621</v>
      </c>
      <c r="M6272" s="161" t="s">
        <v>19202</v>
      </c>
    </row>
    <row r="6273" spans="9:13" x14ac:dyDescent="0.25">
      <c r="I6273" t="s">
        <v>20033</v>
      </c>
      <c r="J6273" s="161" t="s">
        <v>19202</v>
      </c>
      <c r="K6273" t="s">
        <v>19203</v>
      </c>
      <c r="L6273" t="s">
        <v>20034</v>
      </c>
      <c r="M6273" s="161" t="s">
        <v>19202</v>
      </c>
    </row>
    <row r="6274" spans="9:13" x14ac:dyDescent="0.25">
      <c r="I6274" t="s">
        <v>2330</v>
      </c>
      <c r="J6274" s="161" t="s">
        <v>19202</v>
      </c>
      <c r="K6274" t="s">
        <v>19203</v>
      </c>
      <c r="L6274" t="s">
        <v>2329</v>
      </c>
      <c r="M6274" s="161" t="s">
        <v>19202</v>
      </c>
    </row>
    <row r="6275" spans="9:13" x14ac:dyDescent="0.25">
      <c r="I6275" t="s">
        <v>11167</v>
      </c>
      <c r="J6275" s="161" t="s">
        <v>19202</v>
      </c>
      <c r="K6275" t="s">
        <v>19203</v>
      </c>
      <c r="L6275" t="s">
        <v>11166</v>
      </c>
      <c r="M6275" s="161" t="s">
        <v>19202</v>
      </c>
    </row>
    <row r="6276" spans="9:13" x14ac:dyDescent="0.25">
      <c r="I6276" t="s">
        <v>8237</v>
      </c>
      <c r="J6276" s="161" t="s">
        <v>19202</v>
      </c>
      <c r="K6276" t="s">
        <v>19203</v>
      </c>
      <c r="L6276" t="s">
        <v>8236</v>
      </c>
      <c r="M6276" s="161" t="s">
        <v>19202</v>
      </c>
    </row>
    <row r="6277" spans="9:13" x14ac:dyDescent="0.25">
      <c r="I6277" t="s">
        <v>20035</v>
      </c>
      <c r="J6277" s="161" t="s">
        <v>19202</v>
      </c>
      <c r="K6277" t="s">
        <v>19203</v>
      </c>
      <c r="L6277" t="s">
        <v>20036</v>
      </c>
      <c r="M6277" s="161" t="s">
        <v>19202</v>
      </c>
    </row>
    <row r="6278" spans="9:13" x14ac:dyDescent="0.25">
      <c r="I6278" t="s">
        <v>8866</v>
      </c>
      <c r="J6278" s="161" t="s">
        <v>19202</v>
      </c>
      <c r="K6278" t="s">
        <v>19203</v>
      </c>
      <c r="L6278" t="s">
        <v>8865</v>
      </c>
      <c r="M6278" s="161" t="s">
        <v>19202</v>
      </c>
    </row>
    <row r="6279" spans="9:13" x14ac:dyDescent="0.25">
      <c r="I6279" t="s">
        <v>12935</v>
      </c>
      <c r="J6279" s="161" t="s">
        <v>19202</v>
      </c>
      <c r="K6279" t="s">
        <v>19203</v>
      </c>
      <c r="L6279" t="s">
        <v>12934</v>
      </c>
      <c r="M6279" s="161" t="s">
        <v>19202</v>
      </c>
    </row>
    <row r="6280" spans="9:13" x14ac:dyDescent="0.25">
      <c r="I6280" t="s">
        <v>20037</v>
      </c>
      <c r="J6280" s="161" t="s">
        <v>19202</v>
      </c>
      <c r="K6280" t="s">
        <v>19203</v>
      </c>
      <c r="L6280" t="s">
        <v>20038</v>
      </c>
      <c r="M6280" s="161" t="s">
        <v>19202</v>
      </c>
    </row>
    <row r="6281" spans="9:13" x14ac:dyDescent="0.25">
      <c r="I6281" t="s">
        <v>11074</v>
      </c>
      <c r="J6281" s="161" t="s">
        <v>19202</v>
      </c>
      <c r="K6281" t="s">
        <v>19203</v>
      </c>
      <c r="L6281" t="s">
        <v>11073</v>
      </c>
      <c r="M6281" s="161" t="s">
        <v>19202</v>
      </c>
    </row>
    <row r="6282" spans="9:13" x14ac:dyDescent="0.25">
      <c r="I6282" t="s">
        <v>14243</v>
      </c>
      <c r="J6282" s="161" t="s">
        <v>19202</v>
      </c>
      <c r="K6282" t="s">
        <v>19203</v>
      </c>
      <c r="L6282" t="s">
        <v>14242</v>
      </c>
      <c r="M6282" s="161" t="s">
        <v>19202</v>
      </c>
    </row>
    <row r="6283" spans="9:13" x14ac:dyDescent="0.25">
      <c r="I6283" t="s">
        <v>2897</v>
      </c>
      <c r="J6283" s="161" t="s">
        <v>19202</v>
      </c>
      <c r="K6283" t="s">
        <v>19203</v>
      </c>
      <c r="L6283" t="s">
        <v>2896</v>
      </c>
      <c r="M6283" s="161" t="s">
        <v>19202</v>
      </c>
    </row>
    <row r="6284" spans="9:13" x14ac:dyDescent="0.25">
      <c r="I6284" t="s">
        <v>9480</v>
      </c>
      <c r="J6284" s="161" t="s">
        <v>19202</v>
      </c>
      <c r="K6284" t="s">
        <v>19203</v>
      </c>
      <c r="L6284" t="s">
        <v>9479</v>
      </c>
      <c r="M6284" s="161" t="s">
        <v>19202</v>
      </c>
    </row>
    <row r="6285" spans="9:13" x14ac:dyDescent="0.25">
      <c r="I6285" t="s">
        <v>12992</v>
      </c>
      <c r="J6285" s="161" t="s">
        <v>19202</v>
      </c>
      <c r="K6285" t="s">
        <v>19203</v>
      </c>
      <c r="L6285" t="s">
        <v>12991</v>
      </c>
      <c r="M6285" s="161" t="s">
        <v>19202</v>
      </c>
    </row>
    <row r="6286" spans="9:13" x14ac:dyDescent="0.25">
      <c r="I6286" t="s">
        <v>5689</v>
      </c>
      <c r="J6286" s="161" t="s">
        <v>19202</v>
      </c>
      <c r="K6286" t="s">
        <v>19203</v>
      </c>
      <c r="L6286" t="s">
        <v>5688</v>
      </c>
      <c r="M6286" s="161" t="s">
        <v>19202</v>
      </c>
    </row>
    <row r="6287" spans="9:13" x14ac:dyDescent="0.25">
      <c r="I6287" t="s">
        <v>9991</v>
      </c>
      <c r="J6287" s="161" t="s">
        <v>19202</v>
      </c>
      <c r="K6287" t="s">
        <v>19203</v>
      </c>
      <c r="L6287" t="s">
        <v>9990</v>
      </c>
      <c r="M6287" s="161" t="s">
        <v>19202</v>
      </c>
    </row>
    <row r="6288" spans="9:13" x14ac:dyDescent="0.25">
      <c r="I6288" t="s">
        <v>13196</v>
      </c>
      <c r="J6288" s="161" t="s">
        <v>19202</v>
      </c>
      <c r="K6288" t="s">
        <v>19203</v>
      </c>
      <c r="L6288" t="s">
        <v>13195</v>
      </c>
      <c r="M6288" s="161" t="s">
        <v>19202</v>
      </c>
    </row>
    <row r="6289" spans="9:13" x14ac:dyDescent="0.25">
      <c r="I6289" t="s">
        <v>13194</v>
      </c>
      <c r="J6289" s="161" t="s">
        <v>19202</v>
      </c>
      <c r="K6289" t="s">
        <v>19203</v>
      </c>
      <c r="L6289" t="s">
        <v>13193</v>
      </c>
      <c r="M6289" s="161" t="s">
        <v>19202</v>
      </c>
    </row>
    <row r="6290" spans="9:13" x14ac:dyDescent="0.25">
      <c r="I6290" t="s">
        <v>20039</v>
      </c>
      <c r="J6290" s="161" t="s">
        <v>19202</v>
      </c>
      <c r="K6290" t="s">
        <v>19203</v>
      </c>
      <c r="L6290" t="s">
        <v>17284</v>
      </c>
      <c r="M6290" s="161" t="s">
        <v>19202</v>
      </c>
    </row>
    <row r="6291" spans="9:13" x14ac:dyDescent="0.25">
      <c r="I6291" t="s">
        <v>12933</v>
      </c>
      <c r="J6291" s="161" t="s">
        <v>19202</v>
      </c>
      <c r="K6291" t="s">
        <v>19203</v>
      </c>
      <c r="L6291" t="s">
        <v>12932</v>
      </c>
      <c r="M6291" s="161" t="s">
        <v>19202</v>
      </c>
    </row>
    <row r="6292" spans="9:13" x14ac:dyDescent="0.25">
      <c r="I6292" t="s">
        <v>9794</v>
      </c>
      <c r="J6292" s="161" t="s">
        <v>19202</v>
      </c>
      <c r="K6292" t="s">
        <v>19203</v>
      </c>
      <c r="L6292" t="s">
        <v>9793</v>
      </c>
      <c r="M6292" s="161" t="s">
        <v>19202</v>
      </c>
    </row>
    <row r="6293" spans="9:13" x14ac:dyDescent="0.25">
      <c r="I6293" t="s">
        <v>4083</v>
      </c>
      <c r="J6293" s="161" t="s">
        <v>19202</v>
      </c>
      <c r="K6293" t="s">
        <v>19203</v>
      </c>
      <c r="L6293" t="s">
        <v>4082</v>
      </c>
      <c r="M6293" s="161" t="s">
        <v>19202</v>
      </c>
    </row>
    <row r="6294" spans="9:13" x14ac:dyDescent="0.25">
      <c r="I6294" t="s">
        <v>11675</v>
      </c>
      <c r="J6294" s="161" t="s">
        <v>19202</v>
      </c>
      <c r="K6294" t="s">
        <v>19203</v>
      </c>
      <c r="L6294" t="s">
        <v>11674</v>
      </c>
      <c r="M6294" s="161" t="s">
        <v>19202</v>
      </c>
    </row>
    <row r="6295" spans="9:13" x14ac:dyDescent="0.25">
      <c r="I6295" t="s">
        <v>15444</v>
      </c>
      <c r="J6295" s="161" t="s">
        <v>19202</v>
      </c>
      <c r="K6295" t="s">
        <v>19203</v>
      </c>
      <c r="L6295" t="s">
        <v>15443</v>
      </c>
      <c r="M6295" s="161" t="s">
        <v>19202</v>
      </c>
    </row>
    <row r="6296" spans="9:13" x14ac:dyDescent="0.25">
      <c r="I6296" t="s">
        <v>12352</v>
      </c>
      <c r="J6296" s="161" t="s">
        <v>19202</v>
      </c>
      <c r="K6296" t="s">
        <v>19203</v>
      </c>
      <c r="L6296" t="s">
        <v>12351</v>
      </c>
      <c r="M6296" s="161" t="s">
        <v>19202</v>
      </c>
    </row>
    <row r="6297" spans="9:13" x14ac:dyDescent="0.25">
      <c r="I6297" t="s">
        <v>15197</v>
      </c>
      <c r="J6297" s="161" t="s">
        <v>19202</v>
      </c>
      <c r="K6297" t="s">
        <v>19203</v>
      </c>
      <c r="L6297" t="s">
        <v>15196</v>
      </c>
      <c r="M6297" s="161" t="s">
        <v>19202</v>
      </c>
    </row>
    <row r="6298" spans="9:13" x14ac:dyDescent="0.25">
      <c r="I6298" t="s">
        <v>16580</v>
      </c>
      <c r="J6298" s="161" t="s">
        <v>19202</v>
      </c>
      <c r="K6298" t="s">
        <v>19203</v>
      </c>
      <c r="L6298" t="s">
        <v>16579</v>
      </c>
      <c r="M6298" s="161" t="s">
        <v>19202</v>
      </c>
    </row>
    <row r="6299" spans="9:13" x14ac:dyDescent="0.25">
      <c r="I6299" t="s">
        <v>16449</v>
      </c>
      <c r="J6299" s="161" t="s">
        <v>19202</v>
      </c>
      <c r="K6299" t="s">
        <v>19203</v>
      </c>
      <c r="L6299" t="s">
        <v>16044</v>
      </c>
      <c r="M6299" s="161" t="s">
        <v>19202</v>
      </c>
    </row>
    <row r="6300" spans="9:13" x14ac:dyDescent="0.25">
      <c r="I6300" t="s">
        <v>5944</v>
      </c>
      <c r="J6300" s="161" t="s">
        <v>19202</v>
      </c>
      <c r="K6300" t="s">
        <v>19203</v>
      </c>
      <c r="L6300" t="s">
        <v>5943</v>
      </c>
      <c r="M6300" s="161" t="s">
        <v>19202</v>
      </c>
    </row>
    <row r="6301" spans="9:13" x14ac:dyDescent="0.25">
      <c r="I6301" t="s">
        <v>4081</v>
      </c>
      <c r="J6301" s="161" t="s">
        <v>19202</v>
      </c>
      <c r="K6301" t="s">
        <v>19203</v>
      </c>
      <c r="L6301" t="s">
        <v>4080</v>
      </c>
      <c r="M6301" s="161" t="s">
        <v>19202</v>
      </c>
    </row>
    <row r="6302" spans="9:13" x14ac:dyDescent="0.25">
      <c r="I6302" t="s">
        <v>9190</v>
      </c>
      <c r="J6302" s="161" t="s">
        <v>19202</v>
      </c>
      <c r="K6302" t="s">
        <v>19203</v>
      </c>
      <c r="L6302" t="s">
        <v>9189</v>
      </c>
      <c r="M6302" s="161" t="s">
        <v>19202</v>
      </c>
    </row>
    <row r="6303" spans="9:13" x14ac:dyDescent="0.25">
      <c r="I6303" t="s">
        <v>7599</v>
      </c>
      <c r="J6303" s="161" t="s">
        <v>19202</v>
      </c>
      <c r="K6303" t="s">
        <v>19203</v>
      </c>
      <c r="L6303" t="s">
        <v>7598</v>
      </c>
      <c r="M6303" s="161" t="s">
        <v>19202</v>
      </c>
    </row>
    <row r="6304" spans="9:13" x14ac:dyDescent="0.25">
      <c r="I6304" t="s">
        <v>14009</v>
      </c>
      <c r="J6304" s="161" t="s">
        <v>19202</v>
      </c>
      <c r="K6304" t="s">
        <v>19203</v>
      </c>
      <c r="L6304" t="s">
        <v>14008</v>
      </c>
      <c r="M6304" s="161" t="s">
        <v>19202</v>
      </c>
    </row>
    <row r="6305" spans="9:13" x14ac:dyDescent="0.25">
      <c r="I6305" t="s">
        <v>11874</v>
      </c>
      <c r="J6305" s="161" t="s">
        <v>19202</v>
      </c>
      <c r="K6305" t="s">
        <v>19203</v>
      </c>
      <c r="L6305" t="s">
        <v>6349</v>
      </c>
      <c r="M6305" s="161" t="s">
        <v>19202</v>
      </c>
    </row>
    <row r="6306" spans="9:13" x14ac:dyDescent="0.25">
      <c r="I6306" t="s">
        <v>5755</v>
      </c>
      <c r="J6306" s="161" t="s">
        <v>19202</v>
      </c>
      <c r="K6306" t="s">
        <v>19203</v>
      </c>
      <c r="L6306" t="s">
        <v>5754</v>
      </c>
      <c r="M6306" s="161" t="s">
        <v>19202</v>
      </c>
    </row>
    <row r="6307" spans="9:13" x14ac:dyDescent="0.25">
      <c r="I6307" t="s">
        <v>15955</v>
      </c>
      <c r="J6307" s="161" t="s">
        <v>19202</v>
      </c>
      <c r="K6307" t="s">
        <v>19203</v>
      </c>
      <c r="L6307" t="s">
        <v>5010</v>
      </c>
      <c r="M6307" s="161" t="s">
        <v>19202</v>
      </c>
    </row>
    <row r="6308" spans="9:13" x14ac:dyDescent="0.25">
      <c r="I6308" t="s">
        <v>8455</v>
      </c>
      <c r="J6308" s="161" t="s">
        <v>19202</v>
      </c>
      <c r="K6308" t="s">
        <v>19203</v>
      </c>
      <c r="L6308" t="s">
        <v>2140</v>
      </c>
      <c r="M6308" s="161" t="s">
        <v>19202</v>
      </c>
    </row>
    <row r="6309" spans="9:13" x14ac:dyDescent="0.25">
      <c r="I6309" t="s">
        <v>7738</v>
      </c>
      <c r="J6309" s="161" t="s">
        <v>19202</v>
      </c>
      <c r="K6309" t="s">
        <v>19203</v>
      </c>
      <c r="L6309" t="s">
        <v>7737</v>
      </c>
      <c r="M6309" s="161" t="s">
        <v>19202</v>
      </c>
    </row>
    <row r="6310" spans="9:13" x14ac:dyDescent="0.25">
      <c r="I6310" t="s">
        <v>7690</v>
      </c>
      <c r="J6310" s="161" t="s">
        <v>19202</v>
      </c>
      <c r="K6310" t="s">
        <v>19203</v>
      </c>
      <c r="L6310" t="s">
        <v>7689</v>
      </c>
      <c r="M6310" s="161" t="s">
        <v>19202</v>
      </c>
    </row>
    <row r="6311" spans="9:13" x14ac:dyDescent="0.25">
      <c r="I6311" t="s">
        <v>8404</v>
      </c>
      <c r="J6311" s="161" t="s">
        <v>19202</v>
      </c>
      <c r="K6311" t="s">
        <v>19203</v>
      </c>
      <c r="L6311" t="s">
        <v>8403</v>
      </c>
      <c r="M6311" s="161" t="s">
        <v>19202</v>
      </c>
    </row>
    <row r="6312" spans="9:13" x14ac:dyDescent="0.25">
      <c r="I6312" t="s">
        <v>8402</v>
      </c>
      <c r="J6312" s="161" t="s">
        <v>19202</v>
      </c>
      <c r="K6312" t="s">
        <v>19203</v>
      </c>
      <c r="L6312" t="s">
        <v>8401</v>
      </c>
      <c r="M6312" s="161" t="s">
        <v>19202</v>
      </c>
    </row>
    <row r="6313" spans="9:13" x14ac:dyDescent="0.25">
      <c r="I6313" t="s">
        <v>8640</v>
      </c>
      <c r="J6313" s="161" t="s">
        <v>19202</v>
      </c>
      <c r="K6313" t="s">
        <v>19203</v>
      </c>
      <c r="L6313" t="s">
        <v>8639</v>
      </c>
      <c r="M6313" s="161" t="s">
        <v>19202</v>
      </c>
    </row>
    <row r="6314" spans="9:13" x14ac:dyDescent="0.25">
      <c r="I6314" t="s">
        <v>6506</v>
      </c>
      <c r="J6314" s="161" t="s">
        <v>19202</v>
      </c>
      <c r="K6314" t="s">
        <v>19203</v>
      </c>
      <c r="L6314" t="s">
        <v>6505</v>
      </c>
      <c r="M6314" s="161" t="s">
        <v>19202</v>
      </c>
    </row>
    <row r="6315" spans="9:13" x14ac:dyDescent="0.25">
      <c r="I6315" t="s">
        <v>20040</v>
      </c>
      <c r="J6315" s="161" t="s">
        <v>19202</v>
      </c>
      <c r="K6315" t="s">
        <v>19203</v>
      </c>
      <c r="L6315" t="s">
        <v>20041</v>
      </c>
      <c r="M6315" s="161" t="s">
        <v>19202</v>
      </c>
    </row>
    <row r="6316" spans="9:13" x14ac:dyDescent="0.25">
      <c r="I6316" t="s">
        <v>10425</v>
      </c>
      <c r="J6316" s="161" t="s">
        <v>19202</v>
      </c>
      <c r="K6316" t="s">
        <v>19203</v>
      </c>
      <c r="L6316" t="s">
        <v>89</v>
      </c>
      <c r="M6316" s="161" t="s">
        <v>19202</v>
      </c>
    </row>
    <row r="6317" spans="9:13" x14ac:dyDescent="0.25">
      <c r="I6317" t="s">
        <v>10619</v>
      </c>
      <c r="J6317" s="161" t="s">
        <v>19202</v>
      </c>
      <c r="K6317" t="s">
        <v>19203</v>
      </c>
      <c r="L6317" t="s">
        <v>10618</v>
      </c>
      <c r="M6317" s="161" t="s">
        <v>19202</v>
      </c>
    </row>
    <row r="6318" spans="9:13" x14ac:dyDescent="0.25">
      <c r="I6318" t="s">
        <v>12917</v>
      </c>
      <c r="J6318" s="161" t="s">
        <v>19202</v>
      </c>
      <c r="K6318" t="s">
        <v>19203</v>
      </c>
      <c r="L6318" t="s">
        <v>12916</v>
      </c>
      <c r="M6318" s="161" t="s">
        <v>19202</v>
      </c>
    </row>
    <row r="6319" spans="9:13" x14ac:dyDescent="0.25">
      <c r="I6319" t="s">
        <v>5806</v>
      </c>
      <c r="J6319" s="161" t="s">
        <v>19202</v>
      </c>
      <c r="K6319" t="s">
        <v>19203</v>
      </c>
      <c r="L6319" t="s">
        <v>5805</v>
      </c>
      <c r="M6319" s="161" t="s">
        <v>19202</v>
      </c>
    </row>
    <row r="6320" spans="9:13" x14ac:dyDescent="0.25">
      <c r="I6320" t="s">
        <v>16448</v>
      </c>
      <c r="J6320" s="161" t="s">
        <v>19202</v>
      </c>
      <c r="K6320" t="s">
        <v>19203</v>
      </c>
      <c r="L6320" t="s">
        <v>16447</v>
      </c>
      <c r="M6320" s="161" t="s">
        <v>19202</v>
      </c>
    </row>
    <row r="6321" spans="9:13" x14ac:dyDescent="0.25">
      <c r="I6321" t="s">
        <v>6452</v>
      </c>
      <c r="J6321" s="161" t="s">
        <v>19202</v>
      </c>
      <c r="K6321" t="s">
        <v>19203</v>
      </c>
      <c r="L6321" t="s">
        <v>6451</v>
      </c>
      <c r="M6321" s="161" t="s">
        <v>19202</v>
      </c>
    </row>
    <row r="6322" spans="9:13" x14ac:dyDescent="0.25">
      <c r="I6322" t="s">
        <v>4279</v>
      </c>
      <c r="J6322" s="161" t="s">
        <v>19202</v>
      </c>
      <c r="K6322" t="s">
        <v>19203</v>
      </c>
      <c r="L6322" t="s">
        <v>4278</v>
      </c>
      <c r="M6322" s="161" t="s">
        <v>19202</v>
      </c>
    </row>
    <row r="6323" spans="9:13" x14ac:dyDescent="0.25">
      <c r="I6323" t="s">
        <v>6866</v>
      </c>
      <c r="J6323" s="161" t="s">
        <v>19202</v>
      </c>
      <c r="K6323" t="s">
        <v>19203</v>
      </c>
      <c r="L6323" t="s">
        <v>6865</v>
      </c>
      <c r="M6323" s="161" t="s">
        <v>19202</v>
      </c>
    </row>
    <row r="6324" spans="9:13" x14ac:dyDescent="0.25">
      <c r="I6324" t="s">
        <v>9046</v>
      </c>
      <c r="J6324" s="161" t="s">
        <v>19202</v>
      </c>
      <c r="K6324" t="s">
        <v>19203</v>
      </c>
      <c r="L6324" t="s">
        <v>9045</v>
      </c>
      <c r="M6324" s="161" t="s">
        <v>19202</v>
      </c>
    </row>
    <row r="6325" spans="9:13" x14ac:dyDescent="0.25">
      <c r="I6325" t="s">
        <v>11875</v>
      </c>
      <c r="J6325" s="161" t="s">
        <v>19202</v>
      </c>
      <c r="K6325" t="s">
        <v>19203</v>
      </c>
      <c r="L6325" t="s">
        <v>4082</v>
      </c>
      <c r="M6325" s="161" t="s">
        <v>19202</v>
      </c>
    </row>
    <row r="6326" spans="9:13" x14ac:dyDescent="0.25">
      <c r="I6326" t="s">
        <v>8948</v>
      </c>
      <c r="J6326" s="161" t="s">
        <v>19202</v>
      </c>
      <c r="K6326" t="s">
        <v>19203</v>
      </c>
      <c r="L6326" t="s">
        <v>8947</v>
      </c>
      <c r="M6326" s="161" t="s">
        <v>19202</v>
      </c>
    </row>
    <row r="6327" spans="9:13" x14ac:dyDescent="0.25">
      <c r="I6327" t="s">
        <v>3874</v>
      </c>
      <c r="J6327" s="161" t="s">
        <v>19202</v>
      </c>
      <c r="K6327" t="s">
        <v>19203</v>
      </c>
      <c r="L6327" t="s">
        <v>3873</v>
      </c>
      <c r="M6327" s="161" t="s">
        <v>19202</v>
      </c>
    </row>
    <row r="6328" spans="9:13" x14ac:dyDescent="0.25">
      <c r="I6328" t="s">
        <v>10979</v>
      </c>
      <c r="J6328" s="161" t="s">
        <v>19202</v>
      </c>
      <c r="K6328" t="s">
        <v>19203</v>
      </c>
      <c r="L6328" t="s">
        <v>10978</v>
      </c>
      <c r="M6328" s="161" t="s">
        <v>19202</v>
      </c>
    </row>
    <row r="6329" spans="9:13" x14ac:dyDescent="0.25">
      <c r="I6329" t="s">
        <v>8644</v>
      </c>
      <c r="J6329" s="161" t="s">
        <v>19202</v>
      </c>
      <c r="K6329" t="s">
        <v>19203</v>
      </c>
      <c r="L6329" t="s">
        <v>8643</v>
      </c>
      <c r="M6329" s="161" t="s">
        <v>19202</v>
      </c>
    </row>
    <row r="6330" spans="9:13" x14ac:dyDescent="0.25">
      <c r="I6330" t="s">
        <v>8110</v>
      </c>
      <c r="J6330" s="161" t="s">
        <v>19202</v>
      </c>
      <c r="K6330" t="s">
        <v>19203</v>
      </c>
      <c r="L6330" t="s">
        <v>8109</v>
      </c>
      <c r="M6330" s="161" t="s">
        <v>19202</v>
      </c>
    </row>
    <row r="6331" spans="9:13" x14ac:dyDescent="0.25">
      <c r="I6331" t="s">
        <v>12804</v>
      </c>
      <c r="J6331" s="161" t="s">
        <v>19202</v>
      </c>
      <c r="K6331" t="s">
        <v>19203</v>
      </c>
      <c r="L6331" t="s">
        <v>12803</v>
      </c>
      <c r="M6331" s="161" t="s">
        <v>19202</v>
      </c>
    </row>
    <row r="6332" spans="9:13" x14ac:dyDescent="0.25">
      <c r="I6332" t="s">
        <v>6864</v>
      </c>
      <c r="J6332" s="161" t="s">
        <v>19202</v>
      </c>
      <c r="K6332" t="s">
        <v>19203</v>
      </c>
      <c r="L6332" t="s">
        <v>6863</v>
      </c>
      <c r="M6332" s="161" t="s">
        <v>19202</v>
      </c>
    </row>
    <row r="6333" spans="9:13" x14ac:dyDescent="0.25">
      <c r="I6333" t="s">
        <v>16046</v>
      </c>
      <c r="J6333" s="161" t="s">
        <v>19202</v>
      </c>
      <c r="K6333" t="s">
        <v>19203</v>
      </c>
      <c r="L6333" t="s">
        <v>5479</v>
      </c>
      <c r="M6333" s="161" t="s">
        <v>19202</v>
      </c>
    </row>
    <row r="6334" spans="9:13" x14ac:dyDescent="0.25">
      <c r="I6334" t="s">
        <v>6817</v>
      </c>
      <c r="J6334" s="161" t="s">
        <v>19202</v>
      </c>
      <c r="K6334" t="s">
        <v>19203</v>
      </c>
      <c r="L6334" t="s">
        <v>6816</v>
      </c>
      <c r="M6334" s="161" t="s">
        <v>19202</v>
      </c>
    </row>
    <row r="6335" spans="9:13" x14ac:dyDescent="0.25">
      <c r="I6335" t="s">
        <v>6903</v>
      </c>
      <c r="J6335" s="161" t="s">
        <v>19202</v>
      </c>
      <c r="K6335" t="s">
        <v>19203</v>
      </c>
      <c r="L6335" t="s">
        <v>6902</v>
      </c>
      <c r="M6335" s="161" t="s">
        <v>19202</v>
      </c>
    </row>
    <row r="6336" spans="9:13" x14ac:dyDescent="0.25">
      <c r="I6336" t="s">
        <v>6487</v>
      </c>
      <c r="J6336" s="161" t="s">
        <v>19202</v>
      </c>
      <c r="K6336" t="s">
        <v>19203</v>
      </c>
      <c r="L6336" t="s">
        <v>6486</v>
      </c>
      <c r="M6336" s="161" t="s">
        <v>19202</v>
      </c>
    </row>
    <row r="6337" spans="9:13" x14ac:dyDescent="0.25">
      <c r="I6337" t="s">
        <v>6048</v>
      </c>
      <c r="J6337" s="161" t="s">
        <v>19202</v>
      </c>
      <c r="K6337" t="s">
        <v>19203</v>
      </c>
      <c r="L6337" t="s">
        <v>6047</v>
      </c>
      <c r="M6337" s="161" t="s">
        <v>19202</v>
      </c>
    </row>
    <row r="6338" spans="9:13" x14ac:dyDescent="0.25">
      <c r="I6338" t="s">
        <v>14130</v>
      </c>
      <c r="J6338" s="161" t="s">
        <v>19202</v>
      </c>
      <c r="K6338" t="s">
        <v>19203</v>
      </c>
      <c r="L6338" t="s">
        <v>4270</v>
      </c>
      <c r="M6338" s="161" t="s">
        <v>19202</v>
      </c>
    </row>
    <row r="6339" spans="9:13" x14ac:dyDescent="0.25">
      <c r="I6339" t="s">
        <v>9188</v>
      </c>
      <c r="J6339" s="161" t="s">
        <v>19202</v>
      </c>
      <c r="K6339" t="s">
        <v>19203</v>
      </c>
      <c r="L6339" t="s">
        <v>9187</v>
      </c>
      <c r="M6339" s="161" t="s">
        <v>19202</v>
      </c>
    </row>
    <row r="6340" spans="9:13" x14ac:dyDescent="0.25">
      <c r="I6340" t="s">
        <v>12937</v>
      </c>
      <c r="J6340" s="161" t="s">
        <v>19202</v>
      </c>
      <c r="K6340" t="s">
        <v>19203</v>
      </c>
      <c r="L6340" t="s">
        <v>12936</v>
      </c>
      <c r="M6340" s="161" t="s">
        <v>19202</v>
      </c>
    </row>
    <row r="6341" spans="9:13" x14ac:dyDescent="0.25">
      <c r="I6341" t="s">
        <v>10371</v>
      </c>
      <c r="J6341" s="161" t="s">
        <v>19202</v>
      </c>
      <c r="K6341" t="s">
        <v>19203</v>
      </c>
      <c r="L6341" t="s">
        <v>10370</v>
      </c>
      <c r="M6341" s="161" t="s">
        <v>19202</v>
      </c>
    </row>
    <row r="6342" spans="9:13" x14ac:dyDescent="0.25">
      <c r="I6342" t="s">
        <v>16048</v>
      </c>
      <c r="J6342" s="161" t="s">
        <v>19202</v>
      </c>
      <c r="K6342" t="s">
        <v>19203</v>
      </c>
      <c r="L6342" t="s">
        <v>16047</v>
      </c>
      <c r="M6342" s="161" t="s">
        <v>19202</v>
      </c>
    </row>
    <row r="6343" spans="9:13" x14ac:dyDescent="0.25">
      <c r="I6343" t="s">
        <v>7021</v>
      </c>
      <c r="J6343" s="161" t="s">
        <v>19202</v>
      </c>
      <c r="K6343" t="s">
        <v>19203</v>
      </c>
      <c r="L6343" t="s">
        <v>7020</v>
      </c>
      <c r="M6343" s="161" t="s">
        <v>19202</v>
      </c>
    </row>
    <row r="6344" spans="9:13" x14ac:dyDescent="0.25">
      <c r="I6344" t="s">
        <v>14049</v>
      </c>
      <c r="J6344" s="161" t="s">
        <v>19202</v>
      </c>
      <c r="K6344" t="s">
        <v>19203</v>
      </c>
      <c r="L6344" t="s">
        <v>14048</v>
      </c>
      <c r="M6344" s="161" t="s">
        <v>19202</v>
      </c>
    </row>
    <row r="6345" spans="9:13" x14ac:dyDescent="0.25">
      <c r="I6345" t="s">
        <v>20042</v>
      </c>
      <c r="J6345" s="161" t="s">
        <v>19202</v>
      </c>
      <c r="K6345" t="s">
        <v>19203</v>
      </c>
      <c r="L6345" t="s">
        <v>20043</v>
      </c>
      <c r="M6345" s="161" t="s">
        <v>19202</v>
      </c>
    </row>
    <row r="6346" spans="9:13" x14ac:dyDescent="0.25">
      <c r="I6346" t="s">
        <v>2641</v>
      </c>
      <c r="J6346" s="161" t="s">
        <v>19202</v>
      </c>
      <c r="K6346" t="s">
        <v>19203</v>
      </c>
      <c r="L6346" t="s">
        <v>2640</v>
      </c>
      <c r="M6346" s="161" t="s">
        <v>19202</v>
      </c>
    </row>
    <row r="6347" spans="9:13" x14ac:dyDescent="0.25">
      <c r="I6347" t="s">
        <v>10462</v>
      </c>
      <c r="J6347" s="161" t="s">
        <v>19202</v>
      </c>
      <c r="K6347" t="s">
        <v>19203</v>
      </c>
      <c r="L6347" t="s">
        <v>10461</v>
      </c>
      <c r="M6347" s="161" t="s">
        <v>19202</v>
      </c>
    </row>
    <row r="6348" spans="9:13" x14ac:dyDescent="0.25">
      <c r="I6348" t="s">
        <v>15310</v>
      </c>
      <c r="J6348" s="161" t="s">
        <v>19202</v>
      </c>
      <c r="K6348" t="s">
        <v>19203</v>
      </c>
      <c r="L6348" t="s">
        <v>4133</v>
      </c>
      <c r="M6348" s="161" t="s">
        <v>19202</v>
      </c>
    </row>
    <row r="6349" spans="9:13" x14ac:dyDescent="0.25">
      <c r="I6349" t="s">
        <v>7467</v>
      </c>
      <c r="J6349" s="161" t="s">
        <v>19202</v>
      </c>
      <c r="K6349" t="s">
        <v>19203</v>
      </c>
      <c r="L6349" t="s">
        <v>7466</v>
      </c>
      <c r="M6349" s="161" t="s">
        <v>19202</v>
      </c>
    </row>
    <row r="6350" spans="9:13" x14ac:dyDescent="0.25">
      <c r="I6350" t="s">
        <v>7465</v>
      </c>
      <c r="J6350" s="161" t="s">
        <v>19202</v>
      </c>
      <c r="K6350" t="s">
        <v>19203</v>
      </c>
      <c r="L6350" t="s">
        <v>7464</v>
      </c>
      <c r="M6350" s="161" t="s">
        <v>19202</v>
      </c>
    </row>
    <row r="6351" spans="9:13" x14ac:dyDescent="0.25">
      <c r="I6351" t="s">
        <v>20044</v>
      </c>
      <c r="J6351" s="161" t="s">
        <v>19202</v>
      </c>
      <c r="K6351" t="s">
        <v>19203</v>
      </c>
      <c r="L6351" t="s">
        <v>20045</v>
      </c>
      <c r="M6351" s="161" t="s">
        <v>19202</v>
      </c>
    </row>
    <row r="6352" spans="9:13" x14ac:dyDescent="0.25">
      <c r="I6352" t="s">
        <v>8974</v>
      </c>
      <c r="J6352" s="161" t="s">
        <v>19202</v>
      </c>
      <c r="K6352" t="s">
        <v>19203</v>
      </c>
      <c r="L6352" t="s">
        <v>8973</v>
      </c>
      <c r="M6352" s="161" t="s">
        <v>19202</v>
      </c>
    </row>
    <row r="6353" spans="9:13" x14ac:dyDescent="0.25">
      <c r="I6353" t="s">
        <v>15930</v>
      </c>
      <c r="J6353" s="161" t="s">
        <v>19202</v>
      </c>
      <c r="K6353" t="s">
        <v>19203</v>
      </c>
      <c r="L6353" t="s">
        <v>15929</v>
      </c>
      <c r="M6353" s="161" t="s">
        <v>19202</v>
      </c>
    </row>
    <row r="6354" spans="9:13" x14ac:dyDescent="0.25">
      <c r="I6354" t="s">
        <v>4557</v>
      </c>
      <c r="J6354" s="161" t="s">
        <v>19202</v>
      </c>
      <c r="K6354" t="s">
        <v>19203</v>
      </c>
      <c r="L6354" t="s">
        <v>4556</v>
      </c>
      <c r="M6354" s="161" t="s">
        <v>19202</v>
      </c>
    </row>
    <row r="6355" spans="9:13" x14ac:dyDescent="0.25">
      <c r="I6355" t="s">
        <v>12810</v>
      </c>
      <c r="J6355" s="161" t="s">
        <v>19202</v>
      </c>
      <c r="K6355" t="s">
        <v>19203</v>
      </c>
      <c r="L6355" t="s">
        <v>12809</v>
      </c>
      <c r="M6355" s="161" t="s">
        <v>19202</v>
      </c>
    </row>
    <row r="6356" spans="9:13" x14ac:dyDescent="0.25">
      <c r="I6356" t="s">
        <v>381</v>
      </c>
      <c r="J6356" s="161" t="s">
        <v>19202</v>
      </c>
      <c r="K6356" t="s">
        <v>19203</v>
      </c>
      <c r="L6356" t="s">
        <v>380</v>
      </c>
      <c r="M6356" s="161" t="s">
        <v>19202</v>
      </c>
    </row>
    <row r="6357" spans="9:13" x14ac:dyDescent="0.25">
      <c r="I6357" t="s">
        <v>8239</v>
      </c>
      <c r="J6357" s="161" t="s">
        <v>19202</v>
      </c>
      <c r="K6357" t="s">
        <v>19203</v>
      </c>
      <c r="L6357" t="s">
        <v>8238</v>
      </c>
      <c r="M6357" s="161" t="s">
        <v>19202</v>
      </c>
    </row>
    <row r="6358" spans="9:13" x14ac:dyDescent="0.25">
      <c r="I6358" t="s">
        <v>7298</v>
      </c>
      <c r="J6358" s="161" t="s">
        <v>19202</v>
      </c>
      <c r="K6358" t="s">
        <v>19203</v>
      </c>
      <c r="L6358" t="s">
        <v>7297</v>
      </c>
      <c r="M6358" s="161" t="s">
        <v>19202</v>
      </c>
    </row>
    <row r="6359" spans="9:13" x14ac:dyDescent="0.25">
      <c r="I6359" t="s">
        <v>8508</v>
      </c>
      <c r="J6359" s="161" t="s">
        <v>19202</v>
      </c>
      <c r="K6359" t="s">
        <v>19203</v>
      </c>
      <c r="L6359" t="s">
        <v>8507</v>
      </c>
      <c r="M6359" s="161" t="s">
        <v>19202</v>
      </c>
    </row>
    <row r="6360" spans="9:13" x14ac:dyDescent="0.25">
      <c r="I6360" t="s">
        <v>15442</v>
      </c>
      <c r="J6360" s="161" t="s">
        <v>19202</v>
      </c>
      <c r="K6360" t="s">
        <v>19203</v>
      </c>
      <c r="L6360" t="s">
        <v>15441</v>
      </c>
      <c r="M6360" s="161" t="s">
        <v>19202</v>
      </c>
    </row>
    <row r="6361" spans="9:13" x14ac:dyDescent="0.25">
      <c r="I6361" t="s">
        <v>8104</v>
      </c>
      <c r="J6361" s="161" t="s">
        <v>19202</v>
      </c>
      <c r="K6361" t="s">
        <v>19203</v>
      </c>
      <c r="L6361" t="s">
        <v>8103</v>
      </c>
      <c r="M6361" s="161" t="s">
        <v>19202</v>
      </c>
    </row>
    <row r="6362" spans="9:13" x14ac:dyDescent="0.25">
      <c r="I6362" t="s">
        <v>412</v>
      </c>
      <c r="J6362" s="161" t="s">
        <v>19202</v>
      </c>
      <c r="K6362" t="s">
        <v>19203</v>
      </c>
      <c r="L6362" t="s">
        <v>411</v>
      </c>
      <c r="M6362" s="161" t="s">
        <v>19202</v>
      </c>
    </row>
    <row r="6363" spans="9:13" x14ac:dyDescent="0.25">
      <c r="I6363" t="s">
        <v>13192</v>
      </c>
      <c r="J6363" s="161" t="s">
        <v>19202</v>
      </c>
      <c r="K6363" t="s">
        <v>19203</v>
      </c>
      <c r="L6363" t="s">
        <v>13191</v>
      </c>
      <c r="M6363" s="161" t="s">
        <v>19202</v>
      </c>
    </row>
    <row r="6364" spans="9:13" x14ac:dyDescent="0.25">
      <c r="I6364" t="s">
        <v>17221</v>
      </c>
      <c r="J6364" s="161" t="s">
        <v>19202</v>
      </c>
      <c r="K6364" t="s">
        <v>19203</v>
      </c>
      <c r="L6364" t="s">
        <v>3512</v>
      </c>
      <c r="M6364" s="161" t="s">
        <v>19202</v>
      </c>
    </row>
    <row r="6365" spans="9:13" x14ac:dyDescent="0.25">
      <c r="I6365" t="s">
        <v>7597</v>
      </c>
      <c r="J6365" s="161" t="s">
        <v>19202</v>
      </c>
      <c r="K6365" t="s">
        <v>19203</v>
      </c>
      <c r="L6365" t="s">
        <v>7596</v>
      </c>
      <c r="M6365" s="161" t="s">
        <v>19202</v>
      </c>
    </row>
    <row r="6366" spans="9:13" x14ac:dyDescent="0.25">
      <c r="I6366" t="s">
        <v>3817</v>
      </c>
      <c r="J6366" s="161" t="s">
        <v>19202</v>
      </c>
      <c r="K6366" t="s">
        <v>19203</v>
      </c>
      <c r="L6366" t="s">
        <v>3816</v>
      </c>
      <c r="M6366" s="161" t="s">
        <v>19202</v>
      </c>
    </row>
    <row r="6367" spans="9:13" x14ac:dyDescent="0.25">
      <c r="I6367" t="s">
        <v>15242</v>
      </c>
      <c r="J6367" s="161" t="s">
        <v>19202</v>
      </c>
      <c r="K6367" t="s">
        <v>19203</v>
      </c>
      <c r="L6367" t="s">
        <v>15241</v>
      </c>
      <c r="M6367" s="161" t="s">
        <v>19202</v>
      </c>
    </row>
    <row r="6368" spans="9:13" x14ac:dyDescent="0.25">
      <c r="I6368" t="s">
        <v>15240</v>
      </c>
      <c r="J6368" s="161" t="s">
        <v>19202</v>
      </c>
      <c r="K6368" t="s">
        <v>19203</v>
      </c>
      <c r="L6368" t="s">
        <v>15239</v>
      </c>
      <c r="M6368" s="161" t="s">
        <v>19202</v>
      </c>
    </row>
    <row r="6369" spans="9:13" x14ac:dyDescent="0.25">
      <c r="I6369" t="s">
        <v>7742</v>
      </c>
      <c r="J6369" s="161" t="s">
        <v>19202</v>
      </c>
      <c r="K6369" t="s">
        <v>19203</v>
      </c>
      <c r="L6369" t="s">
        <v>7741</v>
      </c>
      <c r="M6369" s="161" t="s">
        <v>19202</v>
      </c>
    </row>
    <row r="6370" spans="9:13" x14ac:dyDescent="0.25">
      <c r="I6370" t="s">
        <v>7740</v>
      </c>
      <c r="J6370" s="161" t="s">
        <v>19202</v>
      </c>
      <c r="K6370" t="s">
        <v>19203</v>
      </c>
      <c r="L6370" t="s">
        <v>7739</v>
      </c>
      <c r="M6370" s="161" t="s">
        <v>19202</v>
      </c>
    </row>
    <row r="6371" spans="9:13" x14ac:dyDescent="0.25">
      <c r="I6371" t="s">
        <v>7984</v>
      </c>
      <c r="J6371" s="161" t="s">
        <v>19202</v>
      </c>
      <c r="K6371" t="s">
        <v>19203</v>
      </c>
      <c r="L6371" t="s">
        <v>7983</v>
      </c>
      <c r="M6371" s="161" t="s">
        <v>19202</v>
      </c>
    </row>
    <row r="6372" spans="9:13" x14ac:dyDescent="0.25">
      <c r="I6372" t="s">
        <v>15312</v>
      </c>
      <c r="J6372" s="161" t="s">
        <v>19202</v>
      </c>
      <c r="K6372" t="s">
        <v>19203</v>
      </c>
      <c r="L6372" t="s">
        <v>15311</v>
      </c>
      <c r="M6372" s="161" t="s">
        <v>19202</v>
      </c>
    </row>
    <row r="6373" spans="9:13" x14ac:dyDescent="0.25">
      <c r="I6373" t="s">
        <v>20046</v>
      </c>
      <c r="J6373" s="161" t="s">
        <v>19202</v>
      </c>
      <c r="K6373" t="s">
        <v>19203</v>
      </c>
      <c r="L6373" t="s">
        <v>20047</v>
      </c>
      <c r="M6373" s="161" t="s">
        <v>19202</v>
      </c>
    </row>
    <row r="6374" spans="9:13" x14ac:dyDescent="0.25">
      <c r="I6374" t="s">
        <v>13826</v>
      </c>
      <c r="J6374" s="161" t="s">
        <v>19202</v>
      </c>
      <c r="K6374" t="s">
        <v>19203</v>
      </c>
      <c r="L6374" t="s">
        <v>13825</v>
      </c>
      <c r="M6374" s="161" t="s">
        <v>19202</v>
      </c>
    </row>
    <row r="6375" spans="9:13" x14ac:dyDescent="0.25">
      <c r="I6375" t="s">
        <v>8506</v>
      </c>
      <c r="J6375" s="161" t="s">
        <v>19202</v>
      </c>
      <c r="K6375" t="s">
        <v>19203</v>
      </c>
      <c r="L6375" t="s">
        <v>8505</v>
      </c>
      <c r="M6375" s="161" t="s">
        <v>19202</v>
      </c>
    </row>
    <row r="6376" spans="9:13" x14ac:dyDescent="0.25">
      <c r="I6376" t="s">
        <v>8114</v>
      </c>
      <c r="J6376" s="161" t="s">
        <v>19202</v>
      </c>
      <c r="K6376" t="s">
        <v>19203</v>
      </c>
      <c r="L6376" t="s">
        <v>8113</v>
      </c>
      <c r="M6376" s="161" t="s">
        <v>19202</v>
      </c>
    </row>
    <row r="6377" spans="9:13" x14ac:dyDescent="0.25">
      <c r="I6377" t="s">
        <v>16178</v>
      </c>
      <c r="J6377" s="161" t="s">
        <v>19202</v>
      </c>
      <c r="K6377" t="s">
        <v>19203</v>
      </c>
      <c r="L6377" t="s">
        <v>16177</v>
      </c>
      <c r="M6377" s="161" t="s">
        <v>19202</v>
      </c>
    </row>
    <row r="6378" spans="9:13" x14ac:dyDescent="0.25">
      <c r="I6378" t="s">
        <v>6491</v>
      </c>
      <c r="J6378" s="161" t="s">
        <v>19202</v>
      </c>
      <c r="K6378" t="s">
        <v>19203</v>
      </c>
      <c r="L6378" t="s">
        <v>6490</v>
      </c>
      <c r="M6378" s="161" t="s">
        <v>19202</v>
      </c>
    </row>
    <row r="6379" spans="9:13" x14ac:dyDescent="0.25">
      <c r="I6379" t="s">
        <v>7017</v>
      </c>
      <c r="J6379" s="161" t="s">
        <v>19202</v>
      </c>
      <c r="K6379" t="s">
        <v>19203</v>
      </c>
      <c r="L6379" t="s">
        <v>7016</v>
      </c>
      <c r="M6379" s="161" t="s">
        <v>19202</v>
      </c>
    </row>
    <row r="6380" spans="9:13" x14ac:dyDescent="0.25">
      <c r="I6380" t="s">
        <v>20048</v>
      </c>
      <c r="J6380" s="161" t="s">
        <v>19202</v>
      </c>
      <c r="K6380" t="s">
        <v>19203</v>
      </c>
      <c r="L6380" t="s">
        <v>20049</v>
      </c>
      <c r="M6380" s="161" t="s">
        <v>19202</v>
      </c>
    </row>
    <row r="6381" spans="9:13" x14ac:dyDescent="0.25">
      <c r="I6381" t="s">
        <v>20050</v>
      </c>
      <c r="J6381" s="161" t="s">
        <v>19202</v>
      </c>
      <c r="K6381" t="s">
        <v>19203</v>
      </c>
      <c r="L6381" t="s">
        <v>20051</v>
      </c>
      <c r="M6381" s="161" t="s">
        <v>19202</v>
      </c>
    </row>
    <row r="6382" spans="9:13" x14ac:dyDescent="0.25">
      <c r="I6382" t="s">
        <v>7077</v>
      </c>
      <c r="J6382" s="161" t="s">
        <v>19202</v>
      </c>
      <c r="K6382" t="s">
        <v>19203</v>
      </c>
      <c r="L6382" t="s">
        <v>7076</v>
      </c>
      <c r="M6382" s="161" t="s">
        <v>19202</v>
      </c>
    </row>
    <row r="6383" spans="9:13" x14ac:dyDescent="0.25">
      <c r="I6383" t="s">
        <v>6550</v>
      </c>
      <c r="J6383" s="161" t="s">
        <v>19202</v>
      </c>
      <c r="K6383" t="s">
        <v>19203</v>
      </c>
      <c r="L6383" t="s">
        <v>6534</v>
      </c>
      <c r="M6383" s="161" t="s">
        <v>19202</v>
      </c>
    </row>
    <row r="6384" spans="9:13" x14ac:dyDescent="0.25">
      <c r="I6384" t="s">
        <v>20052</v>
      </c>
      <c r="J6384" s="161" t="s">
        <v>19202</v>
      </c>
      <c r="K6384" t="s">
        <v>19203</v>
      </c>
      <c r="L6384" t="s">
        <v>20053</v>
      </c>
      <c r="M6384" s="161" t="s">
        <v>19202</v>
      </c>
    </row>
    <row r="6385" spans="9:13" x14ac:dyDescent="0.25">
      <c r="I6385" t="s">
        <v>8512</v>
      </c>
      <c r="J6385" s="161" t="s">
        <v>19202</v>
      </c>
      <c r="K6385" t="s">
        <v>19203</v>
      </c>
      <c r="L6385" t="s">
        <v>8511</v>
      </c>
      <c r="M6385" s="161" t="s">
        <v>19202</v>
      </c>
    </row>
    <row r="6386" spans="9:13" x14ac:dyDescent="0.25">
      <c r="I6386" t="s">
        <v>17154</v>
      </c>
      <c r="J6386" s="161" t="s">
        <v>19202</v>
      </c>
      <c r="K6386" t="s">
        <v>19203</v>
      </c>
      <c r="L6386" t="s">
        <v>17153</v>
      </c>
      <c r="M6386" s="161" t="s">
        <v>19202</v>
      </c>
    </row>
    <row r="6387" spans="9:13" x14ac:dyDescent="0.25">
      <c r="I6387" t="s">
        <v>8106</v>
      </c>
      <c r="J6387" s="161" t="s">
        <v>19202</v>
      </c>
      <c r="K6387" t="s">
        <v>19203</v>
      </c>
      <c r="L6387" t="s">
        <v>8105</v>
      </c>
      <c r="M6387" s="161" t="s">
        <v>19202</v>
      </c>
    </row>
    <row r="6388" spans="9:13" x14ac:dyDescent="0.25">
      <c r="I6388" t="s">
        <v>20054</v>
      </c>
      <c r="J6388" s="161" t="s">
        <v>19202</v>
      </c>
      <c r="K6388" t="s">
        <v>19203</v>
      </c>
      <c r="L6388" t="s">
        <v>20055</v>
      </c>
      <c r="M6388" s="161" t="s">
        <v>19202</v>
      </c>
    </row>
    <row r="6389" spans="9:13" x14ac:dyDescent="0.25">
      <c r="I6389" t="s">
        <v>14718</v>
      </c>
      <c r="J6389" s="161" t="s">
        <v>19202</v>
      </c>
      <c r="K6389" t="s">
        <v>19203</v>
      </c>
      <c r="L6389" t="s">
        <v>14717</v>
      </c>
      <c r="M6389" s="161" t="s">
        <v>19202</v>
      </c>
    </row>
    <row r="6390" spans="9:13" x14ac:dyDescent="0.25">
      <c r="I6390" t="s">
        <v>15286</v>
      </c>
      <c r="J6390" s="161" t="s">
        <v>19202</v>
      </c>
      <c r="K6390" t="s">
        <v>19203</v>
      </c>
      <c r="L6390" t="s">
        <v>15285</v>
      </c>
      <c r="M6390" s="161" t="s">
        <v>19202</v>
      </c>
    </row>
    <row r="6391" spans="9:13" x14ac:dyDescent="0.25">
      <c r="I6391" t="s">
        <v>6552</v>
      </c>
      <c r="J6391" s="161" t="s">
        <v>19202</v>
      </c>
      <c r="K6391" t="s">
        <v>19203</v>
      </c>
      <c r="L6391" t="s">
        <v>6551</v>
      </c>
      <c r="M6391" s="161" t="s">
        <v>19202</v>
      </c>
    </row>
    <row r="6392" spans="9:13" x14ac:dyDescent="0.25">
      <c r="I6392" t="s">
        <v>7595</v>
      </c>
      <c r="J6392" s="161" t="s">
        <v>19202</v>
      </c>
      <c r="K6392" t="s">
        <v>19203</v>
      </c>
      <c r="L6392" t="s">
        <v>7594</v>
      </c>
      <c r="M6392" s="161" t="s">
        <v>19202</v>
      </c>
    </row>
    <row r="6393" spans="9:13" x14ac:dyDescent="0.25">
      <c r="I6393" t="s">
        <v>9540</v>
      </c>
      <c r="J6393" s="161" t="s">
        <v>19202</v>
      </c>
      <c r="K6393" t="s">
        <v>19203</v>
      </c>
      <c r="L6393" t="s">
        <v>9539</v>
      </c>
      <c r="M6393" s="161" t="s">
        <v>19202</v>
      </c>
    </row>
    <row r="6394" spans="9:13" x14ac:dyDescent="0.25">
      <c r="I6394" t="s">
        <v>8510</v>
      </c>
      <c r="J6394" s="161" t="s">
        <v>19202</v>
      </c>
      <c r="K6394" t="s">
        <v>19203</v>
      </c>
      <c r="L6394" t="s">
        <v>8509</v>
      </c>
      <c r="M6394" s="161" t="s">
        <v>19202</v>
      </c>
    </row>
    <row r="6395" spans="9:13" x14ac:dyDescent="0.25">
      <c r="I6395" t="s">
        <v>8112</v>
      </c>
      <c r="J6395" s="161" t="s">
        <v>19202</v>
      </c>
      <c r="K6395" t="s">
        <v>19203</v>
      </c>
      <c r="L6395" t="s">
        <v>8111</v>
      </c>
      <c r="M6395" s="161" t="s">
        <v>19202</v>
      </c>
    </row>
    <row r="6396" spans="9:13" x14ac:dyDescent="0.25">
      <c r="I6396" t="s">
        <v>2666</v>
      </c>
      <c r="J6396" s="161" t="s">
        <v>19202</v>
      </c>
      <c r="K6396" t="s">
        <v>19203</v>
      </c>
      <c r="L6396" t="s">
        <v>316</v>
      </c>
      <c r="M6396" s="161" t="s">
        <v>19202</v>
      </c>
    </row>
    <row r="6397" spans="9:13" x14ac:dyDescent="0.25">
      <c r="I6397" t="s">
        <v>11221</v>
      </c>
      <c r="J6397" s="161" t="s">
        <v>19202</v>
      </c>
      <c r="K6397" t="s">
        <v>19203</v>
      </c>
      <c r="L6397" t="s">
        <v>11220</v>
      </c>
      <c r="M6397" s="161" t="s">
        <v>19202</v>
      </c>
    </row>
    <row r="6398" spans="9:13" x14ac:dyDescent="0.25">
      <c r="I6398" t="s">
        <v>6485</v>
      </c>
      <c r="J6398" s="161" t="s">
        <v>19202</v>
      </c>
      <c r="K6398" t="s">
        <v>19203</v>
      </c>
      <c r="L6398" t="s">
        <v>6484</v>
      </c>
      <c r="M6398" s="161" t="s">
        <v>19202</v>
      </c>
    </row>
    <row r="6399" spans="9:13" x14ac:dyDescent="0.25">
      <c r="I6399" t="s">
        <v>4356</v>
      </c>
      <c r="J6399" s="161" t="s">
        <v>19202</v>
      </c>
      <c r="K6399" t="s">
        <v>19203</v>
      </c>
      <c r="L6399" t="s">
        <v>363</v>
      </c>
      <c r="M6399" s="161" t="s">
        <v>19202</v>
      </c>
    </row>
    <row r="6400" spans="9:13" x14ac:dyDescent="0.25">
      <c r="I6400" t="s">
        <v>17854</v>
      </c>
      <c r="J6400" s="161" t="s">
        <v>19202</v>
      </c>
      <c r="K6400" t="s">
        <v>19203</v>
      </c>
      <c r="L6400" t="s">
        <v>17853</v>
      </c>
      <c r="M6400" s="161" t="s">
        <v>19202</v>
      </c>
    </row>
    <row r="6401" spans="9:13" x14ac:dyDescent="0.25">
      <c r="I6401" t="s">
        <v>20056</v>
      </c>
      <c r="J6401" s="161" t="s">
        <v>19202</v>
      </c>
      <c r="K6401" t="s">
        <v>19203</v>
      </c>
      <c r="L6401" t="s">
        <v>20057</v>
      </c>
      <c r="M6401" s="161" t="s">
        <v>19202</v>
      </c>
    </row>
    <row r="6402" spans="9:13" x14ac:dyDescent="0.25">
      <c r="I6402" t="s">
        <v>7079</v>
      </c>
      <c r="J6402" s="161" t="s">
        <v>19202</v>
      </c>
      <c r="K6402" t="s">
        <v>19203</v>
      </c>
      <c r="L6402" t="s">
        <v>7078</v>
      </c>
      <c r="M6402" s="161" t="s">
        <v>19202</v>
      </c>
    </row>
    <row r="6403" spans="9:13" x14ac:dyDescent="0.25">
      <c r="I6403" t="s">
        <v>7075</v>
      </c>
      <c r="J6403" s="161" t="s">
        <v>19202</v>
      </c>
      <c r="K6403" t="s">
        <v>19203</v>
      </c>
      <c r="L6403" t="s">
        <v>7074</v>
      </c>
      <c r="M6403" s="161" t="s">
        <v>19202</v>
      </c>
    </row>
    <row r="6404" spans="9:13" x14ac:dyDescent="0.25">
      <c r="I6404" t="s">
        <v>15175</v>
      </c>
      <c r="J6404" s="161" t="s">
        <v>19202</v>
      </c>
      <c r="K6404" t="s">
        <v>19203</v>
      </c>
      <c r="L6404" t="s">
        <v>15174</v>
      </c>
      <c r="M6404" s="161" t="s">
        <v>19202</v>
      </c>
    </row>
    <row r="6405" spans="9:13" x14ac:dyDescent="0.25">
      <c r="I6405" t="s">
        <v>17856</v>
      </c>
      <c r="J6405" s="161" t="s">
        <v>19202</v>
      </c>
      <c r="K6405" t="s">
        <v>19203</v>
      </c>
      <c r="L6405" t="s">
        <v>17855</v>
      </c>
      <c r="M6405" s="161" t="s">
        <v>19202</v>
      </c>
    </row>
    <row r="6406" spans="9:13" x14ac:dyDescent="0.25">
      <c r="I6406" t="s">
        <v>7555</v>
      </c>
      <c r="J6406" s="161" t="s">
        <v>19202</v>
      </c>
      <c r="K6406" t="s">
        <v>19203</v>
      </c>
      <c r="L6406" t="s">
        <v>7554</v>
      </c>
      <c r="M6406" s="161" t="s">
        <v>19202</v>
      </c>
    </row>
    <row r="6407" spans="9:13" x14ac:dyDescent="0.25">
      <c r="I6407" t="s">
        <v>16331</v>
      </c>
      <c r="J6407" s="161" t="s">
        <v>19202</v>
      </c>
      <c r="K6407" t="s">
        <v>19203</v>
      </c>
      <c r="L6407" t="s">
        <v>16330</v>
      </c>
      <c r="M6407" s="161" t="s">
        <v>19202</v>
      </c>
    </row>
    <row r="6408" spans="9:13" x14ac:dyDescent="0.25">
      <c r="I6408" t="s">
        <v>5986</v>
      </c>
      <c r="J6408" s="161" t="s">
        <v>19202</v>
      </c>
      <c r="K6408" t="s">
        <v>19203</v>
      </c>
      <c r="L6408" t="s">
        <v>5985</v>
      </c>
      <c r="M6408" s="161" t="s">
        <v>19202</v>
      </c>
    </row>
    <row r="6409" spans="9:13" x14ac:dyDescent="0.25">
      <c r="I6409" t="s">
        <v>14279</v>
      </c>
      <c r="J6409" s="161" t="s">
        <v>19202</v>
      </c>
      <c r="K6409" t="s">
        <v>19203</v>
      </c>
      <c r="L6409" t="s">
        <v>14278</v>
      </c>
      <c r="M6409" s="161" t="s">
        <v>19202</v>
      </c>
    </row>
    <row r="6410" spans="9:13" x14ac:dyDescent="0.25">
      <c r="I6410" t="s">
        <v>6556</v>
      </c>
      <c r="J6410" s="161" t="s">
        <v>19202</v>
      </c>
      <c r="K6410" t="s">
        <v>19203</v>
      </c>
      <c r="L6410" t="s">
        <v>6555</v>
      </c>
      <c r="M6410" s="161" t="s">
        <v>19202</v>
      </c>
    </row>
    <row r="6411" spans="9:13" x14ac:dyDescent="0.25">
      <c r="I6411" t="s">
        <v>9544</v>
      </c>
      <c r="J6411" s="161" t="s">
        <v>19202</v>
      </c>
      <c r="K6411" t="s">
        <v>19203</v>
      </c>
      <c r="L6411" t="s">
        <v>9543</v>
      </c>
      <c r="M6411" s="161" t="s">
        <v>19202</v>
      </c>
    </row>
    <row r="6412" spans="9:13" x14ac:dyDescent="0.25">
      <c r="I6412" t="s">
        <v>14005</v>
      </c>
      <c r="J6412" s="161" t="s">
        <v>19202</v>
      </c>
      <c r="K6412" t="s">
        <v>19203</v>
      </c>
      <c r="L6412" t="s">
        <v>14004</v>
      </c>
      <c r="M6412" s="161" t="s">
        <v>19202</v>
      </c>
    </row>
    <row r="6413" spans="9:13" x14ac:dyDescent="0.25">
      <c r="I6413" t="s">
        <v>20058</v>
      </c>
      <c r="J6413" s="161" t="s">
        <v>19202</v>
      </c>
      <c r="K6413" t="s">
        <v>19203</v>
      </c>
      <c r="L6413" t="s">
        <v>20059</v>
      </c>
      <c r="M6413" s="161" t="s">
        <v>19202</v>
      </c>
    </row>
    <row r="6414" spans="9:13" x14ac:dyDescent="0.25">
      <c r="I6414" t="s">
        <v>14729</v>
      </c>
      <c r="J6414" s="161" t="s">
        <v>19202</v>
      </c>
      <c r="K6414" t="s">
        <v>19203</v>
      </c>
      <c r="L6414" t="s">
        <v>14728</v>
      </c>
      <c r="M6414" s="161" t="s">
        <v>19202</v>
      </c>
    </row>
    <row r="6415" spans="9:13" x14ac:dyDescent="0.25">
      <c r="I6415" t="s">
        <v>15282</v>
      </c>
      <c r="J6415" s="161" t="s">
        <v>19202</v>
      </c>
      <c r="K6415" t="s">
        <v>19203</v>
      </c>
      <c r="L6415" t="s">
        <v>15281</v>
      </c>
      <c r="M6415" s="161" t="s">
        <v>19202</v>
      </c>
    </row>
    <row r="6416" spans="9:13" x14ac:dyDescent="0.25">
      <c r="I6416" t="s">
        <v>12756</v>
      </c>
      <c r="J6416" s="161" t="s">
        <v>19202</v>
      </c>
      <c r="K6416" t="s">
        <v>19203</v>
      </c>
      <c r="L6416" t="s">
        <v>12755</v>
      </c>
      <c r="M6416" s="161" t="s">
        <v>19202</v>
      </c>
    </row>
    <row r="6417" spans="9:13" x14ac:dyDescent="0.25">
      <c r="I6417" t="s">
        <v>7895</v>
      </c>
      <c r="J6417" s="161" t="s">
        <v>19202</v>
      </c>
      <c r="K6417" t="s">
        <v>19203</v>
      </c>
      <c r="L6417" t="s">
        <v>7894</v>
      </c>
      <c r="M6417" s="161" t="s">
        <v>19202</v>
      </c>
    </row>
    <row r="6418" spans="9:13" x14ac:dyDescent="0.25">
      <c r="I6418" t="s">
        <v>5110</v>
      </c>
      <c r="J6418" s="161" t="s">
        <v>19202</v>
      </c>
      <c r="K6418" t="s">
        <v>19203</v>
      </c>
      <c r="L6418" t="s">
        <v>5109</v>
      </c>
      <c r="M6418" s="161" t="s">
        <v>19202</v>
      </c>
    </row>
    <row r="6419" spans="9:13" x14ac:dyDescent="0.25">
      <c r="I6419" t="s">
        <v>5106</v>
      </c>
      <c r="J6419" s="161" t="s">
        <v>19202</v>
      </c>
      <c r="K6419" t="s">
        <v>19203</v>
      </c>
      <c r="L6419" t="s">
        <v>5105</v>
      </c>
      <c r="M6419" s="161" t="s">
        <v>19202</v>
      </c>
    </row>
    <row r="6420" spans="9:13" x14ac:dyDescent="0.25">
      <c r="I6420" t="s">
        <v>12913</v>
      </c>
      <c r="J6420" s="161" t="s">
        <v>19202</v>
      </c>
      <c r="K6420" t="s">
        <v>19203</v>
      </c>
      <c r="L6420" t="s">
        <v>12907</v>
      </c>
      <c r="M6420" s="161" t="s">
        <v>19202</v>
      </c>
    </row>
    <row r="6421" spans="9:13" x14ac:dyDescent="0.25">
      <c r="I6421" t="s">
        <v>11983</v>
      </c>
      <c r="J6421" s="161" t="s">
        <v>19202</v>
      </c>
      <c r="K6421" t="s">
        <v>19203</v>
      </c>
      <c r="L6421" t="s">
        <v>11982</v>
      </c>
      <c r="M6421" s="161" t="s">
        <v>19202</v>
      </c>
    </row>
    <row r="6422" spans="9:13" x14ac:dyDescent="0.25">
      <c r="I6422" t="s">
        <v>11981</v>
      </c>
      <c r="J6422" s="161" t="s">
        <v>19202</v>
      </c>
      <c r="K6422" t="s">
        <v>19203</v>
      </c>
      <c r="L6422" t="s">
        <v>11980</v>
      </c>
      <c r="M6422" s="161" t="s">
        <v>19202</v>
      </c>
    </row>
    <row r="6423" spans="9:13" x14ac:dyDescent="0.25">
      <c r="I6423" t="s">
        <v>2674</v>
      </c>
      <c r="J6423" s="161" t="s">
        <v>19202</v>
      </c>
      <c r="K6423" t="s">
        <v>19203</v>
      </c>
      <c r="L6423" t="s">
        <v>2673</v>
      </c>
      <c r="M6423" s="161" t="s">
        <v>19202</v>
      </c>
    </row>
    <row r="6424" spans="9:13" x14ac:dyDescent="0.25">
      <c r="I6424" t="s">
        <v>6434</v>
      </c>
      <c r="J6424" s="161" t="s">
        <v>19202</v>
      </c>
      <c r="K6424" t="s">
        <v>19203</v>
      </c>
      <c r="L6424" t="s">
        <v>6433</v>
      </c>
      <c r="M6424" s="161" t="s">
        <v>19202</v>
      </c>
    </row>
    <row r="6425" spans="9:13" x14ac:dyDescent="0.25">
      <c r="I6425" t="s">
        <v>7463</v>
      </c>
      <c r="J6425" s="161" t="s">
        <v>19202</v>
      </c>
      <c r="K6425" t="s">
        <v>19203</v>
      </c>
      <c r="L6425" t="s">
        <v>7462</v>
      </c>
      <c r="M6425" s="161" t="s">
        <v>19202</v>
      </c>
    </row>
    <row r="6426" spans="9:13" x14ac:dyDescent="0.25">
      <c r="I6426" t="s">
        <v>7897</v>
      </c>
      <c r="J6426" s="161" t="s">
        <v>19202</v>
      </c>
      <c r="K6426" t="s">
        <v>19203</v>
      </c>
      <c r="L6426" t="s">
        <v>7896</v>
      </c>
      <c r="M6426" s="161" t="s">
        <v>19202</v>
      </c>
    </row>
    <row r="6427" spans="9:13" x14ac:dyDescent="0.25">
      <c r="I6427" t="s">
        <v>8108</v>
      </c>
      <c r="J6427" s="161" t="s">
        <v>19202</v>
      </c>
      <c r="K6427" t="s">
        <v>19203</v>
      </c>
      <c r="L6427" t="s">
        <v>8107</v>
      </c>
      <c r="M6427" s="161" t="s">
        <v>19202</v>
      </c>
    </row>
    <row r="6428" spans="9:13" x14ac:dyDescent="0.25">
      <c r="I6428" t="s">
        <v>866</v>
      </c>
      <c r="J6428" s="161" t="s">
        <v>19202</v>
      </c>
      <c r="K6428" t="s">
        <v>19203</v>
      </c>
      <c r="L6428" t="s">
        <v>865</v>
      </c>
      <c r="M6428" s="161" t="s">
        <v>19202</v>
      </c>
    </row>
    <row r="6429" spans="9:13" x14ac:dyDescent="0.25">
      <c r="I6429" t="s">
        <v>20060</v>
      </c>
      <c r="J6429" s="161" t="s">
        <v>19202</v>
      </c>
      <c r="K6429" t="s">
        <v>19203</v>
      </c>
      <c r="L6429" t="s">
        <v>20061</v>
      </c>
      <c r="M6429" s="161" t="s">
        <v>19202</v>
      </c>
    </row>
    <row r="6430" spans="9:13" x14ac:dyDescent="0.25">
      <c r="I6430" t="s">
        <v>4730</v>
      </c>
      <c r="J6430" s="161" t="s">
        <v>19202</v>
      </c>
      <c r="K6430" t="s">
        <v>19203</v>
      </c>
      <c r="L6430" t="s">
        <v>4729</v>
      </c>
      <c r="M6430" s="161" t="s">
        <v>19202</v>
      </c>
    </row>
    <row r="6431" spans="9:13" x14ac:dyDescent="0.25">
      <c r="I6431" t="s">
        <v>5114</v>
      </c>
      <c r="J6431" s="161" t="s">
        <v>19202</v>
      </c>
      <c r="K6431" t="s">
        <v>19203</v>
      </c>
      <c r="L6431" t="s">
        <v>5113</v>
      </c>
      <c r="M6431" s="161" t="s">
        <v>19202</v>
      </c>
    </row>
    <row r="6432" spans="9:13" x14ac:dyDescent="0.25">
      <c r="I6432" t="s">
        <v>7593</v>
      </c>
      <c r="J6432" s="161" t="s">
        <v>19202</v>
      </c>
      <c r="K6432" t="s">
        <v>19203</v>
      </c>
      <c r="L6432" t="s">
        <v>7592</v>
      </c>
      <c r="M6432" s="161" t="s">
        <v>19202</v>
      </c>
    </row>
    <row r="6433" spans="9:13" x14ac:dyDescent="0.25">
      <c r="I6433" t="s">
        <v>17242</v>
      </c>
      <c r="J6433" s="161" t="s">
        <v>19202</v>
      </c>
      <c r="K6433" t="s">
        <v>19203</v>
      </c>
      <c r="L6433" t="s">
        <v>17241</v>
      </c>
      <c r="M6433" s="161" t="s">
        <v>19202</v>
      </c>
    </row>
    <row r="6434" spans="9:13" x14ac:dyDescent="0.25">
      <c r="I6434" t="s">
        <v>15284</v>
      </c>
      <c r="J6434" s="161" t="s">
        <v>19202</v>
      </c>
      <c r="K6434" t="s">
        <v>19203</v>
      </c>
      <c r="L6434" t="s">
        <v>15283</v>
      </c>
      <c r="M6434" s="161" t="s">
        <v>19202</v>
      </c>
    </row>
    <row r="6435" spans="9:13" x14ac:dyDescent="0.25">
      <c r="I6435" t="s">
        <v>6010</v>
      </c>
      <c r="J6435" s="161" t="s">
        <v>19202</v>
      </c>
      <c r="K6435" t="s">
        <v>19203</v>
      </c>
      <c r="L6435" t="s">
        <v>6009</v>
      </c>
      <c r="M6435" s="161" t="s">
        <v>19202</v>
      </c>
    </row>
    <row r="6436" spans="9:13" x14ac:dyDescent="0.25">
      <c r="I6436" t="s">
        <v>5757</v>
      </c>
      <c r="J6436" s="161" t="s">
        <v>19202</v>
      </c>
      <c r="K6436" t="s">
        <v>19203</v>
      </c>
      <c r="L6436" t="s">
        <v>5756</v>
      </c>
      <c r="M6436" s="161" t="s">
        <v>19202</v>
      </c>
    </row>
    <row r="6437" spans="9:13" x14ac:dyDescent="0.25">
      <c r="I6437" t="s">
        <v>2676</v>
      </c>
      <c r="J6437" s="161" t="s">
        <v>19202</v>
      </c>
      <c r="K6437" t="s">
        <v>19203</v>
      </c>
      <c r="L6437" t="s">
        <v>2675</v>
      </c>
      <c r="M6437" s="161" t="s">
        <v>19202</v>
      </c>
    </row>
    <row r="6438" spans="9:13" x14ac:dyDescent="0.25">
      <c r="I6438" t="s">
        <v>2581</v>
      </c>
      <c r="J6438" s="161" t="s">
        <v>19202</v>
      </c>
      <c r="K6438" t="s">
        <v>19203</v>
      </c>
      <c r="L6438" t="s">
        <v>2580</v>
      </c>
      <c r="M6438" s="161" t="s">
        <v>19202</v>
      </c>
    </row>
    <row r="6439" spans="9:13" x14ac:dyDescent="0.25">
      <c r="I6439" t="s">
        <v>8022</v>
      </c>
      <c r="J6439" s="161" t="s">
        <v>19202</v>
      </c>
      <c r="K6439" t="s">
        <v>19203</v>
      </c>
      <c r="L6439" t="s">
        <v>8021</v>
      </c>
      <c r="M6439" s="161" t="s">
        <v>19202</v>
      </c>
    </row>
    <row r="6440" spans="9:13" x14ac:dyDescent="0.25">
      <c r="I6440" t="s">
        <v>17769</v>
      </c>
      <c r="J6440" s="161" t="s">
        <v>19202</v>
      </c>
      <c r="K6440" t="s">
        <v>19203</v>
      </c>
      <c r="L6440" t="s">
        <v>2082</v>
      </c>
      <c r="M6440" s="161" t="s">
        <v>19202</v>
      </c>
    </row>
    <row r="6441" spans="9:13" x14ac:dyDescent="0.25">
      <c r="I6441" t="s">
        <v>7948</v>
      </c>
      <c r="J6441" s="161" t="s">
        <v>19202</v>
      </c>
      <c r="K6441" t="s">
        <v>19203</v>
      </c>
      <c r="L6441" t="s">
        <v>7947</v>
      </c>
      <c r="M6441" s="161" t="s">
        <v>19202</v>
      </c>
    </row>
    <row r="6442" spans="9:13" x14ac:dyDescent="0.25">
      <c r="I6442" t="s">
        <v>9746</v>
      </c>
      <c r="J6442" s="161" t="s">
        <v>19202</v>
      </c>
      <c r="K6442" t="s">
        <v>19203</v>
      </c>
      <c r="L6442" t="s">
        <v>9745</v>
      </c>
      <c r="M6442" s="161" t="s">
        <v>19202</v>
      </c>
    </row>
    <row r="6443" spans="9:13" x14ac:dyDescent="0.25">
      <c r="I6443" t="s">
        <v>8457</v>
      </c>
      <c r="J6443" s="161" t="s">
        <v>19202</v>
      </c>
      <c r="K6443" t="s">
        <v>19203</v>
      </c>
      <c r="L6443" t="s">
        <v>8456</v>
      </c>
      <c r="M6443" s="161" t="s">
        <v>19202</v>
      </c>
    </row>
    <row r="6444" spans="9:13" x14ac:dyDescent="0.25">
      <c r="I6444" t="s">
        <v>8344</v>
      </c>
      <c r="J6444" s="161" t="s">
        <v>19202</v>
      </c>
      <c r="K6444" t="s">
        <v>19203</v>
      </c>
      <c r="L6444" t="s">
        <v>8343</v>
      </c>
      <c r="M6444" s="161" t="s">
        <v>19202</v>
      </c>
    </row>
    <row r="6445" spans="9:13" x14ac:dyDescent="0.25">
      <c r="I6445" t="s">
        <v>20062</v>
      </c>
      <c r="J6445" s="161" t="s">
        <v>19202</v>
      </c>
      <c r="K6445" t="s">
        <v>19203</v>
      </c>
      <c r="L6445" t="s">
        <v>20063</v>
      </c>
      <c r="M6445" s="161" t="s">
        <v>19202</v>
      </c>
    </row>
    <row r="6446" spans="9:13" x14ac:dyDescent="0.25">
      <c r="I6446" t="s">
        <v>2755</v>
      </c>
      <c r="J6446" s="161" t="s">
        <v>19202</v>
      </c>
      <c r="K6446" t="s">
        <v>19203</v>
      </c>
      <c r="L6446" t="s">
        <v>2754</v>
      </c>
      <c r="M6446" s="161" t="s">
        <v>19202</v>
      </c>
    </row>
    <row r="6447" spans="9:13" x14ac:dyDescent="0.25">
      <c r="I6447" t="s">
        <v>9044</v>
      </c>
      <c r="J6447" s="161" t="s">
        <v>19202</v>
      </c>
      <c r="K6447" t="s">
        <v>19203</v>
      </c>
      <c r="L6447" t="s">
        <v>9043</v>
      </c>
      <c r="M6447" s="161" t="s">
        <v>19202</v>
      </c>
    </row>
    <row r="6448" spans="9:13" x14ac:dyDescent="0.25">
      <c r="I6448" t="s">
        <v>13730</v>
      </c>
      <c r="J6448" s="161" t="s">
        <v>19202</v>
      </c>
      <c r="K6448" t="s">
        <v>19203</v>
      </c>
      <c r="L6448" t="s">
        <v>13729</v>
      </c>
      <c r="M6448" s="161" t="s">
        <v>19202</v>
      </c>
    </row>
    <row r="6449" spans="9:13" x14ac:dyDescent="0.25">
      <c r="I6449" t="s">
        <v>11673</v>
      </c>
      <c r="J6449" s="161" t="s">
        <v>19202</v>
      </c>
      <c r="K6449" t="s">
        <v>19203</v>
      </c>
      <c r="L6449" t="s">
        <v>11672</v>
      </c>
      <c r="M6449" s="161" t="s">
        <v>19202</v>
      </c>
    </row>
    <row r="6450" spans="9:13" x14ac:dyDescent="0.25">
      <c r="I6450" t="s">
        <v>6862</v>
      </c>
      <c r="J6450" s="161" t="s">
        <v>19202</v>
      </c>
      <c r="K6450" t="s">
        <v>19203</v>
      </c>
      <c r="L6450" t="s">
        <v>5884</v>
      </c>
      <c r="M6450" s="161" t="s">
        <v>19202</v>
      </c>
    </row>
    <row r="6451" spans="9:13" x14ac:dyDescent="0.25">
      <c r="I6451" t="s">
        <v>16938</v>
      </c>
      <c r="J6451" s="161" t="s">
        <v>19202</v>
      </c>
      <c r="K6451" t="s">
        <v>19203</v>
      </c>
      <c r="L6451" t="s">
        <v>16937</v>
      </c>
      <c r="M6451" s="161" t="s">
        <v>19202</v>
      </c>
    </row>
    <row r="6452" spans="9:13" x14ac:dyDescent="0.25">
      <c r="I6452" t="s">
        <v>20064</v>
      </c>
      <c r="J6452" s="161" t="s">
        <v>19202</v>
      </c>
      <c r="K6452" t="s">
        <v>19203</v>
      </c>
      <c r="L6452" t="s">
        <v>20065</v>
      </c>
      <c r="M6452" s="161" t="s">
        <v>19202</v>
      </c>
    </row>
    <row r="6453" spans="9:13" x14ac:dyDescent="0.25">
      <c r="I6453" t="s">
        <v>988</v>
      </c>
      <c r="J6453" s="161" t="s">
        <v>19202</v>
      </c>
      <c r="K6453" t="s">
        <v>19203</v>
      </c>
      <c r="L6453" t="s">
        <v>987</v>
      </c>
      <c r="M6453" s="161" t="s">
        <v>19202</v>
      </c>
    </row>
    <row r="6454" spans="9:13" x14ac:dyDescent="0.25">
      <c r="I6454" t="s">
        <v>7073</v>
      </c>
      <c r="J6454" s="161" t="s">
        <v>19202</v>
      </c>
      <c r="K6454" t="s">
        <v>19203</v>
      </c>
      <c r="L6454" t="s">
        <v>7072</v>
      </c>
      <c r="M6454" s="161" t="s">
        <v>19202</v>
      </c>
    </row>
    <row r="6455" spans="9:13" x14ac:dyDescent="0.25">
      <c r="I6455" t="s">
        <v>8896</v>
      </c>
      <c r="J6455" s="161" t="s">
        <v>19202</v>
      </c>
      <c r="K6455" t="s">
        <v>19203</v>
      </c>
      <c r="L6455" t="s">
        <v>8895</v>
      </c>
      <c r="M6455" s="161" t="s">
        <v>19202</v>
      </c>
    </row>
    <row r="6456" spans="9:13" x14ac:dyDescent="0.25">
      <c r="I6456" t="s">
        <v>3065</v>
      </c>
      <c r="J6456" s="161" t="s">
        <v>19202</v>
      </c>
      <c r="K6456" t="s">
        <v>19203</v>
      </c>
      <c r="L6456" t="s">
        <v>3064</v>
      </c>
      <c r="M6456" s="161" t="s">
        <v>19202</v>
      </c>
    </row>
    <row r="6457" spans="9:13" x14ac:dyDescent="0.25">
      <c r="I6457" t="s">
        <v>16487</v>
      </c>
      <c r="J6457" s="161" t="s">
        <v>19202</v>
      </c>
      <c r="K6457" t="s">
        <v>19203</v>
      </c>
      <c r="L6457" t="s">
        <v>16486</v>
      </c>
      <c r="M6457" s="161" t="s">
        <v>19202</v>
      </c>
    </row>
    <row r="6458" spans="9:13" x14ac:dyDescent="0.25">
      <c r="I6458" t="s">
        <v>668</v>
      </c>
      <c r="J6458" s="161" t="s">
        <v>19202</v>
      </c>
      <c r="K6458" t="s">
        <v>19203</v>
      </c>
      <c r="L6458" t="s">
        <v>667</v>
      </c>
      <c r="M6458" s="161" t="s">
        <v>19202</v>
      </c>
    </row>
    <row r="6459" spans="9:13" x14ac:dyDescent="0.25">
      <c r="I6459" t="s">
        <v>17621</v>
      </c>
      <c r="J6459" s="161" t="s">
        <v>19202</v>
      </c>
      <c r="K6459" t="s">
        <v>19203</v>
      </c>
      <c r="L6459" t="s">
        <v>123</v>
      </c>
      <c r="M6459" s="161" t="s">
        <v>19202</v>
      </c>
    </row>
    <row r="6460" spans="9:13" x14ac:dyDescent="0.25">
      <c r="I6460" t="s">
        <v>13093</v>
      </c>
      <c r="J6460" s="161" t="s">
        <v>19202</v>
      </c>
      <c r="K6460" t="s">
        <v>19203</v>
      </c>
      <c r="L6460" t="s">
        <v>13092</v>
      </c>
      <c r="M6460" s="161" t="s">
        <v>19202</v>
      </c>
    </row>
    <row r="6461" spans="9:13" x14ac:dyDescent="0.25">
      <c r="I6461" t="s">
        <v>8912</v>
      </c>
      <c r="J6461" s="161" t="s">
        <v>19202</v>
      </c>
      <c r="K6461" t="s">
        <v>19203</v>
      </c>
      <c r="L6461" t="s">
        <v>8911</v>
      </c>
      <c r="M6461" s="161" t="s">
        <v>19202</v>
      </c>
    </row>
    <row r="6462" spans="9:13" x14ac:dyDescent="0.25">
      <c r="I6462" t="s">
        <v>8906</v>
      </c>
      <c r="J6462" s="161" t="s">
        <v>19202</v>
      </c>
      <c r="K6462" t="s">
        <v>19203</v>
      </c>
      <c r="L6462" t="s">
        <v>8905</v>
      </c>
      <c r="M6462" s="161" t="s">
        <v>19202</v>
      </c>
    </row>
    <row r="6463" spans="9:13" x14ac:dyDescent="0.25">
      <c r="I6463" t="s">
        <v>521</v>
      </c>
      <c r="J6463" s="161" t="s">
        <v>19202</v>
      </c>
      <c r="K6463" t="s">
        <v>19203</v>
      </c>
      <c r="L6463" t="s">
        <v>520</v>
      </c>
      <c r="M6463" s="161" t="s">
        <v>19202</v>
      </c>
    </row>
    <row r="6464" spans="9:13" x14ac:dyDescent="0.25">
      <c r="I6464" t="s">
        <v>20066</v>
      </c>
      <c r="J6464" s="161" t="s">
        <v>19202</v>
      </c>
      <c r="K6464" t="s">
        <v>19203</v>
      </c>
      <c r="L6464" t="s">
        <v>20067</v>
      </c>
      <c r="M6464" s="161" t="s">
        <v>19202</v>
      </c>
    </row>
    <row r="6465" spans="9:13" x14ac:dyDescent="0.25">
      <c r="I6465" t="s">
        <v>4678</v>
      </c>
      <c r="J6465" s="161" t="s">
        <v>19202</v>
      </c>
      <c r="K6465" t="s">
        <v>19203</v>
      </c>
      <c r="L6465" t="s">
        <v>4677</v>
      </c>
      <c r="M6465" s="161" t="s">
        <v>19202</v>
      </c>
    </row>
    <row r="6466" spans="9:13" x14ac:dyDescent="0.25">
      <c r="I6466" t="s">
        <v>10456</v>
      </c>
      <c r="J6466" s="161" t="s">
        <v>19202</v>
      </c>
      <c r="K6466" t="s">
        <v>19203</v>
      </c>
      <c r="L6466" t="s">
        <v>10455</v>
      </c>
      <c r="M6466" s="161" t="s">
        <v>19202</v>
      </c>
    </row>
    <row r="6467" spans="9:13" x14ac:dyDescent="0.25">
      <c r="I6467" t="s">
        <v>12915</v>
      </c>
      <c r="J6467" s="161" t="s">
        <v>19202</v>
      </c>
      <c r="K6467" t="s">
        <v>19203</v>
      </c>
      <c r="L6467" t="s">
        <v>12914</v>
      </c>
      <c r="M6467" s="161" t="s">
        <v>19202</v>
      </c>
    </row>
    <row r="6468" spans="9:13" x14ac:dyDescent="0.25">
      <c r="I6468" t="s">
        <v>3662</v>
      </c>
      <c r="J6468" s="161" t="s">
        <v>19202</v>
      </c>
      <c r="K6468" t="s">
        <v>19203</v>
      </c>
      <c r="L6468" t="s">
        <v>3661</v>
      </c>
      <c r="M6468" s="161" t="s">
        <v>19202</v>
      </c>
    </row>
    <row r="6469" spans="9:13" x14ac:dyDescent="0.25">
      <c r="I6469" t="s">
        <v>6716</v>
      </c>
      <c r="J6469" s="161" t="s">
        <v>19202</v>
      </c>
      <c r="K6469" t="s">
        <v>19203</v>
      </c>
      <c r="L6469" t="s">
        <v>6715</v>
      </c>
      <c r="M6469" s="161" t="s">
        <v>19202</v>
      </c>
    </row>
    <row r="6470" spans="9:13" x14ac:dyDescent="0.25">
      <c r="I6470" t="s">
        <v>8032</v>
      </c>
      <c r="J6470" s="161" t="s">
        <v>19202</v>
      </c>
      <c r="K6470" t="s">
        <v>19203</v>
      </c>
      <c r="L6470" t="s">
        <v>8031</v>
      </c>
      <c r="M6470" s="161" t="s">
        <v>19202</v>
      </c>
    </row>
    <row r="6471" spans="9:13" x14ac:dyDescent="0.25">
      <c r="I6471" t="s">
        <v>8030</v>
      </c>
      <c r="J6471" s="161" t="s">
        <v>19202</v>
      </c>
      <c r="K6471" t="s">
        <v>19203</v>
      </c>
      <c r="L6471" t="s">
        <v>8029</v>
      </c>
      <c r="M6471" s="161" t="s">
        <v>19202</v>
      </c>
    </row>
    <row r="6472" spans="9:13" x14ac:dyDescent="0.25">
      <c r="I6472" t="s">
        <v>7300</v>
      </c>
      <c r="J6472" s="161" t="s">
        <v>19202</v>
      </c>
      <c r="K6472" t="s">
        <v>19203</v>
      </c>
      <c r="L6472" t="s">
        <v>7299</v>
      </c>
      <c r="M6472" s="161" t="s">
        <v>19202</v>
      </c>
    </row>
    <row r="6473" spans="9:13" x14ac:dyDescent="0.25">
      <c r="I6473" t="s">
        <v>6495</v>
      </c>
      <c r="J6473" s="161" t="s">
        <v>19202</v>
      </c>
      <c r="K6473" t="s">
        <v>19203</v>
      </c>
      <c r="L6473" t="s">
        <v>6494</v>
      </c>
      <c r="M6473" s="161" t="s">
        <v>19202</v>
      </c>
    </row>
    <row r="6474" spans="9:13" x14ac:dyDescent="0.25">
      <c r="I6474" t="s">
        <v>9943</v>
      </c>
      <c r="J6474" s="161" t="s">
        <v>19202</v>
      </c>
      <c r="K6474" t="s">
        <v>19203</v>
      </c>
      <c r="L6474" t="s">
        <v>9942</v>
      </c>
      <c r="M6474" s="161" t="s">
        <v>19202</v>
      </c>
    </row>
    <row r="6475" spans="9:13" x14ac:dyDescent="0.25">
      <c r="I6475" t="s">
        <v>5104</v>
      </c>
      <c r="J6475" s="161" t="s">
        <v>19202</v>
      </c>
      <c r="K6475" t="s">
        <v>19203</v>
      </c>
      <c r="L6475" t="s">
        <v>5103</v>
      </c>
      <c r="M6475" s="161" t="s">
        <v>19202</v>
      </c>
    </row>
    <row r="6476" spans="9:13" x14ac:dyDescent="0.25">
      <c r="I6476" t="s">
        <v>11521</v>
      </c>
      <c r="J6476" s="161" t="s">
        <v>19202</v>
      </c>
      <c r="K6476" t="s">
        <v>19203</v>
      </c>
      <c r="L6476" t="s">
        <v>11520</v>
      </c>
      <c r="M6476" s="161" t="s">
        <v>19202</v>
      </c>
    </row>
    <row r="6477" spans="9:13" x14ac:dyDescent="0.25">
      <c r="I6477" t="s">
        <v>11939</v>
      </c>
      <c r="J6477" s="161" t="s">
        <v>19202</v>
      </c>
      <c r="K6477" t="s">
        <v>19203</v>
      </c>
      <c r="L6477" t="s">
        <v>11938</v>
      </c>
      <c r="M6477" s="161" t="s">
        <v>19202</v>
      </c>
    </row>
    <row r="6478" spans="9:13" x14ac:dyDescent="0.25">
      <c r="I6478" t="s">
        <v>6714</v>
      </c>
      <c r="J6478" s="161" t="s">
        <v>19202</v>
      </c>
      <c r="K6478" t="s">
        <v>19203</v>
      </c>
      <c r="L6478" t="s">
        <v>6713</v>
      </c>
      <c r="M6478" s="161" t="s">
        <v>19202</v>
      </c>
    </row>
    <row r="6479" spans="9:13" x14ac:dyDescent="0.25">
      <c r="I6479" t="s">
        <v>8034</v>
      </c>
      <c r="J6479" s="161" t="s">
        <v>19202</v>
      </c>
      <c r="K6479" t="s">
        <v>19203</v>
      </c>
      <c r="L6479" t="s">
        <v>8033</v>
      </c>
      <c r="M6479" s="161" t="s">
        <v>19202</v>
      </c>
    </row>
    <row r="6480" spans="9:13" x14ac:dyDescent="0.25">
      <c r="I6480" t="s">
        <v>7330</v>
      </c>
      <c r="J6480" s="161" t="s">
        <v>19202</v>
      </c>
      <c r="K6480" t="s">
        <v>19203</v>
      </c>
      <c r="L6480" t="s">
        <v>7329</v>
      </c>
      <c r="M6480" s="161" t="s">
        <v>19202</v>
      </c>
    </row>
    <row r="6481" spans="9:13" x14ac:dyDescent="0.25">
      <c r="I6481" t="s">
        <v>8342</v>
      </c>
      <c r="J6481" s="161" t="s">
        <v>19202</v>
      </c>
      <c r="K6481" t="s">
        <v>19203</v>
      </c>
      <c r="L6481" t="s">
        <v>8341</v>
      </c>
      <c r="M6481" s="161" t="s">
        <v>19202</v>
      </c>
    </row>
    <row r="6482" spans="9:13" x14ac:dyDescent="0.25">
      <c r="I6482" t="s">
        <v>5711</v>
      </c>
      <c r="J6482" s="161" t="s">
        <v>19202</v>
      </c>
      <c r="K6482" t="s">
        <v>19203</v>
      </c>
      <c r="L6482" t="s">
        <v>5710</v>
      </c>
      <c r="M6482" s="161" t="s">
        <v>19202</v>
      </c>
    </row>
    <row r="6483" spans="9:13" x14ac:dyDescent="0.25">
      <c r="I6483" t="s">
        <v>4824</v>
      </c>
      <c r="J6483" s="161" t="s">
        <v>19202</v>
      </c>
      <c r="K6483" t="s">
        <v>19203</v>
      </c>
      <c r="L6483" t="s">
        <v>4823</v>
      </c>
      <c r="M6483" s="161" t="s">
        <v>19202</v>
      </c>
    </row>
    <row r="6484" spans="9:13" x14ac:dyDescent="0.25">
      <c r="I6484" t="s">
        <v>7169</v>
      </c>
      <c r="J6484" s="161" t="s">
        <v>19202</v>
      </c>
      <c r="K6484" t="s">
        <v>19203</v>
      </c>
      <c r="L6484" t="s">
        <v>7168</v>
      </c>
      <c r="M6484" s="161" t="s">
        <v>19202</v>
      </c>
    </row>
    <row r="6485" spans="9:13" x14ac:dyDescent="0.25">
      <c r="I6485" t="s">
        <v>5108</v>
      </c>
      <c r="J6485" s="161" t="s">
        <v>19202</v>
      </c>
      <c r="K6485" t="s">
        <v>19203</v>
      </c>
      <c r="L6485" t="s">
        <v>5107</v>
      </c>
      <c r="M6485" s="161" t="s">
        <v>19202</v>
      </c>
    </row>
    <row r="6486" spans="9:13" x14ac:dyDescent="0.25">
      <c r="I6486" t="s">
        <v>17718</v>
      </c>
      <c r="J6486" s="161" t="s">
        <v>19202</v>
      </c>
      <c r="K6486" t="s">
        <v>19203</v>
      </c>
      <c r="L6486" t="s">
        <v>17717</v>
      </c>
      <c r="M6486" s="161" t="s">
        <v>19202</v>
      </c>
    </row>
    <row r="6487" spans="9:13" x14ac:dyDescent="0.25">
      <c r="I6487" t="s">
        <v>15847</v>
      </c>
      <c r="J6487" s="161" t="s">
        <v>19202</v>
      </c>
      <c r="K6487" t="s">
        <v>19203</v>
      </c>
      <c r="L6487" t="s">
        <v>15846</v>
      </c>
      <c r="M6487" s="161" t="s">
        <v>19202</v>
      </c>
    </row>
    <row r="6488" spans="9:13" x14ac:dyDescent="0.25">
      <c r="I6488" t="s">
        <v>10975</v>
      </c>
      <c r="J6488" s="161" t="s">
        <v>19202</v>
      </c>
      <c r="K6488" t="s">
        <v>19203</v>
      </c>
      <c r="L6488" t="s">
        <v>10974</v>
      </c>
      <c r="M6488" s="161" t="s">
        <v>19202</v>
      </c>
    </row>
    <row r="6489" spans="9:13" x14ac:dyDescent="0.25">
      <c r="I6489" t="s">
        <v>7023</v>
      </c>
      <c r="J6489" s="161" t="s">
        <v>19202</v>
      </c>
      <c r="K6489" t="s">
        <v>19203</v>
      </c>
      <c r="L6489" t="s">
        <v>7022</v>
      </c>
      <c r="M6489" s="161" t="s">
        <v>19202</v>
      </c>
    </row>
    <row r="6490" spans="9:13" x14ac:dyDescent="0.25">
      <c r="I6490" t="s">
        <v>7944</v>
      </c>
      <c r="J6490" s="161" t="s">
        <v>19202</v>
      </c>
      <c r="K6490" t="s">
        <v>19203</v>
      </c>
      <c r="L6490" t="s">
        <v>7943</v>
      </c>
      <c r="M6490" s="161" t="s">
        <v>19202</v>
      </c>
    </row>
    <row r="6491" spans="9:13" x14ac:dyDescent="0.25">
      <c r="I6491" t="s">
        <v>5713</v>
      </c>
      <c r="J6491" s="161" t="s">
        <v>19202</v>
      </c>
      <c r="K6491" t="s">
        <v>19203</v>
      </c>
      <c r="L6491" t="s">
        <v>5712</v>
      </c>
      <c r="M6491" s="161" t="s">
        <v>19202</v>
      </c>
    </row>
    <row r="6492" spans="9:13" x14ac:dyDescent="0.25">
      <c r="I6492" t="s">
        <v>2672</v>
      </c>
      <c r="J6492" s="161" t="s">
        <v>19202</v>
      </c>
      <c r="K6492" t="s">
        <v>19203</v>
      </c>
      <c r="L6492" t="s">
        <v>2671</v>
      </c>
      <c r="M6492" s="161" t="s">
        <v>19202</v>
      </c>
    </row>
    <row r="6493" spans="9:13" x14ac:dyDescent="0.25">
      <c r="I6493" t="s">
        <v>9542</v>
      </c>
      <c r="J6493" s="161" t="s">
        <v>19202</v>
      </c>
      <c r="K6493" t="s">
        <v>19203</v>
      </c>
      <c r="L6493" t="s">
        <v>9541</v>
      </c>
      <c r="M6493" s="161" t="s">
        <v>19202</v>
      </c>
    </row>
    <row r="6494" spans="9:13" x14ac:dyDescent="0.25">
      <c r="I6494" t="s">
        <v>7865</v>
      </c>
      <c r="J6494" s="161" t="s">
        <v>19202</v>
      </c>
      <c r="K6494" t="s">
        <v>19203</v>
      </c>
      <c r="L6494" t="s">
        <v>7864</v>
      </c>
      <c r="M6494" s="161" t="s">
        <v>19202</v>
      </c>
    </row>
    <row r="6495" spans="9:13" x14ac:dyDescent="0.25">
      <c r="I6495" t="s">
        <v>7328</v>
      </c>
      <c r="J6495" s="161" t="s">
        <v>19202</v>
      </c>
      <c r="K6495" t="s">
        <v>19203</v>
      </c>
      <c r="L6495" t="s">
        <v>7327</v>
      </c>
      <c r="M6495" s="161" t="s">
        <v>19202</v>
      </c>
    </row>
    <row r="6496" spans="9:13" x14ac:dyDescent="0.25">
      <c r="I6496" t="s">
        <v>9655</v>
      </c>
      <c r="J6496" s="161" t="s">
        <v>19202</v>
      </c>
      <c r="K6496" t="s">
        <v>19203</v>
      </c>
      <c r="L6496" t="s">
        <v>9654</v>
      </c>
      <c r="M6496" s="161" t="s">
        <v>19202</v>
      </c>
    </row>
    <row r="6497" spans="9:13" x14ac:dyDescent="0.25">
      <c r="I6497" t="s">
        <v>3666</v>
      </c>
      <c r="J6497" s="161" t="s">
        <v>19202</v>
      </c>
      <c r="K6497" t="s">
        <v>19203</v>
      </c>
      <c r="L6497" t="s">
        <v>3665</v>
      </c>
      <c r="M6497" s="161" t="s">
        <v>19202</v>
      </c>
    </row>
    <row r="6498" spans="9:13" x14ac:dyDescent="0.25">
      <c r="I6498" t="s">
        <v>14129</v>
      </c>
      <c r="J6498" s="161" t="s">
        <v>19202</v>
      </c>
      <c r="K6498" t="s">
        <v>19203</v>
      </c>
      <c r="L6498" t="s">
        <v>14128</v>
      </c>
      <c r="M6498" s="161" t="s">
        <v>19202</v>
      </c>
    </row>
    <row r="6499" spans="9:13" x14ac:dyDescent="0.25">
      <c r="I6499" t="s">
        <v>6167</v>
      </c>
      <c r="J6499" s="161" t="s">
        <v>19202</v>
      </c>
      <c r="K6499" t="s">
        <v>19203</v>
      </c>
      <c r="L6499" t="s">
        <v>6166</v>
      </c>
      <c r="M6499" s="161" t="s">
        <v>19202</v>
      </c>
    </row>
    <row r="6500" spans="9:13" x14ac:dyDescent="0.25">
      <c r="I6500" t="s">
        <v>7950</v>
      </c>
      <c r="J6500" s="161" t="s">
        <v>19202</v>
      </c>
      <c r="K6500" t="s">
        <v>19203</v>
      </c>
      <c r="L6500" t="s">
        <v>7949</v>
      </c>
      <c r="M6500" s="161" t="s">
        <v>19202</v>
      </c>
    </row>
    <row r="6501" spans="9:13" x14ac:dyDescent="0.25">
      <c r="I6501" t="s">
        <v>9945</v>
      </c>
      <c r="J6501" s="161" t="s">
        <v>19202</v>
      </c>
      <c r="K6501" t="s">
        <v>19203</v>
      </c>
      <c r="L6501" t="s">
        <v>9944</v>
      </c>
      <c r="M6501" s="161" t="s">
        <v>19202</v>
      </c>
    </row>
    <row r="6502" spans="9:13" x14ac:dyDescent="0.25">
      <c r="I6502" t="s">
        <v>4122</v>
      </c>
      <c r="J6502" s="161" t="s">
        <v>19202</v>
      </c>
      <c r="K6502" t="s">
        <v>19203</v>
      </c>
      <c r="L6502" t="s">
        <v>4121</v>
      </c>
      <c r="M6502" s="161" t="s">
        <v>19202</v>
      </c>
    </row>
    <row r="6503" spans="9:13" x14ac:dyDescent="0.25">
      <c r="I6503" t="s">
        <v>20068</v>
      </c>
      <c r="J6503" s="161" t="s">
        <v>19202</v>
      </c>
      <c r="K6503" t="s">
        <v>19203</v>
      </c>
      <c r="L6503" t="s">
        <v>20069</v>
      </c>
      <c r="M6503" s="161" t="s">
        <v>19202</v>
      </c>
    </row>
    <row r="6504" spans="9:13" x14ac:dyDescent="0.25">
      <c r="I6504" t="s">
        <v>1974</v>
      </c>
      <c r="J6504" s="161" t="s">
        <v>19202</v>
      </c>
      <c r="K6504" t="s">
        <v>19203</v>
      </c>
      <c r="L6504" t="s">
        <v>1973</v>
      </c>
      <c r="M6504" s="161" t="s">
        <v>19202</v>
      </c>
    </row>
    <row r="6505" spans="9:13" x14ac:dyDescent="0.25">
      <c r="I6505" t="s">
        <v>7796</v>
      </c>
      <c r="J6505" s="161" t="s">
        <v>19202</v>
      </c>
      <c r="K6505" t="s">
        <v>19203</v>
      </c>
      <c r="L6505" t="s">
        <v>7795</v>
      </c>
      <c r="M6505" s="161" t="s">
        <v>19202</v>
      </c>
    </row>
    <row r="6506" spans="9:13" x14ac:dyDescent="0.25">
      <c r="I6506" t="s">
        <v>7859</v>
      </c>
      <c r="J6506" s="161" t="s">
        <v>19202</v>
      </c>
      <c r="K6506" t="s">
        <v>19203</v>
      </c>
      <c r="L6506" t="s">
        <v>7858</v>
      </c>
      <c r="M6506" s="161" t="s">
        <v>19202</v>
      </c>
    </row>
    <row r="6507" spans="9:13" x14ac:dyDescent="0.25">
      <c r="I6507" t="s">
        <v>7250</v>
      </c>
      <c r="J6507" s="161" t="s">
        <v>19202</v>
      </c>
      <c r="K6507" t="s">
        <v>19203</v>
      </c>
      <c r="L6507" t="s">
        <v>7249</v>
      </c>
      <c r="M6507" s="161" t="s">
        <v>19202</v>
      </c>
    </row>
    <row r="6508" spans="9:13" x14ac:dyDescent="0.25">
      <c r="I6508" t="s">
        <v>3929</v>
      </c>
      <c r="J6508" s="161" t="s">
        <v>19202</v>
      </c>
      <c r="K6508" t="s">
        <v>19203</v>
      </c>
      <c r="L6508" t="s">
        <v>3928</v>
      </c>
      <c r="M6508" s="161" t="s">
        <v>19202</v>
      </c>
    </row>
    <row r="6509" spans="9:13" x14ac:dyDescent="0.25">
      <c r="I6509" t="s">
        <v>10524</v>
      </c>
      <c r="J6509" s="161" t="s">
        <v>19202</v>
      </c>
      <c r="K6509" t="s">
        <v>19203</v>
      </c>
      <c r="L6509" t="s">
        <v>10523</v>
      </c>
      <c r="M6509" s="161" t="s">
        <v>19202</v>
      </c>
    </row>
    <row r="6510" spans="9:13" x14ac:dyDescent="0.25">
      <c r="I6510" t="s">
        <v>20070</v>
      </c>
      <c r="J6510" s="161" t="s">
        <v>19202</v>
      </c>
      <c r="K6510" t="s">
        <v>19203</v>
      </c>
      <c r="L6510" t="s">
        <v>10804</v>
      </c>
      <c r="M6510" s="161" t="s">
        <v>19202</v>
      </c>
    </row>
    <row r="6511" spans="9:13" x14ac:dyDescent="0.25">
      <c r="I6511" t="s">
        <v>4676</v>
      </c>
      <c r="J6511" s="161" t="s">
        <v>19202</v>
      </c>
      <c r="K6511" t="s">
        <v>19203</v>
      </c>
      <c r="L6511" t="s">
        <v>4675</v>
      </c>
      <c r="M6511" s="161" t="s">
        <v>19202</v>
      </c>
    </row>
    <row r="6512" spans="9:13" x14ac:dyDescent="0.25">
      <c r="I6512" t="s">
        <v>2670</v>
      </c>
      <c r="J6512" s="161" t="s">
        <v>19202</v>
      </c>
      <c r="K6512" t="s">
        <v>19203</v>
      </c>
      <c r="L6512" t="s">
        <v>2669</v>
      </c>
      <c r="M6512" s="161" t="s">
        <v>19202</v>
      </c>
    </row>
    <row r="6513" spans="9:13" x14ac:dyDescent="0.25">
      <c r="I6513" t="s">
        <v>20071</v>
      </c>
      <c r="J6513" s="161" t="s">
        <v>19202</v>
      </c>
      <c r="K6513" t="s">
        <v>19203</v>
      </c>
      <c r="L6513" t="s">
        <v>20072</v>
      </c>
      <c r="M6513" s="161" t="s">
        <v>19202</v>
      </c>
    </row>
    <row r="6514" spans="9:13" x14ac:dyDescent="0.25">
      <c r="I6514" t="s">
        <v>9941</v>
      </c>
      <c r="J6514" s="161" t="s">
        <v>19202</v>
      </c>
      <c r="K6514" t="s">
        <v>19203</v>
      </c>
      <c r="L6514" t="s">
        <v>9940</v>
      </c>
      <c r="M6514" s="161" t="s">
        <v>19202</v>
      </c>
    </row>
    <row r="6515" spans="9:13" x14ac:dyDescent="0.25">
      <c r="I6515" t="s">
        <v>20073</v>
      </c>
      <c r="J6515" s="161" t="s">
        <v>19202</v>
      </c>
      <c r="K6515" t="s">
        <v>19203</v>
      </c>
      <c r="L6515" t="s">
        <v>20074</v>
      </c>
      <c r="M6515" s="161" t="s">
        <v>19202</v>
      </c>
    </row>
    <row r="6516" spans="9:13" x14ac:dyDescent="0.25">
      <c r="I6516" t="s">
        <v>12808</v>
      </c>
      <c r="J6516" s="161" t="s">
        <v>19202</v>
      </c>
      <c r="K6516" t="s">
        <v>19203</v>
      </c>
      <c r="L6516" t="s">
        <v>12807</v>
      </c>
      <c r="M6516" s="161" t="s">
        <v>19202</v>
      </c>
    </row>
    <row r="6517" spans="9:13" x14ac:dyDescent="0.25">
      <c r="I6517" t="s">
        <v>13091</v>
      </c>
      <c r="J6517" s="161" t="s">
        <v>19202</v>
      </c>
      <c r="K6517" t="s">
        <v>19203</v>
      </c>
      <c r="L6517" t="s">
        <v>13090</v>
      </c>
      <c r="M6517" s="161" t="s">
        <v>19202</v>
      </c>
    </row>
    <row r="6518" spans="9:13" x14ac:dyDescent="0.25">
      <c r="I6518" t="s">
        <v>20075</v>
      </c>
      <c r="J6518" s="161" t="s">
        <v>19202</v>
      </c>
      <c r="K6518" t="s">
        <v>19203</v>
      </c>
      <c r="L6518" t="s">
        <v>20076</v>
      </c>
      <c r="M6518" s="161" t="s">
        <v>19202</v>
      </c>
    </row>
    <row r="6519" spans="9:13" x14ac:dyDescent="0.25">
      <c r="I6519" t="s">
        <v>4822</v>
      </c>
      <c r="J6519" s="161" t="s">
        <v>19202</v>
      </c>
      <c r="K6519" t="s">
        <v>19203</v>
      </c>
      <c r="L6519" t="s">
        <v>4821</v>
      </c>
      <c r="M6519" s="161" t="s">
        <v>19202</v>
      </c>
    </row>
    <row r="6520" spans="9:13" x14ac:dyDescent="0.25">
      <c r="I6520" t="s">
        <v>7252</v>
      </c>
      <c r="J6520" s="161" t="s">
        <v>19202</v>
      </c>
      <c r="K6520" t="s">
        <v>19203</v>
      </c>
      <c r="L6520" t="s">
        <v>7251</v>
      </c>
      <c r="M6520" s="161" t="s">
        <v>19202</v>
      </c>
    </row>
    <row r="6521" spans="9:13" x14ac:dyDescent="0.25">
      <c r="I6521" t="s">
        <v>14806</v>
      </c>
      <c r="J6521" s="161" t="s">
        <v>19202</v>
      </c>
      <c r="K6521" t="s">
        <v>19203</v>
      </c>
      <c r="L6521" t="s">
        <v>14805</v>
      </c>
      <c r="M6521" s="161" t="s">
        <v>19202</v>
      </c>
    </row>
    <row r="6522" spans="9:13" x14ac:dyDescent="0.25">
      <c r="I6522" t="s">
        <v>565</v>
      </c>
      <c r="J6522" s="161" t="s">
        <v>19202</v>
      </c>
      <c r="K6522" t="s">
        <v>19203</v>
      </c>
      <c r="L6522" t="s">
        <v>564</v>
      </c>
      <c r="M6522" s="161" t="s">
        <v>19202</v>
      </c>
    </row>
    <row r="6523" spans="9:13" x14ac:dyDescent="0.25">
      <c r="I6523" t="s">
        <v>8916</v>
      </c>
      <c r="J6523" s="161" t="s">
        <v>19202</v>
      </c>
      <c r="K6523" t="s">
        <v>19203</v>
      </c>
      <c r="L6523" t="s">
        <v>8915</v>
      </c>
      <c r="M6523" s="161" t="s">
        <v>19202</v>
      </c>
    </row>
    <row r="6524" spans="9:13" x14ac:dyDescent="0.25">
      <c r="I6524" t="s">
        <v>8914</v>
      </c>
      <c r="J6524" s="161" t="s">
        <v>19202</v>
      </c>
      <c r="K6524" t="s">
        <v>19203</v>
      </c>
      <c r="L6524" t="s">
        <v>8913</v>
      </c>
      <c r="M6524" s="161" t="s">
        <v>19202</v>
      </c>
    </row>
    <row r="6525" spans="9:13" x14ac:dyDescent="0.25">
      <c r="I6525" t="s">
        <v>7798</v>
      </c>
      <c r="J6525" s="161" t="s">
        <v>19202</v>
      </c>
      <c r="K6525" t="s">
        <v>19203</v>
      </c>
      <c r="L6525" t="s">
        <v>7797</v>
      </c>
      <c r="M6525" s="161" t="s">
        <v>19202</v>
      </c>
    </row>
    <row r="6526" spans="9:13" x14ac:dyDescent="0.25">
      <c r="I6526" t="s">
        <v>7863</v>
      </c>
      <c r="J6526" s="161" t="s">
        <v>19202</v>
      </c>
      <c r="K6526" t="s">
        <v>19203</v>
      </c>
      <c r="L6526" t="s">
        <v>7862</v>
      </c>
      <c r="M6526" s="161" t="s">
        <v>19202</v>
      </c>
    </row>
    <row r="6527" spans="9:13" x14ac:dyDescent="0.25">
      <c r="I6527" t="s">
        <v>16728</v>
      </c>
      <c r="J6527" s="161" t="s">
        <v>19202</v>
      </c>
      <c r="K6527" t="s">
        <v>19203</v>
      </c>
      <c r="L6527" t="s">
        <v>5174</v>
      </c>
      <c r="M6527" s="161" t="s">
        <v>19202</v>
      </c>
    </row>
    <row r="6528" spans="9:13" x14ac:dyDescent="0.25">
      <c r="I6528" t="s">
        <v>5709</v>
      </c>
      <c r="J6528" s="161" t="s">
        <v>19202</v>
      </c>
      <c r="K6528" t="s">
        <v>19203</v>
      </c>
      <c r="L6528" t="s">
        <v>5708</v>
      </c>
      <c r="M6528" s="161" t="s">
        <v>19202</v>
      </c>
    </row>
    <row r="6529" spans="9:13" x14ac:dyDescent="0.25">
      <c r="I6529" t="s">
        <v>15663</v>
      </c>
      <c r="J6529" s="161" t="s">
        <v>19202</v>
      </c>
      <c r="K6529" t="s">
        <v>19203</v>
      </c>
      <c r="L6529" t="s">
        <v>15662</v>
      </c>
      <c r="M6529" s="161" t="s">
        <v>19202</v>
      </c>
    </row>
    <row r="6530" spans="9:13" x14ac:dyDescent="0.25">
      <c r="I6530" t="s">
        <v>4785</v>
      </c>
      <c r="J6530" s="161" t="s">
        <v>19202</v>
      </c>
      <c r="K6530" t="s">
        <v>19203</v>
      </c>
      <c r="L6530" t="s">
        <v>4784</v>
      </c>
      <c r="M6530" s="161" t="s">
        <v>19202</v>
      </c>
    </row>
    <row r="6531" spans="9:13" x14ac:dyDescent="0.25">
      <c r="I6531" t="s">
        <v>4482</v>
      </c>
      <c r="J6531" s="161" t="s">
        <v>19202</v>
      </c>
      <c r="K6531" t="s">
        <v>19203</v>
      </c>
      <c r="L6531" t="s">
        <v>122</v>
      </c>
      <c r="M6531" s="161" t="s">
        <v>19202</v>
      </c>
    </row>
    <row r="6532" spans="9:13" x14ac:dyDescent="0.25">
      <c r="I6532" t="s">
        <v>14808</v>
      </c>
      <c r="J6532" s="161" t="s">
        <v>19202</v>
      </c>
      <c r="K6532" t="s">
        <v>19203</v>
      </c>
      <c r="L6532" t="s">
        <v>14807</v>
      </c>
      <c r="M6532" s="161" t="s">
        <v>19202</v>
      </c>
    </row>
    <row r="6533" spans="9:13" x14ac:dyDescent="0.25">
      <c r="I6533" t="s">
        <v>7185</v>
      </c>
      <c r="J6533" s="161" t="s">
        <v>19202</v>
      </c>
      <c r="K6533" t="s">
        <v>19203</v>
      </c>
      <c r="L6533" t="s">
        <v>7184</v>
      </c>
      <c r="M6533" s="161" t="s">
        <v>19202</v>
      </c>
    </row>
    <row r="6534" spans="9:13" x14ac:dyDescent="0.25">
      <c r="I6534" t="s">
        <v>8233</v>
      </c>
      <c r="J6534" s="161" t="s">
        <v>19202</v>
      </c>
      <c r="K6534" t="s">
        <v>19203</v>
      </c>
      <c r="L6534" t="s">
        <v>8232</v>
      </c>
      <c r="M6534" s="161" t="s">
        <v>19202</v>
      </c>
    </row>
    <row r="6535" spans="9:13" x14ac:dyDescent="0.25">
      <c r="I6535" t="s">
        <v>16730</v>
      </c>
      <c r="J6535" s="161" t="s">
        <v>19202</v>
      </c>
      <c r="K6535" t="s">
        <v>19203</v>
      </c>
      <c r="L6535" t="s">
        <v>16729</v>
      </c>
      <c r="M6535" s="161" t="s">
        <v>19202</v>
      </c>
    </row>
    <row r="6536" spans="9:13" x14ac:dyDescent="0.25">
      <c r="I6536" t="s">
        <v>14117</v>
      </c>
      <c r="J6536" s="161" t="s">
        <v>19202</v>
      </c>
      <c r="K6536" t="s">
        <v>19203</v>
      </c>
      <c r="L6536" t="s">
        <v>5387</v>
      </c>
      <c r="M6536" s="161" t="s">
        <v>19202</v>
      </c>
    </row>
    <row r="6537" spans="9:13" x14ac:dyDescent="0.25">
      <c r="I6537" t="s">
        <v>7861</v>
      </c>
      <c r="J6537" s="161" t="s">
        <v>19202</v>
      </c>
      <c r="K6537" t="s">
        <v>19203</v>
      </c>
      <c r="L6537" t="s">
        <v>7860</v>
      </c>
      <c r="M6537" s="161" t="s">
        <v>19202</v>
      </c>
    </row>
    <row r="6538" spans="9:13" x14ac:dyDescent="0.25">
      <c r="I6538" t="s">
        <v>1467</v>
      </c>
      <c r="J6538" s="167" t="s">
        <v>19994</v>
      </c>
      <c r="K6538" t="s">
        <v>19203</v>
      </c>
      <c r="L6538" t="s">
        <v>1466</v>
      </c>
      <c r="M6538" s="167" t="s">
        <v>19994</v>
      </c>
    </row>
    <row r="6539" spans="9:13" x14ac:dyDescent="0.25">
      <c r="I6539" t="s">
        <v>4481</v>
      </c>
      <c r="J6539" s="161" t="s">
        <v>19202</v>
      </c>
      <c r="K6539" t="s">
        <v>19203</v>
      </c>
      <c r="L6539" t="s">
        <v>4480</v>
      </c>
      <c r="M6539" s="161" t="s">
        <v>19202</v>
      </c>
    </row>
    <row r="6540" spans="9:13" x14ac:dyDescent="0.25">
      <c r="I6540" t="s">
        <v>6479</v>
      </c>
      <c r="J6540" s="161" t="s">
        <v>19202</v>
      </c>
      <c r="K6540" t="s">
        <v>19203</v>
      </c>
      <c r="L6540" t="s">
        <v>6478</v>
      </c>
      <c r="M6540" s="161" t="s">
        <v>19202</v>
      </c>
    </row>
    <row r="6541" spans="9:13" x14ac:dyDescent="0.25">
      <c r="I6541" t="s">
        <v>6708</v>
      </c>
      <c r="J6541" s="161" t="s">
        <v>19202</v>
      </c>
      <c r="K6541" t="s">
        <v>19203</v>
      </c>
      <c r="L6541" t="s">
        <v>6707</v>
      </c>
      <c r="M6541" s="161" t="s">
        <v>19202</v>
      </c>
    </row>
    <row r="6542" spans="9:13" x14ac:dyDescent="0.25">
      <c r="I6542" t="s">
        <v>5940</v>
      </c>
      <c r="J6542" s="161" t="s">
        <v>19202</v>
      </c>
      <c r="K6542" t="s">
        <v>19203</v>
      </c>
      <c r="L6542" t="s">
        <v>5939</v>
      </c>
      <c r="M6542" s="161" t="s">
        <v>19202</v>
      </c>
    </row>
    <row r="6543" spans="9:13" x14ac:dyDescent="0.25">
      <c r="I6543" t="s">
        <v>11275</v>
      </c>
      <c r="J6543" s="161" t="s">
        <v>19202</v>
      </c>
      <c r="K6543" t="s">
        <v>19203</v>
      </c>
      <c r="L6543" t="s">
        <v>11274</v>
      </c>
      <c r="M6543" s="161" t="s">
        <v>19202</v>
      </c>
    </row>
    <row r="6544" spans="9:13" x14ac:dyDescent="0.25">
      <c r="I6544" t="s">
        <v>6445</v>
      </c>
      <c r="J6544" s="161" t="s">
        <v>19202</v>
      </c>
      <c r="K6544" t="s">
        <v>19203</v>
      </c>
      <c r="L6544" t="s">
        <v>463</v>
      </c>
      <c r="M6544" s="161" t="s">
        <v>19202</v>
      </c>
    </row>
    <row r="6545" spans="9:13" x14ac:dyDescent="0.25">
      <c r="I6545" t="s">
        <v>16141</v>
      </c>
      <c r="J6545" s="161" t="s">
        <v>19202</v>
      </c>
      <c r="K6545" t="s">
        <v>19203</v>
      </c>
      <c r="L6545" t="s">
        <v>2700</v>
      </c>
      <c r="M6545" s="161" t="s">
        <v>19202</v>
      </c>
    </row>
    <row r="6546" spans="9:13" x14ac:dyDescent="0.25">
      <c r="I6546" t="s">
        <v>7551</v>
      </c>
      <c r="J6546" s="161" t="s">
        <v>19202</v>
      </c>
      <c r="K6546" t="s">
        <v>19203</v>
      </c>
      <c r="L6546" t="s">
        <v>7550</v>
      </c>
      <c r="M6546" s="161" t="s">
        <v>19202</v>
      </c>
    </row>
    <row r="6547" spans="9:13" x14ac:dyDescent="0.25">
      <c r="I6547" t="s">
        <v>4120</v>
      </c>
      <c r="J6547" s="161" t="s">
        <v>19202</v>
      </c>
      <c r="K6547" t="s">
        <v>19203</v>
      </c>
      <c r="L6547" t="s">
        <v>4119</v>
      </c>
      <c r="M6547" s="161" t="s">
        <v>19202</v>
      </c>
    </row>
    <row r="6548" spans="9:13" x14ac:dyDescent="0.25">
      <c r="I6548" t="s">
        <v>20077</v>
      </c>
      <c r="J6548" s="161" t="s">
        <v>19202</v>
      </c>
      <c r="K6548" t="s">
        <v>19203</v>
      </c>
      <c r="L6548" t="s">
        <v>20078</v>
      </c>
      <c r="M6548" s="161" t="s">
        <v>19202</v>
      </c>
    </row>
    <row r="6549" spans="9:13" x14ac:dyDescent="0.25">
      <c r="I6549" t="s">
        <v>12386</v>
      </c>
      <c r="J6549" s="161" t="s">
        <v>19202</v>
      </c>
      <c r="K6549" t="s">
        <v>19203</v>
      </c>
      <c r="L6549" t="s">
        <v>12385</v>
      </c>
      <c r="M6549" s="161" t="s">
        <v>19202</v>
      </c>
    </row>
    <row r="6550" spans="9:13" x14ac:dyDescent="0.25">
      <c r="I6550" t="s">
        <v>7515</v>
      </c>
      <c r="J6550" s="161" t="s">
        <v>19202</v>
      </c>
      <c r="K6550" t="s">
        <v>19203</v>
      </c>
      <c r="L6550" t="s">
        <v>7514</v>
      </c>
      <c r="M6550" s="161" t="s">
        <v>19202</v>
      </c>
    </row>
    <row r="6551" spans="9:13" x14ac:dyDescent="0.25">
      <c r="I6551" t="s">
        <v>6859</v>
      </c>
      <c r="J6551" s="161" t="s">
        <v>19202</v>
      </c>
      <c r="K6551" t="s">
        <v>19203</v>
      </c>
      <c r="L6551" t="s">
        <v>6247</v>
      </c>
      <c r="M6551" s="161" t="s">
        <v>19202</v>
      </c>
    </row>
    <row r="6552" spans="9:13" x14ac:dyDescent="0.25">
      <c r="I6552" t="s">
        <v>10949</v>
      </c>
      <c r="J6552" s="161" t="s">
        <v>19202</v>
      </c>
      <c r="K6552" t="s">
        <v>19203</v>
      </c>
      <c r="L6552" t="s">
        <v>10948</v>
      </c>
      <c r="M6552" s="161" t="s">
        <v>19202</v>
      </c>
    </row>
    <row r="6553" spans="9:13" x14ac:dyDescent="0.25">
      <c r="I6553" t="s">
        <v>8918</v>
      </c>
      <c r="J6553" s="161" t="s">
        <v>19202</v>
      </c>
      <c r="K6553" t="s">
        <v>19203</v>
      </c>
      <c r="L6553" t="s">
        <v>8917</v>
      </c>
      <c r="M6553" s="161" t="s">
        <v>19202</v>
      </c>
    </row>
    <row r="6554" spans="9:13" x14ac:dyDescent="0.25">
      <c r="I6554" t="s">
        <v>11072</v>
      </c>
      <c r="J6554" s="161" t="s">
        <v>19202</v>
      </c>
      <c r="K6554" t="s">
        <v>19203</v>
      </c>
      <c r="L6554" t="s">
        <v>11071</v>
      </c>
      <c r="M6554" s="161" t="s">
        <v>19202</v>
      </c>
    </row>
    <row r="6555" spans="9:13" x14ac:dyDescent="0.25">
      <c r="I6555" t="s">
        <v>11416</v>
      </c>
      <c r="J6555" s="161" t="s">
        <v>19202</v>
      </c>
      <c r="K6555" t="s">
        <v>19203</v>
      </c>
      <c r="L6555" t="s">
        <v>20079</v>
      </c>
      <c r="M6555" s="161" t="s">
        <v>19202</v>
      </c>
    </row>
    <row r="6556" spans="9:13" x14ac:dyDescent="0.25">
      <c r="I6556" t="s">
        <v>12574</v>
      </c>
      <c r="J6556" s="161" t="s">
        <v>19202</v>
      </c>
      <c r="K6556" t="s">
        <v>19203</v>
      </c>
      <c r="L6556" t="s">
        <v>12573</v>
      </c>
      <c r="M6556" s="161" t="s">
        <v>19202</v>
      </c>
    </row>
    <row r="6557" spans="9:13" x14ac:dyDescent="0.25">
      <c r="I6557" t="s">
        <v>6012</v>
      </c>
      <c r="J6557" s="161" t="s">
        <v>19202</v>
      </c>
      <c r="K6557" t="s">
        <v>19203</v>
      </c>
      <c r="L6557" t="s">
        <v>6011</v>
      </c>
      <c r="M6557" s="161" t="s">
        <v>19202</v>
      </c>
    </row>
    <row r="6558" spans="9:13" x14ac:dyDescent="0.25">
      <c r="I6558" t="s">
        <v>4035</v>
      </c>
      <c r="J6558" s="161" t="s">
        <v>19202</v>
      </c>
      <c r="K6558" t="s">
        <v>19203</v>
      </c>
      <c r="L6558" t="s">
        <v>4034</v>
      </c>
      <c r="M6558" s="161" t="s">
        <v>19202</v>
      </c>
    </row>
    <row r="6559" spans="9:13" x14ac:dyDescent="0.25">
      <c r="I6559" t="s">
        <v>9653</v>
      </c>
      <c r="J6559" s="161" t="s">
        <v>19202</v>
      </c>
      <c r="K6559" t="s">
        <v>19203</v>
      </c>
      <c r="L6559" t="s">
        <v>9652</v>
      </c>
      <c r="M6559" s="161" t="s">
        <v>19202</v>
      </c>
    </row>
    <row r="6560" spans="9:13" x14ac:dyDescent="0.25">
      <c r="I6560" t="s">
        <v>9310</v>
      </c>
      <c r="J6560" s="161" t="s">
        <v>19202</v>
      </c>
      <c r="K6560" t="s">
        <v>19203</v>
      </c>
      <c r="L6560" t="s">
        <v>9309</v>
      </c>
      <c r="M6560" s="161" t="s">
        <v>19202</v>
      </c>
    </row>
    <row r="6561" spans="9:13" x14ac:dyDescent="0.25">
      <c r="I6561" t="s">
        <v>14007</v>
      </c>
      <c r="J6561" s="161" t="s">
        <v>19202</v>
      </c>
      <c r="K6561" t="s">
        <v>19203</v>
      </c>
      <c r="L6561" t="s">
        <v>14006</v>
      </c>
      <c r="M6561" s="161" t="s">
        <v>19202</v>
      </c>
    </row>
    <row r="6562" spans="9:13" x14ac:dyDescent="0.25">
      <c r="I6562" t="s">
        <v>609</v>
      </c>
      <c r="J6562" s="161" t="s">
        <v>19202</v>
      </c>
      <c r="K6562" t="s">
        <v>19203</v>
      </c>
      <c r="L6562" t="s">
        <v>608</v>
      </c>
      <c r="M6562" s="161" t="s">
        <v>19202</v>
      </c>
    </row>
    <row r="6563" spans="9:13" x14ac:dyDescent="0.25">
      <c r="I6563" t="s">
        <v>12480</v>
      </c>
      <c r="J6563" s="161" t="s">
        <v>19202</v>
      </c>
      <c r="K6563" t="s">
        <v>19203</v>
      </c>
      <c r="L6563" t="s">
        <v>12479</v>
      </c>
      <c r="M6563" s="161" t="s">
        <v>19202</v>
      </c>
    </row>
    <row r="6564" spans="9:13" x14ac:dyDescent="0.25">
      <c r="I6564" t="s">
        <v>15279</v>
      </c>
      <c r="J6564" s="161" t="s">
        <v>19202</v>
      </c>
      <c r="K6564" t="s">
        <v>19203</v>
      </c>
      <c r="L6564" t="s">
        <v>15278</v>
      </c>
      <c r="M6564" s="161" t="s">
        <v>19202</v>
      </c>
    </row>
    <row r="6565" spans="9:13" x14ac:dyDescent="0.25">
      <c r="I6565" t="s">
        <v>11975</v>
      </c>
      <c r="J6565" s="161" t="s">
        <v>19202</v>
      </c>
      <c r="K6565" t="s">
        <v>19203</v>
      </c>
      <c r="L6565" t="s">
        <v>363</v>
      </c>
      <c r="M6565" s="161" t="s">
        <v>19202</v>
      </c>
    </row>
    <row r="6566" spans="9:13" x14ac:dyDescent="0.25">
      <c r="I6566" t="s">
        <v>8028</v>
      </c>
      <c r="J6566" s="161" t="s">
        <v>19202</v>
      </c>
      <c r="K6566" t="s">
        <v>19203</v>
      </c>
      <c r="L6566" t="s">
        <v>8027</v>
      </c>
      <c r="M6566" s="161" t="s">
        <v>19202</v>
      </c>
    </row>
    <row r="6567" spans="9:13" x14ac:dyDescent="0.25">
      <c r="I6567" t="s">
        <v>12798</v>
      </c>
      <c r="J6567" s="161" t="s">
        <v>19202</v>
      </c>
      <c r="K6567" t="s">
        <v>19203</v>
      </c>
      <c r="L6567" t="s">
        <v>12797</v>
      </c>
      <c r="M6567" s="161" t="s">
        <v>19202</v>
      </c>
    </row>
    <row r="6568" spans="9:13" x14ac:dyDescent="0.25">
      <c r="I6568" t="s">
        <v>16732</v>
      </c>
      <c r="J6568" s="161" t="s">
        <v>19202</v>
      </c>
      <c r="K6568" t="s">
        <v>19203</v>
      </c>
      <c r="L6568" t="s">
        <v>16731</v>
      </c>
      <c r="M6568" s="161" t="s">
        <v>19202</v>
      </c>
    </row>
    <row r="6569" spans="9:13" x14ac:dyDescent="0.25">
      <c r="I6569" t="s">
        <v>6442</v>
      </c>
      <c r="J6569" s="161" t="s">
        <v>19202</v>
      </c>
      <c r="K6569" t="s">
        <v>19203</v>
      </c>
      <c r="L6569" t="s">
        <v>6441</v>
      </c>
      <c r="M6569" s="161" t="s">
        <v>19202</v>
      </c>
    </row>
    <row r="6570" spans="9:13" x14ac:dyDescent="0.25">
      <c r="I6570" t="s">
        <v>3768</v>
      </c>
      <c r="J6570" s="161" t="s">
        <v>19202</v>
      </c>
      <c r="K6570" t="s">
        <v>19203</v>
      </c>
      <c r="L6570" t="s">
        <v>3767</v>
      </c>
      <c r="M6570" s="161" t="s">
        <v>19202</v>
      </c>
    </row>
    <row r="6571" spans="9:13" x14ac:dyDescent="0.25">
      <c r="I6571" t="s">
        <v>17150</v>
      </c>
      <c r="J6571" s="161" t="s">
        <v>19202</v>
      </c>
      <c r="K6571" t="s">
        <v>19203</v>
      </c>
      <c r="L6571" t="s">
        <v>17149</v>
      </c>
      <c r="M6571" s="161" t="s">
        <v>19202</v>
      </c>
    </row>
    <row r="6572" spans="9:13" x14ac:dyDescent="0.25">
      <c r="I6572" t="s">
        <v>4358</v>
      </c>
      <c r="J6572" s="161" t="s">
        <v>19202</v>
      </c>
      <c r="K6572" t="s">
        <v>19203</v>
      </c>
      <c r="L6572" t="s">
        <v>4357</v>
      </c>
      <c r="M6572" s="161" t="s">
        <v>19202</v>
      </c>
    </row>
    <row r="6573" spans="9:13" x14ac:dyDescent="0.25">
      <c r="I6573" t="s">
        <v>13846</v>
      </c>
      <c r="J6573" s="161" t="s">
        <v>19202</v>
      </c>
      <c r="K6573" t="s">
        <v>19203</v>
      </c>
      <c r="L6573" t="s">
        <v>13845</v>
      </c>
      <c r="M6573" s="161" t="s">
        <v>19202</v>
      </c>
    </row>
    <row r="6574" spans="9:13" x14ac:dyDescent="0.25">
      <c r="I6574" t="s">
        <v>2887</v>
      </c>
      <c r="J6574" s="161" t="s">
        <v>19202</v>
      </c>
      <c r="K6574" t="s">
        <v>19203</v>
      </c>
      <c r="L6574" t="s">
        <v>2886</v>
      </c>
      <c r="M6574" s="161" t="s">
        <v>19202</v>
      </c>
    </row>
    <row r="6575" spans="9:13" x14ac:dyDescent="0.25">
      <c r="I6575" t="s">
        <v>20080</v>
      </c>
      <c r="J6575" s="161" t="s">
        <v>19202</v>
      </c>
      <c r="K6575" t="s">
        <v>19203</v>
      </c>
      <c r="L6575" t="s">
        <v>122</v>
      </c>
      <c r="M6575" s="161" t="s">
        <v>19202</v>
      </c>
    </row>
    <row r="6576" spans="9:13" x14ac:dyDescent="0.25">
      <c r="I6576" t="s">
        <v>4432</v>
      </c>
      <c r="J6576" s="161" t="s">
        <v>19202</v>
      </c>
      <c r="K6576" t="s">
        <v>19203</v>
      </c>
      <c r="L6576" t="s">
        <v>1605</v>
      </c>
      <c r="M6576" s="161" t="s">
        <v>19202</v>
      </c>
    </row>
    <row r="6577" spans="9:13" x14ac:dyDescent="0.25">
      <c r="I6577" t="s">
        <v>13360</v>
      </c>
      <c r="J6577" s="161" t="s">
        <v>19202</v>
      </c>
      <c r="K6577" t="s">
        <v>19203</v>
      </c>
      <c r="L6577" t="s">
        <v>6247</v>
      </c>
      <c r="M6577" s="161" t="s">
        <v>19202</v>
      </c>
    </row>
    <row r="6578" spans="9:13" x14ac:dyDescent="0.25">
      <c r="I6578" t="s">
        <v>7517</v>
      </c>
      <c r="J6578" s="161" t="s">
        <v>19202</v>
      </c>
      <c r="K6578" t="s">
        <v>19203</v>
      </c>
      <c r="L6578" t="s">
        <v>7516</v>
      </c>
      <c r="M6578" s="161" t="s">
        <v>19202</v>
      </c>
    </row>
    <row r="6579" spans="9:13" x14ac:dyDescent="0.25">
      <c r="I6579" t="s">
        <v>7183</v>
      </c>
      <c r="J6579" s="161" t="s">
        <v>19202</v>
      </c>
      <c r="K6579" t="s">
        <v>19203</v>
      </c>
      <c r="L6579" t="s">
        <v>7182</v>
      </c>
      <c r="M6579" s="161" t="s">
        <v>19202</v>
      </c>
    </row>
    <row r="6580" spans="9:13" x14ac:dyDescent="0.25">
      <c r="I6580" t="s">
        <v>7688</v>
      </c>
      <c r="J6580" s="161" t="s">
        <v>19202</v>
      </c>
      <c r="K6580" t="s">
        <v>19203</v>
      </c>
      <c r="L6580" t="s">
        <v>7687</v>
      </c>
      <c r="M6580" s="161" t="s">
        <v>19202</v>
      </c>
    </row>
    <row r="6581" spans="9:13" x14ac:dyDescent="0.25">
      <c r="I6581" t="s">
        <v>5183</v>
      </c>
      <c r="J6581" s="161" t="s">
        <v>19202</v>
      </c>
      <c r="K6581" t="s">
        <v>19203</v>
      </c>
      <c r="L6581" t="s">
        <v>5182</v>
      </c>
      <c r="M6581" s="161" t="s">
        <v>19202</v>
      </c>
    </row>
    <row r="6582" spans="9:13" x14ac:dyDescent="0.25">
      <c r="I6582" t="s">
        <v>2230</v>
      </c>
      <c r="J6582" s="161" t="s">
        <v>19202</v>
      </c>
      <c r="K6582" t="s">
        <v>19203</v>
      </c>
      <c r="L6582" t="s">
        <v>2229</v>
      </c>
      <c r="M6582" s="161" t="s">
        <v>19202</v>
      </c>
    </row>
    <row r="6583" spans="9:13" x14ac:dyDescent="0.25">
      <c r="I6583" t="s">
        <v>2150</v>
      </c>
      <c r="J6583" s="161" t="s">
        <v>19202</v>
      </c>
      <c r="K6583" t="s">
        <v>19203</v>
      </c>
      <c r="L6583" t="s">
        <v>2149</v>
      </c>
      <c r="M6583" s="161" t="s">
        <v>19202</v>
      </c>
    </row>
    <row r="6584" spans="9:13" x14ac:dyDescent="0.25">
      <c r="I6584" t="s">
        <v>4222</v>
      </c>
      <c r="J6584" s="161" t="s">
        <v>19202</v>
      </c>
      <c r="K6584" t="s">
        <v>19203</v>
      </c>
      <c r="L6584" t="s">
        <v>109</v>
      </c>
      <c r="M6584" s="161" t="s">
        <v>19202</v>
      </c>
    </row>
    <row r="6585" spans="9:13" x14ac:dyDescent="0.25">
      <c r="I6585" t="s">
        <v>15348</v>
      </c>
      <c r="J6585" s="161" t="s">
        <v>19202</v>
      </c>
      <c r="K6585" t="s">
        <v>19203</v>
      </c>
      <c r="L6585" t="s">
        <v>15347</v>
      </c>
      <c r="M6585" s="161" t="s">
        <v>19202</v>
      </c>
    </row>
    <row r="6586" spans="9:13" x14ac:dyDescent="0.25">
      <c r="I6586" t="s">
        <v>15476</v>
      </c>
      <c r="J6586" s="161" t="s">
        <v>19202</v>
      </c>
      <c r="K6586" t="s">
        <v>19203</v>
      </c>
      <c r="L6586" t="s">
        <v>15475</v>
      </c>
      <c r="M6586" s="161" t="s">
        <v>19202</v>
      </c>
    </row>
    <row r="6587" spans="9:13" x14ac:dyDescent="0.25">
      <c r="I6587" t="s">
        <v>11271</v>
      </c>
      <c r="J6587" s="161" t="s">
        <v>19202</v>
      </c>
      <c r="K6587" t="s">
        <v>19203</v>
      </c>
      <c r="L6587" t="s">
        <v>11270</v>
      </c>
      <c r="M6587" s="161" t="s">
        <v>19202</v>
      </c>
    </row>
    <row r="6588" spans="9:13" x14ac:dyDescent="0.25">
      <c r="I6588" t="s">
        <v>5262</v>
      </c>
      <c r="J6588" s="161" t="s">
        <v>19202</v>
      </c>
      <c r="K6588" t="s">
        <v>19203</v>
      </c>
      <c r="L6588" t="s">
        <v>5261</v>
      </c>
      <c r="M6588" s="161" t="s">
        <v>19202</v>
      </c>
    </row>
    <row r="6589" spans="9:13" x14ac:dyDescent="0.25">
      <c r="I6589" t="s">
        <v>607</v>
      </c>
      <c r="J6589" s="161" t="s">
        <v>19202</v>
      </c>
      <c r="K6589" t="s">
        <v>19203</v>
      </c>
      <c r="L6589" t="s">
        <v>606</v>
      </c>
      <c r="M6589" s="161" t="s">
        <v>19202</v>
      </c>
    </row>
    <row r="6590" spans="9:13" x14ac:dyDescent="0.25">
      <c r="I6590" t="s">
        <v>10520</v>
      </c>
      <c r="J6590" s="161" t="s">
        <v>19202</v>
      </c>
      <c r="K6590" t="s">
        <v>19203</v>
      </c>
      <c r="L6590" t="s">
        <v>10519</v>
      </c>
      <c r="M6590" s="161" t="s">
        <v>19202</v>
      </c>
    </row>
    <row r="6591" spans="9:13" x14ac:dyDescent="0.25">
      <c r="I6591" t="s">
        <v>11068</v>
      </c>
      <c r="J6591" s="161" t="s">
        <v>19202</v>
      </c>
      <c r="K6591" t="s">
        <v>19203</v>
      </c>
      <c r="L6591" t="s">
        <v>11067</v>
      </c>
      <c r="M6591" s="161" t="s">
        <v>19202</v>
      </c>
    </row>
    <row r="6592" spans="9:13" x14ac:dyDescent="0.25">
      <c r="I6592" t="s">
        <v>3872</v>
      </c>
      <c r="J6592" s="161" t="s">
        <v>19202</v>
      </c>
      <c r="K6592" t="s">
        <v>19203</v>
      </c>
      <c r="L6592" t="s">
        <v>3871</v>
      </c>
      <c r="M6592" s="161" t="s">
        <v>19202</v>
      </c>
    </row>
    <row r="6593" spans="9:13" x14ac:dyDescent="0.25">
      <c r="I6593" t="s">
        <v>14277</v>
      </c>
      <c r="J6593" s="161" t="s">
        <v>19202</v>
      </c>
      <c r="K6593" t="s">
        <v>19203</v>
      </c>
      <c r="L6593" t="s">
        <v>14276</v>
      </c>
      <c r="M6593" s="161" t="s">
        <v>19202</v>
      </c>
    </row>
    <row r="6594" spans="9:13" x14ac:dyDescent="0.25">
      <c r="I6594" t="s">
        <v>4385</v>
      </c>
      <c r="J6594" s="161" t="s">
        <v>19202</v>
      </c>
      <c r="K6594" t="s">
        <v>19203</v>
      </c>
      <c r="L6594" t="s">
        <v>4384</v>
      </c>
      <c r="M6594" s="161" t="s">
        <v>19202</v>
      </c>
    </row>
    <row r="6595" spans="9:13" x14ac:dyDescent="0.25">
      <c r="I6595" t="s">
        <v>5842</v>
      </c>
      <c r="J6595" s="161" t="s">
        <v>19202</v>
      </c>
      <c r="K6595" t="s">
        <v>19203</v>
      </c>
      <c r="L6595" t="s">
        <v>5841</v>
      </c>
      <c r="M6595" s="161" t="s">
        <v>19202</v>
      </c>
    </row>
    <row r="6596" spans="9:13" x14ac:dyDescent="0.25">
      <c r="I6596" t="s">
        <v>356</v>
      </c>
      <c r="J6596" s="161" t="s">
        <v>19202</v>
      </c>
      <c r="K6596" t="s">
        <v>19203</v>
      </c>
      <c r="L6596" t="s">
        <v>355</v>
      </c>
      <c r="M6596" s="161" t="s">
        <v>19202</v>
      </c>
    </row>
    <row r="6597" spans="9:13" x14ac:dyDescent="0.25">
      <c r="I6597" t="s">
        <v>6444</v>
      </c>
      <c r="J6597" s="161" t="s">
        <v>19202</v>
      </c>
      <c r="K6597" t="s">
        <v>19203</v>
      </c>
      <c r="L6597" t="s">
        <v>6443</v>
      </c>
      <c r="M6597" s="161" t="s">
        <v>19202</v>
      </c>
    </row>
    <row r="6598" spans="9:13" x14ac:dyDescent="0.25">
      <c r="I6598" t="s">
        <v>20081</v>
      </c>
      <c r="J6598" s="161" t="s">
        <v>19202</v>
      </c>
      <c r="K6598" t="s">
        <v>19203</v>
      </c>
      <c r="L6598" t="s">
        <v>6652</v>
      </c>
      <c r="M6598" s="161" t="s">
        <v>19202</v>
      </c>
    </row>
    <row r="6599" spans="9:13" x14ac:dyDescent="0.25">
      <c r="I6599" t="s">
        <v>7137</v>
      </c>
      <c r="J6599" s="161" t="s">
        <v>19202</v>
      </c>
      <c r="K6599" t="s">
        <v>19203</v>
      </c>
      <c r="L6599" t="s">
        <v>7136</v>
      </c>
      <c r="M6599" s="161" t="s">
        <v>19202</v>
      </c>
    </row>
    <row r="6600" spans="9:13" x14ac:dyDescent="0.25">
      <c r="I6600" t="s">
        <v>6260</v>
      </c>
      <c r="J6600" s="161" t="s">
        <v>19202</v>
      </c>
      <c r="K6600" t="s">
        <v>19203</v>
      </c>
      <c r="L6600" t="s">
        <v>261</v>
      </c>
      <c r="M6600" s="161" t="s">
        <v>19202</v>
      </c>
    </row>
    <row r="6601" spans="9:13" x14ac:dyDescent="0.25">
      <c r="I6601" t="s">
        <v>8454</v>
      </c>
      <c r="J6601" s="161" t="s">
        <v>19202</v>
      </c>
      <c r="K6601" t="s">
        <v>19203</v>
      </c>
      <c r="L6601" t="s">
        <v>8453</v>
      </c>
      <c r="M6601" s="161" t="s">
        <v>19202</v>
      </c>
    </row>
    <row r="6602" spans="9:13" x14ac:dyDescent="0.25">
      <c r="I6602" t="s">
        <v>13282</v>
      </c>
      <c r="J6602" s="161" t="s">
        <v>19202</v>
      </c>
      <c r="K6602" t="s">
        <v>19203</v>
      </c>
      <c r="L6602" t="s">
        <v>13281</v>
      </c>
      <c r="M6602" s="161" t="s">
        <v>19202</v>
      </c>
    </row>
    <row r="6603" spans="9:13" x14ac:dyDescent="0.25">
      <c r="I6603" t="s">
        <v>12130</v>
      </c>
      <c r="J6603" s="161" t="s">
        <v>19202</v>
      </c>
      <c r="K6603" t="s">
        <v>19203</v>
      </c>
      <c r="L6603" t="s">
        <v>12129</v>
      </c>
      <c r="M6603" s="161" t="s">
        <v>19202</v>
      </c>
    </row>
    <row r="6604" spans="9:13" x14ac:dyDescent="0.25">
      <c r="I6604" t="s">
        <v>20082</v>
      </c>
      <c r="J6604" s="161" t="s">
        <v>19202</v>
      </c>
      <c r="K6604" t="s">
        <v>19203</v>
      </c>
      <c r="L6604" t="s">
        <v>4060</v>
      </c>
      <c r="M6604" s="161" t="s">
        <v>19202</v>
      </c>
    </row>
    <row r="6605" spans="9:13" x14ac:dyDescent="0.25">
      <c r="I6605" t="s">
        <v>20083</v>
      </c>
      <c r="J6605" s="161" t="s">
        <v>19202</v>
      </c>
      <c r="K6605" t="s">
        <v>19203</v>
      </c>
      <c r="L6605" t="s">
        <v>20084</v>
      </c>
      <c r="M6605" s="161" t="s">
        <v>19202</v>
      </c>
    </row>
    <row r="6606" spans="9:13" x14ac:dyDescent="0.25">
      <c r="I6606" t="s">
        <v>2849</v>
      </c>
      <c r="J6606" s="161" t="s">
        <v>19202</v>
      </c>
      <c r="K6606" t="s">
        <v>19203</v>
      </c>
      <c r="L6606" t="s">
        <v>2848</v>
      </c>
      <c r="M6606" s="161" t="s">
        <v>19202</v>
      </c>
    </row>
    <row r="6607" spans="9:13" x14ac:dyDescent="0.25">
      <c r="I6607" t="s">
        <v>6710</v>
      </c>
      <c r="J6607" s="161" t="s">
        <v>19202</v>
      </c>
      <c r="K6607" t="s">
        <v>19203</v>
      </c>
      <c r="L6607" t="s">
        <v>6709</v>
      </c>
      <c r="M6607" s="161" t="s">
        <v>19202</v>
      </c>
    </row>
    <row r="6608" spans="9:13" x14ac:dyDescent="0.25">
      <c r="I6608" t="s">
        <v>8102</v>
      </c>
      <c r="J6608" s="161" t="s">
        <v>19202</v>
      </c>
      <c r="K6608" t="s">
        <v>19203</v>
      </c>
      <c r="L6608" t="s">
        <v>8101</v>
      </c>
      <c r="M6608" s="161" t="s">
        <v>19202</v>
      </c>
    </row>
    <row r="6609" spans="9:13" x14ac:dyDescent="0.25">
      <c r="I6609" t="s">
        <v>7553</v>
      </c>
      <c r="J6609" s="161" t="s">
        <v>19202</v>
      </c>
      <c r="K6609" t="s">
        <v>19203</v>
      </c>
      <c r="L6609" t="s">
        <v>7552</v>
      </c>
      <c r="M6609" s="161" t="s">
        <v>19202</v>
      </c>
    </row>
    <row r="6610" spans="9:13" x14ac:dyDescent="0.25">
      <c r="I6610" t="s">
        <v>15316</v>
      </c>
      <c r="J6610" s="161" t="s">
        <v>19202</v>
      </c>
      <c r="K6610" t="s">
        <v>19203</v>
      </c>
      <c r="L6610" t="s">
        <v>15315</v>
      </c>
      <c r="M6610" s="161" t="s">
        <v>19202</v>
      </c>
    </row>
    <row r="6611" spans="9:13" x14ac:dyDescent="0.25">
      <c r="I6611" t="s">
        <v>15280</v>
      </c>
      <c r="J6611" s="161" t="s">
        <v>19202</v>
      </c>
      <c r="K6611" t="s">
        <v>19203</v>
      </c>
      <c r="L6611" t="s">
        <v>2023</v>
      </c>
      <c r="M6611" s="161" t="s">
        <v>19202</v>
      </c>
    </row>
    <row r="6612" spans="9:13" x14ac:dyDescent="0.25">
      <c r="I6612" t="s">
        <v>15954</v>
      </c>
      <c r="J6612" s="161" t="s">
        <v>19202</v>
      </c>
      <c r="K6612" t="s">
        <v>19203</v>
      </c>
      <c r="L6612" t="s">
        <v>15953</v>
      </c>
      <c r="M6612" s="161" t="s">
        <v>19202</v>
      </c>
    </row>
    <row r="6613" spans="9:13" x14ac:dyDescent="0.25">
      <c r="I6613" t="s">
        <v>2308</v>
      </c>
      <c r="J6613" s="161" t="s">
        <v>19202</v>
      </c>
      <c r="K6613" t="s">
        <v>19203</v>
      </c>
      <c r="L6613" t="s">
        <v>2307</v>
      </c>
      <c r="M6613" s="161" t="s">
        <v>19202</v>
      </c>
    </row>
    <row r="6614" spans="9:13" x14ac:dyDescent="0.25">
      <c r="I6614" t="s">
        <v>6861</v>
      </c>
      <c r="J6614" s="161" t="s">
        <v>19202</v>
      </c>
      <c r="K6614" t="s">
        <v>19203</v>
      </c>
      <c r="L6614" t="s">
        <v>6860</v>
      </c>
      <c r="M6614" s="161" t="s">
        <v>19202</v>
      </c>
    </row>
    <row r="6615" spans="9:13" x14ac:dyDescent="0.25">
      <c r="I6615" t="s">
        <v>3766</v>
      </c>
      <c r="J6615" s="161" t="s">
        <v>19202</v>
      </c>
      <c r="K6615" t="s">
        <v>19203</v>
      </c>
      <c r="L6615" t="s">
        <v>3765</v>
      </c>
      <c r="M6615" s="161" t="s">
        <v>19202</v>
      </c>
    </row>
    <row r="6616" spans="9:13" x14ac:dyDescent="0.25">
      <c r="I6616" t="s">
        <v>6482</v>
      </c>
      <c r="J6616" s="161" t="s">
        <v>19202</v>
      </c>
      <c r="K6616" t="s">
        <v>19203</v>
      </c>
      <c r="L6616" t="s">
        <v>6481</v>
      </c>
      <c r="M6616" s="161" t="s">
        <v>19202</v>
      </c>
    </row>
    <row r="6617" spans="9:13" x14ac:dyDescent="0.25">
      <c r="I6617" t="s">
        <v>17190</v>
      </c>
      <c r="J6617" s="161" t="s">
        <v>19202</v>
      </c>
      <c r="K6617" t="s">
        <v>19203</v>
      </c>
      <c r="L6617" t="s">
        <v>17189</v>
      </c>
      <c r="M6617" s="161" t="s">
        <v>19202</v>
      </c>
    </row>
    <row r="6618" spans="9:13" x14ac:dyDescent="0.25">
      <c r="I6618" t="s">
        <v>11842</v>
      </c>
      <c r="J6618" s="161" t="s">
        <v>19202</v>
      </c>
      <c r="K6618" t="s">
        <v>19203</v>
      </c>
      <c r="L6618" t="s">
        <v>11841</v>
      </c>
      <c r="M6618" s="161" t="s">
        <v>19202</v>
      </c>
    </row>
    <row r="6619" spans="9:13" x14ac:dyDescent="0.25">
      <c r="I6619" t="s">
        <v>16045</v>
      </c>
      <c r="J6619" s="161" t="s">
        <v>19202</v>
      </c>
      <c r="K6619" t="s">
        <v>19203</v>
      </c>
      <c r="L6619" t="s">
        <v>16044</v>
      </c>
      <c r="M6619" s="161" t="s">
        <v>19202</v>
      </c>
    </row>
    <row r="6620" spans="9:13" x14ac:dyDescent="0.25">
      <c r="I6620" t="s">
        <v>6818</v>
      </c>
      <c r="J6620" s="161" t="s">
        <v>19202</v>
      </c>
      <c r="K6620" t="s">
        <v>19203</v>
      </c>
      <c r="L6620" t="s">
        <v>3507</v>
      </c>
      <c r="M6620" s="161" t="s">
        <v>19202</v>
      </c>
    </row>
    <row r="6621" spans="9:13" x14ac:dyDescent="0.25">
      <c r="I6621" t="s">
        <v>10522</v>
      </c>
      <c r="J6621" s="161" t="s">
        <v>19202</v>
      </c>
      <c r="K6621" t="s">
        <v>19203</v>
      </c>
      <c r="L6621" t="s">
        <v>10521</v>
      </c>
      <c r="M6621" s="161" t="s">
        <v>19202</v>
      </c>
    </row>
    <row r="6622" spans="9:13" x14ac:dyDescent="0.25">
      <c r="I6622" t="s">
        <v>9194</v>
      </c>
      <c r="J6622" s="161" t="s">
        <v>19202</v>
      </c>
      <c r="K6622" t="s">
        <v>19203</v>
      </c>
      <c r="L6622" t="s">
        <v>9193</v>
      </c>
      <c r="M6622" s="161" t="s">
        <v>19202</v>
      </c>
    </row>
    <row r="6623" spans="9:13" x14ac:dyDescent="0.25">
      <c r="I6623" t="s">
        <v>603</v>
      </c>
      <c r="J6623" s="161" t="s">
        <v>19202</v>
      </c>
      <c r="K6623" t="s">
        <v>19203</v>
      </c>
      <c r="L6623" t="s">
        <v>602</v>
      </c>
      <c r="M6623" s="161" t="s">
        <v>19202</v>
      </c>
    </row>
    <row r="6624" spans="9:13" x14ac:dyDescent="0.25">
      <c r="I6624" t="s">
        <v>10852</v>
      </c>
      <c r="J6624" s="161" t="s">
        <v>19202</v>
      </c>
      <c r="K6624" t="s">
        <v>19203</v>
      </c>
      <c r="L6624" t="s">
        <v>10851</v>
      </c>
      <c r="M6624" s="161" t="s">
        <v>19202</v>
      </c>
    </row>
    <row r="6625" spans="9:13" x14ac:dyDescent="0.25">
      <c r="I6625" t="s">
        <v>9977</v>
      </c>
      <c r="J6625" s="161" t="s">
        <v>19202</v>
      </c>
      <c r="K6625" t="s">
        <v>19203</v>
      </c>
      <c r="L6625" t="s">
        <v>9976</v>
      </c>
      <c r="M6625" s="161" t="s">
        <v>19202</v>
      </c>
    </row>
    <row r="6626" spans="9:13" x14ac:dyDescent="0.25">
      <c r="I6626" t="s">
        <v>3764</v>
      </c>
      <c r="J6626" s="161" t="s">
        <v>19202</v>
      </c>
      <c r="K6626" t="s">
        <v>19203</v>
      </c>
      <c r="L6626" t="s">
        <v>3763</v>
      </c>
      <c r="M6626" s="161" t="s">
        <v>19202</v>
      </c>
    </row>
    <row r="6627" spans="9:13" x14ac:dyDescent="0.25">
      <c r="I6627" t="s">
        <v>6820</v>
      </c>
      <c r="J6627" s="161" t="s">
        <v>19202</v>
      </c>
      <c r="K6627" t="s">
        <v>19203</v>
      </c>
      <c r="L6627" t="s">
        <v>6819</v>
      </c>
      <c r="M6627" s="161" t="s">
        <v>19202</v>
      </c>
    </row>
    <row r="6628" spans="9:13" x14ac:dyDescent="0.25">
      <c r="I6628" t="s">
        <v>7891</v>
      </c>
      <c r="J6628" s="161" t="s">
        <v>19202</v>
      </c>
      <c r="K6628" t="s">
        <v>19203</v>
      </c>
      <c r="L6628" t="s">
        <v>7890</v>
      </c>
      <c r="M6628" s="161" t="s">
        <v>19202</v>
      </c>
    </row>
    <row r="6629" spans="9:13" x14ac:dyDescent="0.25">
      <c r="I6629" t="s">
        <v>8231</v>
      </c>
      <c r="J6629" s="161" t="s">
        <v>19202</v>
      </c>
      <c r="K6629" t="s">
        <v>19203</v>
      </c>
      <c r="L6629" t="s">
        <v>8230</v>
      </c>
      <c r="M6629" s="161" t="s">
        <v>19202</v>
      </c>
    </row>
    <row r="6630" spans="9:13" x14ac:dyDescent="0.25">
      <c r="I6630" t="s">
        <v>20085</v>
      </c>
      <c r="J6630" s="161" t="s">
        <v>19202</v>
      </c>
      <c r="K6630" t="s">
        <v>19203</v>
      </c>
      <c r="L6630" t="s">
        <v>20086</v>
      </c>
      <c r="M6630" s="161" t="s">
        <v>19202</v>
      </c>
    </row>
    <row r="6631" spans="9:13" x14ac:dyDescent="0.25">
      <c r="I6631" t="s">
        <v>831</v>
      </c>
      <c r="J6631" s="161" t="s">
        <v>19202</v>
      </c>
      <c r="K6631" t="s">
        <v>19203</v>
      </c>
      <c r="L6631" t="s">
        <v>830</v>
      </c>
      <c r="M6631" s="161" t="s">
        <v>19202</v>
      </c>
    </row>
    <row r="6632" spans="9:13" x14ac:dyDescent="0.25">
      <c r="I6632" t="s">
        <v>14978</v>
      </c>
      <c r="J6632" s="161" t="s">
        <v>19202</v>
      </c>
      <c r="K6632" t="s">
        <v>19203</v>
      </c>
      <c r="L6632" t="s">
        <v>14977</v>
      </c>
      <c r="M6632" s="161" t="s">
        <v>19202</v>
      </c>
    </row>
    <row r="6633" spans="9:13" x14ac:dyDescent="0.25">
      <c r="I6633" t="s">
        <v>3923</v>
      </c>
      <c r="J6633" s="161" t="s">
        <v>19202</v>
      </c>
      <c r="K6633" t="s">
        <v>19203</v>
      </c>
      <c r="L6633" t="s">
        <v>3922</v>
      </c>
      <c r="M6633" s="161" t="s">
        <v>19202</v>
      </c>
    </row>
    <row r="6634" spans="9:13" x14ac:dyDescent="0.25">
      <c r="I6634" t="s">
        <v>10518</v>
      </c>
      <c r="J6634" s="161" t="s">
        <v>19202</v>
      </c>
      <c r="K6634" t="s">
        <v>19203</v>
      </c>
      <c r="L6634" t="s">
        <v>10517</v>
      </c>
      <c r="M6634" s="161" t="s">
        <v>19202</v>
      </c>
    </row>
    <row r="6635" spans="9:13" x14ac:dyDescent="0.25">
      <c r="I6635" t="s">
        <v>15314</v>
      </c>
      <c r="J6635" s="161" t="s">
        <v>19202</v>
      </c>
      <c r="K6635" t="s">
        <v>19203</v>
      </c>
      <c r="L6635" t="s">
        <v>15313</v>
      </c>
      <c r="M6635" s="161" t="s">
        <v>19202</v>
      </c>
    </row>
    <row r="6636" spans="9:13" x14ac:dyDescent="0.25">
      <c r="I6636" t="s">
        <v>10199</v>
      </c>
      <c r="J6636" s="161" t="s">
        <v>19202</v>
      </c>
      <c r="K6636" t="s">
        <v>19203</v>
      </c>
      <c r="L6636" t="s">
        <v>10198</v>
      </c>
      <c r="M6636" s="161" t="s">
        <v>19202</v>
      </c>
    </row>
    <row r="6637" spans="9:13" x14ac:dyDescent="0.25">
      <c r="I6637" t="s">
        <v>13284</v>
      </c>
      <c r="J6637" s="161" t="s">
        <v>19202</v>
      </c>
      <c r="K6637" t="s">
        <v>19203</v>
      </c>
      <c r="L6637" t="s">
        <v>13283</v>
      </c>
      <c r="M6637" s="161" t="s">
        <v>19202</v>
      </c>
    </row>
    <row r="6638" spans="9:13" x14ac:dyDescent="0.25">
      <c r="I6638" t="s">
        <v>2668</v>
      </c>
      <c r="J6638" s="161" t="s">
        <v>19202</v>
      </c>
      <c r="K6638" t="s">
        <v>19203</v>
      </c>
      <c r="L6638" t="s">
        <v>2667</v>
      </c>
      <c r="M6638" s="161" t="s">
        <v>19202</v>
      </c>
    </row>
    <row r="6639" spans="9:13" x14ac:dyDescent="0.25">
      <c r="I6639" t="s">
        <v>5685</v>
      </c>
      <c r="J6639" s="161" t="s">
        <v>19202</v>
      </c>
      <c r="K6639" t="s">
        <v>19203</v>
      </c>
      <c r="L6639" t="s">
        <v>5684</v>
      </c>
      <c r="M6639" s="161" t="s">
        <v>19202</v>
      </c>
    </row>
    <row r="6640" spans="9:13" x14ac:dyDescent="0.25">
      <c r="I6640" t="s">
        <v>8188</v>
      </c>
      <c r="J6640" s="161" t="s">
        <v>19202</v>
      </c>
      <c r="K6640" t="s">
        <v>19203</v>
      </c>
      <c r="L6640" t="s">
        <v>8187</v>
      </c>
      <c r="M6640" s="161" t="s">
        <v>19202</v>
      </c>
    </row>
    <row r="6641" spans="9:13" x14ac:dyDescent="0.25">
      <c r="I6641" t="s">
        <v>6358</v>
      </c>
      <c r="J6641" s="161" t="s">
        <v>19202</v>
      </c>
      <c r="K6641" t="s">
        <v>19203</v>
      </c>
      <c r="L6641" t="s">
        <v>6357</v>
      </c>
      <c r="M6641" s="161" t="s">
        <v>19202</v>
      </c>
    </row>
    <row r="6642" spans="9:13" x14ac:dyDescent="0.25">
      <c r="I6642" t="s">
        <v>12857</v>
      </c>
      <c r="J6642" s="161" t="s">
        <v>19202</v>
      </c>
      <c r="K6642" t="s">
        <v>19203</v>
      </c>
      <c r="L6642" t="s">
        <v>12856</v>
      </c>
      <c r="M6642" s="161" t="s">
        <v>19202</v>
      </c>
    </row>
    <row r="6643" spans="9:13" x14ac:dyDescent="0.25">
      <c r="I6643" t="s">
        <v>9070</v>
      </c>
      <c r="J6643" s="161" t="s">
        <v>19202</v>
      </c>
      <c r="K6643" t="s">
        <v>19203</v>
      </c>
      <c r="L6643" t="s">
        <v>9069</v>
      </c>
      <c r="M6643" s="161" t="s">
        <v>19202</v>
      </c>
    </row>
    <row r="6644" spans="9:13" x14ac:dyDescent="0.25">
      <c r="I6644" t="s">
        <v>16874</v>
      </c>
      <c r="J6644" s="161" t="s">
        <v>19202</v>
      </c>
      <c r="K6644" t="s">
        <v>19203</v>
      </c>
      <c r="L6644" t="s">
        <v>925</v>
      </c>
      <c r="M6644" s="161" t="s">
        <v>19202</v>
      </c>
    </row>
    <row r="6645" spans="9:13" x14ac:dyDescent="0.25">
      <c r="I6645" t="s">
        <v>16873</v>
      </c>
      <c r="J6645" s="161" t="s">
        <v>19202</v>
      </c>
      <c r="K6645" t="s">
        <v>19203</v>
      </c>
      <c r="L6645" t="s">
        <v>16872</v>
      </c>
      <c r="M6645" s="161" t="s">
        <v>19202</v>
      </c>
    </row>
    <row r="6646" spans="9:13" x14ac:dyDescent="0.25">
      <c r="I6646" t="s">
        <v>495</v>
      </c>
      <c r="J6646" s="161" t="s">
        <v>19202</v>
      </c>
      <c r="K6646" t="s">
        <v>19203</v>
      </c>
      <c r="L6646" t="s">
        <v>494</v>
      </c>
      <c r="M6646" s="161" t="s">
        <v>19202</v>
      </c>
    </row>
    <row r="6647" spans="9:13" x14ac:dyDescent="0.25">
      <c r="I6647" t="s">
        <v>14127</v>
      </c>
      <c r="J6647" s="161" t="s">
        <v>19202</v>
      </c>
      <c r="K6647" t="s">
        <v>19203</v>
      </c>
      <c r="L6647" t="s">
        <v>14126</v>
      </c>
      <c r="M6647" s="161" t="s">
        <v>19202</v>
      </c>
    </row>
    <row r="6648" spans="9:13" x14ac:dyDescent="0.25">
      <c r="I6648" t="s">
        <v>20087</v>
      </c>
      <c r="J6648" s="161" t="s">
        <v>19202</v>
      </c>
      <c r="K6648" t="s">
        <v>19203</v>
      </c>
      <c r="L6648" t="s">
        <v>20088</v>
      </c>
      <c r="M6648" s="161" t="s">
        <v>19202</v>
      </c>
    </row>
    <row r="6649" spans="9:13" x14ac:dyDescent="0.25">
      <c r="I6649" t="s">
        <v>16485</v>
      </c>
      <c r="J6649" s="161" t="s">
        <v>19202</v>
      </c>
      <c r="K6649" t="s">
        <v>19203</v>
      </c>
      <c r="L6649" t="s">
        <v>16484</v>
      </c>
      <c r="M6649" s="161" t="s">
        <v>19202</v>
      </c>
    </row>
    <row r="6650" spans="9:13" x14ac:dyDescent="0.25">
      <c r="I6650" t="s">
        <v>14312</v>
      </c>
      <c r="J6650" s="161" t="s">
        <v>19202</v>
      </c>
      <c r="K6650" t="s">
        <v>19203</v>
      </c>
      <c r="L6650" t="s">
        <v>14311</v>
      </c>
      <c r="M6650" s="161" t="s">
        <v>19202</v>
      </c>
    </row>
    <row r="6651" spans="9:13" x14ac:dyDescent="0.25">
      <c r="I6651" t="s">
        <v>14310</v>
      </c>
      <c r="J6651" s="161" t="s">
        <v>19202</v>
      </c>
      <c r="K6651" t="s">
        <v>19203</v>
      </c>
      <c r="L6651" t="s">
        <v>14309</v>
      </c>
      <c r="M6651" s="161" t="s">
        <v>19202</v>
      </c>
    </row>
    <row r="6652" spans="9:13" x14ac:dyDescent="0.25">
      <c r="I6652" t="s">
        <v>6438</v>
      </c>
      <c r="J6652" s="161" t="s">
        <v>19202</v>
      </c>
      <c r="K6652" t="s">
        <v>19203</v>
      </c>
      <c r="L6652" t="s">
        <v>6437</v>
      </c>
      <c r="M6652" s="161" t="s">
        <v>19202</v>
      </c>
    </row>
    <row r="6653" spans="9:13" x14ac:dyDescent="0.25">
      <c r="I6653" t="s">
        <v>17234</v>
      </c>
      <c r="J6653" s="161" t="s">
        <v>19202</v>
      </c>
      <c r="K6653" t="s">
        <v>19203</v>
      </c>
      <c r="L6653" t="s">
        <v>17233</v>
      </c>
      <c r="M6653" s="161" t="s">
        <v>19202</v>
      </c>
    </row>
    <row r="6654" spans="9:13" x14ac:dyDescent="0.25">
      <c r="I6654" t="s">
        <v>16878</v>
      </c>
      <c r="J6654" s="161" t="s">
        <v>19202</v>
      </c>
      <c r="K6654" t="s">
        <v>19203</v>
      </c>
      <c r="L6654" t="s">
        <v>16877</v>
      </c>
      <c r="M6654" s="161" t="s">
        <v>19202</v>
      </c>
    </row>
    <row r="6655" spans="9:13" x14ac:dyDescent="0.25">
      <c r="I6655" t="s">
        <v>15515</v>
      </c>
      <c r="J6655" s="161" t="s">
        <v>19202</v>
      </c>
      <c r="K6655" t="s">
        <v>19203</v>
      </c>
      <c r="L6655" t="s">
        <v>15514</v>
      </c>
      <c r="M6655" s="161" t="s">
        <v>19202</v>
      </c>
    </row>
    <row r="6656" spans="9:13" x14ac:dyDescent="0.25">
      <c r="I6656" t="s">
        <v>10777</v>
      </c>
      <c r="J6656" s="161" t="s">
        <v>19202</v>
      </c>
      <c r="K6656" t="s">
        <v>19203</v>
      </c>
      <c r="L6656" t="s">
        <v>10776</v>
      </c>
      <c r="M6656" s="161" t="s">
        <v>19202</v>
      </c>
    </row>
    <row r="6657" spans="9:13" x14ac:dyDescent="0.25">
      <c r="I6657" t="s">
        <v>15318</v>
      </c>
      <c r="J6657" s="161" t="s">
        <v>19202</v>
      </c>
      <c r="K6657" t="s">
        <v>19203</v>
      </c>
      <c r="L6657" t="s">
        <v>15317</v>
      </c>
      <c r="M6657" s="161" t="s">
        <v>19202</v>
      </c>
    </row>
    <row r="6658" spans="9:13" x14ac:dyDescent="0.25">
      <c r="I6658" t="s">
        <v>11277</v>
      </c>
      <c r="J6658" s="161" t="s">
        <v>19202</v>
      </c>
      <c r="K6658" t="s">
        <v>19203</v>
      </c>
      <c r="L6658" t="s">
        <v>11276</v>
      </c>
      <c r="M6658" s="161" t="s">
        <v>19202</v>
      </c>
    </row>
    <row r="6659" spans="9:13" x14ac:dyDescent="0.25">
      <c r="I6659" t="s">
        <v>4431</v>
      </c>
      <c r="J6659" s="161" t="s">
        <v>19202</v>
      </c>
      <c r="K6659" t="s">
        <v>19203</v>
      </c>
      <c r="L6659" t="s">
        <v>4430</v>
      </c>
      <c r="M6659" s="161" t="s">
        <v>19202</v>
      </c>
    </row>
    <row r="6660" spans="9:13" x14ac:dyDescent="0.25">
      <c r="I6660" t="s">
        <v>745</v>
      </c>
      <c r="J6660" s="161" t="s">
        <v>19202</v>
      </c>
      <c r="K6660" t="s">
        <v>19203</v>
      </c>
      <c r="L6660" t="s">
        <v>744</v>
      </c>
      <c r="M6660" s="161" t="s">
        <v>19202</v>
      </c>
    </row>
    <row r="6661" spans="9:13" x14ac:dyDescent="0.25">
      <c r="I6661" t="s">
        <v>2276</v>
      </c>
      <c r="J6661" s="161" t="s">
        <v>19202</v>
      </c>
      <c r="K6661" t="s">
        <v>19203</v>
      </c>
      <c r="L6661" t="s">
        <v>2275</v>
      </c>
      <c r="M6661" s="161" t="s">
        <v>19202</v>
      </c>
    </row>
    <row r="6662" spans="9:13" x14ac:dyDescent="0.25">
      <c r="I6662" t="s">
        <v>6447</v>
      </c>
      <c r="J6662" s="161" t="s">
        <v>19202</v>
      </c>
      <c r="K6662" t="s">
        <v>19203</v>
      </c>
      <c r="L6662" t="s">
        <v>6446</v>
      </c>
      <c r="M6662" s="161" t="s">
        <v>19202</v>
      </c>
    </row>
    <row r="6663" spans="9:13" x14ac:dyDescent="0.25">
      <c r="I6663" t="s">
        <v>11517</v>
      </c>
      <c r="J6663" s="161" t="s">
        <v>19202</v>
      </c>
      <c r="K6663" t="s">
        <v>19203</v>
      </c>
      <c r="L6663" t="s">
        <v>11516</v>
      </c>
      <c r="M6663" s="161" t="s">
        <v>19202</v>
      </c>
    </row>
    <row r="6664" spans="9:13" x14ac:dyDescent="0.25">
      <c r="I6664" t="s">
        <v>563</v>
      </c>
      <c r="J6664" s="161" t="s">
        <v>19202</v>
      </c>
      <c r="K6664" t="s">
        <v>19203</v>
      </c>
      <c r="L6664" t="s">
        <v>562</v>
      </c>
      <c r="M6664" s="161" t="s">
        <v>19202</v>
      </c>
    </row>
    <row r="6665" spans="9:13" x14ac:dyDescent="0.25">
      <c r="I6665" t="s">
        <v>13280</v>
      </c>
      <c r="J6665" s="161" t="s">
        <v>19202</v>
      </c>
      <c r="K6665" t="s">
        <v>19203</v>
      </c>
      <c r="L6665" t="s">
        <v>13279</v>
      </c>
      <c r="M6665" s="161" t="s">
        <v>19202</v>
      </c>
    </row>
    <row r="6666" spans="9:13" x14ac:dyDescent="0.25">
      <c r="I6666" t="s">
        <v>12686</v>
      </c>
      <c r="J6666" s="161" t="s">
        <v>19202</v>
      </c>
      <c r="K6666" t="s">
        <v>19203</v>
      </c>
      <c r="L6666" t="s">
        <v>12685</v>
      </c>
      <c r="M6666" s="161" t="s">
        <v>19202</v>
      </c>
    </row>
    <row r="6667" spans="9:13" x14ac:dyDescent="0.25">
      <c r="I6667" t="s">
        <v>12684</v>
      </c>
      <c r="J6667" s="161" t="s">
        <v>19202</v>
      </c>
      <c r="K6667" t="s">
        <v>19203</v>
      </c>
      <c r="L6667" t="s">
        <v>12683</v>
      </c>
      <c r="M6667" s="161" t="s">
        <v>19202</v>
      </c>
    </row>
    <row r="6668" spans="9:13" x14ac:dyDescent="0.25">
      <c r="I6668" t="s">
        <v>13321</v>
      </c>
      <c r="J6668" s="161" t="s">
        <v>19202</v>
      </c>
      <c r="K6668" t="s">
        <v>19203</v>
      </c>
      <c r="L6668" t="s">
        <v>13320</v>
      </c>
      <c r="M6668" s="161" t="s">
        <v>19202</v>
      </c>
    </row>
    <row r="6669" spans="9:13" x14ac:dyDescent="0.25">
      <c r="I6669" t="s">
        <v>13319</v>
      </c>
      <c r="J6669" s="161" t="s">
        <v>19202</v>
      </c>
      <c r="K6669" t="s">
        <v>19203</v>
      </c>
      <c r="L6669" t="s">
        <v>13318</v>
      </c>
      <c r="M6669" s="161" t="s">
        <v>19202</v>
      </c>
    </row>
    <row r="6670" spans="9:13" x14ac:dyDescent="0.25">
      <c r="I6670" t="s">
        <v>13315</v>
      </c>
      <c r="J6670" s="161" t="s">
        <v>19202</v>
      </c>
      <c r="K6670" t="s">
        <v>19203</v>
      </c>
      <c r="L6670" t="s">
        <v>13314</v>
      </c>
      <c r="M6670" s="161" t="s">
        <v>19202</v>
      </c>
    </row>
    <row r="6671" spans="9:13" x14ac:dyDescent="0.25">
      <c r="I6671" t="s">
        <v>1030</v>
      </c>
      <c r="J6671" s="161" t="s">
        <v>19202</v>
      </c>
      <c r="K6671" t="s">
        <v>19203</v>
      </c>
      <c r="L6671" t="s">
        <v>1029</v>
      </c>
      <c r="M6671" s="161" t="s">
        <v>19202</v>
      </c>
    </row>
    <row r="6672" spans="9:13" x14ac:dyDescent="0.25">
      <c r="I6672" t="s">
        <v>3833</v>
      </c>
      <c r="J6672" s="161" t="s">
        <v>19202</v>
      </c>
      <c r="K6672" t="s">
        <v>19203</v>
      </c>
      <c r="L6672" t="s">
        <v>3832</v>
      </c>
      <c r="M6672" s="161" t="s">
        <v>19202</v>
      </c>
    </row>
    <row r="6673" spans="9:13" x14ac:dyDescent="0.25">
      <c r="I6673" t="s">
        <v>6046</v>
      </c>
      <c r="J6673" s="161" t="s">
        <v>19202</v>
      </c>
      <c r="K6673" t="s">
        <v>19203</v>
      </c>
      <c r="L6673" t="s">
        <v>6045</v>
      </c>
      <c r="M6673" s="161" t="s">
        <v>19202</v>
      </c>
    </row>
    <row r="6674" spans="9:13" x14ac:dyDescent="0.25">
      <c r="I6674" t="s">
        <v>15474</v>
      </c>
      <c r="J6674" s="161" t="s">
        <v>19202</v>
      </c>
      <c r="K6674" t="s">
        <v>19203</v>
      </c>
      <c r="L6674" t="s">
        <v>12907</v>
      </c>
      <c r="M6674" s="161" t="s">
        <v>19202</v>
      </c>
    </row>
    <row r="6675" spans="9:13" x14ac:dyDescent="0.25">
      <c r="I6675" t="s">
        <v>20089</v>
      </c>
      <c r="J6675" s="161" t="s">
        <v>19202</v>
      </c>
      <c r="K6675" t="s">
        <v>19203</v>
      </c>
      <c r="L6675" t="s">
        <v>20090</v>
      </c>
      <c r="M6675" s="161" t="s">
        <v>19202</v>
      </c>
    </row>
    <row r="6676" spans="9:13" x14ac:dyDescent="0.25">
      <c r="I6676" t="s">
        <v>10201</v>
      </c>
      <c r="J6676" s="161" t="s">
        <v>19202</v>
      </c>
      <c r="K6676" t="s">
        <v>19203</v>
      </c>
      <c r="L6676" t="s">
        <v>10200</v>
      </c>
      <c r="M6676" s="161" t="s">
        <v>19202</v>
      </c>
    </row>
    <row r="6677" spans="9:13" x14ac:dyDescent="0.25">
      <c r="I6677" t="s">
        <v>5447</v>
      </c>
      <c r="J6677" s="161" t="s">
        <v>19202</v>
      </c>
      <c r="K6677" t="s">
        <v>19203</v>
      </c>
      <c r="L6677" t="s">
        <v>64</v>
      </c>
      <c r="M6677" s="161" t="s">
        <v>19202</v>
      </c>
    </row>
    <row r="6678" spans="9:13" x14ac:dyDescent="0.25">
      <c r="I6678" t="s">
        <v>5446</v>
      </c>
      <c r="J6678" s="161" t="s">
        <v>19202</v>
      </c>
      <c r="K6678" t="s">
        <v>19203</v>
      </c>
      <c r="L6678" t="s">
        <v>5445</v>
      </c>
      <c r="M6678" s="161" t="s">
        <v>19202</v>
      </c>
    </row>
    <row r="6679" spans="9:13" x14ac:dyDescent="0.25">
      <c r="I6679" t="s">
        <v>20091</v>
      </c>
      <c r="J6679" s="161" t="s">
        <v>19202</v>
      </c>
      <c r="K6679" t="s">
        <v>19203</v>
      </c>
      <c r="L6679" t="s">
        <v>20092</v>
      </c>
      <c r="M6679" s="161" t="s">
        <v>19202</v>
      </c>
    </row>
    <row r="6680" spans="9:13" x14ac:dyDescent="0.25">
      <c r="I6680" t="s">
        <v>8026</v>
      </c>
      <c r="J6680" s="161" t="s">
        <v>19202</v>
      </c>
      <c r="K6680" t="s">
        <v>19203</v>
      </c>
      <c r="L6680" t="s">
        <v>8025</v>
      </c>
      <c r="M6680" s="161" t="s">
        <v>19202</v>
      </c>
    </row>
    <row r="6681" spans="9:13" x14ac:dyDescent="0.25">
      <c r="I6681" t="s">
        <v>14114</v>
      </c>
      <c r="J6681" s="161" t="s">
        <v>19202</v>
      </c>
      <c r="K6681" t="s">
        <v>19203</v>
      </c>
      <c r="L6681" t="s">
        <v>14113</v>
      </c>
      <c r="M6681" s="161" t="s">
        <v>19202</v>
      </c>
    </row>
    <row r="6682" spans="9:13" x14ac:dyDescent="0.25">
      <c r="I6682" t="s">
        <v>6440</v>
      </c>
      <c r="J6682" s="161" t="s">
        <v>19202</v>
      </c>
      <c r="K6682" t="s">
        <v>19203</v>
      </c>
      <c r="L6682" t="s">
        <v>6439</v>
      </c>
      <c r="M6682" s="161" t="s">
        <v>19202</v>
      </c>
    </row>
    <row r="6683" spans="9:13" x14ac:dyDescent="0.25">
      <c r="I6683" t="s">
        <v>4194</v>
      </c>
      <c r="J6683" s="161" t="s">
        <v>19202</v>
      </c>
      <c r="K6683" t="s">
        <v>19203</v>
      </c>
      <c r="L6683" t="s">
        <v>4193</v>
      </c>
      <c r="M6683" s="161" t="s">
        <v>19202</v>
      </c>
    </row>
    <row r="6684" spans="9:13" x14ac:dyDescent="0.25">
      <c r="I6684" t="s">
        <v>20093</v>
      </c>
      <c r="J6684" s="161" t="s">
        <v>19202</v>
      </c>
      <c r="K6684" t="s">
        <v>19203</v>
      </c>
      <c r="L6684" t="s">
        <v>20094</v>
      </c>
      <c r="M6684" s="161" t="s">
        <v>19202</v>
      </c>
    </row>
    <row r="6685" spans="9:13" x14ac:dyDescent="0.25">
      <c r="I6685" t="s">
        <v>13317</v>
      </c>
      <c r="J6685" s="161" t="s">
        <v>19202</v>
      </c>
      <c r="K6685" t="s">
        <v>19203</v>
      </c>
      <c r="L6685" t="s">
        <v>13316</v>
      </c>
      <c r="M6685" s="161" t="s">
        <v>19202</v>
      </c>
    </row>
    <row r="6686" spans="9:13" x14ac:dyDescent="0.25">
      <c r="I6686" t="s">
        <v>14992</v>
      </c>
      <c r="J6686" s="161" t="s">
        <v>19202</v>
      </c>
      <c r="K6686" t="s">
        <v>19203</v>
      </c>
      <c r="L6686" t="s">
        <v>14991</v>
      </c>
      <c r="M6686" s="161" t="s">
        <v>19202</v>
      </c>
    </row>
    <row r="6687" spans="9:13" x14ac:dyDescent="0.25">
      <c r="I6687" t="s">
        <v>20095</v>
      </c>
      <c r="J6687" s="161" t="s">
        <v>19202</v>
      </c>
      <c r="K6687" t="s">
        <v>19203</v>
      </c>
      <c r="L6687" t="s">
        <v>20096</v>
      </c>
      <c r="M6687" s="161" t="s">
        <v>19202</v>
      </c>
    </row>
    <row r="6688" spans="9:13" x14ac:dyDescent="0.25">
      <c r="I6688" t="s">
        <v>14110</v>
      </c>
      <c r="J6688" s="161" t="s">
        <v>19202</v>
      </c>
      <c r="K6688" t="s">
        <v>19203</v>
      </c>
      <c r="L6688" t="s">
        <v>14109</v>
      </c>
      <c r="M6688" s="161" t="s">
        <v>19202</v>
      </c>
    </row>
    <row r="6689" spans="9:13" x14ac:dyDescent="0.25">
      <c r="I6689" t="s">
        <v>5478</v>
      </c>
      <c r="J6689" s="161" t="s">
        <v>19202</v>
      </c>
      <c r="K6689" t="s">
        <v>19203</v>
      </c>
      <c r="L6689" t="s">
        <v>5477</v>
      </c>
      <c r="M6689" s="161" t="s">
        <v>19202</v>
      </c>
    </row>
    <row r="6690" spans="9:13" x14ac:dyDescent="0.25">
      <c r="I6690" t="s">
        <v>20097</v>
      </c>
      <c r="J6690" s="161" t="s">
        <v>19202</v>
      </c>
      <c r="K6690" t="s">
        <v>19203</v>
      </c>
      <c r="L6690" t="s">
        <v>20098</v>
      </c>
      <c r="M6690" s="161" t="s">
        <v>19202</v>
      </c>
    </row>
    <row r="6691" spans="9:13" x14ac:dyDescent="0.25">
      <c r="I6691" t="s">
        <v>9792</v>
      </c>
      <c r="J6691" s="161" t="s">
        <v>19202</v>
      </c>
      <c r="K6691" t="s">
        <v>19203</v>
      </c>
      <c r="L6691" t="s">
        <v>9791</v>
      </c>
      <c r="M6691" s="161" t="s">
        <v>19202</v>
      </c>
    </row>
    <row r="6692" spans="9:13" x14ac:dyDescent="0.25">
      <c r="I6692" t="s">
        <v>3517</v>
      </c>
      <c r="J6692" s="161" t="s">
        <v>19202</v>
      </c>
      <c r="K6692" t="s">
        <v>19203</v>
      </c>
      <c r="L6692" t="s">
        <v>3516</v>
      </c>
      <c r="M6692" s="161" t="s">
        <v>19202</v>
      </c>
    </row>
    <row r="6693" spans="9:13" x14ac:dyDescent="0.25">
      <c r="I6693" t="s">
        <v>11836</v>
      </c>
      <c r="J6693" s="161" t="s">
        <v>19202</v>
      </c>
      <c r="K6693" t="s">
        <v>19203</v>
      </c>
      <c r="L6693" t="s">
        <v>11835</v>
      </c>
      <c r="M6693" s="161" t="s">
        <v>19202</v>
      </c>
    </row>
    <row r="6694" spans="9:13" x14ac:dyDescent="0.25">
      <c r="I6694" t="s">
        <v>3515</v>
      </c>
      <c r="J6694" s="161" t="s">
        <v>19202</v>
      </c>
      <c r="K6694" t="s">
        <v>19203</v>
      </c>
      <c r="L6694" t="s">
        <v>3514</v>
      </c>
      <c r="M6694" s="161" t="s">
        <v>19202</v>
      </c>
    </row>
    <row r="6695" spans="9:13" x14ac:dyDescent="0.25">
      <c r="I6695" t="s">
        <v>9072</v>
      </c>
      <c r="J6695" s="161" t="s">
        <v>19202</v>
      </c>
      <c r="K6695" t="s">
        <v>19203</v>
      </c>
      <c r="L6695" t="s">
        <v>9071</v>
      </c>
      <c r="M6695" s="161" t="s">
        <v>19202</v>
      </c>
    </row>
    <row r="6696" spans="9:13" x14ac:dyDescent="0.25">
      <c r="I6696" t="s">
        <v>3519</v>
      </c>
      <c r="J6696" s="161" t="s">
        <v>19202</v>
      </c>
      <c r="K6696" t="s">
        <v>19203</v>
      </c>
      <c r="L6696" t="s">
        <v>3518</v>
      </c>
      <c r="M6696" s="161" t="s">
        <v>19202</v>
      </c>
    </row>
    <row r="6697" spans="9:13" x14ac:dyDescent="0.25">
      <c r="I6697" t="s">
        <v>10977</v>
      </c>
      <c r="J6697" s="161" t="s">
        <v>19202</v>
      </c>
      <c r="K6697" t="s">
        <v>19203</v>
      </c>
      <c r="L6697" t="s">
        <v>10976</v>
      </c>
      <c r="M6697" s="161" t="s">
        <v>19202</v>
      </c>
    </row>
    <row r="6698" spans="9:13" x14ac:dyDescent="0.25">
      <c r="I6698" t="s">
        <v>10401</v>
      </c>
      <c r="J6698" s="161" t="s">
        <v>19202</v>
      </c>
      <c r="K6698" t="s">
        <v>19203</v>
      </c>
      <c r="L6698" t="s">
        <v>10400</v>
      </c>
      <c r="M6698" s="161" t="s">
        <v>19202</v>
      </c>
    </row>
    <row r="6699" spans="9:13" x14ac:dyDescent="0.25">
      <c r="I6699" t="s">
        <v>10399</v>
      </c>
      <c r="J6699" s="161" t="s">
        <v>19202</v>
      </c>
      <c r="K6699" t="s">
        <v>19203</v>
      </c>
      <c r="L6699" t="s">
        <v>10398</v>
      </c>
      <c r="M6699" s="161" t="s">
        <v>19202</v>
      </c>
    </row>
    <row r="6700" spans="9:13" x14ac:dyDescent="0.25">
      <c r="I6700" t="s">
        <v>3243</v>
      </c>
      <c r="J6700" s="161" t="s">
        <v>19202</v>
      </c>
      <c r="K6700" t="s">
        <v>19203</v>
      </c>
      <c r="L6700" t="s">
        <v>3242</v>
      </c>
      <c r="M6700" s="161" t="s">
        <v>19202</v>
      </c>
    </row>
    <row r="6701" spans="9:13" x14ac:dyDescent="0.25">
      <c r="I6701" t="s">
        <v>16629</v>
      </c>
      <c r="J6701" s="161" t="s">
        <v>19202</v>
      </c>
      <c r="K6701" t="s">
        <v>19203</v>
      </c>
      <c r="L6701" t="s">
        <v>16628</v>
      </c>
      <c r="M6701" s="161" t="s">
        <v>19202</v>
      </c>
    </row>
    <row r="6702" spans="9:13" x14ac:dyDescent="0.25">
      <c r="I6702" t="s">
        <v>10896</v>
      </c>
      <c r="J6702" s="161" t="s">
        <v>19202</v>
      </c>
      <c r="K6702" t="s">
        <v>19203</v>
      </c>
      <c r="L6702" t="s">
        <v>10895</v>
      </c>
      <c r="M6702" s="161" t="s">
        <v>19202</v>
      </c>
    </row>
    <row r="6703" spans="9:13" x14ac:dyDescent="0.25">
      <c r="I6703" t="s">
        <v>7658</v>
      </c>
      <c r="J6703" s="161" t="s">
        <v>19202</v>
      </c>
      <c r="K6703" t="s">
        <v>19203</v>
      </c>
      <c r="L6703" t="s">
        <v>7657</v>
      </c>
      <c r="M6703" s="161" t="s">
        <v>19202</v>
      </c>
    </row>
    <row r="6704" spans="9:13" x14ac:dyDescent="0.25">
      <c r="I6704" t="s">
        <v>14970</v>
      </c>
      <c r="J6704" s="161" t="s">
        <v>19202</v>
      </c>
      <c r="K6704" t="s">
        <v>19203</v>
      </c>
      <c r="L6704" t="s">
        <v>10004</v>
      </c>
      <c r="M6704" s="161" t="s">
        <v>19202</v>
      </c>
    </row>
    <row r="6705" spans="9:13" x14ac:dyDescent="0.25">
      <c r="I6705" t="s">
        <v>4360</v>
      </c>
      <c r="J6705" s="161" t="s">
        <v>19202</v>
      </c>
      <c r="K6705" t="s">
        <v>19203</v>
      </c>
      <c r="L6705" t="s">
        <v>4359</v>
      </c>
      <c r="M6705" s="161" t="s">
        <v>19202</v>
      </c>
    </row>
    <row r="6706" spans="9:13" x14ac:dyDescent="0.25">
      <c r="I6706" t="s">
        <v>13362</v>
      </c>
      <c r="J6706" s="161" t="s">
        <v>19202</v>
      </c>
      <c r="K6706" t="s">
        <v>19203</v>
      </c>
      <c r="L6706" t="s">
        <v>13361</v>
      </c>
      <c r="M6706" s="161" t="s">
        <v>19202</v>
      </c>
    </row>
    <row r="6707" spans="9:13" x14ac:dyDescent="0.25">
      <c r="I6707" t="s">
        <v>4980</v>
      </c>
      <c r="J6707" s="161" t="s">
        <v>19202</v>
      </c>
      <c r="K6707" t="s">
        <v>19203</v>
      </c>
      <c r="L6707" t="s">
        <v>861</v>
      </c>
      <c r="M6707" s="161" t="s">
        <v>19202</v>
      </c>
    </row>
    <row r="6708" spans="9:13" x14ac:dyDescent="0.25">
      <c r="I6708" t="s">
        <v>6620</v>
      </c>
      <c r="J6708" s="161" t="s">
        <v>19202</v>
      </c>
      <c r="K6708" t="s">
        <v>19203</v>
      </c>
      <c r="L6708" t="s">
        <v>6619</v>
      </c>
      <c r="M6708" s="161" t="s">
        <v>19202</v>
      </c>
    </row>
    <row r="6709" spans="9:13" x14ac:dyDescent="0.25">
      <c r="I6709" t="s">
        <v>6554</v>
      </c>
      <c r="J6709" s="161" t="s">
        <v>19202</v>
      </c>
      <c r="K6709" t="s">
        <v>19203</v>
      </c>
      <c r="L6709" t="s">
        <v>6553</v>
      </c>
      <c r="M6709" s="161" t="s">
        <v>19202</v>
      </c>
    </row>
    <row r="6710" spans="9:13" x14ac:dyDescent="0.25">
      <c r="I6710" t="s">
        <v>10397</v>
      </c>
      <c r="J6710" s="161" t="s">
        <v>19202</v>
      </c>
      <c r="K6710" t="s">
        <v>19203</v>
      </c>
      <c r="L6710" t="s">
        <v>10396</v>
      </c>
      <c r="M6710" s="161" t="s">
        <v>19202</v>
      </c>
    </row>
    <row r="6711" spans="9:13" x14ac:dyDescent="0.25">
      <c r="I6711" t="s">
        <v>15793</v>
      </c>
      <c r="J6711" s="161" t="s">
        <v>19202</v>
      </c>
      <c r="K6711" t="s">
        <v>19203</v>
      </c>
      <c r="L6711" t="s">
        <v>15792</v>
      </c>
      <c r="M6711" s="161" t="s">
        <v>19202</v>
      </c>
    </row>
    <row r="6712" spans="9:13" x14ac:dyDescent="0.25">
      <c r="I6712" t="s">
        <v>6052</v>
      </c>
      <c r="J6712" s="161" t="s">
        <v>19202</v>
      </c>
      <c r="K6712" t="s">
        <v>19203</v>
      </c>
      <c r="L6712" t="s">
        <v>6051</v>
      </c>
      <c r="M6712" s="161" t="s">
        <v>19202</v>
      </c>
    </row>
    <row r="6713" spans="9:13" x14ac:dyDescent="0.25">
      <c r="I6713" t="s">
        <v>16528</v>
      </c>
      <c r="J6713" s="161" t="s">
        <v>19202</v>
      </c>
      <c r="K6713" t="s">
        <v>19203</v>
      </c>
      <c r="L6713" t="s">
        <v>16527</v>
      </c>
      <c r="M6713" s="161" t="s">
        <v>19202</v>
      </c>
    </row>
    <row r="6714" spans="9:13" x14ac:dyDescent="0.25">
      <c r="I6714" t="s">
        <v>14804</v>
      </c>
      <c r="J6714" s="161" t="s">
        <v>19202</v>
      </c>
      <c r="K6714" t="s">
        <v>19203</v>
      </c>
      <c r="L6714" t="s">
        <v>14803</v>
      </c>
      <c r="M6714" s="161" t="s">
        <v>19202</v>
      </c>
    </row>
    <row r="6715" spans="9:13" x14ac:dyDescent="0.25">
      <c r="I6715" t="s">
        <v>488</v>
      </c>
      <c r="J6715" s="161" t="s">
        <v>19202</v>
      </c>
      <c r="K6715" t="s">
        <v>19203</v>
      </c>
      <c r="L6715" t="s">
        <v>487</v>
      </c>
      <c r="M6715" s="161" t="s">
        <v>19202</v>
      </c>
    </row>
    <row r="6716" spans="9:13" x14ac:dyDescent="0.25">
      <c r="I6716" t="s">
        <v>16143</v>
      </c>
      <c r="J6716" s="161" t="s">
        <v>19202</v>
      </c>
      <c r="K6716" t="s">
        <v>19203</v>
      </c>
      <c r="L6716" t="s">
        <v>16142</v>
      </c>
      <c r="M6716" s="161" t="s">
        <v>19202</v>
      </c>
    </row>
    <row r="6717" spans="9:13" x14ac:dyDescent="0.25">
      <c r="I6717" t="s">
        <v>3835</v>
      </c>
      <c r="J6717" s="161" t="s">
        <v>19202</v>
      </c>
      <c r="K6717" t="s">
        <v>19203</v>
      </c>
      <c r="L6717" t="s">
        <v>3834</v>
      </c>
      <c r="M6717" s="161" t="s">
        <v>19202</v>
      </c>
    </row>
    <row r="6718" spans="9:13" x14ac:dyDescent="0.25">
      <c r="I6718" t="s">
        <v>6083</v>
      </c>
      <c r="J6718" s="161" t="s">
        <v>19202</v>
      </c>
      <c r="K6718" t="s">
        <v>19203</v>
      </c>
      <c r="L6718" t="s">
        <v>6082</v>
      </c>
      <c r="M6718" s="161" t="s">
        <v>19202</v>
      </c>
    </row>
    <row r="6719" spans="9:13" x14ac:dyDescent="0.25">
      <c r="I6719" t="s">
        <v>20099</v>
      </c>
      <c r="J6719" s="161" t="s">
        <v>19202</v>
      </c>
      <c r="K6719" t="s">
        <v>19203</v>
      </c>
      <c r="L6719" t="s">
        <v>20100</v>
      </c>
      <c r="M6719" s="161" t="s">
        <v>19202</v>
      </c>
    </row>
    <row r="6720" spans="9:13" x14ac:dyDescent="0.25">
      <c r="I6720" t="s">
        <v>16289</v>
      </c>
      <c r="J6720" s="161" t="s">
        <v>19202</v>
      </c>
      <c r="K6720" t="s">
        <v>19203</v>
      </c>
      <c r="L6720" t="s">
        <v>16288</v>
      </c>
      <c r="M6720" s="161" t="s">
        <v>19202</v>
      </c>
    </row>
    <row r="6721" spans="9:13" x14ac:dyDescent="0.25">
      <c r="I6721" t="s">
        <v>4479</v>
      </c>
      <c r="J6721" s="161" t="s">
        <v>19202</v>
      </c>
      <c r="K6721" t="s">
        <v>19203</v>
      </c>
      <c r="L6721" t="s">
        <v>4478</v>
      </c>
      <c r="M6721" s="161" t="s">
        <v>19202</v>
      </c>
    </row>
    <row r="6722" spans="9:13" x14ac:dyDescent="0.25">
      <c r="I6722" t="s">
        <v>16176</v>
      </c>
      <c r="J6722" s="161" t="s">
        <v>19202</v>
      </c>
      <c r="K6722" t="s">
        <v>19203</v>
      </c>
      <c r="L6722" t="s">
        <v>1208</v>
      </c>
      <c r="M6722" s="161" t="s">
        <v>19202</v>
      </c>
    </row>
    <row r="6723" spans="9:13" x14ac:dyDescent="0.25">
      <c r="I6723" t="s">
        <v>16287</v>
      </c>
      <c r="J6723" s="161" t="s">
        <v>19202</v>
      </c>
      <c r="K6723" t="s">
        <v>19203</v>
      </c>
      <c r="L6723" t="s">
        <v>3752</v>
      </c>
      <c r="M6723" s="161" t="s">
        <v>19202</v>
      </c>
    </row>
    <row r="6724" spans="9:13" x14ac:dyDescent="0.25">
      <c r="I6724" t="s">
        <v>17980</v>
      </c>
      <c r="J6724" s="161" t="s">
        <v>19202</v>
      </c>
      <c r="K6724" t="s">
        <v>19203</v>
      </c>
      <c r="L6724" t="s">
        <v>17979</v>
      </c>
      <c r="M6724" s="161" t="s">
        <v>19202</v>
      </c>
    </row>
    <row r="6725" spans="9:13" x14ac:dyDescent="0.25">
      <c r="I6725" t="s">
        <v>5482</v>
      </c>
      <c r="J6725" s="161" t="s">
        <v>19202</v>
      </c>
      <c r="K6725" t="s">
        <v>19203</v>
      </c>
      <c r="L6725" t="s">
        <v>5481</v>
      </c>
      <c r="M6725" s="161" t="s">
        <v>19202</v>
      </c>
    </row>
    <row r="6726" spans="9:13" x14ac:dyDescent="0.25">
      <c r="I6726" t="s">
        <v>5444</v>
      </c>
      <c r="J6726" s="161" t="s">
        <v>19202</v>
      </c>
      <c r="K6726" t="s">
        <v>19203</v>
      </c>
      <c r="L6726" t="s">
        <v>5443</v>
      </c>
      <c r="M6726" s="161" t="s">
        <v>19202</v>
      </c>
    </row>
    <row r="6727" spans="9:13" x14ac:dyDescent="0.25">
      <c r="I6727" t="s">
        <v>16375</v>
      </c>
      <c r="J6727" s="161" t="s">
        <v>19202</v>
      </c>
      <c r="K6727" t="s">
        <v>19203</v>
      </c>
      <c r="L6727" t="s">
        <v>15890</v>
      </c>
      <c r="M6727" s="161" t="s">
        <v>19202</v>
      </c>
    </row>
    <row r="6728" spans="9:13" x14ac:dyDescent="0.25">
      <c r="I6728" t="s">
        <v>15438</v>
      </c>
      <c r="J6728" s="161" t="s">
        <v>19202</v>
      </c>
      <c r="K6728" t="s">
        <v>19203</v>
      </c>
      <c r="L6728" t="s">
        <v>15437</v>
      </c>
      <c r="M6728" s="161" t="s">
        <v>19202</v>
      </c>
    </row>
    <row r="6729" spans="9:13" x14ac:dyDescent="0.25">
      <c r="I6729" t="s">
        <v>14241</v>
      </c>
      <c r="J6729" s="161" t="s">
        <v>19202</v>
      </c>
      <c r="K6729" t="s">
        <v>19203</v>
      </c>
      <c r="L6729" t="s">
        <v>14240</v>
      </c>
      <c r="M6729" s="161" t="s">
        <v>19202</v>
      </c>
    </row>
    <row r="6730" spans="9:13" x14ac:dyDescent="0.25">
      <c r="I6730" t="s">
        <v>15952</v>
      </c>
      <c r="J6730" s="161" t="s">
        <v>19202</v>
      </c>
      <c r="K6730" t="s">
        <v>19203</v>
      </c>
      <c r="L6730" t="s">
        <v>15951</v>
      </c>
      <c r="M6730" s="161" t="s">
        <v>19202</v>
      </c>
    </row>
    <row r="6731" spans="9:13" x14ac:dyDescent="0.25">
      <c r="I6731" t="s">
        <v>7214</v>
      </c>
      <c r="J6731" s="161" t="s">
        <v>19202</v>
      </c>
      <c r="K6731" t="s">
        <v>19203</v>
      </c>
      <c r="L6731" t="s">
        <v>7213</v>
      </c>
      <c r="M6731" s="161" t="s">
        <v>19202</v>
      </c>
    </row>
    <row r="6732" spans="9:13" x14ac:dyDescent="0.25">
      <c r="I6732" t="s">
        <v>14119</v>
      </c>
      <c r="J6732" s="161" t="s">
        <v>19202</v>
      </c>
      <c r="K6732" t="s">
        <v>19203</v>
      </c>
      <c r="L6732" t="s">
        <v>14118</v>
      </c>
      <c r="M6732" s="161" t="s">
        <v>19202</v>
      </c>
    </row>
    <row r="6733" spans="9:13" x14ac:dyDescent="0.25">
      <c r="I6733" t="s">
        <v>14308</v>
      </c>
      <c r="J6733" s="161" t="s">
        <v>19202</v>
      </c>
      <c r="K6733" t="s">
        <v>19203</v>
      </c>
      <c r="L6733" t="s">
        <v>14307</v>
      </c>
      <c r="M6733" s="161" t="s">
        <v>19202</v>
      </c>
    </row>
    <row r="6734" spans="9:13" x14ac:dyDescent="0.25">
      <c r="I6734" t="s">
        <v>15173</v>
      </c>
      <c r="J6734" s="161" t="s">
        <v>19202</v>
      </c>
      <c r="K6734" t="s">
        <v>19203</v>
      </c>
      <c r="L6734" t="s">
        <v>15172</v>
      </c>
      <c r="M6734" s="161" t="s">
        <v>19202</v>
      </c>
    </row>
    <row r="6735" spans="9:13" x14ac:dyDescent="0.25">
      <c r="I6735" t="s">
        <v>17695</v>
      </c>
      <c r="J6735" s="161" t="s">
        <v>19202</v>
      </c>
      <c r="K6735" t="s">
        <v>19203</v>
      </c>
      <c r="L6735" t="s">
        <v>17694</v>
      </c>
      <c r="M6735" s="161" t="s">
        <v>19202</v>
      </c>
    </row>
    <row r="6736" spans="9:13" x14ac:dyDescent="0.25">
      <c r="I6736" t="s">
        <v>6469</v>
      </c>
      <c r="J6736" s="161" t="s">
        <v>19202</v>
      </c>
      <c r="K6736" t="s">
        <v>19203</v>
      </c>
      <c r="L6736" t="s">
        <v>6468</v>
      </c>
      <c r="M6736" s="161" t="s">
        <v>19202</v>
      </c>
    </row>
    <row r="6737" spans="9:13" x14ac:dyDescent="0.25">
      <c r="I6737" t="s">
        <v>9569</v>
      </c>
      <c r="J6737" s="161" t="s">
        <v>19202</v>
      </c>
      <c r="K6737" t="s">
        <v>19203</v>
      </c>
      <c r="L6737" t="s">
        <v>9568</v>
      </c>
      <c r="M6737" s="161" t="s">
        <v>19202</v>
      </c>
    </row>
    <row r="6738" spans="9:13" x14ac:dyDescent="0.25">
      <c r="I6738" t="s">
        <v>15735</v>
      </c>
      <c r="J6738" s="161" t="s">
        <v>19202</v>
      </c>
      <c r="K6738" t="s">
        <v>19203</v>
      </c>
      <c r="L6738" t="s">
        <v>15734</v>
      </c>
      <c r="M6738" s="161" t="s">
        <v>19202</v>
      </c>
    </row>
    <row r="6739" spans="9:13" x14ac:dyDescent="0.25">
      <c r="I6739" t="s">
        <v>15733</v>
      </c>
      <c r="J6739" s="161" t="s">
        <v>19202</v>
      </c>
      <c r="K6739" t="s">
        <v>19203</v>
      </c>
      <c r="L6739" t="s">
        <v>15732</v>
      </c>
      <c r="M6739" s="161" t="s">
        <v>19202</v>
      </c>
    </row>
    <row r="6740" spans="9:13" x14ac:dyDescent="0.25">
      <c r="I6740" t="s">
        <v>14108</v>
      </c>
      <c r="J6740" s="161" t="s">
        <v>19202</v>
      </c>
      <c r="K6740" t="s">
        <v>19203</v>
      </c>
      <c r="L6740" t="s">
        <v>14107</v>
      </c>
      <c r="M6740" s="161" t="s">
        <v>19202</v>
      </c>
    </row>
    <row r="6741" spans="9:13" x14ac:dyDescent="0.25">
      <c r="I6741" t="s">
        <v>6199</v>
      </c>
      <c r="J6741" s="161" t="s">
        <v>19202</v>
      </c>
      <c r="K6741" t="s">
        <v>19203</v>
      </c>
      <c r="L6741" t="s">
        <v>6198</v>
      </c>
      <c r="M6741" s="161" t="s">
        <v>19202</v>
      </c>
    </row>
    <row r="6742" spans="9:13" x14ac:dyDescent="0.25">
      <c r="I6742" t="s">
        <v>11659</v>
      </c>
      <c r="J6742" s="161" t="s">
        <v>19202</v>
      </c>
      <c r="K6742" t="s">
        <v>19203</v>
      </c>
      <c r="L6742" t="s">
        <v>11658</v>
      </c>
      <c r="M6742" s="161" t="s">
        <v>19202</v>
      </c>
    </row>
    <row r="6743" spans="9:13" x14ac:dyDescent="0.25">
      <c r="I6743" t="s">
        <v>14112</v>
      </c>
      <c r="J6743" s="161" t="s">
        <v>19202</v>
      </c>
      <c r="K6743" t="s">
        <v>19203</v>
      </c>
      <c r="L6743" t="s">
        <v>14111</v>
      </c>
      <c r="M6743" s="161" t="s">
        <v>19202</v>
      </c>
    </row>
    <row r="6744" spans="9:13" x14ac:dyDescent="0.25">
      <c r="I6744" t="s">
        <v>5480</v>
      </c>
      <c r="J6744" s="161" t="s">
        <v>19202</v>
      </c>
      <c r="K6744" t="s">
        <v>19203</v>
      </c>
      <c r="L6744" t="s">
        <v>5479</v>
      </c>
      <c r="M6744" s="161" t="s">
        <v>19202</v>
      </c>
    </row>
    <row r="6745" spans="9:13" x14ac:dyDescent="0.25">
      <c r="I6745" t="s">
        <v>2290</v>
      </c>
      <c r="J6745" s="161" t="s">
        <v>19202</v>
      </c>
      <c r="K6745" t="s">
        <v>19203</v>
      </c>
      <c r="L6745" t="s">
        <v>2289</v>
      </c>
      <c r="M6745" s="161" t="s">
        <v>19202</v>
      </c>
    </row>
    <row r="6746" spans="9:13" x14ac:dyDescent="0.25">
      <c r="I6746" t="s">
        <v>8283</v>
      </c>
      <c r="J6746" s="161" t="s">
        <v>19202</v>
      </c>
      <c r="K6746" t="s">
        <v>19203</v>
      </c>
      <c r="L6746" t="s">
        <v>8282</v>
      </c>
      <c r="M6746" s="161" t="s">
        <v>19202</v>
      </c>
    </row>
    <row r="6747" spans="9:13" x14ac:dyDescent="0.25">
      <c r="I6747" t="s">
        <v>6473</v>
      </c>
      <c r="J6747" s="161" t="s">
        <v>19202</v>
      </c>
      <c r="K6747" t="s">
        <v>19203</v>
      </c>
      <c r="L6747" t="s">
        <v>6472</v>
      </c>
      <c r="M6747" s="161" t="s">
        <v>19202</v>
      </c>
    </row>
    <row r="6748" spans="9:13" x14ac:dyDescent="0.25">
      <c r="I6748" t="s">
        <v>11840</v>
      </c>
      <c r="J6748" s="161" t="s">
        <v>19202</v>
      </c>
      <c r="K6748" t="s">
        <v>19203</v>
      </c>
      <c r="L6748" t="s">
        <v>11839</v>
      </c>
      <c r="M6748" s="161" t="s">
        <v>19202</v>
      </c>
    </row>
    <row r="6749" spans="9:13" x14ac:dyDescent="0.25">
      <c r="I6749" t="s">
        <v>20101</v>
      </c>
      <c r="J6749" s="161" t="s">
        <v>19202</v>
      </c>
      <c r="K6749" t="s">
        <v>19203</v>
      </c>
      <c r="L6749" t="s">
        <v>20102</v>
      </c>
      <c r="M6749" s="161" t="s">
        <v>19202</v>
      </c>
    </row>
    <row r="6750" spans="9:13" x14ac:dyDescent="0.25">
      <c r="I6750" t="s">
        <v>10574</v>
      </c>
      <c r="J6750" s="161" t="s">
        <v>19202</v>
      </c>
      <c r="K6750" t="s">
        <v>19203</v>
      </c>
      <c r="L6750" t="s">
        <v>10573</v>
      </c>
      <c r="M6750" s="161" t="s">
        <v>19202</v>
      </c>
    </row>
    <row r="6751" spans="9:13" x14ac:dyDescent="0.25">
      <c r="I6751" t="s">
        <v>20103</v>
      </c>
      <c r="J6751" s="161" t="s">
        <v>19202</v>
      </c>
      <c r="K6751" t="s">
        <v>19203</v>
      </c>
      <c r="L6751" t="s">
        <v>20104</v>
      </c>
      <c r="M6751" s="161" t="s">
        <v>19202</v>
      </c>
    </row>
    <row r="6752" spans="9:13" x14ac:dyDescent="0.25">
      <c r="I6752" t="s">
        <v>11795</v>
      </c>
      <c r="J6752" s="161" t="s">
        <v>19202</v>
      </c>
      <c r="K6752" t="s">
        <v>19203</v>
      </c>
      <c r="L6752" t="s">
        <v>11794</v>
      </c>
      <c r="M6752" s="161" t="s">
        <v>19202</v>
      </c>
    </row>
    <row r="6753" spans="9:13" x14ac:dyDescent="0.25">
      <c r="I6753" t="s">
        <v>15508</v>
      </c>
      <c r="J6753" s="161" t="s">
        <v>19202</v>
      </c>
      <c r="K6753" t="s">
        <v>19203</v>
      </c>
      <c r="L6753" t="s">
        <v>15507</v>
      </c>
      <c r="M6753" s="161" t="s">
        <v>19202</v>
      </c>
    </row>
    <row r="6754" spans="9:13" x14ac:dyDescent="0.25">
      <c r="I6754" t="s">
        <v>15388</v>
      </c>
      <c r="J6754" s="161" t="s">
        <v>19202</v>
      </c>
      <c r="K6754" t="s">
        <v>19203</v>
      </c>
      <c r="L6754" t="s">
        <v>15387</v>
      </c>
      <c r="M6754" s="161" t="s">
        <v>19202</v>
      </c>
    </row>
    <row r="6755" spans="9:13" x14ac:dyDescent="0.25">
      <c r="I6755" t="s">
        <v>15386</v>
      </c>
      <c r="J6755" s="161" t="s">
        <v>19202</v>
      </c>
      <c r="K6755" t="s">
        <v>19203</v>
      </c>
      <c r="L6755" t="s">
        <v>15385</v>
      </c>
      <c r="M6755" s="161" t="s">
        <v>19202</v>
      </c>
    </row>
    <row r="6756" spans="9:13" x14ac:dyDescent="0.25">
      <c r="I6756" t="s">
        <v>15344</v>
      </c>
      <c r="J6756" s="161" t="s">
        <v>19202</v>
      </c>
      <c r="K6756" t="s">
        <v>19203</v>
      </c>
      <c r="L6756" t="s">
        <v>13314</v>
      </c>
      <c r="M6756" s="161" t="s">
        <v>19202</v>
      </c>
    </row>
    <row r="6757" spans="9:13" x14ac:dyDescent="0.25">
      <c r="I6757" t="s">
        <v>15731</v>
      </c>
      <c r="J6757" s="161" t="s">
        <v>19202</v>
      </c>
      <c r="K6757" t="s">
        <v>19203</v>
      </c>
      <c r="L6757" t="s">
        <v>15154</v>
      </c>
      <c r="M6757" s="161" t="s">
        <v>19202</v>
      </c>
    </row>
    <row r="6758" spans="9:13" x14ac:dyDescent="0.25">
      <c r="I6758" t="s">
        <v>4136</v>
      </c>
      <c r="J6758" s="161" t="s">
        <v>19202</v>
      </c>
      <c r="K6758" t="s">
        <v>19203</v>
      </c>
      <c r="L6758" t="s">
        <v>4135</v>
      </c>
      <c r="M6758" s="161" t="s">
        <v>19202</v>
      </c>
    </row>
    <row r="6759" spans="9:13" x14ac:dyDescent="0.25">
      <c r="I6759" t="s">
        <v>15343</v>
      </c>
      <c r="J6759" s="161" t="s">
        <v>19202</v>
      </c>
      <c r="K6759" t="s">
        <v>19203</v>
      </c>
      <c r="L6759" t="s">
        <v>4592</v>
      </c>
      <c r="M6759" s="161" t="s">
        <v>19202</v>
      </c>
    </row>
    <row r="6760" spans="9:13" x14ac:dyDescent="0.25">
      <c r="I6760" t="s">
        <v>6450</v>
      </c>
      <c r="J6760" s="161" t="s">
        <v>19202</v>
      </c>
      <c r="K6760" t="s">
        <v>19203</v>
      </c>
      <c r="L6760" t="s">
        <v>3622</v>
      </c>
      <c r="M6760" s="161" t="s">
        <v>19202</v>
      </c>
    </row>
    <row r="6761" spans="9:13" x14ac:dyDescent="0.25">
      <c r="I6761" t="s">
        <v>14123</v>
      </c>
      <c r="J6761" s="161" t="s">
        <v>19202</v>
      </c>
      <c r="K6761" t="s">
        <v>19203</v>
      </c>
      <c r="L6761" t="s">
        <v>14122</v>
      </c>
      <c r="M6761" s="161" t="s">
        <v>19202</v>
      </c>
    </row>
    <row r="6762" spans="9:13" x14ac:dyDescent="0.25">
      <c r="I6762" t="s">
        <v>4477</v>
      </c>
      <c r="J6762" s="161" t="s">
        <v>19202</v>
      </c>
      <c r="K6762" t="s">
        <v>19203</v>
      </c>
      <c r="L6762" t="s">
        <v>4270</v>
      </c>
      <c r="M6762" s="161" t="s">
        <v>19202</v>
      </c>
    </row>
    <row r="6763" spans="9:13" x14ac:dyDescent="0.25">
      <c r="I6763" t="s">
        <v>8900</v>
      </c>
      <c r="J6763" s="161" t="s">
        <v>19202</v>
      </c>
      <c r="K6763" t="s">
        <v>19203</v>
      </c>
      <c r="L6763" t="s">
        <v>8899</v>
      </c>
      <c r="M6763" s="161" t="s">
        <v>19202</v>
      </c>
    </row>
    <row r="6764" spans="9:13" x14ac:dyDescent="0.25">
      <c r="I6764" t="s">
        <v>20105</v>
      </c>
      <c r="J6764" s="161" t="s">
        <v>19202</v>
      </c>
      <c r="K6764" t="s">
        <v>19203</v>
      </c>
      <c r="L6764" t="s">
        <v>5517</v>
      </c>
      <c r="M6764" s="161" t="s">
        <v>19202</v>
      </c>
    </row>
    <row r="6765" spans="9:13" x14ac:dyDescent="0.25">
      <c r="I6765" t="s">
        <v>10395</v>
      </c>
      <c r="J6765" s="161" t="s">
        <v>19202</v>
      </c>
      <c r="K6765" t="s">
        <v>19203</v>
      </c>
      <c r="L6765" t="s">
        <v>10394</v>
      </c>
      <c r="M6765" s="161" t="s">
        <v>19202</v>
      </c>
    </row>
    <row r="6766" spans="9:13" x14ac:dyDescent="0.25">
      <c r="I6766" t="s">
        <v>14969</v>
      </c>
      <c r="J6766" s="161" t="s">
        <v>19202</v>
      </c>
      <c r="K6766" t="s">
        <v>19203</v>
      </c>
      <c r="L6766" t="s">
        <v>14949</v>
      </c>
      <c r="M6766" s="161" t="s">
        <v>19202</v>
      </c>
    </row>
    <row r="6767" spans="9:13" x14ac:dyDescent="0.25">
      <c r="I6767" t="s">
        <v>11512</v>
      </c>
      <c r="J6767" s="161" t="s">
        <v>19202</v>
      </c>
      <c r="K6767" t="s">
        <v>19203</v>
      </c>
      <c r="L6767" t="s">
        <v>11511</v>
      </c>
      <c r="M6767" s="161" t="s">
        <v>19202</v>
      </c>
    </row>
    <row r="6768" spans="9:13" x14ac:dyDescent="0.25">
      <c r="I6768" t="s">
        <v>11021</v>
      </c>
      <c r="J6768" s="161" t="s">
        <v>19202</v>
      </c>
      <c r="K6768" t="s">
        <v>19203</v>
      </c>
      <c r="L6768" t="s">
        <v>11020</v>
      </c>
      <c r="M6768" s="161" t="s">
        <v>19202</v>
      </c>
    </row>
    <row r="6769" spans="9:13" x14ac:dyDescent="0.25">
      <c r="I6769" t="s">
        <v>10572</v>
      </c>
      <c r="J6769" s="161" t="s">
        <v>19202</v>
      </c>
      <c r="K6769" t="s">
        <v>19203</v>
      </c>
      <c r="L6769" t="s">
        <v>10571</v>
      </c>
      <c r="M6769" s="161" t="s">
        <v>19202</v>
      </c>
    </row>
    <row r="6770" spans="9:13" x14ac:dyDescent="0.25">
      <c r="I6770" t="s">
        <v>6483</v>
      </c>
      <c r="J6770" s="161" t="s">
        <v>19202</v>
      </c>
      <c r="K6770" t="s">
        <v>19203</v>
      </c>
      <c r="L6770" t="s">
        <v>4193</v>
      </c>
      <c r="M6770" s="161" t="s">
        <v>19202</v>
      </c>
    </row>
    <row r="6771" spans="9:13" x14ac:dyDescent="0.25">
      <c r="I6771" t="s">
        <v>14104</v>
      </c>
      <c r="J6771" s="161" t="s">
        <v>19202</v>
      </c>
      <c r="K6771" t="s">
        <v>19203</v>
      </c>
      <c r="L6771" t="s">
        <v>702</v>
      </c>
      <c r="M6771" s="161" t="s">
        <v>19202</v>
      </c>
    </row>
    <row r="6772" spans="9:13" x14ac:dyDescent="0.25">
      <c r="I6772" t="s">
        <v>8904</v>
      </c>
      <c r="J6772" s="161" t="s">
        <v>19202</v>
      </c>
      <c r="K6772" t="s">
        <v>19203</v>
      </c>
      <c r="L6772" t="s">
        <v>8903</v>
      </c>
      <c r="M6772" s="161" t="s">
        <v>19202</v>
      </c>
    </row>
    <row r="6773" spans="9:13" x14ac:dyDescent="0.25">
      <c r="I6773" t="s">
        <v>10427</v>
      </c>
      <c r="J6773" s="161" t="s">
        <v>19202</v>
      </c>
      <c r="K6773" t="s">
        <v>19203</v>
      </c>
      <c r="L6773" t="s">
        <v>10426</v>
      </c>
      <c r="M6773" s="161" t="s">
        <v>19202</v>
      </c>
    </row>
    <row r="6774" spans="9:13" x14ac:dyDescent="0.25">
      <c r="I6774" t="s">
        <v>16175</v>
      </c>
      <c r="J6774" s="161" t="s">
        <v>19202</v>
      </c>
      <c r="K6774" t="s">
        <v>19203</v>
      </c>
      <c r="L6774" t="s">
        <v>632</v>
      </c>
      <c r="M6774" s="161" t="s">
        <v>19202</v>
      </c>
    </row>
    <row r="6775" spans="9:13" x14ac:dyDescent="0.25">
      <c r="I6775" t="s">
        <v>16876</v>
      </c>
      <c r="J6775" s="161" t="s">
        <v>19202</v>
      </c>
      <c r="K6775" t="s">
        <v>19203</v>
      </c>
      <c r="L6775" t="s">
        <v>16875</v>
      </c>
      <c r="M6775" s="161" t="s">
        <v>19202</v>
      </c>
    </row>
    <row r="6776" spans="9:13" x14ac:dyDescent="0.25">
      <c r="I6776" t="s">
        <v>9450</v>
      </c>
      <c r="J6776" s="161" t="s">
        <v>19202</v>
      </c>
      <c r="K6776" t="s">
        <v>19203</v>
      </c>
      <c r="L6776" t="s">
        <v>9449</v>
      </c>
      <c r="M6776" s="161" t="s">
        <v>19202</v>
      </c>
    </row>
    <row r="6777" spans="9:13" x14ac:dyDescent="0.25">
      <c r="I6777" t="s">
        <v>6471</v>
      </c>
      <c r="J6777" s="161" t="s">
        <v>19202</v>
      </c>
      <c r="K6777" t="s">
        <v>19203</v>
      </c>
      <c r="L6777" t="s">
        <v>6470</v>
      </c>
      <c r="M6777" s="161" t="s">
        <v>19202</v>
      </c>
    </row>
    <row r="6778" spans="9:13" x14ac:dyDescent="0.25">
      <c r="I6778" t="s">
        <v>14968</v>
      </c>
      <c r="J6778" s="161" t="s">
        <v>19202</v>
      </c>
      <c r="K6778" t="s">
        <v>19203</v>
      </c>
      <c r="L6778" t="s">
        <v>4597</v>
      </c>
      <c r="M6778" s="161" t="s">
        <v>19202</v>
      </c>
    </row>
    <row r="6779" spans="9:13" x14ac:dyDescent="0.25">
      <c r="I6779" t="s">
        <v>20106</v>
      </c>
      <c r="J6779" s="161" t="s">
        <v>19202</v>
      </c>
      <c r="K6779" t="s">
        <v>19203</v>
      </c>
      <c r="L6779" t="s">
        <v>20107</v>
      </c>
      <c r="M6779" s="161" t="s">
        <v>19202</v>
      </c>
    </row>
    <row r="6780" spans="9:13" x14ac:dyDescent="0.25">
      <c r="I6780" t="s">
        <v>10389</v>
      </c>
      <c r="J6780" s="161" t="s">
        <v>19202</v>
      </c>
      <c r="K6780" t="s">
        <v>19203</v>
      </c>
      <c r="L6780" t="s">
        <v>10388</v>
      </c>
      <c r="M6780" s="161" t="s">
        <v>19202</v>
      </c>
    </row>
    <row r="6781" spans="9:13" x14ac:dyDescent="0.25">
      <c r="I6781" t="s">
        <v>3185</v>
      </c>
      <c r="J6781" s="161" t="s">
        <v>19202</v>
      </c>
      <c r="K6781" t="s">
        <v>19203</v>
      </c>
      <c r="L6781" t="s">
        <v>3184</v>
      </c>
      <c r="M6781" s="161" t="s">
        <v>19202</v>
      </c>
    </row>
    <row r="6782" spans="9:13" x14ac:dyDescent="0.25">
      <c r="I6782" t="s">
        <v>12622</v>
      </c>
      <c r="J6782" s="161" t="s">
        <v>19202</v>
      </c>
      <c r="K6782" t="s">
        <v>19203</v>
      </c>
      <c r="L6782" t="s">
        <v>12621</v>
      </c>
      <c r="M6782" s="161" t="s">
        <v>19202</v>
      </c>
    </row>
    <row r="6783" spans="9:13" x14ac:dyDescent="0.25">
      <c r="I6783" t="s">
        <v>3919</v>
      </c>
      <c r="J6783" s="161" t="s">
        <v>19202</v>
      </c>
      <c r="K6783" t="s">
        <v>19203</v>
      </c>
      <c r="L6783" t="s">
        <v>46</v>
      </c>
      <c r="M6783" s="161" t="s">
        <v>19202</v>
      </c>
    </row>
    <row r="6784" spans="9:13" x14ac:dyDescent="0.25">
      <c r="I6784" t="s">
        <v>8902</v>
      </c>
      <c r="J6784" s="161" t="s">
        <v>19202</v>
      </c>
      <c r="K6784" t="s">
        <v>19203</v>
      </c>
      <c r="L6784" t="s">
        <v>8901</v>
      </c>
      <c r="M6784" s="161" t="s">
        <v>19202</v>
      </c>
    </row>
    <row r="6785" spans="9:13" x14ac:dyDescent="0.25">
      <c r="I6785" t="s">
        <v>20108</v>
      </c>
      <c r="J6785" s="161" t="s">
        <v>19202</v>
      </c>
      <c r="K6785" t="s">
        <v>19203</v>
      </c>
      <c r="L6785" t="s">
        <v>20109</v>
      </c>
      <c r="M6785" s="161" t="s">
        <v>19202</v>
      </c>
    </row>
    <row r="6786" spans="9:13" x14ac:dyDescent="0.25">
      <c r="I6786" t="s">
        <v>8502</v>
      </c>
      <c r="J6786" s="161" t="s">
        <v>19202</v>
      </c>
      <c r="K6786" t="s">
        <v>19203</v>
      </c>
      <c r="L6786" t="s">
        <v>8501</v>
      </c>
      <c r="M6786" s="161" t="s">
        <v>19202</v>
      </c>
    </row>
    <row r="6787" spans="9:13" x14ac:dyDescent="0.25">
      <c r="I6787" t="s">
        <v>6436</v>
      </c>
      <c r="J6787" s="161" t="s">
        <v>19202</v>
      </c>
      <c r="K6787" t="s">
        <v>19203</v>
      </c>
      <c r="L6787" t="s">
        <v>6435</v>
      </c>
      <c r="M6787" s="161" t="s">
        <v>19202</v>
      </c>
    </row>
    <row r="6788" spans="9:13" x14ac:dyDescent="0.25">
      <c r="I6788" t="s">
        <v>9452</v>
      </c>
      <c r="J6788" s="161" t="s">
        <v>19202</v>
      </c>
      <c r="K6788" t="s">
        <v>19203</v>
      </c>
      <c r="L6788" t="s">
        <v>9451</v>
      </c>
      <c r="M6788" s="161" t="s">
        <v>19202</v>
      </c>
    </row>
    <row r="6789" spans="9:13" x14ac:dyDescent="0.25">
      <c r="I6789" t="s">
        <v>482</v>
      </c>
      <c r="J6789" s="161" t="s">
        <v>19202</v>
      </c>
      <c r="K6789" t="s">
        <v>19203</v>
      </c>
      <c r="L6789" t="s">
        <v>481</v>
      </c>
      <c r="M6789" s="161" t="s">
        <v>19202</v>
      </c>
    </row>
    <row r="6790" spans="9:13" x14ac:dyDescent="0.25">
      <c r="I6790" t="s">
        <v>14106</v>
      </c>
      <c r="J6790" s="161" t="s">
        <v>19202</v>
      </c>
      <c r="K6790" t="s">
        <v>19203</v>
      </c>
      <c r="L6790" t="s">
        <v>14105</v>
      </c>
      <c r="M6790" s="161" t="s">
        <v>19202</v>
      </c>
    </row>
    <row r="6791" spans="9:13" x14ac:dyDescent="0.25">
      <c r="I6791" t="s">
        <v>918</v>
      </c>
      <c r="J6791" s="161" t="s">
        <v>19202</v>
      </c>
      <c r="K6791" t="s">
        <v>19203</v>
      </c>
      <c r="L6791" t="s">
        <v>917</v>
      </c>
      <c r="M6791" s="161" t="s">
        <v>19202</v>
      </c>
    </row>
    <row r="6792" spans="9:13" x14ac:dyDescent="0.25">
      <c r="I6792" t="s">
        <v>3727</v>
      </c>
      <c r="J6792" s="161" t="s">
        <v>19202</v>
      </c>
      <c r="K6792" t="s">
        <v>19203</v>
      </c>
      <c r="L6792" t="s">
        <v>3726</v>
      </c>
      <c r="M6792" s="161" t="s">
        <v>19202</v>
      </c>
    </row>
    <row r="6793" spans="9:13" x14ac:dyDescent="0.25">
      <c r="I6793" t="s">
        <v>7069</v>
      </c>
      <c r="J6793" s="161" t="s">
        <v>19202</v>
      </c>
      <c r="K6793" t="s">
        <v>19203</v>
      </c>
      <c r="L6793" t="s">
        <v>7068</v>
      </c>
      <c r="M6793" s="161" t="s">
        <v>19202</v>
      </c>
    </row>
    <row r="6794" spans="9:13" x14ac:dyDescent="0.25">
      <c r="I6794" t="s">
        <v>8910</v>
      </c>
      <c r="J6794" s="161" t="s">
        <v>19202</v>
      </c>
      <c r="K6794" t="s">
        <v>19203</v>
      </c>
      <c r="L6794" t="s">
        <v>8909</v>
      </c>
      <c r="M6794" s="161" t="s">
        <v>19202</v>
      </c>
    </row>
    <row r="6795" spans="9:13" x14ac:dyDescent="0.25">
      <c r="I6795" t="s">
        <v>16043</v>
      </c>
      <c r="J6795" s="161" t="s">
        <v>19202</v>
      </c>
      <c r="K6795" t="s">
        <v>19203</v>
      </c>
      <c r="L6795" t="s">
        <v>16042</v>
      </c>
      <c r="M6795" s="161" t="s">
        <v>19202</v>
      </c>
    </row>
    <row r="6796" spans="9:13" x14ac:dyDescent="0.25">
      <c r="I6796" t="s">
        <v>2753</v>
      </c>
      <c r="J6796" s="161" t="s">
        <v>19202</v>
      </c>
      <c r="K6796" t="s">
        <v>19203</v>
      </c>
      <c r="L6796" t="s">
        <v>2752</v>
      </c>
      <c r="M6796" s="161" t="s">
        <v>19202</v>
      </c>
    </row>
    <row r="6797" spans="9:13" x14ac:dyDescent="0.25">
      <c r="I6797" t="s">
        <v>1032</v>
      </c>
      <c r="J6797" s="161" t="s">
        <v>19202</v>
      </c>
      <c r="K6797" t="s">
        <v>19203</v>
      </c>
      <c r="L6797" t="s">
        <v>1031</v>
      </c>
      <c r="M6797" s="161" t="s">
        <v>19202</v>
      </c>
    </row>
    <row r="6798" spans="9:13" x14ac:dyDescent="0.25">
      <c r="I6798" t="s">
        <v>16174</v>
      </c>
      <c r="J6798" s="161" t="s">
        <v>19202</v>
      </c>
      <c r="K6798" t="s">
        <v>19203</v>
      </c>
      <c r="L6798" t="s">
        <v>16091</v>
      </c>
      <c r="M6798" s="161" t="s">
        <v>19202</v>
      </c>
    </row>
    <row r="6799" spans="9:13" x14ac:dyDescent="0.25">
      <c r="I6799" t="s">
        <v>3020</v>
      </c>
      <c r="J6799" s="161" t="s">
        <v>19202</v>
      </c>
      <c r="K6799" t="s">
        <v>19203</v>
      </c>
      <c r="L6799" t="s">
        <v>3019</v>
      </c>
      <c r="M6799" s="161" t="s">
        <v>19202</v>
      </c>
    </row>
    <row r="6800" spans="9:13" x14ac:dyDescent="0.25">
      <c r="I6800" t="s">
        <v>9446</v>
      </c>
      <c r="J6800" s="161" t="s">
        <v>19202</v>
      </c>
      <c r="K6800" t="s">
        <v>19203</v>
      </c>
      <c r="L6800" t="s">
        <v>9445</v>
      </c>
      <c r="M6800" s="161" t="s">
        <v>19202</v>
      </c>
    </row>
    <row r="6801" spans="9:13" x14ac:dyDescent="0.25">
      <c r="I6801" t="s">
        <v>3996</v>
      </c>
      <c r="J6801" s="161" t="s">
        <v>19202</v>
      </c>
      <c r="K6801" t="s">
        <v>19203</v>
      </c>
      <c r="L6801" t="s">
        <v>3995</v>
      </c>
      <c r="M6801" s="161" t="s">
        <v>19202</v>
      </c>
    </row>
    <row r="6802" spans="9:13" x14ac:dyDescent="0.25">
      <c r="I6802" t="s">
        <v>13190</v>
      </c>
      <c r="J6802" s="161" t="s">
        <v>19202</v>
      </c>
      <c r="K6802" t="s">
        <v>19203</v>
      </c>
      <c r="L6802" t="s">
        <v>13189</v>
      </c>
      <c r="M6802" s="161" t="s">
        <v>19202</v>
      </c>
    </row>
    <row r="6803" spans="9:13" x14ac:dyDescent="0.25">
      <c r="I6803" t="s">
        <v>20110</v>
      </c>
      <c r="J6803" s="161" t="s">
        <v>19202</v>
      </c>
      <c r="K6803" t="s">
        <v>19203</v>
      </c>
      <c r="L6803" t="s">
        <v>20111</v>
      </c>
      <c r="M6803" s="161" t="s">
        <v>19202</v>
      </c>
    </row>
    <row r="6804" spans="9:13" x14ac:dyDescent="0.25">
      <c r="I6804" t="s">
        <v>17389</v>
      </c>
      <c r="J6804" s="161" t="s">
        <v>19202</v>
      </c>
      <c r="K6804" t="s">
        <v>19203</v>
      </c>
      <c r="L6804" t="s">
        <v>17388</v>
      </c>
      <c r="M6804" s="161" t="s">
        <v>19202</v>
      </c>
    </row>
    <row r="6805" spans="9:13" x14ac:dyDescent="0.25">
      <c r="I6805" t="s">
        <v>10203</v>
      </c>
      <c r="J6805" s="161" t="s">
        <v>19202</v>
      </c>
      <c r="K6805" t="s">
        <v>19203</v>
      </c>
      <c r="L6805" t="s">
        <v>10202</v>
      </c>
      <c r="M6805" s="161" t="s">
        <v>19202</v>
      </c>
    </row>
    <row r="6806" spans="9:13" x14ac:dyDescent="0.25">
      <c r="I6806" t="s">
        <v>2274</v>
      </c>
      <c r="J6806" s="161" t="s">
        <v>19202</v>
      </c>
      <c r="K6806" t="s">
        <v>19203</v>
      </c>
      <c r="L6806" t="s">
        <v>2273</v>
      </c>
      <c r="M6806" s="161" t="s">
        <v>19202</v>
      </c>
    </row>
    <row r="6807" spans="9:13" x14ac:dyDescent="0.25">
      <c r="I6807" t="s">
        <v>15346</v>
      </c>
      <c r="J6807" s="161" t="s">
        <v>19202</v>
      </c>
      <c r="K6807" t="s">
        <v>19203</v>
      </c>
      <c r="L6807" t="s">
        <v>15345</v>
      </c>
      <c r="M6807" s="161" t="s">
        <v>19202</v>
      </c>
    </row>
    <row r="6808" spans="9:13" x14ac:dyDescent="0.25">
      <c r="I6808" t="s">
        <v>16669</v>
      </c>
      <c r="J6808" s="161" t="s">
        <v>19202</v>
      </c>
      <c r="K6808" t="s">
        <v>19203</v>
      </c>
      <c r="L6808" t="s">
        <v>399</v>
      </c>
      <c r="M6808" s="161" t="s">
        <v>19202</v>
      </c>
    </row>
    <row r="6809" spans="9:13" x14ac:dyDescent="0.25">
      <c r="I6809" t="s">
        <v>15055</v>
      </c>
      <c r="J6809" s="161" t="s">
        <v>19202</v>
      </c>
      <c r="K6809" t="s">
        <v>19203</v>
      </c>
      <c r="L6809" t="s">
        <v>15054</v>
      </c>
      <c r="M6809" s="161" t="s">
        <v>19202</v>
      </c>
    </row>
    <row r="6810" spans="9:13" x14ac:dyDescent="0.25">
      <c r="I6810" t="s">
        <v>4031</v>
      </c>
      <c r="J6810" s="161" t="s">
        <v>19202</v>
      </c>
      <c r="K6810" t="s">
        <v>19203</v>
      </c>
      <c r="L6810" t="s">
        <v>4030</v>
      </c>
      <c r="M6810" s="161" t="s">
        <v>19202</v>
      </c>
    </row>
    <row r="6811" spans="9:13" x14ac:dyDescent="0.25">
      <c r="I6811" t="s">
        <v>17675</v>
      </c>
      <c r="J6811" s="161" t="s">
        <v>19202</v>
      </c>
      <c r="K6811" t="s">
        <v>19203</v>
      </c>
      <c r="L6811" t="s">
        <v>17674</v>
      </c>
      <c r="M6811" s="161" t="s">
        <v>19202</v>
      </c>
    </row>
    <row r="6812" spans="9:13" x14ac:dyDescent="0.25">
      <c r="I6812" t="s">
        <v>12101</v>
      </c>
      <c r="J6812" s="161" t="s">
        <v>19202</v>
      </c>
      <c r="K6812" t="s">
        <v>19203</v>
      </c>
      <c r="L6812" t="s">
        <v>12100</v>
      </c>
      <c r="M6812" s="161" t="s">
        <v>19202</v>
      </c>
    </row>
    <row r="6813" spans="9:13" x14ac:dyDescent="0.25">
      <c r="I6813" t="s">
        <v>6430</v>
      </c>
      <c r="J6813" s="161" t="s">
        <v>19202</v>
      </c>
      <c r="K6813" t="s">
        <v>19203</v>
      </c>
      <c r="L6813" t="s">
        <v>6429</v>
      </c>
      <c r="M6813" s="161" t="s">
        <v>19202</v>
      </c>
    </row>
    <row r="6814" spans="9:13" x14ac:dyDescent="0.25">
      <c r="I6814" t="s">
        <v>8714</v>
      </c>
      <c r="J6814" s="161" t="s">
        <v>19202</v>
      </c>
      <c r="K6814" t="s">
        <v>19203</v>
      </c>
      <c r="L6814" t="s">
        <v>8713</v>
      </c>
      <c r="M6814" s="161" t="s">
        <v>19202</v>
      </c>
    </row>
    <row r="6815" spans="9:13" x14ac:dyDescent="0.25">
      <c r="I6815" t="s">
        <v>20112</v>
      </c>
      <c r="J6815" s="161" t="s">
        <v>19202</v>
      </c>
      <c r="K6815" t="s">
        <v>19203</v>
      </c>
      <c r="L6815" t="s">
        <v>20113</v>
      </c>
      <c r="M6815" s="161" t="s">
        <v>19202</v>
      </c>
    </row>
    <row r="6816" spans="9:13" x14ac:dyDescent="0.25">
      <c r="I6816" t="s">
        <v>17238</v>
      </c>
      <c r="J6816" s="161" t="s">
        <v>19202</v>
      </c>
      <c r="K6816" t="s">
        <v>19203</v>
      </c>
      <c r="L6816" t="s">
        <v>17237</v>
      </c>
      <c r="M6816" s="161" t="s">
        <v>19202</v>
      </c>
    </row>
    <row r="6817" spans="9:13" x14ac:dyDescent="0.25">
      <c r="I6817" t="s">
        <v>11519</v>
      </c>
      <c r="J6817" s="161" t="s">
        <v>19202</v>
      </c>
      <c r="K6817" t="s">
        <v>19203</v>
      </c>
      <c r="L6817" t="s">
        <v>11518</v>
      </c>
      <c r="M6817" s="161" t="s">
        <v>19202</v>
      </c>
    </row>
    <row r="6818" spans="9:13" x14ac:dyDescent="0.25">
      <c r="I6818" t="s">
        <v>8908</v>
      </c>
      <c r="J6818" s="161" t="s">
        <v>19202</v>
      </c>
      <c r="K6818" t="s">
        <v>19203</v>
      </c>
      <c r="L6818" t="s">
        <v>8907</v>
      </c>
      <c r="M6818" s="161" t="s">
        <v>19202</v>
      </c>
    </row>
    <row r="6819" spans="9:13" x14ac:dyDescent="0.25">
      <c r="I6819" t="s">
        <v>9565</v>
      </c>
      <c r="J6819" s="161" t="s">
        <v>19202</v>
      </c>
      <c r="K6819" t="s">
        <v>19203</v>
      </c>
      <c r="L6819" t="s">
        <v>9564</v>
      </c>
      <c r="M6819" s="161" t="s">
        <v>19202</v>
      </c>
    </row>
    <row r="6820" spans="9:13" x14ac:dyDescent="0.25">
      <c r="I6820" t="s">
        <v>5047</v>
      </c>
      <c r="J6820" s="161" t="s">
        <v>19202</v>
      </c>
      <c r="K6820" t="s">
        <v>19203</v>
      </c>
      <c r="L6820" t="s">
        <v>5046</v>
      </c>
      <c r="M6820" s="161" t="s">
        <v>19202</v>
      </c>
    </row>
    <row r="6821" spans="9:13" x14ac:dyDescent="0.25">
      <c r="I6821" t="s">
        <v>14125</v>
      </c>
      <c r="J6821" s="161" t="s">
        <v>19202</v>
      </c>
      <c r="K6821" t="s">
        <v>19203</v>
      </c>
      <c r="L6821" t="s">
        <v>14124</v>
      </c>
      <c r="M6821" s="161" t="s">
        <v>19202</v>
      </c>
    </row>
    <row r="6822" spans="9:13" x14ac:dyDescent="0.25">
      <c r="I6822" t="s">
        <v>6618</v>
      </c>
      <c r="J6822" s="161" t="s">
        <v>19202</v>
      </c>
      <c r="K6822" t="s">
        <v>19203</v>
      </c>
      <c r="L6822" t="s">
        <v>6617</v>
      </c>
      <c r="M6822" s="161" t="s">
        <v>19202</v>
      </c>
    </row>
    <row r="6823" spans="9:13" x14ac:dyDescent="0.25">
      <c r="I6823" t="s">
        <v>6467</v>
      </c>
      <c r="J6823" s="161" t="s">
        <v>19202</v>
      </c>
      <c r="K6823" t="s">
        <v>19203</v>
      </c>
      <c r="L6823" t="s">
        <v>6466</v>
      </c>
      <c r="M6823" s="161" t="s">
        <v>19202</v>
      </c>
    </row>
    <row r="6824" spans="9:13" x14ac:dyDescent="0.25">
      <c r="I6824" t="s">
        <v>6162</v>
      </c>
      <c r="J6824" s="161" t="s">
        <v>19202</v>
      </c>
      <c r="K6824" t="s">
        <v>19203</v>
      </c>
      <c r="L6824" t="s">
        <v>6161</v>
      </c>
      <c r="M6824" s="161" t="s">
        <v>19202</v>
      </c>
    </row>
    <row r="6825" spans="9:13" x14ac:dyDescent="0.25">
      <c r="I6825" t="s">
        <v>16668</v>
      </c>
      <c r="J6825" s="161" t="s">
        <v>19202</v>
      </c>
      <c r="K6825" t="s">
        <v>19203</v>
      </c>
      <c r="L6825" t="s">
        <v>16667</v>
      </c>
      <c r="M6825" s="161" t="s">
        <v>19202</v>
      </c>
    </row>
    <row r="6826" spans="9:13" x14ac:dyDescent="0.25">
      <c r="I6826" t="s">
        <v>557</v>
      </c>
      <c r="J6826" s="161" t="s">
        <v>19202</v>
      </c>
      <c r="K6826" t="s">
        <v>19203</v>
      </c>
      <c r="L6826" t="s">
        <v>556</v>
      </c>
      <c r="M6826" s="161" t="s">
        <v>19202</v>
      </c>
    </row>
    <row r="6827" spans="9:13" x14ac:dyDescent="0.25">
      <c r="I6827" t="s">
        <v>3538</v>
      </c>
      <c r="J6827" s="161" t="s">
        <v>19202</v>
      </c>
      <c r="K6827" t="s">
        <v>19203</v>
      </c>
      <c r="L6827" t="s">
        <v>3537</v>
      </c>
      <c r="M6827" s="161" t="s">
        <v>19202</v>
      </c>
    </row>
    <row r="6828" spans="9:13" x14ac:dyDescent="0.25">
      <c r="I6828" t="s">
        <v>3921</v>
      </c>
      <c r="J6828" s="161" t="s">
        <v>19202</v>
      </c>
      <c r="K6828" t="s">
        <v>19203</v>
      </c>
      <c r="L6828" t="s">
        <v>3920</v>
      </c>
      <c r="M6828" s="161" t="s">
        <v>19202</v>
      </c>
    </row>
    <row r="6829" spans="9:13" x14ac:dyDescent="0.25">
      <c r="I6829" t="s">
        <v>4072</v>
      </c>
      <c r="J6829" s="161" t="s">
        <v>19202</v>
      </c>
      <c r="K6829" t="s">
        <v>19203</v>
      </c>
      <c r="L6829" t="s">
        <v>4071</v>
      </c>
      <c r="M6829" s="161" t="s">
        <v>19202</v>
      </c>
    </row>
    <row r="6830" spans="9:13" x14ac:dyDescent="0.25">
      <c r="I6830" t="s">
        <v>3618</v>
      </c>
      <c r="J6830" s="161" t="s">
        <v>19202</v>
      </c>
      <c r="K6830" t="s">
        <v>19203</v>
      </c>
      <c r="L6830" t="s">
        <v>3617</v>
      </c>
      <c r="M6830" s="161" t="s">
        <v>19202</v>
      </c>
    </row>
    <row r="6831" spans="9:13" x14ac:dyDescent="0.25">
      <c r="I6831" t="s">
        <v>16214</v>
      </c>
      <c r="J6831" s="161" t="s">
        <v>19202</v>
      </c>
      <c r="K6831" t="s">
        <v>19203</v>
      </c>
      <c r="L6831" t="s">
        <v>16213</v>
      </c>
      <c r="M6831" s="161" t="s">
        <v>19202</v>
      </c>
    </row>
    <row r="6832" spans="9:13" x14ac:dyDescent="0.25">
      <c r="I6832" t="s">
        <v>15548</v>
      </c>
      <c r="J6832" s="161" t="s">
        <v>19202</v>
      </c>
      <c r="K6832" t="s">
        <v>19203</v>
      </c>
      <c r="L6832" t="s">
        <v>928</v>
      </c>
      <c r="M6832" s="161" t="s">
        <v>19202</v>
      </c>
    </row>
    <row r="6833" spans="9:13" x14ac:dyDescent="0.25">
      <c r="I6833" t="s">
        <v>9567</v>
      </c>
      <c r="J6833" s="161" t="s">
        <v>19202</v>
      </c>
      <c r="K6833" t="s">
        <v>19203</v>
      </c>
      <c r="L6833" t="s">
        <v>9566</v>
      </c>
      <c r="M6833" s="161" t="s">
        <v>19202</v>
      </c>
    </row>
    <row r="6834" spans="9:13" x14ac:dyDescent="0.25">
      <c r="I6834" t="s">
        <v>14101</v>
      </c>
      <c r="J6834" s="161" t="s">
        <v>19202</v>
      </c>
      <c r="K6834" t="s">
        <v>19203</v>
      </c>
      <c r="L6834" t="s">
        <v>122</v>
      </c>
      <c r="M6834" s="161" t="s">
        <v>19202</v>
      </c>
    </row>
    <row r="6835" spans="9:13" x14ac:dyDescent="0.25">
      <c r="I6835" t="s">
        <v>6160</v>
      </c>
      <c r="J6835" s="161" t="s">
        <v>19202</v>
      </c>
      <c r="K6835" t="s">
        <v>19203</v>
      </c>
      <c r="L6835" t="s">
        <v>6159</v>
      </c>
      <c r="M6835" s="161" t="s">
        <v>19202</v>
      </c>
    </row>
    <row r="6836" spans="9:13" x14ac:dyDescent="0.25">
      <c r="I6836" t="s">
        <v>15624</v>
      </c>
      <c r="J6836" s="161" t="s">
        <v>19202</v>
      </c>
      <c r="K6836" t="s">
        <v>19203</v>
      </c>
      <c r="L6836" t="s">
        <v>15623</v>
      </c>
      <c r="M6836" s="161" t="s">
        <v>19202</v>
      </c>
    </row>
    <row r="6837" spans="9:13" x14ac:dyDescent="0.25">
      <c r="I6837" t="s">
        <v>6706</v>
      </c>
      <c r="J6837" s="161" t="s">
        <v>19202</v>
      </c>
      <c r="K6837" t="s">
        <v>19203</v>
      </c>
      <c r="L6837" t="s">
        <v>6705</v>
      </c>
      <c r="M6837" s="161" t="s">
        <v>19202</v>
      </c>
    </row>
    <row r="6838" spans="9:13" x14ac:dyDescent="0.25">
      <c r="I6838" t="s">
        <v>16001</v>
      </c>
      <c r="J6838" s="161" t="s">
        <v>19202</v>
      </c>
      <c r="K6838" t="s">
        <v>19203</v>
      </c>
      <c r="L6838" t="s">
        <v>15234</v>
      </c>
      <c r="M6838" s="161" t="s">
        <v>19202</v>
      </c>
    </row>
    <row r="6839" spans="9:13" x14ac:dyDescent="0.25">
      <c r="I6839" t="s">
        <v>711</v>
      </c>
      <c r="J6839" s="161" t="s">
        <v>19202</v>
      </c>
      <c r="K6839" t="s">
        <v>19203</v>
      </c>
      <c r="L6839" t="s">
        <v>710</v>
      </c>
      <c r="M6839" s="161" t="s">
        <v>19202</v>
      </c>
    </row>
    <row r="6840" spans="9:13" x14ac:dyDescent="0.25">
      <c r="I6840" t="s">
        <v>670</v>
      </c>
      <c r="J6840" s="161" t="s">
        <v>19202</v>
      </c>
      <c r="K6840" t="s">
        <v>19203</v>
      </c>
      <c r="L6840" t="s">
        <v>669</v>
      </c>
      <c r="M6840" s="161" t="s">
        <v>19202</v>
      </c>
    </row>
    <row r="6841" spans="9:13" x14ac:dyDescent="0.25">
      <c r="I6841" t="s">
        <v>4820</v>
      </c>
      <c r="J6841" s="161" t="s">
        <v>19202</v>
      </c>
      <c r="K6841" t="s">
        <v>19203</v>
      </c>
      <c r="L6841" t="s">
        <v>4819</v>
      </c>
      <c r="M6841" s="161" t="s">
        <v>19202</v>
      </c>
    </row>
    <row r="6842" spans="9:13" x14ac:dyDescent="0.25">
      <c r="I6842" t="s">
        <v>7181</v>
      </c>
      <c r="J6842" s="161" t="s">
        <v>19202</v>
      </c>
      <c r="K6842" t="s">
        <v>19203</v>
      </c>
      <c r="L6842" t="s">
        <v>7180</v>
      </c>
      <c r="M6842" s="161" t="s">
        <v>19202</v>
      </c>
    </row>
    <row r="6843" spans="9:13" x14ac:dyDescent="0.25">
      <c r="I6843" t="s">
        <v>493</v>
      </c>
      <c r="J6843" s="161" t="s">
        <v>19202</v>
      </c>
      <c r="K6843" t="s">
        <v>19203</v>
      </c>
      <c r="L6843" t="s">
        <v>492</v>
      </c>
      <c r="M6843" s="161" t="s">
        <v>19202</v>
      </c>
    </row>
    <row r="6844" spans="9:13" x14ac:dyDescent="0.25">
      <c r="I6844" t="s">
        <v>5608</v>
      </c>
      <c r="J6844" s="161" t="s">
        <v>19202</v>
      </c>
      <c r="K6844" t="s">
        <v>19203</v>
      </c>
      <c r="L6844" t="s">
        <v>5607</v>
      </c>
      <c r="M6844" s="161" t="s">
        <v>19202</v>
      </c>
    </row>
    <row r="6845" spans="9:13" x14ac:dyDescent="0.25">
      <c r="I6845" t="s">
        <v>13715</v>
      </c>
      <c r="J6845" s="161" t="s">
        <v>19202</v>
      </c>
      <c r="K6845" t="s">
        <v>19203</v>
      </c>
      <c r="L6845" t="s">
        <v>13714</v>
      </c>
      <c r="M6845" s="161" t="s">
        <v>19202</v>
      </c>
    </row>
    <row r="6846" spans="9:13" x14ac:dyDescent="0.25">
      <c r="I6846" t="s">
        <v>8504</v>
      </c>
      <c r="J6846" s="161" t="s">
        <v>19202</v>
      </c>
      <c r="K6846" t="s">
        <v>19203</v>
      </c>
      <c r="L6846" t="s">
        <v>8503</v>
      </c>
      <c r="M6846" s="161" t="s">
        <v>19202</v>
      </c>
    </row>
    <row r="6847" spans="9:13" x14ac:dyDescent="0.25">
      <c r="I6847" t="s">
        <v>14313</v>
      </c>
      <c r="J6847" s="161" t="s">
        <v>19202</v>
      </c>
      <c r="K6847" t="s">
        <v>19203</v>
      </c>
      <c r="L6847" t="s">
        <v>123</v>
      </c>
      <c r="M6847" s="161" t="s">
        <v>19202</v>
      </c>
    </row>
    <row r="6848" spans="9:13" x14ac:dyDescent="0.25">
      <c r="I6848" t="s">
        <v>3981</v>
      </c>
      <c r="J6848" s="161" t="s">
        <v>19202</v>
      </c>
      <c r="K6848" t="s">
        <v>19203</v>
      </c>
      <c r="L6848" t="s">
        <v>3980</v>
      </c>
      <c r="M6848" s="161" t="s">
        <v>19202</v>
      </c>
    </row>
    <row r="6849" spans="9:13" x14ac:dyDescent="0.25">
      <c r="I6849" t="s">
        <v>8716</v>
      </c>
      <c r="J6849" s="161" t="s">
        <v>19202</v>
      </c>
      <c r="K6849" t="s">
        <v>19203</v>
      </c>
      <c r="L6849" t="s">
        <v>8715</v>
      </c>
      <c r="M6849" s="161" t="s">
        <v>19202</v>
      </c>
    </row>
    <row r="6850" spans="9:13" x14ac:dyDescent="0.25">
      <c r="I6850" t="s">
        <v>5112</v>
      </c>
      <c r="J6850" s="161" t="s">
        <v>19202</v>
      </c>
      <c r="K6850" t="s">
        <v>19203</v>
      </c>
      <c r="L6850" t="s">
        <v>5111</v>
      </c>
      <c r="M6850" s="161" t="s">
        <v>19202</v>
      </c>
    </row>
    <row r="6851" spans="9:13" x14ac:dyDescent="0.25">
      <c r="I6851" t="s">
        <v>15389</v>
      </c>
      <c r="J6851" s="161" t="s">
        <v>19202</v>
      </c>
      <c r="K6851" t="s">
        <v>19203</v>
      </c>
      <c r="L6851" t="s">
        <v>2523</v>
      </c>
      <c r="M6851" s="161" t="s">
        <v>19202</v>
      </c>
    </row>
    <row r="6852" spans="9:13" x14ac:dyDescent="0.25">
      <c r="I6852" t="s">
        <v>2409</v>
      </c>
      <c r="J6852" s="161" t="s">
        <v>19202</v>
      </c>
      <c r="K6852" t="s">
        <v>19203</v>
      </c>
      <c r="L6852" t="s">
        <v>2408</v>
      </c>
      <c r="M6852" s="161" t="s">
        <v>19202</v>
      </c>
    </row>
    <row r="6853" spans="9:13" x14ac:dyDescent="0.25">
      <c r="I6853" t="s">
        <v>9448</v>
      </c>
      <c r="J6853" s="161" t="s">
        <v>19202</v>
      </c>
      <c r="K6853" t="s">
        <v>19203</v>
      </c>
      <c r="L6853" t="s">
        <v>9447</v>
      </c>
      <c r="M6853" s="161" t="s">
        <v>19202</v>
      </c>
    </row>
    <row r="6854" spans="9:13" x14ac:dyDescent="0.25">
      <c r="I6854" t="s">
        <v>20114</v>
      </c>
      <c r="J6854" s="161" t="s">
        <v>19202</v>
      </c>
      <c r="K6854" t="s">
        <v>19203</v>
      </c>
      <c r="L6854" t="s">
        <v>20115</v>
      </c>
      <c r="M6854" s="161" t="s">
        <v>19202</v>
      </c>
    </row>
    <row r="6855" spans="9:13" x14ac:dyDescent="0.25">
      <c r="I6855" t="s">
        <v>6858</v>
      </c>
      <c r="J6855" s="161" t="s">
        <v>19202</v>
      </c>
      <c r="K6855" t="s">
        <v>19203</v>
      </c>
      <c r="L6855" t="s">
        <v>6857</v>
      </c>
      <c r="M6855" s="161" t="s">
        <v>19202</v>
      </c>
    </row>
    <row r="6856" spans="9:13" x14ac:dyDescent="0.25">
      <c r="I6856" t="s">
        <v>4608</v>
      </c>
      <c r="J6856" s="161" t="s">
        <v>19202</v>
      </c>
      <c r="K6856" t="s">
        <v>19203</v>
      </c>
      <c r="L6856" t="s">
        <v>4607</v>
      </c>
      <c r="M6856" s="161" t="s">
        <v>19202</v>
      </c>
    </row>
    <row r="6857" spans="9:13" x14ac:dyDescent="0.25">
      <c r="I6857" t="s">
        <v>14566</v>
      </c>
      <c r="J6857" s="161" t="s">
        <v>19202</v>
      </c>
      <c r="K6857" t="s">
        <v>19203</v>
      </c>
      <c r="L6857" t="s">
        <v>14565</v>
      </c>
      <c r="M6857" s="161" t="s">
        <v>19202</v>
      </c>
    </row>
    <row r="6858" spans="9:13" x14ac:dyDescent="0.25">
      <c r="I6858" t="s">
        <v>14103</v>
      </c>
      <c r="J6858" s="161" t="s">
        <v>19202</v>
      </c>
      <c r="K6858" t="s">
        <v>19203</v>
      </c>
      <c r="L6858" t="s">
        <v>14102</v>
      </c>
      <c r="M6858" s="161" t="s">
        <v>19202</v>
      </c>
    </row>
    <row r="6859" spans="9:13" x14ac:dyDescent="0.25">
      <c r="I6859" t="s">
        <v>13485</v>
      </c>
      <c r="J6859" s="161" t="s">
        <v>19202</v>
      </c>
      <c r="K6859" t="s">
        <v>19203</v>
      </c>
      <c r="L6859" t="s">
        <v>13484</v>
      </c>
      <c r="M6859" s="161" t="s">
        <v>19202</v>
      </c>
    </row>
    <row r="6860" spans="9:13" x14ac:dyDescent="0.25">
      <c r="I6860" t="s">
        <v>916</v>
      </c>
      <c r="J6860" s="161" t="s">
        <v>19202</v>
      </c>
      <c r="K6860" t="s">
        <v>19203</v>
      </c>
      <c r="L6860" t="s">
        <v>915</v>
      </c>
      <c r="M6860" s="161" t="s">
        <v>19202</v>
      </c>
    </row>
    <row r="6861" spans="9:13" x14ac:dyDescent="0.25">
      <c r="I6861" t="s">
        <v>501</v>
      </c>
      <c r="J6861" s="161" t="s">
        <v>19202</v>
      </c>
      <c r="K6861" t="s">
        <v>19203</v>
      </c>
      <c r="L6861" t="s">
        <v>500</v>
      </c>
      <c r="M6861" s="161" t="s">
        <v>19202</v>
      </c>
    </row>
    <row r="6862" spans="9:13" x14ac:dyDescent="0.25">
      <c r="I6862" t="s">
        <v>12910</v>
      </c>
      <c r="J6862" s="161" t="s">
        <v>19202</v>
      </c>
      <c r="K6862" t="s">
        <v>19203</v>
      </c>
      <c r="L6862" t="s">
        <v>12909</v>
      </c>
      <c r="M6862" s="161" t="s">
        <v>19202</v>
      </c>
    </row>
    <row r="6863" spans="9:13" x14ac:dyDescent="0.25">
      <c r="I6863" t="s">
        <v>12912</v>
      </c>
      <c r="J6863" s="161" t="s">
        <v>19202</v>
      </c>
      <c r="K6863" t="s">
        <v>19203</v>
      </c>
      <c r="L6863" t="s">
        <v>12911</v>
      </c>
      <c r="M6863" s="161" t="s">
        <v>19202</v>
      </c>
    </row>
    <row r="6864" spans="9:13" x14ac:dyDescent="0.25">
      <c r="I6864" t="s">
        <v>10892</v>
      </c>
      <c r="J6864" s="161" t="s">
        <v>19202</v>
      </c>
      <c r="K6864" t="s">
        <v>19203</v>
      </c>
      <c r="L6864" t="s">
        <v>10891</v>
      </c>
      <c r="M6864" s="161" t="s">
        <v>19202</v>
      </c>
    </row>
    <row r="6865" spans="9:13" x14ac:dyDescent="0.25">
      <c r="I6865" t="s">
        <v>12624</v>
      </c>
      <c r="J6865" s="161" t="s">
        <v>19202</v>
      </c>
      <c r="K6865" t="s">
        <v>19203</v>
      </c>
      <c r="L6865" t="s">
        <v>2700</v>
      </c>
      <c r="M6865" s="161" t="s">
        <v>19202</v>
      </c>
    </row>
    <row r="6866" spans="9:13" x14ac:dyDescent="0.25">
      <c r="I6866" t="s">
        <v>15275</v>
      </c>
      <c r="J6866" s="161" t="s">
        <v>19202</v>
      </c>
      <c r="K6866" t="s">
        <v>19203</v>
      </c>
      <c r="L6866" t="s">
        <v>5024</v>
      </c>
      <c r="M6866" s="161" t="s">
        <v>19202</v>
      </c>
    </row>
    <row r="6867" spans="9:13" x14ac:dyDescent="0.25">
      <c r="I6867" t="s">
        <v>6477</v>
      </c>
      <c r="J6867" s="161" t="s">
        <v>19202</v>
      </c>
      <c r="K6867" t="s">
        <v>19203</v>
      </c>
      <c r="L6867" t="s">
        <v>6476</v>
      </c>
      <c r="M6867" s="161" t="s">
        <v>19202</v>
      </c>
    </row>
    <row r="6868" spans="9:13" x14ac:dyDescent="0.25">
      <c r="I6868" t="s">
        <v>15162</v>
      </c>
      <c r="J6868" s="161" t="s">
        <v>19202</v>
      </c>
      <c r="K6868" t="s">
        <v>19203</v>
      </c>
      <c r="L6868" t="s">
        <v>15161</v>
      </c>
      <c r="M6868" s="161" t="s">
        <v>19202</v>
      </c>
    </row>
    <row r="6869" spans="9:13" x14ac:dyDescent="0.25">
      <c r="I6869" t="s">
        <v>15892</v>
      </c>
      <c r="J6869" s="161" t="s">
        <v>19202</v>
      </c>
      <c r="K6869" t="s">
        <v>19203</v>
      </c>
      <c r="L6869" t="s">
        <v>15891</v>
      </c>
      <c r="M6869" s="161" t="s">
        <v>19202</v>
      </c>
    </row>
    <row r="6870" spans="9:13" x14ac:dyDescent="0.25">
      <c r="I6870" t="s">
        <v>11273</v>
      </c>
      <c r="J6870" s="161" t="s">
        <v>19202</v>
      </c>
      <c r="K6870" t="s">
        <v>19203</v>
      </c>
      <c r="L6870" t="s">
        <v>11272</v>
      </c>
      <c r="M6870" s="161" t="s">
        <v>19202</v>
      </c>
    </row>
    <row r="6871" spans="9:13" x14ac:dyDescent="0.25">
      <c r="I6871" t="s">
        <v>11014</v>
      </c>
      <c r="J6871" s="161" t="s">
        <v>19202</v>
      </c>
      <c r="K6871" t="s">
        <v>19203</v>
      </c>
      <c r="L6871" t="s">
        <v>11013</v>
      </c>
      <c r="M6871" s="161" t="s">
        <v>19202</v>
      </c>
    </row>
    <row r="6872" spans="9:13" x14ac:dyDescent="0.25">
      <c r="I6872" t="s">
        <v>10385</v>
      </c>
      <c r="J6872" s="161" t="s">
        <v>19202</v>
      </c>
      <c r="K6872" t="s">
        <v>19203</v>
      </c>
      <c r="L6872" t="s">
        <v>10384</v>
      </c>
      <c r="M6872" s="161" t="s">
        <v>19202</v>
      </c>
    </row>
    <row r="6873" spans="9:13" x14ac:dyDescent="0.25">
      <c r="I6873" t="s">
        <v>3506</v>
      </c>
      <c r="J6873" s="161" t="s">
        <v>19202</v>
      </c>
      <c r="K6873" t="s">
        <v>19203</v>
      </c>
      <c r="L6873" t="s">
        <v>3505</v>
      </c>
      <c r="M6873" s="161" t="s">
        <v>19202</v>
      </c>
    </row>
    <row r="6874" spans="9:13" x14ac:dyDescent="0.25">
      <c r="I6874" t="s">
        <v>13999</v>
      </c>
      <c r="J6874" s="161" t="s">
        <v>19202</v>
      </c>
      <c r="K6874" t="s">
        <v>19203</v>
      </c>
      <c r="L6874" t="s">
        <v>13998</v>
      </c>
      <c r="M6874" s="161" t="s">
        <v>19202</v>
      </c>
    </row>
    <row r="6875" spans="9:13" x14ac:dyDescent="0.25">
      <c r="I6875" t="s">
        <v>7296</v>
      </c>
      <c r="J6875" s="161" t="s">
        <v>19202</v>
      </c>
      <c r="K6875" t="s">
        <v>19203</v>
      </c>
      <c r="L6875" t="s">
        <v>7295</v>
      </c>
      <c r="M6875" s="161" t="s">
        <v>19202</v>
      </c>
    </row>
    <row r="6876" spans="9:13" x14ac:dyDescent="0.25">
      <c r="I6876" t="s">
        <v>489</v>
      </c>
      <c r="J6876" s="161" t="s">
        <v>19202</v>
      </c>
      <c r="K6876" t="s">
        <v>19203</v>
      </c>
      <c r="L6876" t="s">
        <v>192</v>
      </c>
      <c r="M6876" s="161" t="s">
        <v>19202</v>
      </c>
    </row>
    <row r="6877" spans="9:13" x14ac:dyDescent="0.25">
      <c r="I6877" t="s">
        <v>7179</v>
      </c>
      <c r="J6877" s="161" t="s">
        <v>19202</v>
      </c>
      <c r="K6877" t="s">
        <v>19203</v>
      </c>
      <c r="L6877" t="s">
        <v>7178</v>
      </c>
      <c r="M6877" s="161" t="s">
        <v>19202</v>
      </c>
    </row>
    <row r="6878" spans="9:13" x14ac:dyDescent="0.25">
      <c r="I6878" t="s">
        <v>2282</v>
      </c>
      <c r="J6878" s="161" t="s">
        <v>19202</v>
      </c>
      <c r="K6878" t="s">
        <v>19203</v>
      </c>
      <c r="L6878" t="s">
        <v>2281</v>
      </c>
      <c r="M6878" s="161" t="s">
        <v>19202</v>
      </c>
    </row>
    <row r="6879" spans="9:13" x14ac:dyDescent="0.25">
      <c r="I6879" t="s">
        <v>2278</v>
      </c>
      <c r="J6879" s="161" t="s">
        <v>19202</v>
      </c>
      <c r="K6879" t="s">
        <v>19203</v>
      </c>
      <c r="L6879" t="s">
        <v>2277</v>
      </c>
      <c r="M6879" s="161" t="s">
        <v>19202</v>
      </c>
    </row>
    <row r="6880" spans="9:13" x14ac:dyDescent="0.25">
      <c r="I6880" t="s">
        <v>5683</v>
      </c>
      <c r="J6880" s="161" t="s">
        <v>19202</v>
      </c>
      <c r="K6880" t="s">
        <v>19203</v>
      </c>
      <c r="L6880" t="s">
        <v>5682</v>
      </c>
      <c r="M6880" s="161" t="s">
        <v>19202</v>
      </c>
    </row>
    <row r="6881" spans="9:13" x14ac:dyDescent="0.25">
      <c r="I6881" t="s">
        <v>20116</v>
      </c>
      <c r="J6881" s="161" t="s">
        <v>19202</v>
      </c>
      <c r="K6881" t="s">
        <v>19203</v>
      </c>
      <c r="L6881" t="s">
        <v>20117</v>
      </c>
      <c r="M6881" s="161" t="s">
        <v>19202</v>
      </c>
    </row>
    <row r="6882" spans="9:13" x14ac:dyDescent="0.25">
      <c r="I6882" t="s">
        <v>14100</v>
      </c>
      <c r="J6882" s="161" t="s">
        <v>19202</v>
      </c>
      <c r="K6882" t="s">
        <v>19203</v>
      </c>
      <c r="L6882" t="s">
        <v>14099</v>
      </c>
      <c r="M6882" s="161" t="s">
        <v>19202</v>
      </c>
    </row>
    <row r="6883" spans="9:13" x14ac:dyDescent="0.25">
      <c r="I6883" t="s">
        <v>14098</v>
      </c>
      <c r="J6883" s="161" t="s">
        <v>19202</v>
      </c>
      <c r="K6883" t="s">
        <v>19203</v>
      </c>
      <c r="L6883" t="s">
        <v>6564</v>
      </c>
      <c r="M6883" s="161" t="s">
        <v>19202</v>
      </c>
    </row>
    <row r="6884" spans="9:13" x14ac:dyDescent="0.25">
      <c r="I6884" t="s">
        <v>14972</v>
      </c>
      <c r="J6884" s="161" t="s">
        <v>19202</v>
      </c>
      <c r="K6884" t="s">
        <v>19203</v>
      </c>
      <c r="L6884" t="s">
        <v>14971</v>
      </c>
      <c r="M6884" s="161" t="s">
        <v>19202</v>
      </c>
    </row>
    <row r="6885" spans="9:13" x14ac:dyDescent="0.25">
      <c r="I6885" t="s">
        <v>20118</v>
      </c>
      <c r="J6885" s="161" t="s">
        <v>19202</v>
      </c>
      <c r="K6885" t="s">
        <v>19203</v>
      </c>
      <c r="L6885" t="s">
        <v>20119</v>
      </c>
      <c r="M6885" s="161" t="s">
        <v>19202</v>
      </c>
    </row>
    <row r="6886" spans="9:13" x14ac:dyDescent="0.25">
      <c r="I6886" t="s">
        <v>12350</v>
      </c>
      <c r="J6886" s="161" t="s">
        <v>19202</v>
      </c>
      <c r="K6886" t="s">
        <v>19203</v>
      </c>
      <c r="L6886" t="s">
        <v>12349</v>
      </c>
      <c r="M6886" s="161" t="s">
        <v>19202</v>
      </c>
    </row>
    <row r="6887" spans="9:13" x14ac:dyDescent="0.25">
      <c r="I6887" t="s">
        <v>11279</v>
      </c>
      <c r="J6887" s="161" t="s">
        <v>19202</v>
      </c>
      <c r="K6887" t="s">
        <v>19203</v>
      </c>
      <c r="L6887" t="s">
        <v>11278</v>
      </c>
      <c r="M6887" s="161" t="s">
        <v>19202</v>
      </c>
    </row>
    <row r="6888" spans="9:13" x14ac:dyDescent="0.25">
      <c r="I6888" t="s">
        <v>11015</v>
      </c>
      <c r="J6888" s="161" t="s">
        <v>19202</v>
      </c>
      <c r="K6888" t="s">
        <v>19203</v>
      </c>
      <c r="L6888" t="s">
        <v>10125</v>
      </c>
      <c r="M6888" s="161" t="s">
        <v>19202</v>
      </c>
    </row>
    <row r="6889" spans="9:13" x14ac:dyDescent="0.25">
      <c r="I6889" t="s">
        <v>9444</v>
      </c>
      <c r="J6889" s="161" t="s">
        <v>19202</v>
      </c>
      <c r="K6889" t="s">
        <v>19203</v>
      </c>
      <c r="L6889" t="s">
        <v>9443</v>
      </c>
      <c r="M6889" s="161" t="s">
        <v>19202</v>
      </c>
    </row>
    <row r="6890" spans="9:13" x14ac:dyDescent="0.25">
      <c r="I6890" t="s">
        <v>2869</v>
      </c>
      <c r="J6890" s="161" t="s">
        <v>19202</v>
      </c>
      <c r="K6890" t="s">
        <v>19203</v>
      </c>
      <c r="L6890" t="s">
        <v>2868</v>
      </c>
      <c r="M6890" s="161" t="s">
        <v>19202</v>
      </c>
    </row>
    <row r="6891" spans="9:13" x14ac:dyDescent="0.25">
      <c r="I6891" t="s">
        <v>2859</v>
      </c>
      <c r="J6891" s="161" t="s">
        <v>19202</v>
      </c>
      <c r="K6891" t="s">
        <v>19203</v>
      </c>
      <c r="L6891" t="s">
        <v>2858</v>
      </c>
      <c r="M6891" s="161" t="s">
        <v>19202</v>
      </c>
    </row>
    <row r="6892" spans="9:13" x14ac:dyDescent="0.25">
      <c r="I6892" t="s">
        <v>2857</v>
      </c>
      <c r="J6892" s="161" t="s">
        <v>19202</v>
      </c>
      <c r="K6892" t="s">
        <v>19203</v>
      </c>
      <c r="L6892" t="s">
        <v>2856</v>
      </c>
      <c r="M6892" s="161" t="s">
        <v>19202</v>
      </c>
    </row>
    <row r="6893" spans="9:13" x14ac:dyDescent="0.25">
      <c r="I6893" t="s">
        <v>6317</v>
      </c>
      <c r="J6893" s="161" t="s">
        <v>19202</v>
      </c>
      <c r="K6893" t="s">
        <v>19203</v>
      </c>
      <c r="L6893" t="s">
        <v>6316</v>
      </c>
      <c r="M6893" s="161" t="s">
        <v>19202</v>
      </c>
    </row>
    <row r="6894" spans="9:13" x14ac:dyDescent="0.25">
      <c r="I6894" t="s">
        <v>13687</v>
      </c>
      <c r="J6894" s="161" t="s">
        <v>19202</v>
      </c>
      <c r="K6894" t="s">
        <v>19203</v>
      </c>
      <c r="L6894" t="s">
        <v>13686</v>
      </c>
      <c r="M6894" s="161" t="s">
        <v>19202</v>
      </c>
    </row>
    <row r="6895" spans="9:13" x14ac:dyDescent="0.25">
      <c r="I6895" t="s">
        <v>478</v>
      </c>
      <c r="J6895" s="161" t="s">
        <v>19202</v>
      </c>
      <c r="K6895" t="s">
        <v>19203</v>
      </c>
      <c r="L6895" t="s">
        <v>477</v>
      </c>
      <c r="M6895" s="161" t="s">
        <v>19202</v>
      </c>
    </row>
    <row r="6896" spans="9:13" x14ac:dyDescent="0.25">
      <c r="I6896" t="s">
        <v>11010</v>
      </c>
      <c r="J6896" s="161" t="s">
        <v>19202</v>
      </c>
      <c r="K6896" t="s">
        <v>19203</v>
      </c>
      <c r="L6896" t="s">
        <v>11009</v>
      </c>
      <c r="M6896" s="161" t="s">
        <v>19202</v>
      </c>
    </row>
    <row r="6897" spans="9:13" x14ac:dyDescent="0.25">
      <c r="I6897" t="s">
        <v>20120</v>
      </c>
      <c r="J6897" s="161" t="s">
        <v>19202</v>
      </c>
      <c r="K6897" t="s">
        <v>19203</v>
      </c>
      <c r="L6897" t="s">
        <v>20121</v>
      </c>
      <c r="M6897" s="161" t="s">
        <v>19202</v>
      </c>
    </row>
    <row r="6898" spans="9:13" x14ac:dyDescent="0.25">
      <c r="I6898" t="s">
        <v>20122</v>
      </c>
      <c r="J6898" s="161" t="s">
        <v>19202</v>
      </c>
      <c r="K6898" t="s">
        <v>19203</v>
      </c>
      <c r="L6898" t="s">
        <v>20123</v>
      </c>
      <c r="M6898" s="161" t="s">
        <v>19202</v>
      </c>
    </row>
    <row r="6899" spans="9:13" x14ac:dyDescent="0.25">
      <c r="I6899" t="s">
        <v>2861</v>
      </c>
      <c r="J6899" s="161" t="s">
        <v>19202</v>
      </c>
      <c r="K6899" t="s">
        <v>19203</v>
      </c>
      <c r="L6899" t="s">
        <v>2860</v>
      </c>
      <c r="M6899" s="161" t="s">
        <v>19202</v>
      </c>
    </row>
    <row r="6900" spans="9:13" x14ac:dyDescent="0.25">
      <c r="I6900" t="s">
        <v>10514</v>
      </c>
      <c r="J6900" s="161" t="s">
        <v>19202</v>
      </c>
      <c r="K6900" t="s">
        <v>19203</v>
      </c>
      <c r="L6900" t="s">
        <v>10513</v>
      </c>
      <c r="M6900" s="161" t="s">
        <v>19202</v>
      </c>
    </row>
    <row r="6901" spans="9:13" x14ac:dyDescent="0.25">
      <c r="I6901" t="s">
        <v>4224</v>
      </c>
      <c r="J6901" s="161" t="s">
        <v>19202</v>
      </c>
      <c r="K6901" t="s">
        <v>19203</v>
      </c>
      <c r="L6901" t="s">
        <v>4223</v>
      </c>
      <c r="M6901" s="161" t="s">
        <v>19202</v>
      </c>
    </row>
    <row r="6902" spans="9:13" x14ac:dyDescent="0.25">
      <c r="I6902" t="s">
        <v>13483</v>
      </c>
      <c r="J6902" s="161" t="s">
        <v>19202</v>
      </c>
      <c r="K6902" t="s">
        <v>19203</v>
      </c>
      <c r="L6902" t="s">
        <v>13482</v>
      </c>
      <c r="M6902" s="161" t="s">
        <v>19202</v>
      </c>
    </row>
    <row r="6903" spans="9:13" x14ac:dyDescent="0.25">
      <c r="I6903" t="s">
        <v>2280</v>
      </c>
      <c r="J6903" s="161" t="s">
        <v>19202</v>
      </c>
      <c r="K6903" t="s">
        <v>19203</v>
      </c>
      <c r="L6903" t="s">
        <v>2279</v>
      </c>
      <c r="M6903" s="161" t="s">
        <v>19202</v>
      </c>
    </row>
    <row r="6904" spans="9:13" x14ac:dyDescent="0.25">
      <c r="I6904" t="s">
        <v>709</v>
      </c>
      <c r="J6904" s="161" t="s">
        <v>19202</v>
      </c>
      <c r="K6904" t="s">
        <v>19203</v>
      </c>
      <c r="L6904" t="s">
        <v>708</v>
      </c>
      <c r="M6904" s="161" t="s">
        <v>19202</v>
      </c>
    </row>
    <row r="6905" spans="9:13" x14ac:dyDescent="0.25">
      <c r="I6905" t="s">
        <v>16039</v>
      </c>
      <c r="J6905" s="161" t="s">
        <v>19202</v>
      </c>
      <c r="K6905" t="s">
        <v>19203</v>
      </c>
      <c r="L6905" t="s">
        <v>16038</v>
      </c>
      <c r="M6905" s="161" t="s">
        <v>19202</v>
      </c>
    </row>
    <row r="6906" spans="9:13" x14ac:dyDescent="0.25">
      <c r="I6906" t="s">
        <v>2967</v>
      </c>
      <c r="J6906" s="161" t="s">
        <v>19202</v>
      </c>
      <c r="K6906" t="s">
        <v>19203</v>
      </c>
      <c r="L6906" t="s">
        <v>2966</v>
      </c>
      <c r="M6906" s="161" t="s">
        <v>19202</v>
      </c>
    </row>
    <row r="6907" spans="9:13" x14ac:dyDescent="0.25">
      <c r="I6907" t="s">
        <v>486</v>
      </c>
      <c r="J6907" s="161" t="s">
        <v>19202</v>
      </c>
      <c r="K6907" t="s">
        <v>19203</v>
      </c>
      <c r="L6907" t="s">
        <v>485</v>
      </c>
      <c r="M6907" s="161" t="s">
        <v>19202</v>
      </c>
    </row>
    <row r="6908" spans="9:13" x14ac:dyDescent="0.25">
      <c r="I6908" t="s">
        <v>10403</v>
      </c>
      <c r="J6908" s="161" t="s">
        <v>19202</v>
      </c>
      <c r="K6908" t="s">
        <v>19203</v>
      </c>
      <c r="L6908" t="s">
        <v>10402</v>
      </c>
      <c r="M6908" s="161" t="s">
        <v>19202</v>
      </c>
    </row>
    <row r="6909" spans="9:13" x14ac:dyDescent="0.25">
      <c r="I6909" t="s">
        <v>20124</v>
      </c>
      <c r="J6909" s="161" t="s">
        <v>19202</v>
      </c>
      <c r="K6909" t="s">
        <v>19203</v>
      </c>
      <c r="L6909" t="s">
        <v>20125</v>
      </c>
      <c r="M6909" s="161" t="s">
        <v>19202</v>
      </c>
    </row>
    <row r="6910" spans="9:13" x14ac:dyDescent="0.25">
      <c r="I6910" t="s">
        <v>6657</v>
      </c>
      <c r="J6910" s="161" t="s">
        <v>19202</v>
      </c>
      <c r="K6910" t="s">
        <v>19203</v>
      </c>
      <c r="L6910" t="s">
        <v>6656</v>
      </c>
      <c r="M6910" s="161" t="s">
        <v>19202</v>
      </c>
    </row>
    <row r="6911" spans="9:13" x14ac:dyDescent="0.25">
      <c r="I6911" t="s">
        <v>3245</v>
      </c>
      <c r="J6911" s="161" t="s">
        <v>19202</v>
      </c>
      <c r="K6911" t="s">
        <v>19203</v>
      </c>
      <c r="L6911" t="s">
        <v>3244</v>
      </c>
      <c r="M6911" s="161" t="s">
        <v>19202</v>
      </c>
    </row>
    <row r="6912" spans="9:13" x14ac:dyDescent="0.25">
      <c r="I6912" t="s">
        <v>10275</v>
      </c>
      <c r="J6912" s="161" t="s">
        <v>19202</v>
      </c>
      <c r="K6912" t="s">
        <v>19203</v>
      </c>
      <c r="L6912" t="s">
        <v>10274</v>
      </c>
      <c r="M6912" s="161" t="s">
        <v>19202</v>
      </c>
    </row>
    <row r="6913" spans="9:13" x14ac:dyDescent="0.25">
      <c r="I6913" t="s">
        <v>5100</v>
      </c>
      <c r="J6913" s="161" t="s">
        <v>19202</v>
      </c>
      <c r="K6913" t="s">
        <v>19203</v>
      </c>
      <c r="L6913" t="s">
        <v>5099</v>
      </c>
      <c r="M6913" s="161" t="s">
        <v>19202</v>
      </c>
    </row>
    <row r="6914" spans="9:13" x14ac:dyDescent="0.25">
      <c r="I6914" t="s">
        <v>3165</v>
      </c>
      <c r="J6914" s="161" t="s">
        <v>19202</v>
      </c>
      <c r="K6914" t="s">
        <v>19203</v>
      </c>
      <c r="L6914" t="s">
        <v>3164</v>
      </c>
      <c r="M6914" s="161" t="s">
        <v>19202</v>
      </c>
    </row>
    <row r="6915" spans="9:13" x14ac:dyDescent="0.25">
      <c r="I6915" t="s">
        <v>6279</v>
      </c>
      <c r="J6915" s="161" t="s">
        <v>19202</v>
      </c>
      <c r="K6915" t="s">
        <v>19203</v>
      </c>
      <c r="L6915" t="s">
        <v>6278</v>
      </c>
      <c r="M6915" s="161" t="s">
        <v>19202</v>
      </c>
    </row>
    <row r="6916" spans="9:13" x14ac:dyDescent="0.25">
      <c r="I6916" t="s">
        <v>11017</v>
      </c>
      <c r="J6916" s="161" t="s">
        <v>19202</v>
      </c>
      <c r="K6916" t="s">
        <v>19203</v>
      </c>
      <c r="L6916" t="s">
        <v>11016</v>
      </c>
      <c r="M6916" s="161" t="s">
        <v>19202</v>
      </c>
    </row>
    <row r="6917" spans="9:13" x14ac:dyDescent="0.25">
      <c r="I6917" t="s">
        <v>922</v>
      </c>
      <c r="J6917" s="161" t="s">
        <v>19202</v>
      </c>
      <c r="K6917" t="s">
        <v>19203</v>
      </c>
      <c r="L6917" t="s">
        <v>921</v>
      </c>
      <c r="M6917" s="161" t="s">
        <v>19202</v>
      </c>
    </row>
    <row r="6918" spans="9:13" x14ac:dyDescent="0.25">
      <c r="I6918" t="s">
        <v>14568</v>
      </c>
      <c r="J6918" s="161" t="s">
        <v>19202</v>
      </c>
      <c r="K6918" t="s">
        <v>19203</v>
      </c>
      <c r="L6918" t="s">
        <v>14567</v>
      </c>
      <c r="M6918" s="161" t="s">
        <v>19202</v>
      </c>
    </row>
    <row r="6919" spans="9:13" x14ac:dyDescent="0.25">
      <c r="I6919" t="s">
        <v>11012</v>
      </c>
      <c r="J6919" s="161" t="s">
        <v>19202</v>
      </c>
      <c r="K6919" t="s">
        <v>19203</v>
      </c>
      <c r="L6919" t="s">
        <v>11011</v>
      </c>
      <c r="M6919" s="161" t="s">
        <v>19202</v>
      </c>
    </row>
    <row r="6920" spans="9:13" x14ac:dyDescent="0.25">
      <c r="I6920" t="s">
        <v>6759</v>
      </c>
      <c r="J6920" s="161" t="s">
        <v>19202</v>
      </c>
      <c r="K6920" t="s">
        <v>19203</v>
      </c>
      <c r="L6920" t="s">
        <v>6758</v>
      </c>
      <c r="M6920" s="161" t="s">
        <v>19202</v>
      </c>
    </row>
    <row r="6921" spans="9:13" x14ac:dyDescent="0.25">
      <c r="I6921" t="s">
        <v>2385</v>
      </c>
      <c r="J6921" s="161" t="s">
        <v>19202</v>
      </c>
      <c r="K6921" t="s">
        <v>19203</v>
      </c>
      <c r="L6921" t="s">
        <v>2384</v>
      </c>
      <c r="M6921" s="161" t="s">
        <v>19202</v>
      </c>
    </row>
    <row r="6922" spans="9:13" x14ac:dyDescent="0.25">
      <c r="I6922" t="s">
        <v>6164</v>
      </c>
      <c r="J6922" s="161" t="s">
        <v>19202</v>
      </c>
      <c r="K6922" t="s">
        <v>19203</v>
      </c>
      <c r="L6922" t="s">
        <v>6163</v>
      </c>
      <c r="M6922" s="161" t="s">
        <v>19202</v>
      </c>
    </row>
    <row r="6923" spans="9:13" x14ac:dyDescent="0.25">
      <c r="I6923" t="s">
        <v>9790</v>
      </c>
      <c r="J6923" s="161" t="s">
        <v>19202</v>
      </c>
      <c r="K6923" t="s">
        <v>19203</v>
      </c>
      <c r="L6923" t="s">
        <v>9789</v>
      </c>
      <c r="M6923" s="161" t="s">
        <v>19202</v>
      </c>
    </row>
    <row r="6924" spans="9:13" x14ac:dyDescent="0.25">
      <c r="I6924" t="s">
        <v>14802</v>
      </c>
      <c r="J6924" s="161" t="s">
        <v>19202</v>
      </c>
      <c r="K6924" t="s">
        <v>19203</v>
      </c>
      <c r="L6924" t="s">
        <v>14801</v>
      </c>
      <c r="M6924" s="161" t="s">
        <v>19202</v>
      </c>
    </row>
    <row r="6925" spans="9:13" x14ac:dyDescent="0.25">
      <c r="I6925" t="s">
        <v>119</v>
      </c>
      <c r="J6925" s="161" t="s">
        <v>19202</v>
      </c>
      <c r="K6925" t="s">
        <v>19203</v>
      </c>
      <c r="L6925" t="s">
        <v>118</v>
      </c>
      <c r="M6925" s="161" t="s">
        <v>19202</v>
      </c>
    </row>
    <row r="6926" spans="9:13" x14ac:dyDescent="0.25">
      <c r="I6926" t="s">
        <v>499</v>
      </c>
      <c r="J6926" s="161" t="s">
        <v>19202</v>
      </c>
      <c r="K6926" t="s">
        <v>19203</v>
      </c>
      <c r="L6926" t="s">
        <v>498</v>
      </c>
      <c r="M6926" s="161" t="s">
        <v>19202</v>
      </c>
    </row>
    <row r="6927" spans="9:13" x14ac:dyDescent="0.25">
      <c r="I6927" t="s">
        <v>5612</v>
      </c>
      <c r="J6927" s="161" t="s">
        <v>19202</v>
      </c>
      <c r="K6927" t="s">
        <v>19203</v>
      </c>
      <c r="L6927" t="s">
        <v>5611</v>
      </c>
      <c r="M6927" s="161" t="s">
        <v>19202</v>
      </c>
    </row>
    <row r="6928" spans="9:13" x14ac:dyDescent="0.25">
      <c r="I6928" t="s">
        <v>4514</v>
      </c>
      <c r="J6928" s="161" t="s">
        <v>19202</v>
      </c>
      <c r="K6928" t="s">
        <v>19203</v>
      </c>
      <c r="L6928" t="s">
        <v>4513</v>
      </c>
      <c r="M6928" s="161" t="s">
        <v>19202</v>
      </c>
    </row>
    <row r="6929" spans="9:13" x14ac:dyDescent="0.25">
      <c r="I6929" t="s">
        <v>1513</v>
      </c>
      <c r="J6929" s="161" t="s">
        <v>19202</v>
      </c>
      <c r="K6929" t="s">
        <v>19203</v>
      </c>
      <c r="L6929" t="s">
        <v>1512</v>
      </c>
      <c r="M6929" s="161" t="s">
        <v>19202</v>
      </c>
    </row>
    <row r="6930" spans="9:13" x14ac:dyDescent="0.25">
      <c r="I6930" t="s">
        <v>17158</v>
      </c>
      <c r="J6930" s="161" t="s">
        <v>19202</v>
      </c>
      <c r="K6930" t="s">
        <v>19203</v>
      </c>
      <c r="L6930" t="s">
        <v>17157</v>
      </c>
      <c r="M6930" s="161" t="s">
        <v>19202</v>
      </c>
    </row>
    <row r="6931" spans="9:13" x14ac:dyDescent="0.25">
      <c r="I6931" t="s">
        <v>15893</v>
      </c>
      <c r="J6931" s="161" t="s">
        <v>19202</v>
      </c>
      <c r="K6931" t="s">
        <v>19203</v>
      </c>
      <c r="L6931" t="s">
        <v>4607</v>
      </c>
      <c r="M6931" s="161" t="s">
        <v>19202</v>
      </c>
    </row>
    <row r="6932" spans="9:13" x14ac:dyDescent="0.25">
      <c r="I6932" t="s">
        <v>4382</v>
      </c>
      <c r="J6932" s="161" t="s">
        <v>19202</v>
      </c>
      <c r="K6932" t="s">
        <v>19203</v>
      </c>
      <c r="L6932" t="s">
        <v>4381</v>
      </c>
      <c r="M6932" s="161" t="s">
        <v>19202</v>
      </c>
    </row>
    <row r="6933" spans="9:13" x14ac:dyDescent="0.25">
      <c r="I6933" t="s">
        <v>12512</v>
      </c>
      <c r="J6933" s="161" t="s">
        <v>19202</v>
      </c>
      <c r="K6933" t="s">
        <v>19203</v>
      </c>
      <c r="L6933" t="s">
        <v>12511</v>
      </c>
      <c r="M6933" s="161" t="s">
        <v>19202</v>
      </c>
    </row>
    <row r="6934" spans="9:13" x14ac:dyDescent="0.25">
      <c r="I6934" t="s">
        <v>5916</v>
      </c>
      <c r="J6934" s="161" t="s">
        <v>19202</v>
      </c>
      <c r="K6934" t="s">
        <v>19203</v>
      </c>
      <c r="L6934" t="s">
        <v>5915</v>
      </c>
      <c r="M6934" s="161" t="s">
        <v>19202</v>
      </c>
    </row>
    <row r="6935" spans="9:13" x14ac:dyDescent="0.25">
      <c r="I6935" t="s">
        <v>1970</v>
      </c>
      <c r="J6935" s="161" t="s">
        <v>19202</v>
      </c>
      <c r="K6935" t="s">
        <v>19203</v>
      </c>
      <c r="L6935" t="s">
        <v>1969</v>
      </c>
      <c r="M6935" s="161" t="s">
        <v>19202</v>
      </c>
    </row>
    <row r="6936" spans="9:13" x14ac:dyDescent="0.25">
      <c r="I6936" t="s">
        <v>14095</v>
      </c>
      <c r="J6936" s="161" t="s">
        <v>19202</v>
      </c>
      <c r="K6936" t="s">
        <v>19203</v>
      </c>
      <c r="L6936" t="s">
        <v>331</v>
      </c>
      <c r="M6936" s="161" t="s">
        <v>19202</v>
      </c>
    </row>
    <row r="6937" spans="9:13" x14ac:dyDescent="0.25">
      <c r="I6937" t="s">
        <v>4512</v>
      </c>
      <c r="J6937" s="161" t="s">
        <v>19202</v>
      </c>
      <c r="K6937" t="s">
        <v>19203</v>
      </c>
      <c r="L6937" t="s">
        <v>4511</v>
      </c>
      <c r="M6937" s="161" t="s">
        <v>19202</v>
      </c>
    </row>
    <row r="6938" spans="9:13" x14ac:dyDescent="0.25">
      <c r="I6938" t="s">
        <v>8832</v>
      </c>
      <c r="J6938" s="161" t="s">
        <v>19202</v>
      </c>
      <c r="K6938" t="s">
        <v>19203</v>
      </c>
      <c r="L6938" t="s">
        <v>8831</v>
      </c>
      <c r="M6938" s="161" t="s">
        <v>19202</v>
      </c>
    </row>
    <row r="6939" spans="9:13" x14ac:dyDescent="0.25">
      <c r="I6939" t="s">
        <v>3348</v>
      </c>
      <c r="J6939" s="161" t="s">
        <v>19202</v>
      </c>
      <c r="K6939" t="s">
        <v>19203</v>
      </c>
      <c r="L6939" t="s">
        <v>3347</v>
      </c>
      <c r="M6939" s="161" t="s">
        <v>19202</v>
      </c>
    </row>
    <row r="6940" spans="9:13" x14ac:dyDescent="0.25">
      <c r="I6940" t="s">
        <v>4826</v>
      </c>
      <c r="J6940" s="161" t="s">
        <v>19202</v>
      </c>
      <c r="K6940" t="s">
        <v>19203</v>
      </c>
      <c r="L6940" t="s">
        <v>4825</v>
      </c>
      <c r="M6940" s="161" t="s">
        <v>19202</v>
      </c>
    </row>
    <row r="6941" spans="9:13" x14ac:dyDescent="0.25">
      <c r="I6941" t="s">
        <v>10279</v>
      </c>
      <c r="J6941" s="161" t="s">
        <v>19202</v>
      </c>
      <c r="K6941" t="s">
        <v>19203</v>
      </c>
      <c r="L6941" t="s">
        <v>10278</v>
      </c>
      <c r="M6941" s="161" t="s">
        <v>19202</v>
      </c>
    </row>
    <row r="6942" spans="9:13" x14ac:dyDescent="0.25">
      <c r="I6942" t="s">
        <v>14907</v>
      </c>
      <c r="J6942" s="161" t="s">
        <v>19202</v>
      </c>
      <c r="K6942" t="s">
        <v>19203</v>
      </c>
      <c r="L6942" t="s">
        <v>14906</v>
      </c>
      <c r="M6942" s="161" t="s">
        <v>19202</v>
      </c>
    </row>
    <row r="6943" spans="9:13" x14ac:dyDescent="0.25">
      <c r="I6943" t="s">
        <v>20126</v>
      </c>
      <c r="J6943" s="161" t="s">
        <v>19202</v>
      </c>
      <c r="K6943" t="s">
        <v>19203</v>
      </c>
      <c r="L6943" t="s">
        <v>4637</v>
      </c>
      <c r="M6943" s="161" t="s">
        <v>19202</v>
      </c>
    </row>
    <row r="6944" spans="9:13" x14ac:dyDescent="0.25">
      <c r="I6944" t="s">
        <v>920</v>
      </c>
      <c r="J6944" s="161" t="s">
        <v>19202</v>
      </c>
      <c r="K6944" t="s">
        <v>19203</v>
      </c>
      <c r="L6944" t="s">
        <v>919</v>
      </c>
      <c r="M6944" s="161" t="s">
        <v>19202</v>
      </c>
    </row>
    <row r="6945" spans="9:13" x14ac:dyDescent="0.25">
      <c r="I6945" t="s">
        <v>4429</v>
      </c>
      <c r="J6945" s="161" t="s">
        <v>19202</v>
      </c>
      <c r="K6945" t="s">
        <v>19203</v>
      </c>
      <c r="L6945" t="s">
        <v>4428</v>
      </c>
      <c r="M6945" s="161" t="s">
        <v>19202</v>
      </c>
    </row>
    <row r="6946" spans="9:13" x14ac:dyDescent="0.25">
      <c r="I6946" t="s">
        <v>13030</v>
      </c>
      <c r="J6946" s="161" t="s">
        <v>19202</v>
      </c>
      <c r="K6946" t="s">
        <v>19203</v>
      </c>
      <c r="L6946" t="s">
        <v>13029</v>
      </c>
      <c r="M6946" s="161" t="s">
        <v>19202</v>
      </c>
    </row>
    <row r="6947" spans="9:13" x14ac:dyDescent="0.25">
      <c r="I6947" t="s">
        <v>2867</v>
      </c>
      <c r="J6947" s="161" t="s">
        <v>19202</v>
      </c>
      <c r="K6947" t="s">
        <v>19203</v>
      </c>
      <c r="L6947" t="s">
        <v>2866</v>
      </c>
      <c r="M6947" s="161" t="s">
        <v>19202</v>
      </c>
    </row>
    <row r="6948" spans="9:13" x14ac:dyDescent="0.25">
      <c r="I6948" t="s">
        <v>2863</v>
      </c>
      <c r="J6948" s="161" t="s">
        <v>19202</v>
      </c>
      <c r="K6948" t="s">
        <v>19203</v>
      </c>
      <c r="L6948" t="s">
        <v>2862</v>
      </c>
      <c r="M6948" s="161" t="s">
        <v>19202</v>
      </c>
    </row>
    <row r="6949" spans="9:13" x14ac:dyDescent="0.25">
      <c r="I6949" t="s">
        <v>2855</v>
      </c>
      <c r="J6949" s="161" t="s">
        <v>19202</v>
      </c>
      <c r="K6949" t="s">
        <v>19203</v>
      </c>
      <c r="L6949" t="s">
        <v>2854</v>
      </c>
      <c r="M6949" s="161" t="s">
        <v>19202</v>
      </c>
    </row>
    <row r="6950" spans="9:13" x14ac:dyDescent="0.25">
      <c r="I6950" t="s">
        <v>2853</v>
      </c>
      <c r="J6950" s="161" t="s">
        <v>19202</v>
      </c>
      <c r="K6950" t="s">
        <v>19203</v>
      </c>
      <c r="L6950" t="s">
        <v>2852</v>
      </c>
      <c r="M6950" s="161" t="s">
        <v>19202</v>
      </c>
    </row>
    <row r="6951" spans="9:13" x14ac:dyDescent="0.25">
      <c r="I6951" t="s">
        <v>10512</v>
      </c>
      <c r="J6951" s="161" t="s">
        <v>19202</v>
      </c>
      <c r="K6951" t="s">
        <v>19203</v>
      </c>
      <c r="L6951" t="s">
        <v>10511</v>
      </c>
      <c r="M6951" s="161" t="s">
        <v>19202</v>
      </c>
    </row>
    <row r="6952" spans="9:13" x14ac:dyDescent="0.25">
      <c r="I6952" t="s">
        <v>2294</v>
      </c>
      <c r="J6952" s="161" t="s">
        <v>19202</v>
      </c>
      <c r="K6952" t="s">
        <v>19203</v>
      </c>
      <c r="L6952" t="s">
        <v>2293</v>
      </c>
      <c r="M6952" s="161" t="s">
        <v>19202</v>
      </c>
    </row>
    <row r="6953" spans="9:13" x14ac:dyDescent="0.25">
      <c r="I6953" t="s">
        <v>16626</v>
      </c>
      <c r="J6953" s="161" t="s">
        <v>19202</v>
      </c>
      <c r="K6953" t="s">
        <v>19203</v>
      </c>
      <c r="L6953" t="s">
        <v>16625</v>
      </c>
      <c r="M6953" s="161" t="s">
        <v>19202</v>
      </c>
    </row>
    <row r="6954" spans="9:13" x14ac:dyDescent="0.25">
      <c r="I6954" t="s">
        <v>14092</v>
      </c>
      <c r="J6954" s="161" t="s">
        <v>19202</v>
      </c>
      <c r="K6954" t="s">
        <v>19203</v>
      </c>
      <c r="L6954" t="s">
        <v>14091</v>
      </c>
      <c r="M6954" s="161" t="s">
        <v>19202</v>
      </c>
    </row>
    <row r="6955" spans="9:13" x14ac:dyDescent="0.25">
      <c r="I6955" t="s">
        <v>6757</v>
      </c>
      <c r="J6955" s="161" t="s">
        <v>19202</v>
      </c>
      <c r="K6955" t="s">
        <v>19203</v>
      </c>
      <c r="L6955" t="s">
        <v>6756</v>
      </c>
      <c r="M6955" s="161" t="s">
        <v>19202</v>
      </c>
    </row>
    <row r="6956" spans="9:13" x14ac:dyDescent="0.25">
      <c r="I6956" t="s">
        <v>15927</v>
      </c>
      <c r="J6956" s="161" t="s">
        <v>19202</v>
      </c>
      <c r="K6956" t="s">
        <v>19203</v>
      </c>
      <c r="L6956" t="s">
        <v>1520</v>
      </c>
      <c r="M6956" s="161" t="s">
        <v>19202</v>
      </c>
    </row>
    <row r="6957" spans="9:13" x14ac:dyDescent="0.25">
      <c r="I6957" t="s">
        <v>4979</v>
      </c>
      <c r="J6957" s="161" t="s">
        <v>19202</v>
      </c>
      <c r="K6957" t="s">
        <v>19203</v>
      </c>
      <c r="L6957" t="s">
        <v>4978</v>
      </c>
      <c r="M6957" s="161" t="s">
        <v>19202</v>
      </c>
    </row>
    <row r="6958" spans="9:13" x14ac:dyDescent="0.25">
      <c r="I6958" t="s">
        <v>11645</v>
      </c>
      <c r="J6958" s="161" t="s">
        <v>19202</v>
      </c>
      <c r="K6958" t="s">
        <v>19203</v>
      </c>
      <c r="L6958" t="s">
        <v>11644</v>
      </c>
      <c r="M6958" s="161" t="s">
        <v>19202</v>
      </c>
    </row>
    <row r="6959" spans="9:13" x14ac:dyDescent="0.25">
      <c r="I6959" t="s">
        <v>2272</v>
      </c>
      <c r="J6959" s="161" t="s">
        <v>19202</v>
      </c>
      <c r="K6959" t="s">
        <v>19203</v>
      </c>
      <c r="L6959" t="s">
        <v>2271</v>
      </c>
      <c r="M6959" s="161" t="s">
        <v>19202</v>
      </c>
    </row>
    <row r="6960" spans="9:13" x14ac:dyDescent="0.25">
      <c r="I6960" t="s">
        <v>9563</v>
      </c>
      <c r="J6960" s="161" t="s">
        <v>19202</v>
      </c>
      <c r="K6960" t="s">
        <v>19203</v>
      </c>
      <c r="L6960" t="s">
        <v>9562</v>
      </c>
      <c r="M6960" s="161" t="s">
        <v>19202</v>
      </c>
    </row>
    <row r="6961" spans="9:13" x14ac:dyDescent="0.25">
      <c r="I6961" t="s">
        <v>17188</v>
      </c>
      <c r="J6961" s="161" t="s">
        <v>19202</v>
      </c>
      <c r="K6961" t="s">
        <v>19203</v>
      </c>
      <c r="L6961" t="s">
        <v>17187</v>
      </c>
      <c r="M6961" s="161" t="s">
        <v>19202</v>
      </c>
    </row>
    <row r="6962" spans="9:13" x14ac:dyDescent="0.25">
      <c r="I6962" t="s">
        <v>20127</v>
      </c>
      <c r="J6962" s="161" t="s">
        <v>19202</v>
      </c>
      <c r="K6962" t="s">
        <v>19203</v>
      </c>
      <c r="L6962" t="s">
        <v>3682</v>
      </c>
      <c r="M6962" s="161" t="s">
        <v>19202</v>
      </c>
    </row>
    <row r="6963" spans="9:13" x14ac:dyDescent="0.25">
      <c r="I6963" t="s">
        <v>491</v>
      </c>
      <c r="J6963" s="161" t="s">
        <v>19202</v>
      </c>
      <c r="K6963" t="s">
        <v>19203</v>
      </c>
      <c r="L6963" t="s">
        <v>490</v>
      </c>
      <c r="M6963" s="161" t="s">
        <v>19202</v>
      </c>
    </row>
    <row r="6964" spans="9:13" x14ac:dyDescent="0.25">
      <c r="I6964" t="s">
        <v>2403</v>
      </c>
      <c r="J6964" s="161" t="s">
        <v>19202</v>
      </c>
      <c r="K6964" t="s">
        <v>19203</v>
      </c>
      <c r="L6964" t="s">
        <v>2402</v>
      </c>
      <c r="M6964" s="161" t="s">
        <v>19202</v>
      </c>
    </row>
    <row r="6965" spans="9:13" x14ac:dyDescent="0.25">
      <c r="I6965" t="s">
        <v>20128</v>
      </c>
      <c r="J6965" s="161" t="s">
        <v>19202</v>
      </c>
      <c r="K6965" t="s">
        <v>19203</v>
      </c>
      <c r="L6965" t="s">
        <v>20129</v>
      </c>
      <c r="M6965" s="161" t="s">
        <v>19202</v>
      </c>
    </row>
    <row r="6966" spans="9:13" x14ac:dyDescent="0.25">
      <c r="I6966" t="s">
        <v>20130</v>
      </c>
      <c r="J6966" s="161" t="s">
        <v>19202</v>
      </c>
      <c r="K6966" t="s">
        <v>19203</v>
      </c>
      <c r="L6966" t="s">
        <v>20131</v>
      </c>
      <c r="M6966" s="161" t="s">
        <v>19202</v>
      </c>
    </row>
    <row r="6967" spans="9:13" x14ac:dyDescent="0.25">
      <c r="I6967" t="s">
        <v>10810</v>
      </c>
      <c r="J6967" s="161" t="s">
        <v>19202</v>
      </c>
      <c r="K6967" t="s">
        <v>19203</v>
      </c>
      <c r="L6967" t="s">
        <v>24</v>
      </c>
      <c r="M6967" s="161" t="s">
        <v>19202</v>
      </c>
    </row>
    <row r="6968" spans="9:13" x14ac:dyDescent="0.25">
      <c r="I6968" t="s">
        <v>6497</v>
      </c>
      <c r="J6968" s="161" t="s">
        <v>19202</v>
      </c>
      <c r="K6968" t="s">
        <v>19203</v>
      </c>
      <c r="L6968" t="s">
        <v>6496</v>
      </c>
      <c r="M6968" s="161" t="s">
        <v>19202</v>
      </c>
    </row>
    <row r="6969" spans="9:13" x14ac:dyDescent="0.25">
      <c r="I6969" t="s">
        <v>20132</v>
      </c>
      <c r="J6969" s="161" t="s">
        <v>19202</v>
      </c>
      <c r="K6969" t="s">
        <v>19203</v>
      </c>
      <c r="L6969" t="s">
        <v>697</v>
      </c>
      <c r="M6969" s="161" t="s">
        <v>19202</v>
      </c>
    </row>
    <row r="6970" spans="9:13" x14ac:dyDescent="0.25">
      <c r="I6970" t="s">
        <v>11973</v>
      </c>
      <c r="J6970" s="161" t="s">
        <v>19202</v>
      </c>
      <c r="K6970" t="s">
        <v>19203</v>
      </c>
      <c r="L6970" t="s">
        <v>11972</v>
      </c>
      <c r="M6970" s="161" t="s">
        <v>19202</v>
      </c>
    </row>
    <row r="6971" spans="9:13" x14ac:dyDescent="0.25">
      <c r="I6971" t="s">
        <v>18030</v>
      </c>
      <c r="J6971" s="161" t="s">
        <v>19202</v>
      </c>
      <c r="K6971" t="s">
        <v>19203</v>
      </c>
      <c r="L6971" t="s">
        <v>18029</v>
      </c>
      <c r="M6971" s="161" t="s">
        <v>19202</v>
      </c>
    </row>
    <row r="6972" spans="9:13" x14ac:dyDescent="0.25">
      <c r="I6972" t="s">
        <v>5302</v>
      </c>
      <c r="J6972" s="161" t="s">
        <v>19202</v>
      </c>
      <c r="K6972" t="s">
        <v>19203</v>
      </c>
      <c r="L6972" t="s">
        <v>5301</v>
      </c>
      <c r="M6972" s="161" t="s">
        <v>19202</v>
      </c>
    </row>
    <row r="6973" spans="9:13" x14ac:dyDescent="0.25">
      <c r="I6973" t="s">
        <v>9110</v>
      </c>
      <c r="J6973" s="161" t="s">
        <v>19202</v>
      </c>
      <c r="K6973" t="s">
        <v>19203</v>
      </c>
      <c r="L6973" t="s">
        <v>9109</v>
      </c>
      <c r="M6973" s="161" t="s">
        <v>19202</v>
      </c>
    </row>
    <row r="6974" spans="9:13" x14ac:dyDescent="0.25">
      <c r="I6974" t="s">
        <v>2865</v>
      </c>
      <c r="J6974" s="161" t="s">
        <v>19202</v>
      </c>
      <c r="K6974" t="s">
        <v>19203</v>
      </c>
      <c r="L6974" t="s">
        <v>2864</v>
      </c>
      <c r="M6974" s="161" t="s">
        <v>19202</v>
      </c>
    </row>
    <row r="6975" spans="9:13" x14ac:dyDescent="0.25">
      <c r="I6975" t="s">
        <v>6377</v>
      </c>
      <c r="J6975" s="161" t="s">
        <v>19202</v>
      </c>
      <c r="K6975" t="s">
        <v>19203</v>
      </c>
      <c r="L6975" t="s">
        <v>6376</v>
      </c>
      <c r="M6975" s="161" t="s">
        <v>19202</v>
      </c>
    </row>
    <row r="6976" spans="9:13" x14ac:dyDescent="0.25">
      <c r="I6976" t="s">
        <v>4648</v>
      </c>
      <c r="J6976" s="161" t="s">
        <v>19202</v>
      </c>
      <c r="K6976" t="s">
        <v>19203</v>
      </c>
      <c r="L6976" t="s">
        <v>4647</v>
      </c>
      <c r="M6976" s="161" t="s">
        <v>19202</v>
      </c>
    </row>
    <row r="6977" spans="9:13" x14ac:dyDescent="0.25">
      <c r="I6977" t="s">
        <v>14408</v>
      </c>
      <c r="J6977" s="161" t="s">
        <v>19202</v>
      </c>
      <c r="K6977" t="s">
        <v>19203</v>
      </c>
      <c r="L6977" t="s">
        <v>14407</v>
      </c>
      <c r="M6977" s="161" t="s">
        <v>19202</v>
      </c>
    </row>
    <row r="6978" spans="9:13" x14ac:dyDescent="0.25">
      <c r="I6978" t="s">
        <v>2589</v>
      </c>
      <c r="J6978" s="161" t="s">
        <v>19202</v>
      </c>
      <c r="K6978" t="s">
        <v>19203</v>
      </c>
      <c r="L6978" t="s">
        <v>2588</v>
      </c>
      <c r="M6978" s="161" t="s">
        <v>19202</v>
      </c>
    </row>
    <row r="6979" spans="9:13" x14ac:dyDescent="0.25">
      <c r="I6979" t="s">
        <v>3030</v>
      </c>
      <c r="J6979" s="161" t="s">
        <v>19202</v>
      </c>
      <c r="K6979" t="s">
        <v>19203</v>
      </c>
      <c r="L6979" t="s">
        <v>3029</v>
      </c>
      <c r="M6979" s="161" t="s">
        <v>19202</v>
      </c>
    </row>
    <row r="6980" spans="9:13" x14ac:dyDescent="0.25">
      <c r="I6980" t="s">
        <v>10894</v>
      </c>
      <c r="J6980" s="161" t="s">
        <v>19202</v>
      </c>
      <c r="K6980" t="s">
        <v>19203</v>
      </c>
      <c r="L6980" t="s">
        <v>10893</v>
      </c>
      <c r="M6980" s="161" t="s">
        <v>19202</v>
      </c>
    </row>
    <row r="6981" spans="9:13" x14ac:dyDescent="0.25">
      <c r="I6981" t="s">
        <v>16666</v>
      </c>
      <c r="J6981" s="161" t="s">
        <v>19202</v>
      </c>
      <c r="K6981" t="s">
        <v>19203</v>
      </c>
      <c r="L6981" t="s">
        <v>16665</v>
      </c>
      <c r="M6981" s="161" t="s">
        <v>19202</v>
      </c>
    </row>
    <row r="6982" spans="9:13" x14ac:dyDescent="0.25">
      <c r="I6982" t="s">
        <v>15238</v>
      </c>
      <c r="J6982" s="161" t="s">
        <v>19202</v>
      </c>
      <c r="K6982" t="s">
        <v>19203</v>
      </c>
      <c r="L6982" t="s">
        <v>15237</v>
      </c>
      <c r="M6982" s="161" t="s">
        <v>19202</v>
      </c>
    </row>
    <row r="6983" spans="9:13" x14ac:dyDescent="0.25">
      <c r="I6983" t="s">
        <v>2391</v>
      </c>
      <c r="J6983" s="161" t="s">
        <v>19202</v>
      </c>
      <c r="K6983" t="s">
        <v>19203</v>
      </c>
      <c r="L6983" t="s">
        <v>2390</v>
      </c>
      <c r="M6983" s="161" t="s">
        <v>19202</v>
      </c>
    </row>
    <row r="6984" spans="9:13" x14ac:dyDescent="0.25">
      <c r="I6984" t="s">
        <v>17010</v>
      </c>
      <c r="J6984" s="161" t="s">
        <v>19202</v>
      </c>
      <c r="K6984" t="s">
        <v>19203</v>
      </c>
      <c r="L6984" t="s">
        <v>17009</v>
      </c>
      <c r="M6984" s="161" t="s">
        <v>19202</v>
      </c>
    </row>
    <row r="6985" spans="9:13" x14ac:dyDescent="0.25">
      <c r="I6985" t="s">
        <v>20133</v>
      </c>
      <c r="J6985" s="161" t="s">
        <v>19202</v>
      </c>
      <c r="K6985" t="s">
        <v>19203</v>
      </c>
      <c r="L6985" t="s">
        <v>1208</v>
      </c>
      <c r="M6985" s="161" t="s">
        <v>19202</v>
      </c>
    </row>
    <row r="6986" spans="9:13" x14ac:dyDescent="0.25">
      <c r="I6986" t="s">
        <v>6375</v>
      </c>
      <c r="J6986" s="161" t="s">
        <v>19202</v>
      </c>
      <c r="K6986" t="s">
        <v>19203</v>
      </c>
      <c r="L6986" t="s">
        <v>6374</v>
      </c>
      <c r="M6986" s="161" t="s">
        <v>19202</v>
      </c>
    </row>
    <row r="6987" spans="9:13" x14ac:dyDescent="0.25">
      <c r="I6987" t="s">
        <v>20134</v>
      </c>
      <c r="J6987" s="161" t="s">
        <v>19202</v>
      </c>
      <c r="K6987" t="s">
        <v>19203</v>
      </c>
      <c r="L6987" t="s">
        <v>20135</v>
      </c>
      <c r="M6987" s="161" t="s">
        <v>19202</v>
      </c>
    </row>
    <row r="6988" spans="9:13" x14ac:dyDescent="0.25">
      <c r="I6988" t="s">
        <v>13902</v>
      </c>
      <c r="J6988" s="161" t="s">
        <v>19202</v>
      </c>
      <c r="K6988" t="s">
        <v>19203</v>
      </c>
      <c r="L6988" t="s">
        <v>3682</v>
      </c>
      <c r="M6988" s="161" t="s">
        <v>19202</v>
      </c>
    </row>
    <row r="6989" spans="9:13" x14ac:dyDescent="0.25">
      <c r="I6989" t="s">
        <v>13570</v>
      </c>
      <c r="J6989" s="161" t="s">
        <v>19202</v>
      </c>
      <c r="K6989" t="s">
        <v>19203</v>
      </c>
      <c r="L6989" t="s">
        <v>13569</v>
      </c>
      <c r="M6989" s="161" t="s">
        <v>19202</v>
      </c>
    </row>
    <row r="6990" spans="9:13" x14ac:dyDescent="0.25">
      <c r="I6990" t="s">
        <v>14001</v>
      </c>
      <c r="J6990" s="161" t="s">
        <v>19202</v>
      </c>
      <c r="K6990" t="s">
        <v>19203</v>
      </c>
      <c r="L6990" t="s">
        <v>14000</v>
      </c>
      <c r="M6990" s="161" t="s">
        <v>19202</v>
      </c>
    </row>
    <row r="6991" spans="9:13" x14ac:dyDescent="0.25">
      <c r="I6991" t="s">
        <v>8796</v>
      </c>
      <c r="J6991" s="161" t="s">
        <v>19202</v>
      </c>
      <c r="K6991" t="s">
        <v>19203</v>
      </c>
      <c r="L6991" t="s">
        <v>8795</v>
      </c>
      <c r="M6991" s="161" t="s">
        <v>19202</v>
      </c>
    </row>
    <row r="6992" spans="9:13" x14ac:dyDescent="0.25">
      <c r="I6992" t="s">
        <v>2851</v>
      </c>
      <c r="J6992" s="161" t="s">
        <v>19202</v>
      </c>
      <c r="K6992" t="s">
        <v>19203</v>
      </c>
      <c r="L6992" t="s">
        <v>2850</v>
      </c>
      <c r="M6992" s="161" t="s">
        <v>19202</v>
      </c>
    </row>
    <row r="6993" spans="9:13" x14ac:dyDescent="0.25">
      <c r="I6993" t="s">
        <v>6354</v>
      </c>
      <c r="J6993" s="161" t="s">
        <v>19202</v>
      </c>
      <c r="K6993" t="s">
        <v>19203</v>
      </c>
      <c r="L6993" t="s">
        <v>6353</v>
      </c>
      <c r="M6993" s="161" t="s">
        <v>19202</v>
      </c>
    </row>
    <row r="6994" spans="9:13" x14ac:dyDescent="0.25">
      <c r="I6994" t="s">
        <v>14722</v>
      </c>
      <c r="J6994" s="161" t="s">
        <v>19202</v>
      </c>
      <c r="K6994" t="s">
        <v>19203</v>
      </c>
      <c r="L6994" t="s">
        <v>14721</v>
      </c>
      <c r="M6994" s="161" t="s">
        <v>19202</v>
      </c>
    </row>
    <row r="6995" spans="9:13" x14ac:dyDescent="0.25">
      <c r="I6995" t="s">
        <v>13568</v>
      </c>
      <c r="J6995" s="161" t="s">
        <v>19202</v>
      </c>
      <c r="K6995" t="s">
        <v>19203</v>
      </c>
      <c r="L6995" t="s">
        <v>13567</v>
      </c>
      <c r="M6995" s="161" t="s">
        <v>19202</v>
      </c>
    </row>
    <row r="6996" spans="9:13" x14ac:dyDescent="0.25">
      <c r="I6996" t="s">
        <v>14720</v>
      </c>
      <c r="J6996" s="161" t="s">
        <v>19202</v>
      </c>
      <c r="K6996" t="s">
        <v>19203</v>
      </c>
      <c r="L6996" t="s">
        <v>14719</v>
      </c>
      <c r="M6996" s="161" t="s">
        <v>19202</v>
      </c>
    </row>
    <row r="6997" spans="9:13" x14ac:dyDescent="0.25">
      <c r="I6997" t="s">
        <v>4221</v>
      </c>
      <c r="J6997" s="161" t="s">
        <v>19202</v>
      </c>
      <c r="K6997" t="s">
        <v>19203</v>
      </c>
      <c r="L6997" t="s">
        <v>4220</v>
      </c>
      <c r="M6997" s="161" t="s">
        <v>19202</v>
      </c>
    </row>
    <row r="6998" spans="9:13" x14ac:dyDescent="0.25">
      <c r="I6998" t="s">
        <v>8400</v>
      </c>
      <c r="J6998" s="161" t="s">
        <v>19202</v>
      </c>
      <c r="K6998" t="s">
        <v>19203</v>
      </c>
      <c r="L6998" t="s">
        <v>8399</v>
      </c>
      <c r="M6998" s="161" t="s">
        <v>19202</v>
      </c>
    </row>
    <row r="6999" spans="9:13" x14ac:dyDescent="0.25">
      <c r="I6999" t="s">
        <v>8398</v>
      </c>
      <c r="J6999" s="161" t="s">
        <v>19202</v>
      </c>
      <c r="K6999" t="s">
        <v>19203</v>
      </c>
      <c r="L6999" t="s">
        <v>8397</v>
      </c>
      <c r="M6999" s="161" t="s">
        <v>19202</v>
      </c>
    </row>
    <row r="7000" spans="9:13" x14ac:dyDescent="0.25">
      <c r="I7000" t="s">
        <v>16871</v>
      </c>
      <c r="J7000" s="161" t="s">
        <v>19202</v>
      </c>
      <c r="K7000" t="s">
        <v>19203</v>
      </c>
      <c r="L7000" t="s">
        <v>5221</v>
      </c>
      <c r="M7000" s="161" t="s">
        <v>19202</v>
      </c>
    </row>
    <row r="7001" spans="9:13" x14ac:dyDescent="0.25">
      <c r="I7001" t="s">
        <v>17013</v>
      </c>
      <c r="J7001" s="161" t="s">
        <v>19202</v>
      </c>
      <c r="K7001" t="s">
        <v>19203</v>
      </c>
      <c r="L7001" t="s">
        <v>4607</v>
      </c>
      <c r="M7001" s="161" t="s">
        <v>19202</v>
      </c>
    </row>
    <row r="7002" spans="9:13" x14ac:dyDescent="0.25">
      <c r="I7002" t="s">
        <v>20136</v>
      </c>
      <c r="J7002" s="161" t="s">
        <v>19202</v>
      </c>
      <c r="K7002" t="s">
        <v>19203</v>
      </c>
      <c r="L7002" t="s">
        <v>13578</v>
      </c>
      <c r="M7002" s="161" t="s">
        <v>19202</v>
      </c>
    </row>
    <row r="7003" spans="9:13" x14ac:dyDescent="0.25">
      <c r="I7003" t="s">
        <v>2200</v>
      </c>
      <c r="J7003" s="161" t="s">
        <v>19202</v>
      </c>
      <c r="K7003" t="s">
        <v>19203</v>
      </c>
      <c r="L7003" t="s">
        <v>2199</v>
      </c>
      <c r="M7003" s="161" t="s">
        <v>19202</v>
      </c>
    </row>
    <row r="7004" spans="9:13" x14ac:dyDescent="0.25">
      <c r="I7004" t="s">
        <v>20137</v>
      </c>
      <c r="J7004" s="161" t="s">
        <v>19202</v>
      </c>
      <c r="K7004" t="s">
        <v>19203</v>
      </c>
      <c r="L7004" t="s">
        <v>6564</v>
      </c>
      <c r="M7004" s="161" t="s">
        <v>19202</v>
      </c>
    </row>
    <row r="7005" spans="9:13" x14ac:dyDescent="0.25">
      <c r="I7005" t="s">
        <v>11019</v>
      </c>
      <c r="J7005" s="161" t="s">
        <v>19202</v>
      </c>
      <c r="K7005" t="s">
        <v>19203</v>
      </c>
      <c r="L7005" t="s">
        <v>11018</v>
      </c>
      <c r="M7005" s="161" t="s">
        <v>19202</v>
      </c>
    </row>
    <row r="7006" spans="9:13" x14ac:dyDescent="0.25">
      <c r="I7006" t="s">
        <v>12003</v>
      </c>
      <c r="J7006" s="161" t="s">
        <v>19202</v>
      </c>
      <c r="K7006" t="s">
        <v>19203</v>
      </c>
      <c r="L7006" t="s">
        <v>12002</v>
      </c>
      <c r="M7006" s="161" t="s">
        <v>19202</v>
      </c>
    </row>
    <row r="7007" spans="9:13" x14ac:dyDescent="0.25">
      <c r="I7007" t="s">
        <v>6792</v>
      </c>
      <c r="J7007" s="161" t="s">
        <v>19202</v>
      </c>
      <c r="K7007" t="s">
        <v>19203</v>
      </c>
      <c r="L7007" t="s">
        <v>6791</v>
      </c>
      <c r="M7007" s="161" t="s">
        <v>19202</v>
      </c>
    </row>
    <row r="7008" spans="9:13" x14ac:dyDescent="0.25">
      <c r="I7008" t="s">
        <v>944</v>
      </c>
      <c r="J7008" s="161" t="s">
        <v>19202</v>
      </c>
      <c r="K7008" t="s">
        <v>19203</v>
      </c>
      <c r="L7008" t="s">
        <v>943</v>
      </c>
      <c r="M7008" s="161" t="s">
        <v>19202</v>
      </c>
    </row>
    <row r="7009" spans="9:13" x14ac:dyDescent="0.25">
      <c r="I7009" t="s">
        <v>20138</v>
      </c>
      <c r="J7009" s="161" t="s">
        <v>19202</v>
      </c>
      <c r="K7009" t="s">
        <v>19203</v>
      </c>
      <c r="L7009" t="s">
        <v>20139</v>
      </c>
      <c r="M7009" s="161" t="s">
        <v>19202</v>
      </c>
    </row>
    <row r="7010" spans="9:13" x14ac:dyDescent="0.25">
      <c r="I7010" t="s">
        <v>12204</v>
      </c>
      <c r="J7010" s="161" t="s">
        <v>19202</v>
      </c>
      <c r="K7010" t="s">
        <v>19203</v>
      </c>
      <c r="L7010" t="s">
        <v>12203</v>
      </c>
      <c r="M7010" s="161" t="s">
        <v>19202</v>
      </c>
    </row>
    <row r="7011" spans="9:13" x14ac:dyDescent="0.25">
      <c r="I7011" t="s">
        <v>15657</v>
      </c>
      <c r="J7011" s="161" t="s">
        <v>19202</v>
      </c>
      <c r="K7011" t="s">
        <v>19203</v>
      </c>
      <c r="L7011" t="s">
        <v>15656</v>
      </c>
      <c r="M7011" s="161" t="s">
        <v>19202</v>
      </c>
    </row>
    <row r="7012" spans="9:13" x14ac:dyDescent="0.25">
      <c r="I7012" t="s">
        <v>15436</v>
      </c>
      <c r="J7012" s="161" t="s">
        <v>19202</v>
      </c>
      <c r="K7012" t="s">
        <v>19203</v>
      </c>
      <c r="L7012" t="s">
        <v>5221</v>
      </c>
      <c r="M7012" s="161" t="s">
        <v>19202</v>
      </c>
    </row>
    <row r="7013" spans="9:13" x14ac:dyDescent="0.25">
      <c r="I7013" t="s">
        <v>6465</v>
      </c>
      <c r="J7013" s="161" t="s">
        <v>19202</v>
      </c>
      <c r="K7013" t="s">
        <v>19203</v>
      </c>
      <c r="L7013" t="s">
        <v>6464</v>
      </c>
      <c r="M7013" s="161" t="s">
        <v>19202</v>
      </c>
    </row>
    <row r="7014" spans="9:13" x14ac:dyDescent="0.25">
      <c r="I7014" t="s">
        <v>16664</v>
      </c>
      <c r="J7014" s="161" t="s">
        <v>19202</v>
      </c>
      <c r="K7014" t="s">
        <v>19203</v>
      </c>
      <c r="L7014" t="s">
        <v>16663</v>
      </c>
      <c r="M7014" s="161" t="s">
        <v>19202</v>
      </c>
    </row>
    <row r="7015" spans="9:13" x14ac:dyDescent="0.25">
      <c r="I7015" t="s">
        <v>20140</v>
      </c>
      <c r="J7015" s="161" t="s">
        <v>19202</v>
      </c>
      <c r="K7015" t="s">
        <v>19203</v>
      </c>
      <c r="L7015" t="s">
        <v>20141</v>
      </c>
      <c r="M7015" s="161" t="s">
        <v>19202</v>
      </c>
    </row>
    <row r="7016" spans="9:13" x14ac:dyDescent="0.25">
      <c r="I7016" t="s">
        <v>2917</v>
      </c>
      <c r="J7016" s="161" t="s">
        <v>19202</v>
      </c>
      <c r="K7016" t="s">
        <v>19203</v>
      </c>
      <c r="L7016" t="s">
        <v>2916</v>
      </c>
      <c r="M7016" s="161" t="s">
        <v>19202</v>
      </c>
    </row>
    <row r="7017" spans="9:13" x14ac:dyDescent="0.25">
      <c r="I7017" t="s">
        <v>10812</v>
      </c>
      <c r="J7017" s="161" t="s">
        <v>19202</v>
      </c>
      <c r="K7017" t="s">
        <v>19203</v>
      </c>
      <c r="L7017" t="s">
        <v>10811</v>
      </c>
      <c r="M7017" s="161" t="s">
        <v>19202</v>
      </c>
    </row>
    <row r="7018" spans="9:13" x14ac:dyDescent="0.25">
      <c r="I7018" t="s">
        <v>11657</v>
      </c>
      <c r="J7018" s="161" t="s">
        <v>19202</v>
      </c>
      <c r="K7018" t="s">
        <v>19203</v>
      </c>
      <c r="L7018" t="s">
        <v>11656</v>
      </c>
      <c r="M7018" s="161" t="s">
        <v>19202</v>
      </c>
    </row>
    <row r="7019" spans="9:13" x14ac:dyDescent="0.25">
      <c r="I7019" t="s">
        <v>6576</v>
      </c>
      <c r="J7019" s="161" t="s">
        <v>19202</v>
      </c>
      <c r="K7019" t="s">
        <v>19203</v>
      </c>
      <c r="L7019" t="s">
        <v>6575</v>
      </c>
      <c r="M7019" s="161" t="s">
        <v>19202</v>
      </c>
    </row>
    <row r="7020" spans="9:13" x14ac:dyDescent="0.25">
      <c r="I7020" t="s">
        <v>14094</v>
      </c>
      <c r="J7020" s="161" t="s">
        <v>19202</v>
      </c>
      <c r="K7020" t="s">
        <v>19203</v>
      </c>
      <c r="L7020" t="s">
        <v>14093</v>
      </c>
      <c r="M7020" s="161" t="s">
        <v>19202</v>
      </c>
    </row>
    <row r="7021" spans="9:13" x14ac:dyDescent="0.25">
      <c r="I7021" t="s">
        <v>12908</v>
      </c>
      <c r="J7021" s="161" t="s">
        <v>19202</v>
      </c>
      <c r="K7021" t="s">
        <v>19203</v>
      </c>
      <c r="L7021" t="s">
        <v>12907</v>
      </c>
      <c r="M7021" s="161" t="s">
        <v>19202</v>
      </c>
    </row>
    <row r="7022" spans="9:13" x14ac:dyDescent="0.25">
      <c r="I7022" t="s">
        <v>20142</v>
      </c>
      <c r="J7022" s="161" t="s">
        <v>19202</v>
      </c>
      <c r="K7022" t="s">
        <v>19203</v>
      </c>
      <c r="L7022" t="s">
        <v>3524</v>
      </c>
      <c r="M7022" s="161" t="s">
        <v>19202</v>
      </c>
    </row>
    <row r="7023" spans="9:13" x14ac:dyDescent="0.25">
      <c r="I7023" t="s">
        <v>3193</v>
      </c>
      <c r="J7023" s="161" t="s">
        <v>19202</v>
      </c>
      <c r="K7023" t="s">
        <v>19203</v>
      </c>
      <c r="L7023" t="s">
        <v>3192</v>
      </c>
      <c r="M7023" s="161" t="s">
        <v>19202</v>
      </c>
    </row>
    <row r="7024" spans="9:13" x14ac:dyDescent="0.25">
      <c r="I7024" t="s">
        <v>3189</v>
      </c>
      <c r="J7024" s="161" t="s">
        <v>19202</v>
      </c>
      <c r="K7024" t="s">
        <v>19203</v>
      </c>
      <c r="L7024" t="s">
        <v>3188</v>
      </c>
      <c r="M7024" s="161" t="s">
        <v>19202</v>
      </c>
    </row>
    <row r="7025" spans="9:13" x14ac:dyDescent="0.25">
      <c r="I7025" t="s">
        <v>3312</v>
      </c>
      <c r="J7025" s="161" t="s">
        <v>19202</v>
      </c>
      <c r="K7025" t="s">
        <v>19203</v>
      </c>
      <c r="L7025" t="s">
        <v>3311</v>
      </c>
      <c r="M7025" s="161" t="s">
        <v>19202</v>
      </c>
    </row>
    <row r="7026" spans="9:13" x14ac:dyDescent="0.25">
      <c r="I7026" t="s">
        <v>3105</v>
      </c>
      <c r="J7026" s="161" t="s">
        <v>19202</v>
      </c>
      <c r="K7026" t="s">
        <v>19203</v>
      </c>
      <c r="L7026" t="s">
        <v>3104</v>
      </c>
      <c r="M7026" s="161" t="s">
        <v>19202</v>
      </c>
    </row>
    <row r="7027" spans="9:13" x14ac:dyDescent="0.25">
      <c r="I7027" t="s">
        <v>3103</v>
      </c>
      <c r="J7027" s="161" t="s">
        <v>19202</v>
      </c>
      <c r="K7027" t="s">
        <v>19203</v>
      </c>
      <c r="L7027" t="s">
        <v>3102</v>
      </c>
      <c r="M7027" s="161" t="s">
        <v>19202</v>
      </c>
    </row>
    <row r="7028" spans="9:13" x14ac:dyDescent="0.25">
      <c r="I7028" t="s">
        <v>16526</v>
      </c>
      <c r="J7028" s="161" t="s">
        <v>19202</v>
      </c>
      <c r="K7028" t="s">
        <v>19203</v>
      </c>
      <c r="L7028" t="s">
        <v>5419</v>
      </c>
      <c r="M7028" s="161" t="s">
        <v>19202</v>
      </c>
    </row>
    <row r="7029" spans="9:13" x14ac:dyDescent="0.25">
      <c r="I7029" t="s">
        <v>20143</v>
      </c>
      <c r="J7029" s="161" t="s">
        <v>19202</v>
      </c>
      <c r="K7029" t="s">
        <v>19203</v>
      </c>
      <c r="L7029" t="s">
        <v>20144</v>
      </c>
      <c r="M7029" s="161" t="s">
        <v>19202</v>
      </c>
    </row>
    <row r="7030" spans="9:13" x14ac:dyDescent="0.25">
      <c r="I7030" t="s">
        <v>3067</v>
      </c>
      <c r="J7030" s="161" t="s">
        <v>19202</v>
      </c>
      <c r="K7030" t="s">
        <v>19203</v>
      </c>
      <c r="L7030" t="s">
        <v>3066</v>
      </c>
      <c r="M7030" s="161" t="s">
        <v>19202</v>
      </c>
    </row>
    <row r="7031" spans="9:13" x14ac:dyDescent="0.25">
      <c r="I7031" t="s">
        <v>373</v>
      </c>
      <c r="J7031" s="161" t="s">
        <v>19202</v>
      </c>
      <c r="K7031" t="s">
        <v>19203</v>
      </c>
      <c r="L7031" t="s">
        <v>372</v>
      </c>
      <c r="M7031" s="161" t="s">
        <v>19202</v>
      </c>
    </row>
    <row r="7032" spans="9:13" x14ac:dyDescent="0.25">
      <c r="I7032" t="s">
        <v>10391</v>
      </c>
      <c r="J7032" s="161" t="s">
        <v>19202</v>
      </c>
      <c r="K7032" t="s">
        <v>19203</v>
      </c>
      <c r="L7032" t="s">
        <v>10390</v>
      </c>
      <c r="M7032" s="161" t="s">
        <v>19202</v>
      </c>
    </row>
    <row r="7033" spans="9:13" x14ac:dyDescent="0.25">
      <c r="I7033" t="s">
        <v>9647</v>
      </c>
      <c r="J7033" s="161" t="s">
        <v>19202</v>
      </c>
      <c r="K7033" t="s">
        <v>19203</v>
      </c>
      <c r="L7033" t="s">
        <v>9646</v>
      </c>
      <c r="M7033" s="161" t="s">
        <v>19202</v>
      </c>
    </row>
    <row r="7034" spans="9:13" x14ac:dyDescent="0.25">
      <c r="I7034" t="s">
        <v>6373</v>
      </c>
      <c r="J7034" s="161" t="s">
        <v>19202</v>
      </c>
      <c r="K7034" t="s">
        <v>19203</v>
      </c>
      <c r="L7034" t="s">
        <v>6372</v>
      </c>
      <c r="M7034" s="161" t="s">
        <v>19202</v>
      </c>
    </row>
    <row r="7035" spans="9:13" x14ac:dyDescent="0.25">
      <c r="I7035" t="s">
        <v>11529</v>
      </c>
      <c r="J7035" s="161" t="s">
        <v>19202</v>
      </c>
      <c r="K7035" t="s">
        <v>19203</v>
      </c>
      <c r="L7035" t="s">
        <v>11528</v>
      </c>
      <c r="M7035" s="161" t="s">
        <v>19202</v>
      </c>
    </row>
    <row r="7036" spans="9:13" x14ac:dyDescent="0.25">
      <c r="I7036" t="s">
        <v>5910</v>
      </c>
      <c r="J7036" s="161" t="s">
        <v>19202</v>
      </c>
      <c r="K7036" t="s">
        <v>19203</v>
      </c>
      <c r="L7036" t="s">
        <v>5909</v>
      </c>
      <c r="M7036" s="161" t="s">
        <v>19202</v>
      </c>
    </row>
    <row r="7037" spans="9:13" x14ac:dyDescent="0.25">
      <c r="I7037" t="s">
        <v>6588</v>
      </c>
      <c r="J7037" s="161" t="s">
        <v>19202</v>
      </c>
      <c r="K7037" t="s">
        <v>19203</v>
      </c>
      <c r="L7037" t="s">
        <v>3524</v>
      </c>
      <c r="M7037" s="161" t="s">
        <v>19202</v>
      </c>
    </row>
    <row r="7038" spans="9:13" x14ac:dyDescent="0.25">
      <c r="I7038" t="s">
        <v>6653</v>
      </c>
      <c r="J7038" s="161" t="s">
        <v>19202</v>
      </c>
      <c r="K7038" t="s">
        <v>19203</v>
      </c>
      <c r="L7038" t="s">
        <v>6652</v>
      </c>
      <c r="M7038" s="161" t="s">
        <v>19202</v>
      </c>
    </row>
    <row r="7039" spans="9:13" x14ac:dyDescent="0.25">
      <c r="I7039" t="s">
        <v>10731</v>
      </c>
      <c r="J7039" s="161" t="s">
        <v>19202</v>
      </c>
      <c r="K7039" t="s">
        <v>19203</v>
      </c>
      <c r="L7039" t="s">
        <v>10730</v>
      </c>
      <c r="M7039" s="161" t="s">
        <v>19202</v>
      </c>
    </row>
    <row r="7040" spans="9:13" x14ac:dyDescent="0.25">
      <c r="I7040" t="s">
        <v>20145</v>
      </c>
      <c r="J7040" s="161" t="s">
        <v>19202</v>
      </c>
      <c r="K7040" t="s">
        <v>19203</v>
      </c>
      <c r="L7040" t="s">
        <v>20146</v>
      </c>
      <c r="M7040" s="161" t="s">
        <v>19202</v>
      </c>
    </row>
    <row r="7041" spans="9:13" x14ac:dyDescent="0.25">
      <c r="I7041" t="s">
        <v>497</v>
      </c>
      <c r="J7041" s="161" t="s">
        <v>19202</v>
      </c>
      <c r="K7041" t="s">
        <v>19203</v>
      </c>
      <c r="L7041" t="s">
        <v>496</v>
      </c>
      <c r="M7041" s="161" t="s">
        <v>19202</v>
      </c>
    </row>
    <row r="7042" spans="9:13" x14ac:dyDescent="0.25">
      <c r="I7042" t="s">
        <v>9935</v>
      </c>
      <c r="J7042" s="161" t="s">
        <v>19202</v>
      </c>
      <c r="K7042" t="s">
        <v>19203</v>
      </c>
      <c r="L7042" t="s">
        <v>9934</v>
      </c>
      <c r="M7042" s="161" t="s">
        <v>19202</v>
      </c>
    </row>
    <row r="7043" spans="9:13" x14ac:dyDescent="0.25">
      <c r="I7043" t="s">
        <v>7419</v>
      </c>
      <c r="J7043" s="161" t="s">
        <v>19202</v>
      </c>
      <c r="K7043" t="s">
        <v>19203</v>
      </c>
      <c r="L7043" t="s">
        <v>7418</v>
      </c>
      <c r="M7043" s="161" t="s">
        <v>19202</v>
      </c>
    </row>
    <row r="7044" spans="9:13" x14ac:dyDescent="0.25">
      <c r="I7044" t="s">
        <v>10951</v>
      </c>
      <c r="J7044" s="161" t="s">
        <v>19202</v>
      </c>
      <c r="K7044" t="s">
        <v>19203</v>
      </c>
      <c r="L7044" t="s">
        <v>10950</v>
      </c>
      <c r="M7044" s="161" t="s">
        <v>19202</v>
      </c>
    </row>
    <row r="7045" spans="9:13" x14ac:dyDescent="0.25">
      <c r="I7045" t="s">
        <v>20147</v>
      </c>
      <c r="J7045" s="161" t="s">
        <v>19202</v>
      </c>
      <c r="K7045" t="s">
        <v>19203</v>
      </c>
      <c r="L7045" t="s">
        <v>20148</v>
      </c>
      <c r="M7045" s="161" t="s">
        <v>19202</v>
      </c>
    </row>
    <row r="7046" spans="9:13" x14ac:dyDescent="0.25">
      <c r="I7046" t="s">
        <v>11834</v>
      </c>
      <c r="J7046" s="161" t="s">
        <v>19202</v>
      </c>
      <c r="K7046" t="s">
        <v>19203</v>
      </c>
      <c r="L7046" t="s">
        <v>3738</v>
      </c>
      <c r="M7046" s="161" t="s">
        <v>19202</v>
      </c>
    </row>
    <row r="7047" spans="9:13" x14ac:dyDescent="0.25">
      <c r="I7047" t="s">
        <v>17120</v>
      </c>
      <c r="J7047" s="161" t="s">
        <v>19202</v>
      </c>
      <c r="K7047" t="s">
        <v>19203</v>
      </c>
      <c r="L7047" t="s">
        <v>17119</v>
      </c>
      <c r="M7047" s="161" t="s">
        <v>19202</v>
      </c>
    </row>
    <row r="7048" spans="9:13" x14ac:dyDescent="0.25">
      <c r="I7048" t="s">
        <v>9308</v>
      </c>
      <c r="J7048" s="161" t="s">
        <v>19202</v>
      </c>
      <c r="K7048" t="s">
        <v>19203</v>
      </c>
      <c r="L7048" t="s">
        <v>9307</v>
      </c>
      <c r="M7048" s="161" t="s">
        <v>19202</v>
      </c>
    </row>
    <row r="7049" spans="9:13" x14ac:dyDescent="0.25">
      <c r="I7049" t="s">
        <v>9068</v>
      </c>
      <c r="J7049" s="161" t="s">
        <v>19202</v>
      </c>
      <c r="K7049" t="s">
        <v>19203</v>
      </c>
      <c r="L7049" t="s">
        <v>9067</v>
      </c>
      <c r="M7049" s="161" t="s">
        <v>19202</v>
      </c>
    </row>
    <row r="7050" spans="9:13" x14ac:dyDescent="0.25">
      <c r="I7050" t="s">
        <v>7893</v>
      </c>
      <c r="J7050" s="161" t="s">
        <v>19202</v>
      </c>
      <c r="K7050" t="s">
        <v>19203</v>
      </c>
      <c r="L7050" t="s">
        <v>7892</v>
      </c>
      <c r="M7050" s="161" t="s">
        <v>19202</v>
      </c>
    </row>
    <row r="7051" spans="9:13" x14ac:dyDescent="0.25">
      <c r="I7051" t="s">
        <v>10368</v>
      </c>
      <c r="J7051" s="161" t="s">
        <v>19202</v>
      </c>
      <c r="K7051" t="s">
        <v>19203</v>
      </c>
      <c r="L7051" t="s">
        <v>10367</v>
      </c>
      <c r="M7051" s="161" t="s">
        <v>19202</v>
      </c>
    </row>
    <row r="7052" spans="9:13" x14ac:dyDescent="0.25">
      <c r="I7052" t="s">
        <v>3925</v>
      </c>
      <c r="J7052" s="161" t="s">
        <v>19202</v>
      </c>
      <c r="K7052" t="s">
        <v>19203</v>
      </c>
      <c r="L7052" t="s">
        <v>3924</v>
      </c>
      <c r="M7052" s="161" t="s">
        <v>19202</v>
      </c>
    </row>
    <row r="7053" spans="9:13" x14ac:dyDescent="0.25">
      <c r="I7053" t="s">
        <v>11513</v>
      </c>
      <c r="J7053" s="161" t="s">
        <v>19202</v>
      </c>
      <c r="K7053" t="s">
        <v>19203</v>
      </c>
      <c r="L7053" t="s">
        <v>1944</v>
      </c>
      <c r="M7053" s="161" t="s">
        <v>19202</v>
      </c>
    </row>
    <row r="7054" spans="9:13" x14ac:dyDescent="0.25">
      <c r="I7054" t="s">
        <v>14747</v>
      </c>
      <c r="J7054" s="161" t="s">
        <v>19202</v>
      </c>
      <c r="K7054" t="s">
        <v>19203</v>
      </c>
      <c r="L7054" t="s">
        <v>14746</v>
      </c>
      <c r="M7054" s="161" t="s">
        <v>19202</v>
      </c>
    </row>
    <row r="7055" spans="9:13" x14ac:dyDescent="0.25">
      <c r="I7055" t="s">
        <v>14745</v>
      </c>
      <c r="J7055" s="161" t="s">
        <v>19202</v>
      </c>
      <c r="K7055" t="s">
        <v>19203</v>
      </c>
      <c r="L7055" t="s">
        <v>14744</v>
      </c>
      <c r="M7055" s="161" t="s">
        <v>19202</v>
      </c>
    </row>
    <row r="7056" spans="9:13" x14ac:dyDescent="0.25">
      <c r="I7056" t="s">
        <v>20149</v>
      </c>
      <c r="J7056" s="161" t="s">
        <v>19202</v>
      </c>
      <c r="K7056" t="s">
        <v>19203</v>
      </c>
      <c r="L7056" t="s">
        <v>20150</v>
      </c>
      <c r="M7056" s="161" t="s">
        <v>19202</v>
      </c>
    </row>
    <row r="7057" spans="9:13" x14ac:dyDescent="0.25">
      <c r="I7057" t="s">
        <v>4320</v>
      </c>
      <c r="J7057" s="161" t="s">
        <v>19202</v>
      </c>
      <c r="K7057" t="s">
        <v>19203</v>
      </c>
      <c r="L7057" t="s">
        <v>4319</v>
      </c>
      <c r="M7057" s="161" t="s">
        <v>19202</v>
      </c>
    </row>
    <row r="7058" spans="9:13" x14ac:dyDescent="0.25">
      <c r="I7058" t="s">
        <v>12906</v>
      </c>
      <c r="J7058" s="161" t="s">
        <v>19202</v>
      </c>
      <c r="K7058" t="s">
        <v>19203</v>
      </c>
      <c r="L7058" t="s">
        <v>12905</v>
      </c>
      <c r="M7058" s="161" t="s">
        <v>19202</v>
      </c>
    </row>
    <row r="7059" spans="9:13" x14ac:dyDescent="0.25">
      <c r="I7059" t="s">
        <v>12904</v>
      </c>
      <c r="J7059" s="161" t="s">
        <v>19202</v>
      </c>
      <c r="K7059" t="s">
        <v>19203</v>
      </c>
      <c r="L7059" t="s">
        <v>12903</v>
      </c>
      <c r="M7059" s="161" t="s">
        <v>19202</v>
      </c>
    </row>
    <row r="7060" spans="9:13" x14ac:dyDescent="0.25">
      <c r="I7060" t="s">
        <v>6475</v>
      </c>
      <c r="J7060" s="161" t="s">
        <v>19202</v>
      </c>
      <c r="K7060" t="s">
        <v>19203</v>
      </c>
      <c r="L7060" t="s">
        <v>6474</v>
      </c>
      <c r="M7060" s="161" t="s">
        <v>19202</v>
      </c>
    </row>
    <row r="7061" spans="9:13" x14ac:dyDescent="0.25">
      <c r="I7061" t="s">
        <v>5681</v>
      </c>
      <c r="J7061" s="161" t="s">
        <v>19202</v>
      </c>
      <c r="K7061" t="s">
        <v>19203</v>
      </c>
      <c r="L7061" t="s">
        <v>5680</v>
      </c>
      <c r="M7061" s="161" t="s">
        <v>19202</v>
      </c>
    </row>
    <row r="7062" spans="9:13" x14ac:dyDescent="0.25">
      <c r="I7062" t="s">
        <v>4550</v>
      </c>
      <c r="J7062" s="161" t="s">
        <v>19202</v>
      </c>
      <c r="K7062" t="s">
        <v>19203</v>
      </c>
      <c r="L7062" t="s">
        <v>1409</v>
      </c>
      <c r="M7062" s="161" t="s">
        <v>19202</v>
      </c>
    </row>
    <row r="7063" spans="9:13" x14ac:dyDescent="0.25">
      <c r="I7063" t="s">
        <v>17620</v>
      </c>
      <c r="J7063" s="161" t="s">
        <v>19202</v>
      </c>
      <c r="K7063" t="s">
        <v>19203</v>
      </c>
      <c r="L7063" t="s">
        <v>17619</v>
      </c>
      <c r="M7063" s="161" t="s">
        <v>19202</v>
      </c>
    </row>
    <row r="7064" spans="9:13" x14ac:dyDescent="0.25">
      <c r="I7064" t="s">
        <v>2875</v>
      </c>
      <c r="J7064" s="161" t="s">
        <v>19202</v>
      </c>
      <c r="K7064" t="s">
        <v>19203</v>
      </c>
      <c r="L7064" t="s">
        <v>2874</v>
      </c>
      <c r="M7064" s="161" t="s">
        <v>19202</v>
      </c>
    </row>
    <row r="7065" spans="9:13" x14ac:dyDescent="0.25">
      <c r="I7065" t="s">
        <v>2907</v>
      </c>
      <c r="J7065" s="161" t="s">
        <v>19202</v>
      </c>
      <c r="K7065" t="s">
        <v>19203</v>
      </c>
      <c r="L7065" t="s">
        <v>2906</v>
      </c>
      <c r="M7065" s="161" t="s">
        <v>19202</v>
      </c>
    </row>
    <row r="7066" spans="9:13" x14ac:dyDescent="0.25">
      <c r="I7066" t="s">
        <v>2407</v>
      </c>
      <c r="J7066" s="161" t="s">
        <v>19202</v>
      </c>
      <c r="K7066" t="s">
        <v>19203</v>
      </c>
      <c r="L7066" t="s">
        <v>2406</v>
      </c>
      <c r="M7066" s="161" t="s">
        <v>19202</v>
      </c>
    </row>
    <row r="7067" spans="9:13" x14ac:dyDescent="0.25">
      <c r="I7067" t="s">
        <v>2405</v>
      </c>
      <c r="J7067" s="161" t="s">
        <v>19202</v>
      </c>
      <c r="K7067" t="s">
        <v>19203</v>
      </c>
      <c r="L7067" t="s">
        <v>2404</v>
      </c>
      <c r="M7067" s="161" t="s">
        <v>19202</v>
      </c>
    </row>
    <row r="7068" spans="9:13" x14ac:dyDescent="0.25">
      <c r="I7068" t="s">
        <v>2387</v>
      </c>
      <c r="J7068" s="161" t="s">
        <v>19202</v>
      </c>
      <c r="K7068" t="s">
        <v>19203</v>
      </c>
      <c r="L7068" t="s">
        <v>2386</v>
      </c>
      <c r="M7068" s="161" t="s">
        <v>19202</v>
      </c>
    </row>
    <row r="7069" spans="9:13" x14ac:dyDescent="0.25">
      <c r="I7069" t="s">
        <v>7654</v>
      </c>
      <c r="J7069" s="161" t="s">
        <v>19202</v>
      </c>
      <c r="K7069" t="s">
        <v>19203</v>
      </c>
      <c r="L7069" t="s">
        <v>7653</v>
      </c>
      <c r="M7069" s="161" t="s">
        <v>19202</v>
      </c>
    </row>
    <row r="7070" spans="9:13" x14ac:dyDescent="0.25">
      <c r="I7070" t="s">
        <v>3191</v>
      </c>
      <c r="J7070" s="161" t="s">
        <v>19202</v>
      </c>
      <c r="K7070" t="s">
        <v>19203</v>
      </c>
      <c r="L7070" t="s">
        <v>3190</v>
      </c>
      <c r="M7070" s="161" t="s">
        <v>19202</v>
      </c>
    </row>
    <row r="7071" spans="9:13" x14ac:dyDescent="0.25">
      <c r="I7071" t="s">
        <v>16260</v>
      </c>
      <c r="J7071" s="161" t="s">
        <v>19202</v>
      </c>
      <c r="K7071" t="s">
        <v>19203</v>
      </c>
      <c r="L7071" t="s">
        <v>16259</v>
      </c>
      <c r="M7071" s="161" t="s">
        <v>19202</v>
      </c>
    </row>
    <row r="7072" spans="9:13" x14ac:dyDescent="0.25">
      <c r="I7072" t="s">
        <v>3511</v>
      </c>
      <c r="J7072" s="161" t="s">
        <v>19202</v>
      </c>
      <c r="K7072" t="s">
        <v>19203</v>
      </c>
      <c r="L7072" t="s">
        <v>3510</v>
      </c>
      <c r="M7072" s="161" t="s">
        <v>19202</v>
      </c>
    </row>
    <row r="7073" spans="9:13" x14ac:dyDescent="0.25">
      <c r="I7073" t="s">
        <v>17012</v>
      </c>
      <c r="J7073" s="161" t="s">
        <v>19202</v>
      </c>
      <c r="K7073" t="s">
        <v>19203</v>
      </c>
      <c r="L7073" t="s">
        <v>17011</v>
      </c>
      <c r="M7073" s="161" t="s">
        <v>19202</v>
      </c>
    </row>
    <row r="7074" spans="9:13" x14ac:dyDescent="0.25">
      <c r="I7074" t="s">
        <v>4118</v>
      </c>
      <c r="J7074" s="161" t="s">
        <v>19202</v>
      </c>
      <c r="K7074" t="s">
        <v>19203</v>
      </c>
      <c r="L7074" t="s">
        <v>4117</v>
      </c>
      <c r="M7074" s="161" t="s">
        <v>19202</v>
      </c>
    </row>
    <row r="7075" spans="9:13" x14ac:dyDescent="0.25">
      <c r="I7075" t="s">
        <v>14965</v>
      </c>
      <c r="J7075" s="161" t="s">
        <v>19202</v>
      </c>
      <c r="K7075" t="s">
        <v>19203</v>
      </c>
      <c r="L7075" t="s">
        <v>14964</v>
      </c>
      <c r="M7075" s="161" t="s">
        <v>19202</v>
      </c>
    </row>
    <row r="7076" spans="9:13" x14ac:dyDescent="0.25">
      <c r="I7076" t="s">
        <v>2413</v>
      </c>
      <c r="J7076" s="161" t="s">
        <v>19202</v>
      </c>
      <c r="K7076" t="s">
        <v>19203</v>
      </c>
      <c r="L7076" t="s">
        <v>2412</v>
      </c>
      <c r="M7076" s="161" t="s">
        <v>19202</v>
      </c>
    </row>
    <row r="7077" spans="9:13" x14ac:dyDescent="0.25">
      <c r="I7077" t="s">
        <v>2393</v>
      </c>
      <c r="J7077" s="161" t="s">
        <v>19202</v>
      </c>
      <c r="K7077" t="s">
        <v>19203</v>
      </c>
      <c r="L7077" t="s">
        <v>2392</v>
      </c>
      <c r="M7077" s="161" t="s">
        <v>19202</v>
      </c>
    </row>
    <row r="7078" spans="9:13" x14ac:dyDescent="0.25">
      <c r="I7078" t="s">
        <v>10131</v>
      </c>
      <c r="J7078" s="161" t="s">
        <v>19202</v>
      </c>
      <c r="K7078" t="s">
        <v>19203</v>
      </c>
      <c r="L7078" t="s">
        <v>10130</v>
      </c>
      <c r="M7078" s="161" t="s">
        <v>19202</v>
      </c>
    </row>
    <row r="7079" spans="9:13" x14ac:dyDescent="0.25">
      <c r="I7079" t="s">
        <v>15619</v>
      </c>
      <c r="J7079" s="161" t="s">
        <v>19202</v>
      </c>
      <c r="K7079" t="s">
        <v>19203</v>
      </c>
      <c r="L7079" t="s">
        <v>15618</v>
      </c>
      <c r="M7079" s="161" t="s">
        <v>19202</v>
      </c>
    </row>
    <row r="7080" spans="9:13" x14ac:dyDescent="0.25">
      <c r="I7080" t="s">
        <v>3350</v>
      </c>
      <c r="J7080" s="161" t="s">
        <v>19202</v>
      </c>
      <c r="K7080" t="s">
        <v>19203</v>
      </c>
      <c r="L7080" t="s">
        <v>3349</v>
      </c>
      <c r="M7080" s="161" t="s">
        <v>19202</v>
      </c>
    </row>
    <row r="7081" spans="9:13" x14ac:dyDescent="0.25">
      <c r="I7081" t="s">
        <v>10853</v>
      </c>
      <c r="J7081" s="161" t="s">
        <v>19202</v>
      </c>
      <c r="K7081" t="s">
        <v>19203</v>
      </c>
      <c r="L7081" t="s">
        <v>6715</v>
      </c>
      <c r="M7081" s="161" t="s">
        <v>19202</v>
      </c>
    </row>
    <row r="7082" spans="9:13" x14ac:dyDescent="0.25">
      <c r="I7082" t="s">
        <v>15591</v>
      </c>
      <c r="J7082" s="161" t="s">
        <v>19202</v>
      </c>
      <c r="K7082" t="s">
        <v>19203</v>
      </c>
      <c r="L7082" t="s">
        <v>15590</v>
      </c>
      <c r="M7082" s="161" t="s">
        <v>19202</v>
      </c>
    </row>
    <row r="7083" spans="9:13" x14ac:dyDescent="0.25">
      <c r="I7083" t="s">
        <v>3994</v>
      </c>
      <c r="J7083" s="161" t="s">
        <v>19202</v>
      </c>
      <c r="K7083" t="s">
        <v>19203</v>
      </c>
      <c r="L7083" t="s">
        <v>3993</v>
      </c>
      <c r="M7083" s="161" t="s">
        <v>19202</v>
      </c>
    </row>
    <row r="7084" spans="9:13" x14ac:dyDescent="0.25">
      <c r="I7084" t="s">
        <v>369</v>
      </c>
      <c r="J7084" s="161" t="s">
        <v>19202</v>
      </c>
      <c r="K7084" t="s">
        <v>19203</v>
      </c>
      <c r="L7084" t="s">
        <v>368</v>
      </c>
      <c r="M7084" s="161" t="s">
        <v>19202</v>
      </c>
    </row>
    <row r="7085" spans="9:13" x14ac:dyDescent="0.25">
      <c r="I7085" t="s">
        <v>5808</v>
      </c>
      <c r="J7085" s="161" t="s">
        <v>19202</v>
      </c>
      <c r="K7085" t="s">
        <v>19203</v>
      </c>
      <c r="L7085" t="s">
        <v>5807</v>
      </c>
      <c r="M7085" s="161" t="s">
        <v>19202</v>
      </c>
    </row>
    <row r="7086" spans="9:13" x14ac:dyDescent="0.25">
      <c r="I7086" t="s">
        <v>14723</v>
      </c>
      <c r="J7086" s="161" t="s">
        <v>19202</v>
      </c>
      <c r="K7086" t="s">
        <v>19203</v>
      </c>
      <c r="L7086" t="s">
        <v>4607</v>
      </c>
      <c r="M7086" s="161" t="s">
        <v>19202</v>
      </c>
    </row>
    <row r="7087" spans="9:13" x14ac:dyDescent="0.25">
      <c r="I7087" t="s">
        <v>6303</v>
      </c>
      <c r="J7087" s="161" t="s">
        <v>19202</v>
      </c>
      <c r="K7087" t="s">
        <v>19203</v>
      </c>
      <c r="L7087" t="s">
        <v>6247</v>
      </c>
      <c r="M7087" s="161" t="s">
        <v>19202</v>
      </c>
    </row>
    <row r="7088" spans="9:13" x14ac:dyDescent="0.25">
      <c r="I7088" t="s">
        <v>2270</v>
      </c>
      <c r="J7088" s="161" t="s">
        <v>19202</v>
      </c>
      <c r="K7088" t="s">
        <v>19203</v>
      </c>
      <c r="L7088" t="s">
        <v>2269</v>
      </c>
      <c r="M7088" s="161" t="s">
        <v>19202</v>
      </c>
    </row>
    <row r="7089" spans="9:13" x14ac:dyDescent="0.25">
      <c r="I7089" t="s">
        <v>20151</v>
      </c>
      <c r="J7089" s="161" t="s">
        <v>19202</v>
      </c>
      <c r="K7089" t="s">
        <v>19203</v>
      </c>
      <c r="L7089" t="s">
        <v>20152</v>
      </c>
      <c r="M7089" s="161" t="s">
        <v>19202</v>
      </c>
    </row>
    <row r="7090" spans="9:13" x14ac:dyDescent="0.25">
      <c r="I7090" t="s">
        <v>6309</v>
      </c>
      <c r="J7090" s="161" t="s">
        <v>19202</v>
      </c>
      <c r="K7090" t="s">
        <v>19203</v>
      </c>
      <c r="L7090" t="s">
        <v>6308</v>
      </c>
      <c r="M7090" s="161" t="s">
        <v>19202</v>
      </c>
    </row>
    <row r="7091" spans="9:13" x14ac:dyDescent="0.25">
      <c r="I7091" t="s">
        <v>8712</v>
      </c>
      <c r="J7091" s="161" t="s">
        <v>19202</v>
      </c>
      <c r="K7091" t="s">
        <v>19203</v>
      </c>
      <c r="L7091" t="s">
        <v>8711</v>
      </c>
      <c r="M7091" s="161" t="s">
        <v>19202</v>
      </c>
    </row>
    <row r="7092" spans="9:13" x14ac:dyDescent="0.25">
      <c r="I7092" t="s">
        <v>15593</v>
      </c>
      <c r="J7092" s="161" t="s">
        <v>19202</v>
      </c>
      <c r="K7092" t="s">
        <v>19203</v>
      </c>
      <c r="L7092" t="s">
        <v>15592</v>
      </c>
      <c r="M7092" s="161" t="s">
        <v>19202</v>
      </c>
    </row>
    <row r="7093" spans="9:13" x14ac:dyDescent="0.25">
      <c r="I7093" t="s">
        <v>9314</v>
      </c>
      <c r="J7093" s="161" t="s">
        <v>19202</v>
      </c>
      <c r="K7093" t="s">
        <v>19203</v>
      </c>
      <c r="L7093" t="s">
        <v>9313</v>
      </c>
      <c r="M7093" s="161" t="s">
        <v>19202</v>
      </c>
    </row>
    <row r="7094" spans="9:13" x14ac:dyDescent="0.25">
      <c r="I7094" t="s">
        <v>9312</v>
      </c>
      <c r="J7094" s="161" t="s">
        <v>19202</v>
      </c>
      <c r="K7094" t="s">
        <v>19203</v>
      </c>
      <c r="L7094" t="s">
        <v>9311</v>
      </c>
      <c r="M7094" s="161" t="s">
        <v>19202</v>
      </c>
    </row>
    <row r="7095" spans="9:13" x14ac:dyDescent="0.25">
      <c r="I7095" t="s">
        <v>6510</v>
      </c>
      <c r="J7095" s="161" t="s">
        <v>19202</v>
      </c>
      <c r="K7095" t="s">
        <v>19203</v>
      </c>
      <c r="L7095" t="s">
        <v>6509</v>
      </c>
      <c r="M7095" s="161" t="s">
        <v>19202</v>
      </c>
    </row>
    <row r="7096" spans="9:13" x14ac:dyDescent="0.25">
      <c r="I7096" t="s">
        <v>6314</v>
      </c>
      <c r="J7096" s="161" t="s">
        <v>19202</v>
      </c>
      <c r="K7096" t="s">
        <v>19203</v>
      </c>
      <c r="L7096" t="s">
        <v>6313</v>
      </c>
      <c r="M7096" s="161" t="s">
        <v>19202</v>
      </c>
    </row>
    <row r="7097" spans="9:13" x14ac:dyDescent="0.25">
      <c r="I7097" t="s">
        <v>20153</v>
      </c>
      <c r="J7097" s="161" t="s">
        <v>19202</v>
      </c>
      <c r="K7097" t="s">
        <v>19203</v>
      </c>
      <c r="L7097" t="s">
        <v>20154</v>
      </c>
      <c r="M7097" s="161" t="s">
        <v>19202</v>
      </c>
    </row>
    <row r="7098" spans="9:13" x14ac:dyDescent="0.25">
      <c r="I7098" t="s">
        <v>10941</v>
      </c>
      <c r="J7098" s="161" t="s">
        <v>19202</v>
      </c>
      <c r="K7098" t="s">
        <v>19203</v>
      </c>
      <c r="L7098" t="s">
        <v>10940</v>
      </c>
      <c r="M7098" s="161" t="s">
        <v>19202</v>
      </c>
    </row>
    <row r="7099" spans="9:13" x14ac:dyDescent="0.25">
      <c r="I7099" t="s">
        <v>6685</v>
      </c>
      <c r="J7099" s="161" t="s">
        <v>19202</v>
      </c>
      <c r="K7099" t="s">
        <v>19203</v>
      </c>
      <c r="L7099" t="s">
        <v>6684</v>
      </c>
      <c r="M7099" s="161" t="s">
        <v>19202</v>
      </c>
    </row>
    <row r="7100" spans="9:13" x14ac:dyDescent="0.25">
      <c r="I7100" t="s">
        <v>14974</v>
      </c>
      <c r="J7100" s="161" t="s">
        <v>19202</v>
      </c>
      <c r="K7100" t="s">
        <v>19203</v>
      </c>
      <c r="L7100" t="s">
        <v>14973</v>
      </c>
      <c r="M7100" s="161" t="s">
        <v>19202</v>
      </c>
    </row>
    <row r="7101" spans="9:13" x14ac:dyDescent="0.25">
      <c r="I7101" t="s">
        <v>10664</v>
      </c>
      <c r="J7101" s="161" t="s">
        <v>19202</v>
      </c>
      <c r="K7101" t="s">
        <v>19203</v>
      </c>
      <c r="L7101" t="s">
        <v>10663</v>
      </c>
      <c r="M7101" s="161" t="s">
        <v>19202</v>
      </c>
    </row>
    <row r="7102" spans="9:13" x14ac:dyDescent="0.25">
      <c r="I7102" t="s">
        <v>2905</v>
      </c>
      <c r="J7102" s="161" t="s">
        <v>19202</v>
      </c>
      <c r="K7102" t="s">
        <v>19203</v>
      </c>
      <c r="L7102" t="s">
        <v>2904</v>
      </c>
      <c r="M7102" s="161" t="s">
        <v>19202</v>
      </c>
    </row>
    <row r="7103" spans="9:13" x14ac:dyDescent="0.25">
      <c r="I7103" t="s">
        <v>2909</v>
      </c>
      <c r="J7103" s="161" t="s">
        <v>19202</v>
      </c>
      <c r="K7103" t="s">
        <v>19203</v>
      </c>
      <c r="L7103" t="s">
        <v>2908</v>
      </c>
      <c r="M7103" s="161" t="s">
        <v>19202</v>
      </c>
    </row>
    <row r="7104" spans="9:13" x14ac:dyDescent="0.25">
      <c r="I7104" t="s">
        <v>2899</v>
      </c>
      <c r="J7104" s="161" t="s">
        <v>19202</v>
      </c>
      <c r="K7104" t="s">
        <v>19203</v>
      </c>
      <c r="L7104" t="s">
        <v>2898</v>
      </c>
      <c r="M7104" s="161" t="s">
        <v>19202</v>
      </c>
    </row>
    <row r="7105" spans="9:13" x14ac:dyDescent="0.25">
      <c r="I7105" t="s">
        <v>5751</v>
      </c>
      <c r="J7105" s="161" t="s">
        <v>19202</v>
      </c>
      <c r="K7105" t="s">
        <v>19203</v>
      </c>
      <c r="L7105" t="s">
        <v>5750</v>
      </c>
      <c r="M7105" s="161" t="s">
        <v>19202</v>
      </c>
    </row>
    <row r="7106" spans="9:13" x14ac:dyDescent="0.25">
      <c r="I7106" t="s">
        <v>14097</v>
      </c>
      <c r="J7106" s="161" t="s">
        <v>19202</v>
      </c>
      <c r="K7106" t="s">
        <v>19203</v>
      </c>
      <c r="L7106" t="s">
        <v>14096</v>
      </c>
      <c r="M7106" s="161" t="s">
        <v>19202</v>
      </c>
    </row>
    <row r="7107" spans="9:13" x14ac:dyDescent="0.25">
      <c r="I7107" t="s">
        <v>2893</v>
      </c>
      <c r="J7107" s="161" t="s">
        <v>19202</v>
      </c>
      <c r="K7107" t="s">
        <v>19203</v>
      </c>
      <c r="L7107" t="s">
        <v>2892</v>
      </c>
      <c r="M7107" s="161" t="s">
        <v>19202</v>
      </c>
    </row>
    <row r="7108" spans="9:13" x14ac:dyDescent="0.25">
      <c r="I7108" t="s">
        <v>6897</v>
      </c>
      <c r="J7108" s="161" t="s">
        <v>19202</v>
      </c>
      <c r="K7108" t="s">
        <v>19203</v>
      </c>
      <c r="L7108" t="s">
        <v>558</v>
      </c>
      <c r="M7108" s="161" t="s">
        <v>19202</v>
      </c>
    </row>
    <row r="7109" spans="9:13" x14ac:dyDescent="0.25">
      <c r="I7109" t="s">
        <v>20155</v>
      </c>
      <c r="J7109" s="161" t="s">
        <v>19202</v>
      </c>
      <c r="K7109" t="s">
        <v>19203</v>
      </c>
      <c r="L7109" t="s">
        <v>20156</v>
      </c>
      <c r="M7109" s="161" t="s">
        <v>19202</v>
      </c>
    </row>
    <row r="7110" spans="9:13" x14ac:dyDescent="0.25">
      <c r="I7110" t="s">
        <v>15163</v>
      </c>
      <c r="J7110" s="161" t="s">
        <v>19202</v>
      </c>
      <c r="K7110" t="s">
        <v>19203</v>
      </c>
      <c r="L7110" t="s">
        <v>6809</v>
      </c>
      <c r="M7110" s="161" t="s">
        <v>19202</v>
      </c>
    </row>
    <row r="7111" spans="9:13" x14ac:dyDescent="0.25">
      <c r="I7111" t="s">
        <v>17714</v>
      </c>
      <c r="J7111" s="161" t="s">
        <v>19202</v>
      </c>
      <c r="K7111" t="s">
        <v>19203</v>
      </c>
      <c r="L7111" t="s">
        <v>17713</v>
      </c>
      <c r="M7111" s="161" t="s">
        <v>19202</v>
      </c>
    </row>
    <row r="7112" spans="9:13" x14ac:dyDescent="0.25">
      <c r="I7112" t="s">
        <v>3396</v>
      </c>
      <c r="J7112" s="161" t="s">
        <v>19202</v>
      </c>
      <c r="K7112" t="s">
        <v>19203</v>
      </c>
      <c r="L7112" t="s">
        <v>3395</v>
      </c>
      <c r="M7112" s="161" t="s">
        <v>19202</v>
      </c>
    </row>
    <row r="7113" spans="9:13" x14ac:dyDescent="0.25">
      <c r="I7113" t="s">
        <v>3163</v>
      </c>
      <c r="J7113" s="161" t="s">
        <v>19202</v>
      </c>
      <c r="K7113" t="s">
        <v>19203</v>
      </c>
      <c r="L7113" t="s">
        <v>3162</v>
      </c>
      <c r="M7113" s="161" t="s">
        <v>19202</v>
      </c>
    </row>
    <row r="7114" spans="9:13" x14ac:dyDescent="0.25">
      <c r="I7114" t="s">
        <v>10360</v>
      </c>
      <c r="J7114" s="161" t="s">
        <v>19202</v>
      </c>
      <c r="K7114" t="s">
        <v>19203</v>
      </c>
      <c r="L7114" t="s">
        <v>10359</v>
      </c>
      <c r="M7114" s="161" t="s">
        <v>19202</v>
      </c>
    </row>
    <row r="7115" spans="9:13" x14ac:dyDescent="0.25">
      <c r="I7115" t="s">
        <v>1469</v>
      </c>
      <c r="J7115" s="167" t="s">
        <v>19994</v>
      </c>
      <c r="K7115" t="s">
        <v>19203</v>
      </c>
      <c r="L7115" t="s">
        <v>1468</v>
      </c>
      <c r="M7115" s="167" t="s">
        <v>19994</v>
      </c>
    </row>
    <row r="7116" spans="9:13" x14ac:dyDescent="0.25">
      <c r="I7116" t="s">
        <v>11745</v>
      </c>
      <c r="J7116" s="161" t="s">
        <v>19202</v>
      </c>
      <c r="K7116" t="s">
        <v>19203</v>
      </c>
      <c r="L7116" t="s">
        <v>6349</v>
      </c>
      <c r="M7116" s="161" t="s">
        <v>19202</v>
      </c>
    </row>
    <row r="7117" spans="9:13" x14ac:dyDescent="0.25">
      <c r="I7117" t="s">
        <v>9788</v>
      </c>
      <c r="J7117" s="161" t="s">
        <v>19202</v>
      </c>
      <c r="K7117" t="s">
        <v>19203</v>
      </c>
      <c r="L7117" t="s">
        <v>9787</v>
      </c>
      <c r="M7117" s="161" t="s">
        <v>19202</v>
      </c>
    </row>
    <row r="7118" spans="9:13" x14ac:dyDescent="0.25">
      <c r="I7118" t="s">
        <v>8100</v>
      </c>
      <c r="J7118" s="161" t="s">
        <v>19202</v>
      </c>
      <c r="K7118" t="s">
        <v>19203</v>
      </c>
      <c r="L7118" t="s">
        <v>8099</v>
      </c>
      <c r="M7118" s="161" t="s">
        <v>19202</v>
      </c>
    </row>
    <row r="7119" spans="9:13" x14ac:dyDescent="0.25">
      <c r="I7119" t="s">
        <v>15504</v>
      </c>
      <c r="J7119" s="161" t="s">
        <v>19202</v>
      </c>
      <c r="K7119" t="s">
        <v>19203</v>
      </c>
      <c r="L7119" t="s">
        <v>13725</v>
      </c>
      <c r="M7119" s="161" t="s">
        <v>19202</v>
      </c>
    </row>
    <row r="7120" spans="9:13" x14ac:dyDescent="0.25">
      <c r="I7120" t="s">
        <v>8710</v>
      </c>
      <c r="J7120" s="161" t="s">
        <v>19202</v>
      </c>
      <c r="K7120" t="s">
        <v>19203</v>
      </c>
      <c r="L7120" t="s">
        <v>8709</v>
      </c>
      <c r="M7120" s="161" t="s">
        <v>19202</v>
      </c>
    </row>
    <row r="7121" spans="9:13" x14ac:dyDescent="0.25">
      <c r="I7121" t="s">
        <v>2847</v>
      </c>
      <c r="J7121" s="161" t="s">
        <v>19202</v>
      </c>
      <c r="K7121" t="s">
        <v>19203</v>
      </c>
      <c r="L7121" t="s">
        <v>2846</v>
      </c>
      <c r="M7121" s="161" t="s">
        <v>19202</v>
      </c>
    </row>
    <row r="7122" spans="9:13" x14ac:dyDescent="0.25">
      <c r="I7122" t="s">
        <v>20157</v>
      </c>
      <c r="J7122" s="161" t="s">
        <v>19202</v>
      </c>
      <c r="K7122" t="s">
        <v>19203</v>
      </c>
      <c r="L7122" t="s">
        <v>20158</v>
      </c>
      <c r="M7122" s="161" t="s">
        <v>19202</v>
      </c>
    </row>
    <row r="7123" spans="9:13" x14ac:dyDescent="0.25">
      <c r="I7123" t="s">
        <v>2963</v>
      </c>
      <c r="J7123" s="161" t="s">
        <v>19202</v>
      </c>
      <c r="K7123" t="s">
        <v>19203</v>
      </c>
      <c r="L7123" t="s">
        <v>2962</v>
      </c>
      <c r="M7123" s="161" t="s">
        <v>19202</v>
      </c>
    </row>
    <row r="7124" spans="9:13" x14ac:dyDescent="0.25">
      <c r="I7124" t="s">
        <v>3352</v>
      </c>
      <c r="J7124" s="161" t="s">
        <v>19202</v>
      </c>
      <c r="K7124" t="s">
        <v>19203</v>
      </c>
      <c r="L7124" t="s">
        <v>3351</v>
      </c>
      <c r="M7124" s="161" t="s">
        <v>19202</v>
      </c>
    </row>
    <row r="7125" spans="9:13" x14ac:dyDescent="0.25">
      <c r="I7125" t="s">
        <v>11515</v>
      </c>
      <c r="J7125" s="161" t="s">
        <v>19202</v>
      </c>
      <c r="K7125" t="s">
        <v>19203</v>
      </c>
      <c r="L7125" t="s">
        <v>11514</v>
      </c>
      <c r="M7125" s="161" t="s">
        <v>19202</v>
      </c>
    </row>
    <row r="7126" spans="9:13" x14ac:dyDescent="0.25">
      <c r="I7126" t="s">
        <v>14003</v>
      </c>
      <c r="J7126" s="161" t="s">
        <v>19202</v>
      </c>
      <c r="K7126" t="s">
        <v>19203</v>
      </c>
      <c r="L7126" t="s">
        <v>14002</v>
      </c>
      <c r="M7126" s="161" t="s">
        <v>19202</v>
      </c>
    </row>
    <row r="7127" spans="9:13" x14ac:dyDescent="0.25">
      <c r="I7127" t="s">
        <v>332</v>
      </c>
      <c r="J7127" s="161" t="s">
        <v>19202</v>
      </c>
      <c r="K7127" t="s">
        <v>19203</v>
      </c>
      <c r="L7127" t="s">
        <v>331</v>
      </c>
      <c r="M7127" s="161" t="s">
        <v>19202</v>
      </c>
    </row>
    <row r="7128" spans="9:13" x14ac:dyDescent="0.25">
      <c r="I7128" t="s">
        <v>13144</v>
      </c>
      <c r="J7128" s="161" t="s">
        <v>19202</v>
      </c>
      <c r="K7128" t="s">
        <v>19203</v>
      </c>
      <c r="L7128" t="s">
        <v>13143</v>
      </c>
      <c r="M7128" s="161" t="s">
        <v>19202</v>
      </c>
    </row>
    <row r="7129" spans="9:13" x14ac:dyDescent="0.25">
      <c r="I7129" t="s">
        <v>474</v>
      </c>
      <c r="J7129" s="161" t="s">
        <v>19202</v>
      </c>
      <c r="K7129" t="s">
        <v>19203</v>
      </c>
      <c r="L7129" t="s">
        <v>473</v>
      </c>
      <c r="M7129" s="161" t="s">
        <v>19202</v>
      </c>
    </row>
    <row r="7130" spans="9:13" x14ac:dyDescent="0.25">
      <c r="I7130" t="s">
        <v>15435</v>
      </c>
      <c r="J7130" s="161" t="s">
        <v>19202</v>
      </c>
      <c r="K7130" t="s">
        <v>19203</v>
      </c>
      <c r="L7130" t="s">
        <v>15434</v>
      </c>
      <c r="M7130" s="161" t="s">
        <v>19202</v>
      </c>
    </row>
    <row r="7131" spans="9:13" x14ac:dyDescent="0.25">
      <c r="I7131" t="s">
        <v>15236</v>
      </c>
      <c r="J7131" s="161" t="s">
        <v>19202</v>
      </c>
      <c r="K7131" t="s">
        <v>19203</v>
      </c>
      <c r="L7131" t="s">
        <v>13729</v>
      </c>
      <c r="M7131" s="161" t="s">
        <v>19202</v>
      </c>
    </row>
    <row r="7132" spans="9:13" x14ac:dyDescent="0.25">
      <c r="I7132" t="s">
        <v>15544</v>
      </c>
      <c r="J7132" s="161" t="s">
        <v>19202</v>
      </c>
      <c r="K7132" t="s">
        <v>19203</v>
      </c>
      <c r="L7132" t="s">
        <v>934</v>
      </c>
      <c r="M7132" s="161" t="s">
        <v>19202</v>
      </c>
    </row>
    <row r="7133" spans="9:13" x14ac:dyDescent="0.25">
      <c r="I7133" t="s">
        <v>16329</v>
      </c>
      <c r="J7133" s="161" t="s">
        <v>19202</v>
      </c>
      <c r="K7133" t="s">
        <v>19203</v>
      </c>
      <c r="L7133" t="s">
        <v>16328</v>
      </c>
      <c r="M7133" s="161" t="s">
        <v>19202</v>
      </c>
    </row>
    <row r="7134" spans="9:13" x14ac:dyDescent="0.25">
      <c r="I7134" t="s">
        <v>12636</v>
      </c>
      <c r="J7134" s="161" t="s">
        <v>19202</v>
      </c>
      <c r="K7134" t="s">
        <v>19203</v>
      </c>
      <c r="L7134" t="s">
        <v>12635</v>
      </c>
      <c r="M7134" s="161" t="s">
        <v>19202</v>
      </c>
    </row>
    <row r="7135" spans="9:13" x14ac:dyDescent="0.25">
      <c r="I7135" t="s">
        <v>2401</v>
      </c>
      <c r="J7135" s="161" t="s">
        <v>19202</v>
      </c>
      <c r="K7135" t="s">
        <v>19203</v>
      </c>
      <c r="L7135" t="s">
        <v>2400</v>
      </c>
      <c r="M7135" s="161" t="s">
        <v>19202</v>
      </c>
    </row>
    <row r="7136" spans="9:13" x14ac:dyDescent="0.25">
      <c r="I7136" t="s">
        <v>16934</v>
      </c>
      <c r="J7136" s="161" t="s">
        <v>19202</v>
      </c>
      <c r="K7136" t="s">
        <v>19203</v>
      </c>
      <c r="L7136" t="s">
        <v>16933</v>
      </c>
      <c r="M7136" s="161" t="s">
        <v>19202</v>
      </c>
    </row>
    <row r="7137" spans="9:13" x14ac:dyDescent="0.25">
      <c r="I7137" t="s">
        <v>986</v>
      </c>
      <c r="J7137" s="161" t="s">
        <v>19202</v>
      </c>
      <c r="K7137" t="s">
        <v>19203</v>
      </c>
      <c r="L7137" t="s">
        <v>108</v>
      </c>
      <c r="M7137" s="161" t="s">
        <v>19202</v>
      </c>
    </row>
    <row r="7138" spans="9:13" x14ac:dyDescent="0.25">
      <c r="I7138" t="s">
        <v>10424</v>
      </c>
      <c r="J7138" s="161" t="s">
        <v>19202</v>
      </c>
      <c r="K7138" t="s">
        <v>19203</v>
      </c>
      <c r="L7138" t="s">
        <v>10423</v>
      </c>
      <c r="M7138" s="161" t="s">
        <v>19202</v>
      </c>
    </row>
    <row r="7139" spans="9:13" x14ac:dyDescent="0.25">
      <c r="I7139" t="s">
        <v>5594</v>
      </c>
      <c r="J7139" s="161" t="s">
        <v>19202</v>
      </c>
      <c r="K7139" t="s">
        <v>19203</v>
      </c>
      <c r="L7139" t="s">
        <v>5593</v>
      </c>
      <c r="M7139" s="161" t="s">
        <v>19202</v>
      </c>
    </row>
    <row r="7140" spans="9:13" x14ac:dyDescent="0.25">
      <c r="I7140" t="s">
        <v>354</v>
      </c>
      <c r="J7140" s="161" t="s">
        <v>19202</v>
      </c>
      <c r="K7140" t="s">
        <v>19203</v>
      </c>
      <c r="L7140" t="s">
        <v>122</v>
      </c>
      <c r="M7140" s="161" t="s">
        <v>19202</v>
      </c>
    </row>
    <row r="7141" spans="9:13" x14ac:dyDescent="0.25">
      <c r="I7141" t="s">
        <v>9352</v>
      </c>
      <c r="J7141" s="161" t="s">
        <v>19202</v>
      </c>
      <c r="K7141" t="s">
        <v>19203</v>
      </c>
      <c r="L7141" t="s">
        <v>9351</v>
      </c>
      <c r="M7141" s="161" t="s">
        <v>19202</v>
      </c>
    </row>
    <row r="7142" spans="9:13" x14ac:dyDescent="0.25">
      <c r="I7142" t="s">
        <v>15050</v>
      </c>
      <c r="J7142" s="161" t="s">
        <v>19202</v>
      </c>
      <c r="K7142" t="s">
        <v>19203</v>
      </c>
      <c r="L7142" t="s">
        <v>15049</v>
      </c>
      <c r="M7142" s="161" t="s">
        <v>19202</v>
      </c>
    </row>
    <row r="7143" spans="9:13" x14ac:dyDescent="0.25">
      <c r="I7143" t="s">
        <v>15384</v>
      </c>
      <c r="J7143" s="161" t="s">
        <v>19202</v>
      </c>
      <c r="K7143" t="s">
        <v>19203</v>
      </c>
      <c r="L7143" t="s">
        <v>15383</v>
      </c>
      <c r="M7143" s="161" t="s">
        <v>19202</v>
      </c>
    </row>
    <row r="7144" spans="9:13" x14ac:dyDescent="0.25">
      <c r="I7144" t="s">
        <v>16868</v>
      </c>
      <c r="J7144" s="161" t="s">
        <v>19202</v>
      </c>
      <c r="K7144" t="s">
        <v>19203</v>
      </c>
      <c r="L7144" t="s">
        <v>4782</v>
      </c>
      <c r="M7144" s="161" t="s">
        <v>19202</v>
      </c>
    </row>
    <row r="7145" spans="9:13" x14ac:dyDescent="0.25">
      <c r="I7145" t="s">
        <v>6312</v>
      </c>
      <c r="J7145" s="161" t="s">
        <v>19202</v>
      </c>
      <c r="K7145" t="s">
        <v>19203</v>
      </c>
      <c r="L7145" t="s">
        <v>6311</v>
      </c>
      <c r="M7145" s="161" t="s">
        <v>19202</v>
      </c>
    </row>
    <row r="7146" spans="9:13" x14ac:dyDescent="0.25">
      <c r="I7146" t="s">
        <v>9786</v>
      </c>
      <c r="J7146" s="161" t="s">
        <v>19202</v>
      </c>
      <c r="K7146" t="s">
        <v>19203</v>
      </c>
      <c r="L7146" t="s">
        <v>9785</v>
      </c>
      <c r="M7146" s="161" t="s">
        <v>19202</v>
      </c>
    </row>
    <row r="7147" spans="9:13" x14ac:dyDescent="0.25">
      <c r="I7147" t="s">
        <v>15506</v>
      </c>
      <c r="J7147" s="161" t="s">
        <v>19202</v>
      </c>
      <c r="K7147" t="s">
        <v>19203</v>
      </c>
      <c r="L7147" t="s">
        <v>15505</v>
      </c>
      <c r="M7147" s="161" t="s">
        <v>19202</v>
      </c>
    </row>
    <row r="7148" spans="9:13" x14ac:dyDescent="0.25">
      <c r="I7148" t="s">
        <v>3660</v>
      </c>
      <c r="J7148" s="161" t="s">
        <v>19202</v>
      </c>
      <c r="K7148" t="s">
        <v>19203</v>
      </c>
      <c r="L7148" t="s">
        <v>3659</v>
      </c>
      <c r="M7148" s="161" t="s">
        <v>19202</v>
      </c>
    </row>
    <row r="7149" spans="9:13" x14ac:dyDescent="0.25">
      <c r="I7149" t="s">
        <v>20159</v>
      </c>
      <c r="J7149" s="161" t="s">
        <v>19202</v>
      </c>
      <c r="K7149" t="s">
        <v>19203</v>
      </c>
      <c r="L7149" t="s">
        <v>20160</v>
      </c>
      <c r="M7149" s="161" t="s">
        <v>19202</v>
      </c>
    </row>
    <row r="7150" spans="9:13" x14ac:dyDescent="0.25">
      <c r="I7150" t="s">
        <v>6899</v>
      </c>
      <c r="J7150" s="161" t="s">
        <v>19202</v>
      </c>
      <c r="K7150" t="s">
        <v>19203</v>
      </c>
      <c r="L7150" t="s">
        <v>6898</v>
      </c>
      <c r="M7150" s="161" t="s">
        <v>19202</v>
      </c>
    </row>
    <row r="7151" spans="9:13" x14ac:dyDescent="0.25">
      <c r="I7151" t="s">
        <v>13028</v>
      </c>
      <c r="J7151" s="161" t="s">
        <v>19202</v>
      </c>
      <c r="K7151" t="s">
        <v>19203</v>
      </c>
      <c r="L7151" t="s">
        <v>13027</v>
      </c>
      <c r="M7151" s="161" t="s">
        <v>19202</v>
      </c>
    </row>
    <row r="7152" spans="9:13" x14ac:dyDescent="0.25">
      <c r="I7152" t="s">
        <v>9196</v>
      </c>
      <c r="J7152" s="161" t="s">
        <v>19202</v>
      </c>
      <c r="K7152" t="s">
        <v>19203</v>
      </c>
      <c r="L7152" t="s">
        <v>9195</v>
      </c>
      <c r="M7152" s="161" t="s">
        <v>19202</v>
      </c>
    </row>
    <row r="7153" spans="9:13" x14ac:dyDescent="0.25">
      <c r="I7153" t="s">
        <v>16578</v>
      </c>
      <c r="J7153" s="161" t="s">
        <v>19202</v>
      </c>
      <c r="K7153" t="s">
        <v>19203</v>
      </c>
      <c r="L7153" t="s">
        <v>16577</v>
      </c>
      <c r="M7153" s="161" t="s">
        <v>19202</v>
      </c>
    </row>
    <row r="7154" spans="9:13" x14ac:dyDescent="0.25">
      <c r="I7154" t="s">
        <v>20161</v>
      </c>
      <c r="J7154" s="161" t="s">
        <v>19202</v>
      </c>
      <c r="K7154" t="s">
        <v>19203</v>
      </c>
      <c r="L7154" t="s">
        <v>20162</v>
      </c>
      <c r="M7154" s="161" t="s">
        <v>19202</v>
      </c>
    </row>
    <row r="7155" spans="9:13" x14ac:dyDescent="0.25">
      <c r="I7155" t="s">
        <v>2399</v>
      </c>
      <c r="J7155" s="161" t="s">
        <v>19202</v>
      </c>
      <c r="K7155" t="s">
        <v>19203</v>
      </c>
      <c r="L7155" t="s">
        <v>2398</v>
      </c>
      <c r="M7155" s="161" t="s">
        <v>19202</v>
      </c>
    </row>
    <row r="7156" spans="9:13" x14ac:dyDescent="0.25">
      <c r="I7156" t="s">
        <v>12316</v>
      </c>
      <c r="J7156" s="161" t="s">
        <v>19202</v>
      </c>
      <c r="K7156" t="s">
        <v>19203</v>
      </c>
      <c r="L7156" t="s">
        <v>12315</v>
      </c>
      <c r="M7156" s="161" t="s">
        <v>19202</v>
      </c>
    </row>
    <row r="7157" spans="9:13" x14ac:dyDescent="0.25">
      <c r="I7157" t="s">
        <v>4277</v>
      </c>
      <c r="J7157" s="161" t="s">
        <v>19202</v>
      </c>
      <c r="K7157" t="s">
        <v>19203</v>
      </c>
      <c r="L7157" t="s">
        <v>4276</v>
      </c>
      <c r="M7157" s="161" t="s">
        <v>19202</v>
      </c>
    </row>
    <row r="7158" spans="9:13" x14ac:dyDescent="0.25">
      <c r="I7158" t="s">
        <v>11508</v>
      </c>
      <c r="J7158" s="161" t="s">
        <v>19202</v>
      </c>
      <c r="K7158" t="s">
        <v>19203</v>
      </c>
      <c r="L7158" t="s">
        <v>11507</v>
      </c>
      <c r="M7158" s="161" t="s">
        <v>19202</v>
      </c>
    </row>
    <row r="7159" spans="9:13" x14ac:dyDescent="0.25">
      <c r="I7159" t="s">
        <v>6356</v>
      </c>
      <c r="J7159" s="161" t="s">
        <v>19202</v>
      </c>
      <c r="K7159" t="s">
        <v>19203</v>
      </c>
      <c r="L7159" t="s">
        <v>6355</v>
      </c>
      <c r="M7159" s="161" t="s">
        <v>19202</v>
      </c>
    </row>
    <row r="7160" spans="9:13" x14ac:dyDescent="0.25">
      <c r="I7160" t="s">
        <v>8338</v>
      </c>
      <c r="J7160" s="161" t="s">
        <v>19202</v>
      </c>
      <c r="K7160" t="s">
        <v>19203</v>
      </c>
      <c r="L7160" t="s">
        <v>8337</v>
      </c>
      <c r="M7160" s="161" t="s">
        <v>19202</v>
      </c>
    </row>
    <row r="7161" spans="9:13" x14ac:dyDescent="0.25">
      <c r="I7161" t="s">
        <v>1055</v>
      </c>
      <c r="J7161" s="167" t="s">
        <v>19994</v>
      </c>
      <c r="K7161" t="s">
        <v>19203</v>
      </c>
      <c r="L7161" t="s">
        <v>1054</v>
      </c>
      <c r="M7161" s="167" t="s">
        <v>19994</v>
      </c>
    </row>
    <row r="7162" spans="9:13" x14ac:dyDescent="0.25">
      <c r="I7162" t="s">
        <v>15621</v>
      </c>
      <c r="J7162" s="161" t="s">
        <v>19202</v>
      </c>
      <c r="K7162" t="s">
        <v>19203</v>
      </c>
      <c r="L7162" t="s">
        <v>15620</v>
      </c>
      <c r="M7162" s="161" t="s">
        <v>19202</v>
      </c>
    </row>
    <row r="7163" spans="9:13" x14ac:dyDescent="0.25">
      <c r="I7163" t="s">
        <v>14990</v>
      </c>
      <c r="J7163" s="161" t="s">
        <v>19202</v>
      </c>
      <c r="K7163" t="s">
        <v>19203</v>
      </c>
      <c r="L7163" t="s">
        <v>14989</v>
      </c>
      <c r="M7163" s="161" t="s">
        <v>19202</v>
      </c>
    </row>
    <row r="7164" spans="9:13" x14ac:dyDescent="0.25">
      <c r="I7164" t="s">
        <v>2913</v>
      </c>
      <c r="J7164" s="161" t="s">
        <v>19202</v>
      </c>
      <c r="K7164" t="s">
        <v>19203</v>
      </c>
      <c r="L7164" t="s">
        <v>2912</v>
      </c>
      <c r="M7164" s="161" t="s">
        <v>19202</v>
      </c>
    </row>
    <row r="7165" spans="9:13" x14ac:dyDescent="0.25">
      <c r="I7165" t="s">
        <v>14116</v>
      </c>
      <c r="J7165" s="161" t="s">
        <v>19202</v>
      </c>
      <c r="K7165" t="s">
        <v>19203</v>
      </c>
      <c r="L7165" t="s">
        <v>14115</v>
      </c>
      <c r="M7165" s="161" t="s">
        <v>19202</v>
      </c>
    </row>
    <row r="7166" spans="9:13" x14ac:dyDescent="0.25">
      <c r="I7166" t="s">
        <v>9534</v>
      </c>
      <c r="J7166" s="161" t="s">
        <v>19202</v>
      </c>
      <c r="K7166" t="s">
        <v>19203</v>
      </c>
      <c r="L7166" t="s">
        <v>9533</v>
      </c>
      <c r="M7166" s="161" t="s">
        <v>19202</v>
      </c>
    </row>
    <row r="7167" spans="9:13" x14ac:dyDescent="0.25">
      <c r="I7167" t="s">
        <v>782</v>
      </c>
      <c r="J7167" s="161" t="s">
        <v>19202</v>
      </c>
      <c r="K7167" t="s">
        <v>19203</v>
      </c>
      <c r="L7167" t="s">
        <v>781</v>
      </c>
      <c r="M7167" s="161" t="s">
        <v>19202</v>
      </c>
    </row>
    <row r="7168" spans="9:13" x14ac:dyDescent="0.25">
      <c r="I7168" t="s">
        <v>6352</v>
      </c>
      <c r="J7168" s="161" t="s">
        <v>19202</v>
      </c>
      <c r="K7168" t="s">
        <v>19203</v>
      </c>
      <c r="L7168" t="s">
        <v>844</v>
      </c>
      <c r="M7168" s="161" t="s">
        <v>19202</v>
      </c>
    </row>
    <row r="7169" spans="9:13" x14ac:dyDescent="0.25">
      <c r="I7169" t="s">
        <v>2411</v>
      </c>
      <c r="J7169" s="161" t="s">
        <v>19202</v>
      </c>
      <c r="K7169" t="s">
        <v>19203</v>
      </c>
      <c r="L7169" t="s">
        <v>2410</v>
      </c>
      <c r="M7169" s="161" t="s">
        <v>19202</v>
      </c>
    </row>
    <row r="7170" spans="9:13" x14ac:dyDescent="0.25">
      <c r="I7170" t="s">
        <v>5846</v>
      </c>
      <c r="J7170" s="161" t="s">
        <v>19202</v>
      </c>
      <c r="K7170" t="s">
        <v>19203</v>
      </c>
      <c r="L7170" t="s">
        <v>5845</v>
      </c>
      <c r="M7170" s="161" t="s">
        <v>19202</v>
      </c>
    </row>
    <row r="7171" spans="9:13" x14ac:dyDescent="0.25">
      <c r="I7171" t="s">
        <v>5300</v>
      </c>
      <c r="J7171" s="161" t="s">
        <v>19202</v>
      </c>
      <c r="K7171" t="s">
        <v>19203</v>
      </c>
      <c r="L7171" t="s">
        <v>5299</v>
      </c>
      <c r="M7171" s="161" t="s">
        <v>19202</v>
      </c>
    </row>
    <row r="7172" spans="9:13" x14ac:dyDescent="0.25">
      <c r="I7172" t="s">
        <v>17790</v>
      </c>
      <c r="J7172" s="161" t="s">
        <v>19202</v>
      </c>
      <c r="K7172" t="s">
        <v>19203</v>
      </c>
      <c r="L7172" t="s">
        <v>17789</v>
      </c>
      <c r="M7172" s="161" t="s">
        <v>19202</v>
      </c>
    </row>
    <row r="7173" spans="9:13" x14ac:dyDescent="0.25">
      <c r="I7173" t="s">
        <v>9784</v>
      </c>
      <c r="J7173" s="161" t="s">
        <v>19202</v>
      </c>
      <c r="K7173" t="s">
        <v>19203</v>
      </c>
      <c r="L7173" t="s">
        <v>9783</v>
      </c>
      <c r="M7173" s="161" t="s">
        <v>19202</v>
      </c>
    </row>
    <row r="7174" spans="9:13" x14ac:dyDescent="0.25">
      <c r="I7174" t="s">
        <v>3918</v>
      </c>
      <c r="J7174" s="161" t="s">
        <v>19202</v>
      </c>
      <c r="K7174" t="s">
        <v>19203</v>
      </c>
      <c r="L7174" t="s">
        <v>3917</v>
      </c>
      <c r="M7174" s="161" t="s">
        <v>19202</v>
      </c>
    </row>
    <row r="7175" spans="9:13" x14ac:dyDescent="0.25">
      <c r="I7175" t="s">
        <v>15622</v>
      </c>
      <c r="J7175" s="161" t="s">
        <v>19202</v>
      </c>
      <c r="K7175" t="s">
        <v>19203</v>
      </c>
      <c r="L7175" t="s">
        <v>1520</v>
      </c>
      <c r="M7175" s="161" t="s">
        <v>19202</v>
      </c>
    </row>
    <row r="7176" spans="9:13" x14ac:dyDescent="0.25">
      <c r="I7176" t="s">
        <v>16870</v>
      </c>
      <c r="J7176" s="161" t="s">
        <v>19202</v>
      </c>
      <c r="K7176" t="s">
        <v>19203</v>
      </c>
      <c r="L7176" t="s">
        <v>16869</v>
      </c>
      <c r="M7176" s="161" t="s">
        <v>19202</v>
      </c>
    </row>
    <row r="7177" spans="9:13" x14ac:dyDescent="0.25">
      <c r="I7177" t="s">
        <v>4355</v>
      </c>
      <c r="J7177" s="161" t="s">
        <v>19202</v>
      </c>
      <c r="K7177" t="s">
        <v>19203</v>
      </c>
      <c r="L7177" t="s">
        <v>824</v>
      </c>
      <c r="M7177" s="161" t="s">
        <v>19202</v>
      </c>
    </row>
    <row r="7178" spans="9:13" x14ac:dyDescent="0.25">
      <c r="I7178" t="s">
        <v>10364</v>
      </c>
      <c r="J7178" s="161" t="s">
        <v>19202</v>
      </c>
      <c r="K7178" t="s">
        <v>19203</v>
      </c>
      <c r="L7178" t="s">
        <v>10363</v>
      </c>
      <c r="M7178" s="161" t="s">
        <v>19202</v>
      </c>
    </row>
    <row r="7179" spans="9:13" x14ac:dyDescent="0.25">
      <c r="I7179" t="s">
        <v>20163</v>
      </c>
      <c r="J7179" s="161" t="s">
        <v>19202</v>
      </c>
      <c r="K7179" t="s">
        <v>19203</v>
      </c>
      <c r="L7179" t="s">
        <v>3507</v>
      </c>
      <c r="M7179" s="161" t="s">
        <v>19202</v>
      </c>
    </row>
    <row r="7180" spans="9:13" x14ac:dyDescent="0.25">
      <c r="I7180" t="s">
        <v>4923</v>
      </c>
      <c r="J7180" s="161" t="s">
        <v>19202</v>
      </c>
      <c r="K7180" t="s">
        <v>19203</v>
      </c>
      <c r="L7180" t="s">
        <v>4922</v>
      </c>
      <c r="M7180" s="161" t="s">
        <v>19202</v>
      </c>
    </row>
    <row r="7181" spans="9:13" x14ac:dyDescent="0.25">
      <c r="I7181" t="s">
        <v>3585</v>
      </c>
      <c r="J7181" s="161" t="s">
        <v>19202</v>
      </c>
      <c r="K7181" t="s">
        <v>19203</v>
      </c>
      <c r="L7181" t="s">
        <v>3584</v>
      </c>
      <c r="M7181" s="161" t="s">
        <v>19202</v>
      </c>
    </row>
    <row r="7182" spans="9:13" x14ac:dyDescent="0.25">
      <c r="I7182" t="s">
        <v>11838</v>
      </c>
      <c r="J7182" s="161" t="s">
        <v>19202</v>
      </c>
      <c r="K7182" t="s">
        <v>19203</v>
      </c>
      <c r="L7182" t="s">
        <v>11837</v>
      </c>
      <c r="M7182" s="161" t="s">
        <v>19202</v>
      </c>
    </row>
    <row r="7183" spans="9:13" x14ac:dyDescent="0.25">
      <c r="I7183" t="s">
        <v>14911</v>
      </c>
      <c r="J7183" s="161" t="s">
        <v>19202</v>
      </c>
      <c r="K7183" t="s">
        <v>19203</v>
      </c>
      <c r="L7183" t="s">
        <v>14910</v>
      </c>
      <c r="M7183" s="161" t="s">
        <v>19202</v>
      </c>
    </row>
    <row r="7184" spans="9:13" x14ac:dyDescent="0.25">
      <c r="I7184" t="s">
        <v>10516</v>
      </c>
      <c r="J7184" s="161" t="s">
        <v>19202</v>
      </c>
      <c r="K7184" t="s">
        <v>19203</v>
      </c>
      <c r="L7184" t="s">
        <v>10515</v>
      </c>
      <c r="M7184" s="161" t="s">
        <v>19202</v>
      </c>
    </row>
    <row r="7185" spans="9:13" x14ac:dyDescent="0.25">
      <c r="I7185" t="s">
        <v>20164</v>
      </c>
      <c r="J7185" s="161" t="s">
        <v>19202</v>
      </c>
      <c r="K7185" t="s">
        <v>19203</v>
      </c>
      <c r="L7185" t="s">
        <v>20165</v>
      </c>
      <c r="M7185" s="161" t="s">
        <v>19202</v>
      </c>
    </row>
    <row r="7186" spans="9:13" x14ac:dyDescent="0.25">
      <c r="I7186" t="s">
        <v>13425</v>
      </c>
      <c r="J7186" s="161" t="s">
        <v>19202</v>
      </c>
      <c r="K7186" t="s">
        <v>19203</v>
      </c>
      <c r="L7186" t="s">
        <v>13424</v>
      </c>
      <c r="M7186" s="161" t="s">
        <v>19202</v>
      </c>
    </row>
    <row r="7187" spans="9:13" x14ac:dyDescent="0.25">
      <c r="I7187" t="s">
        <v>5705</v>
      </c>
      <c r="J7187" s="161" t="s">
        <v>19202</v>
      </c>
      <c r="K7187" t="s">
        <v>19203</v>
      </c>
      <c r="L7187" t="s">
        <v>5704</v>
      </c>
      <c r="M7187" s="161" t="s">
        <v>19202</v>
      </c>
    </row>
    <row r="7188" spans="9:13" x14ac:dyDescent="0.25">
      <c r="I7188" t="s">
        <v>15547</v>
      </c>
      <c r="J7188" s="161" t="s">
        <v>19202</v>
      </c>
      <c r="K7188" t="s">
        <v>19203</v>
      </c>
      <c r="L7188" t="s">
        <v>3738</v>
      </c>
      <c r="M7188" s="161" t="s">
        <v>19202</v>
      </c>
    </row>
    <row r="7189" spans="9:13" x14ac:dyDescent="0.25">
      <c r="I7189" t="s">
        <v>4076</v>
      </c>
      <c r="J7189" s="161" t="s">
        <v>19202</v>
      </c>
      <c r="K7189" t="s">
        <v>19203</v>
      </c>
      <c r="L7189" t="s">
        <v>4075</v>
      </c>
      <c r="M7189" s="161" t="s">
        <v>19202</v>
      </c>
    </row>
    <row r="7190" spans="9:13" x14ac:dyDescent="0.25">
      <c r="I7190" t="s">
        <v>17710</v>
      </c>
      <c r="J7190" s="161" t="s">
        <v>19202</v>
      </c>
      <c r="K7190" t="s">
        <v>19203</v>
      </c>
      <c r="L7190" t="s">
        <v>17709</v>
      </c>
      <c r="M7190" s="161" t="s">
        <v>19202</v>
      </c>
    </row>
    <row r="7191" spans="9:13" x14ac:dyDescent="0.25">
      <c r="I7191" t="s">
        <v>9561</v>
      </c>
      <c r="J7191" s="161" t="s">
        <v>19202</v>
      </c>
      <c r="K7191" t="s">
        <v>19203</v>
      </c>
      <c r="L7191" t="s">
        <v>9560</v>
      </c>
      <c r="M7191" s="161" t="s">
        <v>19202</v>
      </c>
    </row>
    <row r="7192" spans="9:13" x14ac:dyDescent="0.25">
      <c r="I7192" t="s">
        <v>5181</v>
      </c>
      <c r="J7192" s="161" t="s">
        <v>19202</v>
      </c>
      <c r="K7192" t="s">
        <v>19203</v>
      </c>
      <c r="L7192" t="s">
        <v>5180</v>
      </c>
      <c r="M7192" s="161" t="s">
        <v>19202</v>
      </c>
    </row>
    <row r="7193" spans="9:13" x14ac:dyDescent="0.25">
      <c r="I7193" t="s">
        <v>4927</v>
      </c>
      <c r="J7193" s="161" t="s">
        <v>19202</v>
      </c>
      <c r="K7193" t="s">
        <v>19203</v>
      </c>
      <c r="L7193" t="s">
        <v>4926</v>
      </c>
      <c r="M7193" s="161" t="s">
        <v>19202</v>
      </c>
    </row>
    <row r="7194" spans="9:13" x14ac:dyDescent="0.25">
      <c r="I7194" t="s">
        <v>15710</v>
      </c>
      <c r="J7194" s="161" t="s">
        <v>19202</v>
      </c>
      <c r="K7194" t="s">
        <v>19203</v>
      </c>
      <c r="L7194" t="s">
        <v>15709</v>
      </c>
      <c r="M7194" s="161" t="s">
        <v>19202</v>
      </c>
    </row>
    <row r="7195" spans="9:13" x14ac:dyDescent="0.25">
      <c r="I7195" t="s">
        <v>9780</v>
      </c>
      <c r="J7195" s="161" t="s">
        <v>19202</v>
      </c>
      <c r="K7195" t="s">
        <v>19203</v>
      </c>
      <c r="L7195" t="s">
        <v>9779</v>
      </c>
      <c r="M7195" s="161" t="s">
        <v>19202</v>
      </c>
    </row>
    <row r="7196" spans="9:13" x14ac:dyDescent="0.25">
      <c r="I7196" t="s">
        <v>8836</v>
      </c>
      <c r="J7196" s="161" t="s">
        <v>19202</v>
      </c>
      <c r="K7196" t="s">
        <v>19203</v>
      </c>
      <c r="L7196" t="s">
        <v>8835</v>
      </c>
      <c r="M7196" s="161" t="s">
        <v>19202</v>
      </c>
    </row>
    <row r="7197" spans="9:13" x14ac:dyDescent="0.25">
      <c r="I7197" t="s">
        <v>10192</v>
      </c>
      <c r="J7197" s="161" t="s">
        <v>19202</v>
      </c>
      <c r="K7197" t="s">
        <v>19203</v>
      </c>
      <c r="L7197" t="s">
        <v>10191</v>
      </c>
      <c r="M7197" s="161" t="s">
        <v>19202</v>
      </c>
    </row>
    <row r="7198" spans="9:13" x14ac:dyDescent="0.25">
      <c r="I7198" t="s">
        <v>9066</v>
      </c>
      <c r="J7198" s="161" t="s">
        <v>19202</v>
      </c>
      <c r="K7198" t="s">
        <v>19203</v>
      </c>
      <c r="L7198" t="s">
        <v>9065</v>
      </c>
      <c r="M7198" s="161" t="s">
        <v>19202</v>
      </c>
    </row>
    <row r="7199" spans="9:13" x14ac:dyDescent="0.25">
      <c r="I7199" t="s">
        <v>9064</v>
      </c>
      <c r="J7199" s="161" t="s">
        <v>19202</v>
      </c>
      <c r="K7199" t="s">
        <v>19203</v>
      </c>
      <c r="L7199" t="s">
        <v>9063</v>
      </c>
      <c r="M7199" s="161" t="s">
        <v>19202</v>
      </c>
    </row>
    <row r="7200" spans="9:13" x14ac:dyDescent="0.25">
      <c r="I7200" t="s">
        <v>6362</v>
      </c>
      <c r="J7200" s="161" t="s">
        <v>19202</v>
      </c>
      <c r="K7200" t="s">
        <v>19203</v>
      </c>
      <c r="L7200" t="s">
        <v>6361</v>
      </c>
      <c r="M7200" s="161" t="s">
        <v>19202</v>
      </c>
    </row>
    <row r="7201" spans="9:13" x14ac:dyDescent="0.25">
      <c r="I7201" t="s">
        <v>6367</v>
      </c>
      <c r="J7201" s="161" t="s">
        <v>19202</v>
      </c>
      <c r="K7201" t="s">
        <v>19203</v>
      </c>
      <c r="L7201" t="s">
        <v>6366</v>
      </c>
      <c r="M7201" s="161" t="s">
        <v>19202</v>
      </c>
    </row>
    <row r="7202" spans="9:13" x14ac:dyDescent="0.25">
      <c r="I7202" t="s">
        <v>16000</v>
      </c>
      <c r="J7202" s="161" t="s">
        <v>19202</v>
      </c>
      <c r="K7202" t="s">
        <v>19203</v>
      </c>
      <c r="L7202" t="s">
        <v>15999</v>
      </c>
      <c r="M7202" s="161" t="s">
        <v>19202</v>
      </c>
    </row>
    <row r="7203" spans="9:13" x14ac:dyDescent="0.25">
      <c r="I7203" t="s">
        <v>4079</v>
      </c>
      <c r="J7203" s="161" t="s">
        <v>19202</v>
      </c>
      <c r="K7203" t="s">
        <v>19203</v>
      </c>
      <c r="L7203" t="s">
        <v>4078</v>
      </c>
      <c r="M7203" s="161" t="s">
        <v>19202</v>
      </c>
    </row>
    <row r="7204" spans="9:13" x14ac:dyDescent="0.25">
      <c r="I7204" t="s">
        <v>17118</v>
      </c>
      <c r="J7204" s="161" t="s">
        <v>19202</v>
      </c>
      <c r="K7204" t="s">
        <v>19203</v>
      </c>
      <c r="L7204" t="s">
        <v>17117</v>
      </c>
      <c r="M7204" s="161" t="s">
        <v>19202</v>
      </c>
    </row>
    <row r="7205" spans="9:13" x14ac:dyDescent="0.25">
      <c r="I7205" t="s">
        <v>3277</v>
      </c>
      <c r="J7205" s="161" t="s">
        <v>19202</v>
      </c>
      <c r="K7205" t="s">
        <v>19203</v>
      </c>
      <c r="L7205" t="s">
        <v>3276</v>
      </c>
      <c r="M7205" s="161" t="s">
        <v>19202</v>
      </c>
    </row>
    <row r="7206" spans="9:13" x14ac:dyDescent="0.25">
      <c r="I7206" t="s">
        <v>6463</v>
      </c>
      <c r="J7206" s="161" t="s">
        <v>19202</v>
      </c>
      <c r="K7206" t="s">
        <v>19203</v>
      </c>
      <c r="L7206" t="s">
        <v>6376</v>
      </c>
      <c r="M7206" s="161" t="s">
        <v>19202</v>
      </c>
    </row>
    <row r="7207" spans="9:13" x14ac:dyDescent="0.25">
      <c r="I7207" t="s">
        <v>10315</v>
      </c>
      <c r="J7207" s="161" t="s">
        <v>19202</v>
      </c>
      <c r="K7207" t="s">
        <v>19203</v>
      </c>
      <c r="L7207" t="s">
        <v>10314</v>
      </c>
      <c r="M7207" s="161" t="s">
        <v>19202</v>
      </c>
    </row>
    <row r="7208" spans="9:13" x14ac:dyDescent="0.25">
      <c r="I7208" t="s">
        <v>12164</v>
      </c>
      <c r="J7208" s="161" t="s">
        <v>19202</v>
      </c>
      <c r="K7208" t="s">
        <v>19203</v>
      </c>
      <c r="L7208" t="s">
        <v>12163</v>
      </c>
      <c r="M7208" s="161" t="s">
        <v>19202</v>
      </c>
    </row>
    <row r="7209" spans="9:13" x14ac:dyDescent="0.25">
      <c r="I7209" t="s">
        <v>10850</v>
      </c>
      <c r="J7209" s="161" t="s">
        <v>19202</v>
      </c>
      <c r="K7209" t="s">
        <v>19203</v>
      </c>
      <c r="L7209" t="s">
        <v>10849</v>
      </c>
      <c r="M7209" s="161" t="s">
        <v>19202</v>
      </c>
    </row>
    <row r="7210" spans="9:13" x14ac:dyDescent="0.25">
      <c r="I7210" t="s">
        <v>15126</v>
      </c>
      <c r="J7210" s="161" t="s">
        <v>19202</v>
      </c>
      <c r="K7210" t="s">
        <v>19203</v>
      </c>
      <c r="L7210" t="s">
        <v>15125</v>
      </c>
      <c r="M7210" s="161" t="s">
        <v>19202</v>
      </c>
    </row>
    <row r="7211" spans="9:13" x14ac:dyDescent="0.25">
      <c r="I7211" t="s">
        <v>13820</v>
      </c>
      <c r="J7211" s="161" t="s">
        <v>19202</v>
      </c>
      <c r="K7211" t="s">
        <v>19203</v>
      </c>
      <c r="L7211" t="s">
        <v>13819</v>
      </c>
      <c r="M7211" s="161" t="s">
        <v>19202</v>
      </c>
    </row>
    <row r="7212" spans="9:13" x14ac:dyDescent="0.25">
      <c r="I7212" t="s">
        <v>2873</v>
      </c>
      <c r="J7212" s="161" t="s">
        <v>19202</v>
      </c>
      <c r="K7212" t="s">
        <v>19203</v>
      </c>
      <c r="L7212" t="s">
        <v>2872</v>
      </c>
      <c r="M7212" s="161" t="s">
        <v>19202</v>
      </c>
    </row>
    <row r="7213" spans="9:13" x14ac:dyDescent="0.25">
      <c r="I7213" t="s">
        <v>20166</v>
      </c>
      <c r="J7213" s="161" t="s">
        <v>19202</v>
      </c>
      <c r="K7213" t="s">
        <v>19203</v>
      </c>
      <c r="L7213" t="s">
        <v>510</v>
      </c>
      <c r="M7213" s="161" t="s">
        <v>19202</v>
      </c>
    </row>
    <row r="7214" spans="9:13" x14ac:dyDescent="0.25">
      <c r="I7214" t="s">
        <v>2383</v>
      </c>
      <c r="J7214" s="161" t="s">
        <v>19202</v>
      </c>
      <c r="K7214" t="s">
        <v>19203</v>
      </c>
      <c r="L7214" t="s">
        <v>2382</v>
      </c>
      <c r="M7214" s="161" t="s">
        <v>19202</v>
      </c>
    </row>
    <row r="7215" spans="9:13" x14ac:dyDescent="0.25">
      <c r="I7215" t="s">
        <v>20167</v>
      </c>
      <c r="J7215" s="161" t="s">
        <v>19202</v>
      </c>
      <c r="K7215" t="s">
        <v>19203</v>
      </c>
      <c r="L7215" t="s">
        <v>20168</v>
      </c>
      <c r="M7215" s="161" t="s">
        <v>19202</v>
      </c>
    </row>
    <row r="7216" spans="9:13" x14ac:dyDescent="0.25">
      <c r="I7216" t="s">
        <v>6796</v>
      </c>
      <c r="J7216" s="161" t="s">
        <v>19202</v>
      </c>
      <c r="K7216" t="s">
        <v>19203</v>
      </c>
      <c r="L7216" t="s">
        <v>6795</v>
      </c>
      <c r="M7216" s="161" t="s">
        <v>19202</v>
      </c>
    </row>
    <row r="7217" spans="9:13" x14ac:dyDescent="0.25">
      <c r="I7217" t="s">
        <v>20169</v>
      </c>
      <c r="J7217" s="161" t="s">
        <v>19202</v>
      </c>
      <c r="K7217" t="s">
        <v>19203</v>
      </c>
      <c r="L7217" t="s">
        <v>20170</v>
      </c>
      <c r="M7217" s="161" t="s">
        <v>19202</v>
      </c>
    </row>
    <row r="7218" spans="9:13" x14ac:dyDescent="0.25">
      <c r="I7218" t="s">
        <v>14121</v>
      </c>
      <c r="J7218" s="161" t="s">
        <v>19202</v>
      </c>
      <c r="K7218" t="s">
        <v>19203</v>
      </c>
      <c r="L7218" t="s">
        <v>14120</v>
      </c>
      <c r="M7218" s="161" t="s">
        <v>19202</v>
      </c>
    </row>
    <row r="7219" spans="9:13" x14ac:dyDescent="0.25">
      <c r="I7219" t="s">
        <v>17184</v>
      </c>
      <c r="J7219" s="161" t="s">
        <v>19202</v>
      </c>
      <c r="K7219" t="s">
        <v>19203</v>
      </c>
      <c r="L7219" t="s">
        <v>17183</v>
      </c>
      <c r="M7219" s="161" t="s">
        <v>19202</v>
      </c>
    </row>
    <row r="7220" spans="9:13" x14ac:dyDescent="0.25">
      <c r="I7220" t="s">
        <v>17236</v>
      </c>
      <c r="J7220" s="161" t="s">
        <v>19202</v>
      </c>
      <c r="K7220" t="s">
        <v>19203</v>
      </c>
      <c r="L7220" t="s">
        <v>17235</v>
      </c>
      <c r="M7220" s="161" t="s">
        <v>19202</v>
      </c>
    </row>
    <row r="7221" spans="9:13" x14ac:dyDescent="0.25">
      <c r="I7221" t="s">
        <v>3583</v>
      </c>
      <c r="J7221" s="161" t="s">
        <v>19202</v>
      </c>
      <c r="K7221" t="s">
        <v>19203</v>
      </c>
      <c r="L7221" t="s">
        <v>3582</v>
      </c>
      <c r="M7221" s="161" t="s">
        <v>19202</v>
      </c>
    </row>
    <row r="7222" spans="9:13" x14ac:dyDescent="0.25">
      <c r="I7222" t="s">
        <v>12348</v>
      </c>
      <c r="J7222" s="161" t="s">
        <v>19202</v>
      </c>
      <c r="K7222" t="s">
        <v>19203</v>
      </c>
      <c r="L7222" t="s">
        <v>12347</v>
      </c>
      <c r="M7222" s="161" t="s">
        <v>19202</v>
      </c>
    </row>
    <row r="7223" spans="9:13" x14ac:dyDescent="0.25">
      <c r="I7223" t="s">
        <v>3063</v>
      </c>
      <c r="J7223" s="161" t="s">
        <v>19202</v>
      </c>
      <c r="K7223" t="s">
        <v>19203</v>
      </c>
      <c r="L7223" t="s">
        <v>3062</v>
      </c>
      <c r="M7223" s="161" t="s">
        <v>19202</v>
      </c>
    </row>
    <row r="7224" spans="9:13" x14ac:dyDescent="0.25">
      <c r="I7224" t="s">
        <v>3061</v>
      </c>
      <c r="J7224" s="161" t="s">
        <v>19202</v>
      </c>
      <c r="K7224" t="s">
        <v>19203</v>
      </c>
      <c r="L7224" t="s">
        <v>3060</v>
      </c>
      <c r="M7224" s="161" t="s">
        <v>19202</v>
      </c>
    </row>
    <row r="7225" spans="9:13" x14ac:dyDescent="0.25">
      <c r="I7225" t="s">
        <v>1972</v>
      </c>
      <c r="J7225" s="161" t="s">
        <v>19202</v>
      </c>
      <c r="K7225" t="s">
        <v>19203</v>
      </c>
      <c r="L7225" t="s">
        <v>1971</v>
      </c>
      <c r="M7225" s="161" t="s">
        <v>19202</v>
      </c>
    </row>
    <row r="7226" spans="9:13" x14ac:dyDescent="0.25">
      <c r="I7226" t="s">
        <v>10321</v>
      </c>
      <c r="J7226" s="161" t="s">
        <v>19202</v>
      </c>
      <c r="K7226" t="s">
        <v>19203</v>
      </c>
      <c r="L7226" t="s">
        <v>10320</v>
      </c>
      <c r="M7226" s="161" t="s">
        <v>19202</v>
      </c>
    </row>
    <row r="7227" spans="9:13" x14ac:dyDescent="0.25">
      <c r="I7227" t="s">
        <v>10366</v>
      </c>
      <c r="J7227" s="161" t="s">
        <v>19202</v>
      </c>
      <c r="K7227" t="s">
        <v>19203</v>
      </c>
      <c r="L7227" t="s">
        <v>10365</v>
      </c>
      <c r="M7227" s="161" t="s">
        <v>19202</v>
      </c>
    </row>
    <row r="7228" spans="9:13" x14ac:dyDescent="0.25">
      <c r="I7228" t="s">
        <v>2841</v>
      </c>
      <c r="J7228" s="161" t="s">
        <v>19202</v>
      </c>
      <c r="K7228" t="s">
        <v>19203</v>
      </c>
      <c r="L7228" t="s">
        <v>2840</v>
      </c>
      <c r="M7228" s="161" t="s">
        <v>19202</v>
      </c>
    </row>
    <row r="7229" spans="9:13" x14ac:dyDescent="0.25">
      <c r="I7229" t="s">
        <v>914</v>
      </c>
      <c r="J7229" s="161" t="s">
        <v>19202</v>
      </c>
      <c r="K7229" t="s">
        <v>19203</v>
      </c>
      <c r="L7229" t="s">
        <v>913</v>
      </c>
      <c r="M7229" s="161" t="s">
        <v>19202</v>
      </c>
    </row>
    <row r="7230" spans="9:13" x14ac:dyDescent="0.25">
      <c r="I7230" t="s">
        <v>13711</v>
      </c>
      <c r="J7230" s="161" t="s">
        <v>19202</v>
      </c>
      <c r="K7230" t="s">
        <v>19203</v>
      </c>
      <c r="L7230" t="s">
        <v>13710</v>
      </c>
      <c r="M7230" s="161" t="s">
        <v>19202</v>
      </c>
    </row>
    <row r="7231" spans="9:13" x14ac:dyDescent="0.25">
      <c r="I7231" t="s">
        <v>15589</v>
      </c>
      <c r="J7231" s="161" t="s">
        <v>19202</v>
      </c>
      <c r="K7231" t="s">
        <v>19203</v>
      </c>
      <c r="L7231" t="s">
        <v>15588</v>
      </c>
      <c r="M7231" s="161" t="s">
        <v>19202</v>
      </c>
    </row>
    <row r="7232" spans="9:13" x14ac:dyDescent="0.25">
      <c r="I7232" t="s">
        <v>4921</v>
      </c>
      <c r="J7232" s="161" t="s">
        <v>19202</v>
      </c>
      <c r="K7232" t="s">
        <v>19203</v>
      </c>
      <c r="L7232" t="s">
        <v>4920</v>
      </c>
      <c r="M7232" s="161" t="s">
        <v>19202</v>
      </c>
    </row>
    <row r="7233" spans="9:13" x14ac:dyDescent="0.25">
      <c r="I7233" t="s">
        <v>8708</v>
      </c>
      <c r="J7233" s="161" t="s">
        <v>19202</v>
      </c>
      <c r="K7233" t="s">
        <v>19203</v>
      </c>
      <c r="L7233" t="s">
        <v>8707</v>
      </c>
      <c r="M7233" s="161" t="s">
        <v>19202</v>
      </c>
    </row>
    <row r="7234" spans="9:13" x14ac:dyDescent="0.25">
      <c r="I7234" t="s">
        <v>8706</v>
      </c>
      <c r="J7234" s="161" t="s">
        <v>19202</v>
      </c>
      <c r="K7234" t="s">
        <v>19203</v>
      </c>
      <c r="L7234" t="s">
        <v>8705</v>
      </c>
      <c r="M7234" s="161" t="s">
        <v>19202</v>
      </c>
    </row>
    <row r="7235" spans="9:13" x14ac:dyDescent="0.25">
      <c r="I7235" t="s">
        <v>2381</v>
      </c>
      <c r="J7235" s="161" t="s">
        <v>19202</v>
      </c>
      <c r="K7235" t="s">
        <v>19203</v>
      </c>
      <c r="L7235" t="s">
        <v>2380</v>
      </c>
      <c r="M7235" s="161" t="s">
        <v>19202</v>
      </c>
    </row>
    <row r="7236" spans="9:13" x14ac:dyDescent="0.25">
      <c r="I7236" t="s">
        <v>15430</v>
      </c>
      <c r="J7236" s="161" t="s">
        <v>19202</v>
      </c>
      <c r="K7236" t="s">
        <v>19203</v>
      </c>
      <c r="L7236" t="s">
        <v>10804</v>
      </c>
      <c r="M7236" s="161" t="s">
        <v>19202</v>
      </c>
    </row>
    <row r="7237" spans="9:13" x14ac:dyDescent="0.25">
      <c r="I7237" t="s">
        <v>9559</v>
      </c>
      <c r="J7237" s="161" t="s">
        <v>19202</v>
      </c>
      <c r="K7237" t="s">
        <v>19203</v>
      </c>
      <c r="L7237" t="s">
        <v>20171</v>
      </c>
      <c r="M7237" s="161" t="s">
        <v>19202</v>
      </c>
    </row>
    <row r="7238" spans="9:13" x14ac:dyDescent="0.25">
      <c r="I7238" t="s">
        <v>11269</v>
      </c>
      <c r="J7238" s="161" t="s">
        <v>19202</v>
      </c>
      <c r="K7238" t="s">
        <v>19203</v>
      </c>
      <c r="L7238" t="s">
        <v>11268</v>
      </c>
      <c r="M7238" s="161" t="s">
        <v>19202</v>
      </c>
    </row>
    <row r="7239" spans="9:13" x14ac:dyDescent="0.25">
      <c r="I7239" t="s">
        <v>20172</v>
      </c>
      <c r="J7239" s="161" t="s">
        <v>19202</v>
      </c>
      <c r="K7239" t="s">
        <v>19203</v>
      </c>
      <c r="L7239" t="s">
        <v>20173</v>
      </c>
      <c r="M7239" s="161" t="s">
        <v>19202</v>
      </c>
    </row>
    <row r="7240" spans="9:13" x14ac:dyDescent="0.25">
      <c r="I7240" t="s">
        <v>20174</v>
      </c>
      <c r="J7240" s="161" t="s">
        <v>19202</v>
      </c>
      <c r="K7240" t="s">
        <v>19203</v>
      </c>
      <c r="L7240" t="s">
        <v>12920</v>
      </c>
      <c r="M7240" s="161" t="s">
        <v>19202</v>
      </c>
    </row>
    <row r="7241" spans="9:13" x14ac:dyDescent="0.25">
      <c r="I7241" t="s">
        <v>2911</v>
      </c>
      <c r="J7241" s="161" t="s">
        <v>19202</v>
      </c>
      <c r="K7241" t="s">
        <v>19203</v>
      </c>
      <c r="L7241" t="s">
        <v>2910</v>
      </c>
      <c r="M7241" s="161" t="s">
        <v>19202</v>
      </c>
    </row>
    <row r="7242" spans="9:13" x14ac:dyDescent="0.25">
      <c r="I7242" t="s">
        <v>2891</v>
      </c>
      <c r="J7242" s="161" t="s">
        <v>19202</v>
      </c>
      <c r="K7242" t="s">
        <v>19203</v>
      </c>
      <c r="L7242" t="s">
        <v>2890</v>
      </c>
      <c r="M7242" s="161" t="s">
        <v>19202</v>
      </c>
    </row>
    <row r="7243" spans="9:13" x14ac:dyDescent="0.25">
      <c r="I7243" t="s">
        <v>14562</v>
      </c>
      <c r="J7243" s="161" t="s">
        <v>19202</v>
      </c>
      <c r="K7243" t="s">
        <v>19203</v>
      </c>
      <c r="L7243" t="s">
        <v>14561</v>
      </c>
      <c r="M7243" s="161" t="s">
        <v>19202</v>
      </c>
    </row>
    <row r="7244" spans="9:13" x14ac:dyDescent="0.25">
      <c r="I7244" t="s">
        <v>4925</v>
      </c>
      <c r="J7244" s="161" t="s">
        <v>19202</v>
      </c>
      <c r="K7244" t="s">
        <v>19203</v>
      </c>
      <c r="L7244" t="s">
        <v>4924</v>
      </c>
      <c r="M7244" s="161" t="s">
        <v>19202</v>
      </c>
    </row>
    <row r="7245" spans="9:13" x14ac:dyDescent="0.25">
      <c r="I7245" t="s">
        <v>4728</v>
      </c>
      <c r="J7245" s="161" t="s">
        <v>19202</v>
      </c>
      <c r="K7245" t="s">
        <v>19203</v>
      </c>
      <c r="L7245" t="s">
        <v>4727</v>
      </c>
      <c r="M7245" s="161" t="s">
        <v>19202</v>
      </c>
    </row>
    <row r="7246" spans="9:13" x14ac:dyDescent="0.25">
      <c r="I7246" t="s">
        <v>3579</v>
      </c>
      <c r="J7246" s="161" t="s">
        <v>19202</v>
      </c>
      <c r="K7246" t="s">
        <v>19203</v>
      </c>
      <c r="L7246" t="s">
        <v>3578</v>
      </c>
      <c r="M7246" s="161" t="s">
        <v>19202</v>
      </c>
    </row>
    <row r="7247" spans="9:13" x14ac:dyDescent="0.25">
      <c r="I7247" t="s">
        <v>3690</v>
      </c>
      <c r="J7247" s="161" t="s">
        <v>19202</v>
      </c>
      <c r="K7247" t="s">
        <v>19203</v>
      </c>
      <c r="L7247" t="s">
        <v>3689</v>
      </c>
      <c r="M7247" s="161" t="s">
        <v>19202</v>
      </c>
    </row>
    <row r="7248" spans="9:13" x14ac:dyDescent="0.25">
      <c r="I7248" t="s">
        <v>16525</v>
      </c>
      <c r="J7248" s="161" t="s">
        <v>19202</v>
      </c>
      <c r="K7248" t="s">
        <v>19203</v>
      </c>
      <c r="L7248" t="s">
        <v>2667</v>
      </c>
      <c r="M7248" s="161" t="s">
        <v>19202</v>
      </c>
    </row>
    <row r="7249" spans="9:13" x14ac:dyDescent="0.25">
      <c r="I7249" t="s">
        <v>16261</v>
      </c>
      <c r="J7249" s="161" t="s">
        <v>19202</v>
      </c>
      <c r="K7249" t="s">
        <v>19203</v>
      </c>
      <c r="L7249" t="s">
        <v>6789</v>
      </c>
      <c r="M7249" s="161" t="s">
        <v>19202</v>
      </c>
    </row>
    <row r="7250" spans="9:13" x14ac:dyDescent="0.25">
      <c r="I7250" t="s">
        <v>20175</v>
      </c>
      <c r="J7250" s="161" t="s">
        <v>19202</v>
      </c>
      <c r="K7250" t="s">
        <v>19203</v>
      </c>
      <c r="L7250" t="s">
        <v>20176</v>
      </c>
      <c r="M7250" s="161" t="s">
        <v>19202</v>
      </c>
    </row>
    <row r="7251" spans="9:13" x14ac:dyDescent="0.25">
      <c r="I7251" t="s">
        <v>16442</v>
      </c>
      <c r="J7251" s="161" t="s">
        <v>19202</v>
      </c>
      <c r="K7251" t="s">
        <v>19203</v>
      </c>
      <c r="L7251" t="s">
        <v>16126</v>
      </c>
      <c r="M7251" s="161" t="s">
        <v>19202</v>
      </c>
    </row>
    <row r="7252" spans="9:13" x14ac:dyDescent="0.25">
      <c r="I7252" t="s">
        <v>15043</v>
      </c>
      <c r="J7252" s="161" t="s">
        <v>19202</v>
      </c>
      <c r="K7252" t="s">
        <v>19203</v>
      </c>
      <c r="L7252" t="s">
        <v>15042</v>
      </c>
      <c r="M7252" s="161" t="s">
        <v>19202</v>
      </c>
    </row>
    <row r="7253" spans="9:13" x14ac:dyDescent="0.25">
      <c r="I7253" t="s">
        <v>14306</v>
      </c>
      <c r="J7253" s="161" t="s">
        <v>19202</v>
      </c>
      <c r="K7253" t="s">
        <v>19203</v>
      </c>
      <c r="L7253" t="s">
        <v>200</v>
      </c>
      <c r="M7253" s="161" t="s">
        <v>19202</v>
      </c>
    </row>
    <row r="7254" spans="9:13" x14ac:dyDescent="0.25">
      <c r="I7254" t="s">
        <v>6856</v>
      </c>
      <c r="J7254" s="161" t="s">
        <v>19202</v>
      </c>
      <c r="K7254" t="s">
        <v>19203</v>
      </c>
      <c r="L7254" t="s">
        <v>6855</v>
      </c>
      <c r="M7254" s="161" t="s">
        <v>19202</v>
      </c>
    </row>
    <row r="7255" spans="9:13" x14ac:dyDescent="0.25">
      <c r="I7255" t="s">
        <v>345</v>
      </c>
      <c r="J7255" s="161" t="s">
        <v>19202</v>
      </c>
      <c r="K7255" t="s">
        <v>19203</v>
      </c>
      <c r="L7255" t="s">
        <v>344</v>
      </c>
      <c r="M7255" s="161" t="s">
        <v>19202</v>
      </c>
    </row>
    <row r="7256" spans="9:13" x14ac:dyDescent="0.25">
      <c r="I7256" t="s">
        <v>15816</v>
      </c>
      <c r="J7256" s="161" t="s">
        <v>19202</v>
      </c>
      <c r="K7256" t="s">
        <v>19203</v>
      </c>
      <c r="L7256" t="s">
        <v>1108</v>
      </c>
      <c r="M7256" s="161" t="s">
        <v>19202</v>
      </c>
    </row>
    <row r="7257" spans="9:13" x14ac:dyDescent="0.25">
      <c r="I7257" t="s">
        <v>6379</v>
      </c>
      <c r="J7257" s="161" t="s">
        <v>19202</v>
      </c>
      <c r="K7257" t="s">
        <v>19203</v>
      </c>
      <c r="L7257" t="s">
        <v>6378</v>
      </c>
      <c r="M7257" s="161" t="s">
        <v>19202</v>
      </c>
    </row>
    <row r="7258" spans="9:13" x14ac:dyDescent="0.25">
      <c r="I7258" t="s">
        <v>6098</v>
      </c>
      <c r="J7258" s="161" t="s">
        <v>19202</v>
      </c>
      <c r="K7258" t="s">
        <v>19203</v>
      </c>
      <c r="L7258" t="s">
        <v>6097</v>
      </c>
      <c r="M7258" s="161" t="s">
        <v>19202</v>
      </c>
    </row>
    <row r="7259" spans="9:13" x14ac:dyDescent="0.25">
      <c r="I7259" t="s">
        <v>6096</v>
      </c>
      <c r="J7259" s="161" t="s">
        <v>19202</v>
      </c>
      <c r="K7259" t="s">
        <v>19203</v>
      </c>
      <c r="L7259" t="s">
        <v>1208</v>
      </c>
      <c r="M7259" s="161" t="s">
        <v>19202</v>
      </c>
    </row>
    <row r="7260" spans="9:13" x14ac:dyDescent="0.25">
      <c r="I7260" t="s">
        <v>20177</v>
      </c>
      <c r="J7260" s="161" t="s">
        <v>19202</v>
      </c>
      <c r="K7260" t="s">
        <v>19203</v>
      </c>
      <c r="L7260" t="s">
        <v>20178</v>
      </c>
      <c r="M7260" s="161" t="s">
        <v>19202</v>
      </c>
    </row>
    <row r="7261" spans="9:13" x14ac:dyDescent="0.25">
      <c r="I7261" t="s">
        <v>20179</v>
      </c>
      <c r="J7261" s="161" t="s">
        <v>19202</v>
      </c>
      <c r="K7261" t="s">
        <v>19203</v>
      </c>
      <c r="L7261" t="s">
        <v>20180</v>
      </c>
      <c r="M7261" s="161" t="s">
        <v>19202</v>
      </c>
    </row>
    <row r="7262" spans="9:13" x14ac:dyDescent="0.25">
      <c r="I7262" t="s">
        <v>20181</v>
      </c>
      <c r="J7262" s="161" t="s">
        <v>19202</v>
      </c>
      <c r="K7262" t="s">
        <v>19203</v>
      </c>
      <c r="L7262" t="s">
        <v>20182</v>
      </c>
      <c r="M7262" s="161" t="s">
        <v>19202</v>
      </c>
    </row>
    <row r="7263" spans="9:13" x14ac:dyDescent="0.25">
      <c r="I7263" t="s">
        <v>8098</v>
      </c>
      <c r="J7263" s="161" t="s">
        <v>19202</v>
      </c>
      <c r="K7263" t="s">
        <v>19203</v>
      </c>
      <c r="L7263" t="s">
        <v>8097</v>
      </c>
      <c r="M7263" s="161" t="s">
        <v>19202</v>
      </c>
    </row>
    <row r="7264" spans="9:13" x14ac:dyDescent="0.25">
      <c r="I7264" t="s">
        <v>9532</v>
      </c>
      <c r="J7264" s="161" t="s">
        <v>19202</v>
      </c>
      <c r="K7264" t="s">
        <v>19203</v>
      </c>
      <c r="L7264" t="s">
        <v>9531</v>
      </c>
      <c r="M7264" s="161" t="s">
        <v>19202</v>
      </c>
    </row>
    <row r="7265" spans="9:13" x14ac:dyDescent="0.25">
      <c r="I7265" t="s">
        <v>6854</v>
      </c>
      <c r="J7265" s="161" t="s">
        <v>19202</v>
      </c>
      <c r="K7265" t="s">
        <v>19203</v>
      </c>
      <c r="L7265" t="s">
        <v>27</v>
      </c>
      <c r="M7265" s="161" t="s">
        <v>19202</v>
      </c>
    </row>
    <row r="7266" spans="9:13" x14ac:dyDescent="0.25">
      <c r="I7266" t="s">
        <v>8834</v>
      </c>
      <c r="J7266" s="161" t="s">
        <v>19202</v>
      </c>
      <c r="K7266" t="s">
        <v>19203</v>
      </c>
      <c r="L7266" t="s">
        <v>8833</v>
      </c>
      <c r="M7266" s="161" t="s">
        <v>19202</v>
      </c>
    </row>
    <row r="7267" spans="9:13" x14ac:dyDescent="0.25">
      <c r="I7267" t="s">
        <v>15708</v>
      </c>
      <c r="J7267" s="161" t="s">
        <v>19202</v>
      </c>
      <c r="K7267" t="s">
        <v>19203</v>
      </c>
      <c r="L7267" t="s">
        <v>20183</v>
      </c>
      <c r="M7267" s="161" t="s">
        <v>19202</v>
      </c>
    </row>
    <row r="7268" spans="9:13" x14ac:dyDescent="0.25">
      <c r="I7268" t="s">
        <v>20184</v>
      </c>
      <c r="J7268" s="161" t="s">
        <v>19202</v>
      </c>
      <c r="K7268" t="s">
        <v>19203</v>
      </c>
      <c r="L7268" t="s">
        <v>20185</v>
      </c>
      <c r="M7268" s="161" t="s">
        <v>19202</v>
      </c>
    </row>
    <row r="7269" spans="9:13" x14ac:dyDescent="0.25">
      <c r="I7269" t="s">
        <v>6508</v>
      </c>
      <c r="J7269" s="161" t="s">
        <v>19202</v>
      </c>
      <c r="K7269" t="s">
        <v>19203</v>
      </c>
      <c r="L7269" t="s">
        <v>6507</v>
      </c>
      <c r="M7269" s="161" t="s">
        <v>19202</v>
      </c>
    </row>
    <row r="7270" spans="9:13" x14ac:dyDescent="0.25">
      <c r="I7270" t="s">
        <v>20186</v>
      </c>
      <c r="J7270" s="161" t="s">
        <v>19202</v>
      </c>
      <c r="K7270" t="s">
        <v>19203</v>
      </c>
      <c r="L7270" t="s">
        <v>20187</v>
      </c>
      <c r="M7270" s="161" t="s">
        <v>19202</v>
      </c>
    </row>
    <row r="7271" spans="9:13" x14ac:dyDescent="0.25">
      <c r="I7271" t="s">
        <v>12620</v>
      </c>
      <c r="J7271" s="161" t="s">
        <v>19202</v>
      </c>
      <c r="K7271" t="s">
        <v>19203</v>
      </c>
      <c r="L7271" t="s">
        <v>12619</v>
      </c>
      <c r="M7271" s="161" t="s">
        <v>19202</v>
      </c>
    </row>
    <row r="7272" spans="9:13" x14ac:dyDescent="0.25">
      <c r="I7272" t="s">
        <v>20188</v>
      </c>
      <c r="J7272" s="161" t="s">
        <v>19202</v>
      </c>
      <c r="K7272" t="s">
        <v>19203</v>
      </c>
      <c r="L7272" t="s">
        <v>20189</v>
      </c>
      <c r="M7272" s="161" t="s">
        <v>19202</v>
      </c>
    </row>
    <row r="7273" spans="9:13" x14ac:dyDescent="0.25">
      <c r="I7273" t="s">
        <v>2965</v>
      </c>
      <c r="J7273" s="161" t="s">
        <v>19202</v>
      </c>
      <c r="K7273" t="s">
        <v>19203</v>
      </c>
      <c r="L7273" t="s">
        <v>2964</v>
      </c>
      <c r="M7273" s="161" t="s">
        <v>19202</v>
      </c>
    </row>
    <row r="7274" spans="9:13" x14ac:dyDescent="0.25">
      <c r="I7274" t="s">
        <v>6957</v>
      </c>
      <c r="J7274" s="161" t="s">
        <v>19202</v>
      </c>
      <c r="K7274" t="s">
        <v>19203</v>
      </c>
      <c r="L7274" t="s">
        <v>6956</v>
      </c>
      <c r="M7274" s="161" t="s">
        <v>19202</v>
      </c>
    </row>
    <row r="7275" spans="9:13" x14ac:dyDescent="0.25">
      <c r="I7275" t="s">
        <v>3028</v>
      </c>
      <c r="J7275" s="161" t="s">
        <v>19202</v>
      </c>
      <c r="K7275" t="s">
        <v>19203</v>
      </c>
      <c r="L7275" t="s">
        <v>3027</v>
      </c>
      <c r="M7275" s="161" t="s">
        <v>19202</v>
      </c>
    </row>
    <row r="7276" spans="9:13" x14ac:dyDescent="0.25">
      <c r="I7276" t="s">
        <v>14564</v>
      </c>
      <c r="J7276" s="161" t="s">
        <v>19202</v>
      </c>
      <c r="K7276" t="s">
        <v>19203</v>
      </c>
      <c r="L7276" t="s">
        <v>14563</v>
      </c>
      <c r="M7276" s="161" t="s">
        <v>19202</v>
      </c>
    </row>
    <row r="7277" spans="9:13" x14ac:dyDescent="0.25">
      <c r="I7277" t="s">
        <v>4642</v>
      </c>
      <c r="J7277" s="161" t="s">
        <v>19202</v>
      </c>
      <c r="K7277" t="s">
        <v>19203</v>
      </c>
      <c r="L7277" t="s">
        <v>4641</v>
      </c>
      <c r="M7277" s="161" t="s">
        <v>19202</v>
      </c>
    </row>
    <row r="7278" spans="9:13" x14ac:dyDescent="0.25">
      <c r="I7278" t="s">
        <v>11969</v>
      </c>
      <c r="J7278" s="161" t="s">
        <v>19202</v>
      </c>
      <c r="K7278" t="s">
        <v>19203</v>
      </c>
      <c r="L7278" t="s">
        <v>11968</v>
      </c>
      <c r="M7278" s="161" t="s">
        <v>19202</v>
      </c>
    </row>
    <row r="7279" spans="9:13" x14ac:dyDescent="0.25">
      <c r="I7279" t="s">
        <v>12592</v>
      </c>
      <c r="J7279" s="161" t="s">
        <v>19202</v>
      </c>
      <c r="K7279" t="s">
        <v>19203</v>
      </c>
      <c r="L7279" t="s">
        <v>12591</v>
      </c>
      <c r="M7279" s="161" t="s">
        <v>19202</v>
      </c>
    </row>
    <row r="7280" spans="9:13" x14ac:dyDescent="0.25">
      <c r="I7280" t="s">
        <v>5661</v>
      </c>
      <c r="J7280" s="161" t="s">
        <v>19202</v>
      </c>
      <c r="K7280" t="s">
        <v>19203</v>
      </c>
      <c r="L7280" t="s">
        <v>5660</v>
      </c>
      <c r="M7280" s="161" t="s">
        <v>19202</v>
      </c>
    </row>
    <row r="7281" spans="9:13" x14ac:dyDescent="0.25">
      <c r="I7281" t="s">
        <v>6095</v>
      </c>
      <c r="J7281" s="161" t="s">
        <v>19202</v>
      </c>
      <c r="K7281" t="s">
        <v>19203</v>
      </c>
      <c r="L7281" t="s">
        <v>6094</v>
      </c>
      <c r="M7281" s="161" t="s">
        <v>19202</v>
      </c>
    </row>
    <row r="7282" spans="9:13" x14ac:dyDescent="0.25">
      <c r="I7282" t="s">
        <v>9872</v>
      </c>
      <c r="J7282" s="161" t="s">
        <v>19202</v>
      </c>
      <c r="K7282" t="s">
        <v>19203</v>
      </c>
      <c r="L7282" t="s">
        <v>9871</v>
      </c>
      <c r="M7282" s="161" t="s">
        <v>19202</v>
      </c>
    </row>
    <row r="7283" spans="9:13" x14ac:dyDescent="0.25">
      <c r="I7283" t="s">
        <v>1016</v>
      </c>
      <c r="J7283" s="161" t="s">
        <v>19202</v>
      </c>
      <c r="K7283" t="s">
        <v>19203</v>
      </c>
      <c r="L7283" t="s">
        <v>1015</v>
      </c>
      <c r="M7283" s="161" t="s">
        <v>19202</v>
      </c>
    </row>
    <row r="7284" spans="9:13" x14ac:dyDescent="0.25">
      <c r="I7284" t="s">
        <v>11873</v>
      </c>
      <c r="J7284" s="161" t="s">
        <v>19202</v>
      </c>
      <c r="K7284" t="s">
        <v>19203</v>
      </c>
      <c r="L7284" t="s">
        <v>11872</v>
      </c>
      <c r="M7284" s="161" t="s">
        <v>19202</v>
      </c>
    </row>
    <row r="7285" spans="9:13" x14ac:dyDescent="0.25">
      <c r="I7285" t="s">
        <v>9782</v>
      </c>
      <c r="J7285" s="161" t="s">
        <v>19202</v>
      </c>
      <c r="K7285" t="s">
        <v>19203</v>
      </c>
      <c r="L7285" t="s">
        <v>9781</v>
      </c>
      <c r="M7285" s="161" t="s">
        <v>19202</v>
      </c>
    </row>
    <row r="7286" spans="9:13" x14ac:dyDescent="0.25">
      <c r="I7286" t="s">
        <v>5914</v>
      </c>
      <c r="J7286" s="161" t="s">
        <v>19202</v>
      </c>
      <c r="K7286" t="s">
        <v>19203</v>
      </c>
      <c r="L7286" t="s">
        <v>5913</v>
      </c>
      <c r="M7286" s="161" t="s">
        <v>19202</v>
      </c>
    </row>
    <row r="7287" spans="9:13" x14ac:dyDescent="0.25">
      <c r="I7287" t="s">
        <v>2895</v>
      </c>
      <c r="J7287" s="161" t="s">
        <v>19202</v>
      </c>
      <c r="K7287" t="s">
        <v>19203</v>
      </c>
      <c r="L7287" t="s">
        <v>2894</v>
      </c>
      <c r="M7287" s="161" t="s">
        <v>19202</v>
      </c>
    </row>
    <row r="7288" spans="9:13" x14ac:dyDescent="0.25">
      <c r="I7288" t="s">
        <v>8281</v>
      </c>
      <c r="J7288" s="161" t="s">
        <v>19202</v>
      </c>
      <c r="K7288" t="s">
        <v>19203</v>
      </c>
      <c r="L7288" t="s">
        <v>8280</v>
      </c>
      <c r="M7288" s="161" t="s">
        <v>19202</v>
      </c>
    </row>
    <row r="7289" spans="9:13" x14ac:dyDescent="0.25">
      <c r="I7289" t="s">
        <v>8580</v>
      </c>
      <c r="J7289" s="161" t="s">
        <v>19202</v>
      </c>
      <c r="K7289" t="s">
        <v>19203</v>
      </c>
      <c r="L7289" t="s">
        <v>8579</v>
      </c>
      <c r="M7289" s="161" t="s">
        <v>19202</v>
      </c>
    </row>
    <row r="7290" spans="9:13" x14ac:dyDescent="0.25">
      <c r="I7290" t="s">
        <v>6365</v>
      </c>
      <c r="J7290" s="161" t="s">
        <v>19202</v>
      </c>
      <c r="K7290" t="s">
        <v>19203</v>
      </c>
      <c r="L7290" t="s">
        <v>6253</v>
      </c>
      <c r="M7290" s="161" t="s">
        <v>19202</v>
      </c>
    </row>
    <row r="7291" spans="9:13" x14ac:dyDescent="0.25">
      <c r="I7291" t="s">
        <v>20190</v>
      </c>
      <c r="J7291" s="161" t="s">
        <v>19202</v>
      </c>
      <c r="K7291" t="s">
        <v>19203</v>
      </c>
      <c r="L7291" t="s">
        <v>20191</v>
      </c>
      <c r="M7291" s="161" t="s">
        <v>19202</v>
      </c>
    </row>
    <row r="7292" spans="9:13" x14ac:dyDescent="0.25">
      <c r="I7292" t="s">
        <v>20192</v>
      </c>
      <c r="J7292" s="161" t="s">
        <v>19202</v>
      </c>
      <c r="K7292" t="s">
        <v>19203</v>
      </c>
      <c r="L7292" t="s">
        <v>20193</v>
      </c>
      <c r="M7292" s="161" t="s">
        <v>19202</v>
      </c>
    </row>
    <row r="7293" spans="9:13" x14ac:dyDescent="0.25">
      <c r="I7293" t="s">
        <v>9744</v>
      </c>
      <c r="J7293" s="161" t="s">
        <v>19202</v>
      </c>
      <c r="K7293" t="s">
        <v>19203</v>
      </c>
      <c r="L7293" t="s">
        <v>9743</v>
      </c>
      <c r="M7293" s="161" t="s">
        <v>19202</v>
      </c>
    </row>
    <row r="7294" spans="9:13" x14ac:dyDescent="0.25">
      <c r="I7294" t="s">
        <v>12618</v>
      </c>
      <c r="J7294" s="161" t="s">
        <v>19202</v>
      </c>
      <c r="K7294" t="s">
        <v>19203</v>
      </c>
      <c r="L7294" t="s">
        <v>12617</v>
      </c>
      <c r="M7294" s="161" t="s">
        <v>19202</v>
      </c>
    </row>
    <row r="7295" spans="9:13" x14ac:dyDescent="0.25">
      <c r="I7295" t="s">
        <v>20194</v>
      </c>
      <c r="J7295" s="161" t="s">
        <v>19202</v>
      </c>
      <c r="K7295" t="s">
        <v>19203</v>
      </c>
      <c r="L7295" t="s">
        <v>20195</v>
      </c>
      <c r="M7295" s="161" t="s">
        <v>19202</v>
      </c>
    </row>
    <row r="7296" spans="9:13" x14ac:dyDescent="0.25">
      <c r="I7296" t="s">
        <v>11744</v>
      </c>
      <c r="J7296" s="161" t="s">
        <v>19202</v>
      </c>
      <c r="K7296" t="s">
        <v>19203</v>
      </c>
      <c r="L7296" t="s">
        <v>11743</v>
      </c>
      <c r="M7296" s="161" t="s">
        <v>19202</v>
      </c>
    </row>
    <row r="7297" spans="9:13" x14ac:dyDescent="0.25">
      <c r="I7297" t="s">
        <v>13140</v>
      </c>
      <c r="J7297" s="161" t="s">
        <v>19202</v>
      </c>
      <c r="K7297" t="s">
        <v>19203</v>
      </c>
      <c r="L7297" t="s">
        <v>12600</v>
      </c>
      <c r="M7297" s="161" t="s">
        <v>19202</v>
      </c>
    </row>
    <row r="7298" spans="9:13" x14ac:dyDescent="0.25">
      <c r="I7298" t="s">
        <v>5442</v>
      </c>
      <c r="J7298" s="161" t="s">
        <v>19202</v>
      </c>
      <c r="K7298" t="s">
        <v>19203</v>
      </c>
      <c r="L7298" t="s">
        <v>5441</v>
      </c>
      <c r="M7298" s="161" t="s">
        <v>19202</v>
      </c>
    </row>
    <row r="7299" spans="9:13" x14ac:dyDescent="0.25">
      <c r="I7299" t="s">
        <v>2292</v>
      </c>
      <c r="J7299" s="161" t="s">
        <v>19202</v>
      </c>
      <c r="K7299" t="s">
        <v>19203</v>
      </c>
      <c r="L7299" t="s">
        <v>2291</v>
      </c>
      <c r="M7299" s="161" t="s">
        <v>19202</v>
      </c>
    </row>
    <row r="7300" spans="9:13" x14ac:dyDescent="0.25">
      <c r="I7300" t="s">
        <v>14025</v>
      </c>
      <c r="J7300" s="161" t="s">
        <v>19202</v>
      </c>
      <c r="K7300" t="s">
        <v>19203</v>
      </c>
      <c r="L7300" t="s">
        <v>14024</v>
      </c>
      <c r="M7300" s="161" t="s">
        <v>19202</v>
      </c>
    </row>
    <row r="7301" spans="9:13" x14ac:dyDescent="0.25">
      <c r="I7301" t="s">
        <v>9186</v>
      </c>
      <c r="J7301" s="161" t="s">
        <v>19202</v>
      </c>
      <c r="K7301" t="s">
        <v>19203</v>
      </c>
      <c r="L7301" t="s">
        <v>9185</v>
      </c>
      <c r="M7301" s="161" t="s">
        <v>19202</v>
      </c>
    </row>
    <row r="7302" spans="9:13" x14ac:dyDescent="0.25">
      <c r="I7302" t="s">
        <v>20196</v>
      </c>
      <c r="J7302" s="161" t="s">
        <v>19202</v>
      </c>
      <c r="K7302" t="s">
        <v>19203</v>
      </c>
      <c r="L7302" t="s">
        <v>1520</v>
      </c>
      <c r="M7302" s="161" t="s">
        <v>19202</v>
      </c>
    </row>
    <row r="7303" spans="9:13" x14ac:dyDescent="0.25">
      <c r="I7303" t="s">
        <v>7853</v>
      </c>
      <c r="J7303" s="161" t="s">
        <v>19202</v>
      </c>
      <c r="K7303" t="s">
        <v>19203</v>
      </c>
      <c r="L7303" t="s">
        <v>7852</v>
      </c>
      <c r="M7303" s="161" t="s">
        <v>19202</v>
      </c>
    </row>
    <row r="7304" spans="9:13" x14ac:dyDescent="0.25">
      <c r="I7304" t="s">
        <v>12038</v>
      </c>
      <c r="J7304" s="161" t="s">
        <v>19202</v>
      </c>
      <c r="K7304" t="s">
        <v>19203</v>
      </c>
      <c r="L7304" t="s">
        <v>12037</v>
      </c>
      <c r="M7304" s="161" t="s">
        <v>19202</v>
      </c>
    </row>
    <row r="7305" spans="9:13" x14ac:dyDescent="0.25">
      <c r="I7305" t="s">
        <v>472</v>
      </c>
      <c r="J7305" s="161" t="s">
        <v>19202</v>
      </c>
      <c r="K7305" t="s">
        <v>19203</v>
      </c>
      <c r="L7305" t="s">
        <v>471</v>
      </c>
      <c r="M7305" s="161" t="s">
        <v>19202</v>
      </c>
    </row>
    <row r="7306" spans="9:13" x14ac:dyDescent="0.25">
      <c r="I7306" t="s">
        <v>13707</v>
      </c>
      <c r="J7306" s="161" t="s">
        <v>19202</v>
      </c>
      <c r="K7306" t="s">
        <v>19203</v>
      </c>
      <c r="L7306" t="s">
        <v>104</v>
      </c>
      <c r="M7306" s="161" t="s">
        <v>19202</v>
      </c>
    </row>
    <row r="7307" spans="9:13" x14ac:dyDescent="0.25">
      <c r="I7307" t="s">
        <v>6687</v>
      </c>
      <c r="J7307" s="161" t="s">
        <v>19202</v>
      </c>
      <c r="K7307" t="s">
        <v>19203</v>
      </c>
      <c r="L7307" t="s">
        <v>6686</v>
      </c>
      <c r="M7307" s="161" t="s">
        <v>19202</v>
      </c>
    </row>
    <row r="7308" spans="9:13" x14ac:dyDescent="0.25">
      <c r="I7308" t="s">
        <v>16936</v>
      </c>
      <c r="J7308" s="161" t="s">
        <v>19202</v>
      </c>
      <c r="K7308" t="s">
        <v>19203</v>
      </c>
      <c r="L7308" t="s">
        <v>16935</v>
      </c>
      <c r="M7308" s="161" t="s">
        <v>19202</v>
      </c>
    </row>
    <row r="7309" spans="9:13" x14ac:dyDescent="0.25">
      <c r="I7309" t="s">
        <v>20197</v>
      </c>
      <c r="J7309" s="161" t="s">
        <v>19202</v>
      </c>
      <c r="K7309" t="s">
        <v>19203</v>
      </c>
      <c r="L7309" t="s">
        <v>20198</v>
      </c>
      <c r="M7309" s="161" t="s">
        <v>19202</v>
      </c>
    </row>
    <row r="7310" spans="9:13" x14ac:dyDescent="0.25">
      <c r="I7310" t="s">
        <v>9476</v>
      </c>
      <c r="J7310" s="161" t="s">
        <v>19202</v>
      </c>
      <c r="K7310" t="s">
        <v>19203</v>
      </c>
      <c r="L7310" t="s">
        <v>9475</v>
      </c>
      <c r="M7310" s="161" t="s">
        <v>19202</v>
      </c>
    </row>
    <row r="7311" spans="9:13" x14ac:dyDescent="0.25">
      <c r="I7311" t="s">
        <v>741</v>
      </c>
      <c r="J7311" s="161" t="s">
        <v>19202</v>
      </c>
      <c r="K7311" t="s">
        <v>19203</v>
      </c>
      <c r="L7311" t="s">
        <v>740</v>
      </c>
      <c r="M7311" s="161" t="s">
        <v>19202</v>
      </c>
    </row>
    <row r="7312" spans="9:13" x14ac:dyDescent="0.25">
      <c r="I7312" t="s">
        <v>20199</v>
      </c>
      <c r="J7312" s="161" t="s">
        <v>19202</v>
      </c>
      <c r="K7312" t="s">
        <v>19203</v>
      </c>
      <c r="L7312" t="s">
        <v>20200</v>
      </c>
      <c r="M7312" s="161" t="s">
        <v>19202</v>
      </c>
    </row>
    <row r="7313" spans="9:13" x14ac:dyDescent="0.25">
      <c r="I7313" t="s">
        <v>3581</v>
      </c>
      <c r="J7313" s="161" t="s">
        <v>19202</v>
      </c>
      <c r="K7313" t="s">
        <v>19203</v>
      </c>
      <c r="L7313" t="s">
        <v>3580</v>
      </c>
      <c r="M7313" s="161" t="s">
        <v>19202</v>
      </c>
    </row>
    <row r="7314" spans="9:13" x14ac:dyDescent="0.25">
      <c r="I7314" t="s">
        <v>11637</v>
      </c>
      <c r="J7314" s="161" t="s">
        <v>19202</v>
      </c>
      <c r="K7314" t="s">
        <v>19203</v>
      </c>
      <c r="L7314" t="s">
        <v>11636</v>
      </c>
      <c r="M7314" s="161" t="s">
        <v>19202</v>
      </c>
    </row>
    <row r="7315" spans="9:13" x14ac:dyDescent="0.25">
      <c r="I7315" t="s">
        <v>6156</v>
      </c>
      <c r="J7315" s="161" t="s">
        <v>19202</v>
      </c>
      <c r="K7315" t="s">
        <v>19203</v>
      </c>
      <c r="L7315" t="s">
        <v>6155</v>
      </c>
      <c r="M7315" s="161" t="s">
        <v>19202</v>
      </c>
    </row>
    <row r="7316" spans="9:13" x14ac:dyDescent="0.25">
      <c r="I7316" t="s">
        <v>11833</v>
      </c>
      <c r="J7316" s="161" t="s">
        <v>19202</v>
      </c>
      <c r="K7316" t="s">
        <v>19203</v>
      </c>
      <c r="L7316" t="s">
        <v>11832</v>
      </c>
      <c r="M7316" s="161" t="s">
        <v>19202</v>
      </c>
    </row>
    <row r="7317" spans="9:13" x14ac:dyDescent="0.25">
      <c r="I7317" t="s">
        <v>5703</v>
      </c>
      <c r="J7317" s="161" t="s">
        <v>19202</v>
      </c>
      <c r="K7317" t="s">
        <v>19203</v>
      </c>
      <c r="L7317" t="s">
        <v>5702</v>
      </c>
      <c r="M7317" s="161" t="s">
        <v>19202</v>
      </c>
    </row>
    <row r="7318" spans="9:13" x14ac:dyDescent="0.25">
      <c r="I7318" t="s">
        <v>9478</v>
      </c>
      <c r="J7318" s="161" t="s">
        <v>19202</v>
      </c>
      <c r="K7318" t="s">
        <v>19203</v>
      </c>
      <c r="L7318" t="s">
        <v>9477</v>
      </c>
      <c r="M7318" s="161" t="s">
        <v>19202</v>
      </c>
    </row>
    <row r="7319" spans="9:13" x14ac:dyDescent="0.25">
      <c r="I7319" t="s">
        <v>8824</v>
      </c>
      <c r="J7319" s="161" t="s">
        <v>19202</v>
      </c>
      <c r="K7319" t="s">
        <v>19203</v>
      </c>
      <c r="L7319" t="s">
        <v>8823</v>
      </c>
      <c r="M7319" s="161" t="s">
        <v>19202</v>
      </c>
    </row>
    <row r="7320" spans="9:13" x14ac:dyDescent="0.25">
      <c r="I7320" t="s">
        <v>11123</v>
      </c>
      <c r="J7320" s="161" t="s">
        <v>19202</v>
      </c>
      <c r="K7320" t="s">
        <v>19203</v>
      </c>
      <c r="L7320" t="s">
        <v>11122</v>
      </c>
      <c r="M7320" s="161" t="s">
        <v>19202</v>
      </c>
    </row>
    <row r="7321" spans="9:13" x14ac:dyDescent="0.25">
      <c r="I7321" t="s">
        <v>9693</v>
      </c>
      <c r="J7321" s="161" t="s">
        <v>19202</v>
      </c>
      <c r="K7321" t="s">
        <v>19203</v>
      </c>
      <c r="L7321" t="s">
        <v>9692</v>
      </c>
      <c r="M7321" s="161" t="s">
        <v>19202</v>
      </c>
    </row>
    <row r="7322" spans="9:13" x14ac:dyDescent="0.25">
      <c r="I7322" t="s">
        <v>20201</v>
      </c>
      <c r="J7322" s="161" t="s">
        <v>19202</v>
      </c>
      <c r="K7322" t="s">
        <v>19203</v>
      </c>
      <c r="L7322" t="s">
        <v>20202</v>
      </c>
      <c r="M7322" s="161" t="s">
        <v>19202</v>
      </c>
    </row>
    <row r="7323" spans="9:13" x14ac:dyDescent="0.25">
      <c r="I7323" t="s">
        <v>3577</v>
      </c>
      <c r="J7323" s="161" t="s">
        <v>19202</v>
      </c>
      <c r="K7323" t="s">
        <v>19203</v>
      </c>
      <c r="L7323" t="s">
        <v>181</v>
      </c>
      <c r="M7323" s="161" t="s">
        <v>19202</v>
      </c>
    </row>
    <row r="7324" spans="9:13" x14ac:dyDescent="0.25">
      <c r="I7324" t="s">
        <v>4029</v>
      </c>
      <c r="J7324" s="161" t="s">
        <v>19202</v>
      </c>
      <c r="K7324" t="s">
        <v>19203</v>
      </c>
      <c r="L7324" t="s">
        <v>4028</v>
      </c>
      <c r="M7324" s="161" t="s">
        <v>19202</v>
      </c>
    </row>
    <row r="7325" spans="9:13" x14ac:dyDescent="0.25">
      <c r="I7325" t="s">
        <v>20203</v>
      </c>
      <c r="J7325" s="161" t="s">
        <v>19202</v>
      </c>
      <c r="K7325" t="s">
        <v>19203</v>
      </c>
      <c r="L7325" t="s">
        <v>20204</v>
      </c>
      <c r="M7325" s="161" t="s">
        <v>19202</v>
      </c>
    </row>
    <row r="7326" spans="9:13" x14ac:dyDescent="0.25">
      <c r="I7326" t="s">
        <v>10454</v>
      </c>
      <c r="J7326" s="161" t="s">
        <v>19202</v>
      </c>
      <c r="K7326" t="s">
        <v>19203</v>
      </c>
      <c r="L7326" t="s">
        <v>10453</v>
      </c>
      <c r="M7326" s="161" t="s">
        <v>19202</v>
      </c>
    </row>
    <row r="7327" spans="9:13" x14ac:dyDescent="0.25">
      <c r="I7327" t="s">
        <v>3729</v>
      </c>
      <c r="J7327" s="161" t="s">
        <v>19202</v>
      </c>
      <c r="K7327" t="s">
        <v>19203</v>
      </c>
      <c r="L7327" t="s">
        <v>3728</v>
      </c>
      <c r="M7327" s="161" t="s">
        <v>19202</v>
      </c>
    </row>
    <row r="7328" spans="9:13" x14ac:dyDescent="0.25">
      <c r="I7328" t="s">
        <v>15053</v>
      </c>
      <c r="J7328" s="161" t="s">
        <v>19202</v>
      </c>
      <c r="K7328" t="s">
        <v>19203</v>
      </c>
      <c r="L7328" t="s">
        <v>15052</v>
      </c>
      <c r="M7328" s="161" t="s">
        <v>19202</v>
      </c>
    </row>
    <row r="7329" spans="9:13" x14ac:dyDescent="0.25">
      <c r="I7329" t="s">
        <v>559</v>
      </c>
      <c r="J7329" s="161" t="s">
        <v>19202</v>
      </c>
      <c r="K7329" t="s">
        <v>19203</v>
      </c>
      <c r="L7329" t="s">
        <v>558</v>
      </c>
      <c r="M7329" s="161" t="s">
        <v>19202</v>
      </c>
    </row>
    <row r="7330" spans="9:13" x14ac:dyDescent="0.25">
      <c r="I7330" t="s">
        <v>6351</v>
      </c>
      <c r="J7330" s="161" t="s">
        <v>19202</v>
      </c>
      <c r="K7330" t="s">
        <v>19203</v>
      </c>
      <c r="L7330" t="s">
        <v>6247</v>
      </c>
      <c r="M7330" s="161" t="s">
        <v>19202</v>
      </c>
    </row>
    <row r="7331" spans="9:13" x14ac:dyDescent="0.25">
      <c r="I7331" t="s">
        <v>20205</v>
      </c>
      <c r="J7331" s="161" t="s">
        <v>19202</v>
      </c>
      <c r="K7331" t="s">
        <v>19203</v>
      </c>
      <c r="L7331" t="s">
        <v>20206</v>
      </c>
      <c r="M7331" s="161" t="s">
        <v>19202</v>
      </c>
    </row>
    <row r="7332" spans="9:13" x14ac:dyDescent="0.25">
      <c r="I7332" t="s">
        <v>3658</v>
      </c>
      <c r="J7332" s="161" t="s">
        <v>19202</v>
      </c>
      <c r="K7332" t="s">
        <v>19203</v>
      </c>
      <c r="L7332" t="s">
        <v>3657</v>
      </c>
      <c r="M7332" s="161" t="s">
        <v>19202</v>
      </c>
    </row>
    <row r="7333" spans="9:13" x14ac:dyDescent="0.25">
      <c r="I7333" t="s">
        <v>14905</v>
      </c>
      <c r="J7333" s="161" t="s">
        <v>19202</v>
      </c>
      <c r="K7333" t="s">
        <v>19203</v>
      </c>
      <c r="L7333" t="s">
        <v>14904</v>
      </c>
      <c r="M7333" s="161" t="s">
        <v>19202</v>
      </c>
    </row>
    <row r="7334" spans="9:13" x14ac:dyDescent="0.25">
      <c r="I7334" t="s">
        <v>3688</v>
      </c>
      <c r="J7334" s="161" t="s">
        <v>19202</v>
      </c>
      <c r="K7334" t="s">
        <v>19203</v>
      </c>
      <c r="L7334" t="s">
        <v>3622</v>
      </c>
      <c r="M7334" s="161" t="s">
        <v>19202</v>
      </c>
    </row>
    <row r="7335" spans="9:13" x14ac:dyDescent="0.25">
      <c r="I7335" t="s">
        <v>12855</v>
      </c>
      <c r="J7335" s="161" t="s">
        <v>19202</v>
      </c>
      <c r="K7335" t="s">
        <v>19203</v>
      </c>
      <c r="L7335" t="s">
        <v>12854</v>
      </c>
      <c r="M7335" s="161" t="s">
        <v>19202</v>
      </c>
    </row>
    <row r="7336" spans="9:13" x14ac:dyDescent="0.25">
      <c r="I7336" t="s">
        <v>11510</v>
      </c>
      <c r="J7336" s="161" t="s">
        <v>19202</v>
      </c>
      <c r="K7336" t="s">
        <v>19203</v>
      </c>
      <c r="L7336" t="s">
        <v>11509</v>
      </c>
      <c r="M7336" s="161" t="s">
        <v>19202</v>
      </c>
    </row>
    <row r="7337" spans="9:13" x14ac:dyDescent="0.25">
      <c r="I7337" t="s">
        <v>9699</v>
      </c>
      <c r="J7337" s="161" t="s">
        <v>19202</v>
      </c>
      <c r="K7337" t="s">
        <v>19203</v>
      </c>
      <c r="L7337" t="s">
        <v>9698</v>
      </c>
      <c r="M7337" s="161" t="s">
        <v>19202</v>
      </c>
    </row>
    <row r="7338" spans="9:13" x14ac:dyDescent="0.25">
      <c r="I7338" t="s">
        <v>12162</v>
      </c>
      <c r="J7338" s="161" t="s">
        <v>19202</v>
      </c>
      <c r="K7338" t="s">
        <v>19203</v>
      </c>
      <c r="L7338" t="s">
        <v>12161</v>
      </c>
      <c r="M7338" s="161" t="s">
        <v>19202</v>
      </c>
    </row>
    <row r="7339" spans="9:13" x14ac:dyDescent="0.25">
      <c r="I7339" t="s">
        <v>20207</v>
      </c>
      <c r="J7339" s="161" t="s">
        <v>19202</v>
      </c>
      <c r="K7339" t="s">
        <v>19203</v>
      </c>
      <c r="L7339" t="s">
        <v>20208</v>
      </c>
      <c r="M7339" s="161" t="s">
        <v>19202</v>
      </c>
    </row>
    <row r="7340" spans="9:13" x14ac:dyDescent="0.25">
      <c r="I7340" t="s">
        <v>6121</v>
      </c>
      <c r="J7340" s="161" t="s">
        <v>19202</v>
      </c>
      <c r="K7340" t="s">
        <v>19203</v>
      </c>
      <c r="L7340" t="s">
        <v>6120</v>
      </c>
      <c r="M7340" s="161" t="s">
        <v>19202</v>
      </c>
    </row>
    <row r="7341" spans="9:13" x14ac:dyDescent="0.25">
      <c r="I7341" t="s">
        <v>10700</v>
      </c>
      <c r="J7341" s="161" t="s">
        <v>19202</v>
      </c>
      <c r="K7341" t="s">
        <v>19203</v>
      </c>
      <c r="L7341" t="s">
        <v>10699</v>
      </c>
      <c r="M7341" s="161" t="s">
        <v>19202</v>
      </c>
    </row>
    <row r="7342" spans="9:13" x14ac:dyDescent="0.25">
      <c r="I7342" t="s">
        <v>9408</v>
      </c>
      <c r="J7342" s="161" t="s">
        <v>19202</v>
      </c>
      <c r="K7342" t="s">
        <v>19203</v>
      </c>
      <c r="L7342" t="s">
        <v>9407</v>
      </c>
      <c r="M7342" s="161" t="s">
        <v>19202</v>
      </c>
    </row>
    <row r="7343" spans="9:13" x14ac:dyDescent="0.25">
      <c r="I7343" t="s">
        <v>8878</v>
      </c>
      <c r="J7343" s="161" t="s">
        <v>19202</v>
      </c>
      <c r="K7343" t="s">
        <v>19203</v>
      </c>
      <c r="L7343" t="s">
        <v>8877</v>
      </c>
      <c r="M7343" s="161" t="s">
        <v>19202</v>
      </c>
    </row>
    <row r="7344" spans="9:13" x14ac:dyDescent="0.25">
      <c r="I7344" t="s">
        <v>9406</v>
      </c>
      <c r="J7344" s="161" t="s">
        <v>19202</v>
      </c>
      <c r="K7344" t="s">
        <v>19203</v>
      </c>
      <c r="L7344" t="s">
        <v>9405</v>
      </c>
      <c r="M7344" s="161" t="s">
        <v>19202</v>
      </c>
    </row>
    <row r="7345" spans="9:13" x14ac:dyDescent="0.25">
      <c r="I7345" t="s">
        <v>10510</v>
      </c>
      <c r="J7345" s="161" t="s">
        <v>19202</v>
      </c>
      <c r="K7345" t="s">
        <v>19203</v>
      </c>
      <c r="L7345" t="s">
        <v>10509</v>
      </c>
      <c r="M7345" s="161" t="s">
        <v>19202</v>
      </c>
    </row>
    <row r="7346" spans="9:13" x14ac:dyDescent="0.25">
      <c r="I7346" t="s">
        <v>17186</v>
      </c>
      <c r="J7346" s="161" t="s">
        <v>19202</v>
      </c>
      <c r="K7346" t="s">
        <v>19203</v>
      </c>
      <c r="L7346" t="s">
        <v>17185</v>
      </c>
      <c r="M7346" s="161" t="s">
        <v>19202</v>
      </c>
    </row>
    <row r="7347" spans="9:13" x14ac:dyDescent="0.25">
      <c r="I7347" t="s">
        <v>9603</v>
      </c>
      <c r="J7347" s="161" t="s">
        <v>19202</v>
      </c>
      <c r="K7347" t="s">
        <v>19203</v>
      </c>
      <c r="L7347" t="s">
        <v>9602</v>
      </c>
      <c r="M7347" s="161" t="s">
        <v>19202</v>
      </c>
    </row>
    <row r="7348" spans="9:13" x14ac:dyDescent="0.25">
      <c r="I7348" t="s">
        <v>9266</v>
      </c>
      <c r="J7348" s="161" t="s">
        <v>19202</v>
      </c>
      <c r="K7348" t="s">
        <v>19203</v>
      </c>
      <c r="L7348" t="s">
        <v>9265</v>
      </c>
      <c r="M7348" s="161" t="s">
        <v>19202</v>
      </c>
    </row>
    <row r="7349" spans="9:13" x14ac:dyDescent="0.25">
      <c r="I7349" t="s">
        <v>7855</v>
      </c>
      <c r="J7349" s="161" t="s">
        <v>19202</v>
      </c>
      <c r="K7349" t="s">
        <v>19203</v>
      </c>
      <c r="L7349" t="s">
        <v>7854</v>
      </c>
      <c r="M7349" s="161" t="s">
        <v>19202</v>
      </c>
    </row>
    <row r="7350" spans="9:13" x14ac:dyDescent="0.25">
      <c r="I7350" t="s">
        <v>20209</v>
      </c>
      <c r="J7350" s="161" t="s">
        <v>19202</v>
      </c>
      <c r="K7350" t="s">
        <v>19203</v>
      </c>
      <c r="L7350" t="s">
        <v>20210</v>
      </c>
      <c r="M7350" s="161" t="s">
        <v>19202</v>
      </c>
    </row>
    <row r="7351" spans="9:13" x14ac:dyDescent="0.25">
      <c r="I7351" t="s">
        <v>20211</v>
      </c>
      <c r="J7351" s="161" t="s">
        <v>19202</v>
      </c>
      <c r="K7351" t="s">
        <v>19203</v>
      </c>
      <c r="L7351" t="s">
        <v>20212</v>
      </c>
      <c r="M7351" s="161" t="s">
        <v>19202</v>
      </c>
    </row>
    <row r="7352" spans="9:13" x14ac:dyDescent="0.25">
      <c r="I7352" t="s">
        <v>8828</v>
      </c>
      <c r="J7352" s="161" t="s">
        <v>19202</v>
      </c>
      <c r="K7352" t="s">
        <v>19203</v>
      </c>
      <c r="L7352" t="s">
        <v>8827</v>
      </c>
      <c r="M7352" s="161" t="s">
        <v>19202</v>
      </c>
    </row>
    <row r="7353" spans="9:13" x14ac:dyDescent="0.25">
      <c r="I7353" t="s">
        <v>9268</v>
      </c>
      <c r="J7353" s="161" t="s">
        <v>19202</v>
      </c>
      <c r="K7353" t="s">
        <v>19203</v>
      </c>
      <c r="L7353" t="s">
        <v>9267</v>
      </c>
      <c r="M7353" s="161" t="s">
        <v>19202</v>
      </c>
    </row>
    <row r="7354" spans="9:13" x14ac:dyDescent="0.25">
      <c r="I7354" t="s">
        <v>9937</v>
      </c>
      <c r="J7354" s="161" t="s">
        <v>19202</v>
      </c>
      <c r="K7354" t="s">
        <v>19203</v>
      </c>
      <c r="L7354" t="s">
        <v>9936</v>
      </c>
      <c r="M7354" s="161" t="s">
        <v>19202</v>
      </c>
    </row>
    <row r="7355" spans="9:13" x14ac:dyDescent="0.25">
      <c r="I7355" t="s">
        <v>4646</v>
      </c>
      <c r="J7355" s="161" t="s">
        <v>19202</v>
      </c>
      <c r="K7355" t="s">
        <v>19203</v>
      </c>
      <c r="L7355" t="s">
        <v>4645</v>
      </c>
      <c r="M7355" s="161" t="s">
        <v>19202</v>
      </c>
    </row>
    <row r="7356" spans="9:13" x14ac:dyDescent="0.25">
      <c r="I7356" t="s">
        <v>13709</v>
      </c>
      <c r="J7356" s="161" t="s">
        <v>19202</v>
      </c>
      <c r="K7356" t="s">
        <v>19203</v>
      </c>
      <c r="L7356" t="s">
        <v>13708</v>
      </c>
      <c r="M7356" s="161" t="s">
        <v>19202</v>
      </c>
    </row>
    <row r="7357" spans="9:13" x14ac:dyDescent="0.25">
      <c r="I7357" t="s">
        <v>2583</v>
      </c>
      <c r="J7357" s="161" t="s">
        <v>19202</v>
      </c>
      <c r="K7357" t="s">
        <v>19203</v>
      </c>
      <c r="L7357" t="s">
        <v>2582</v>
      </c>
      <c r="M7357" s="161" t="s">
        <v>19202</v>
      </c>
    </row>
    <row r="7358" spans="9:13" x14ac:dyDescent="0.25">
      <c r="I7358" t="s">
        <v>15649</v>
      </c>
      <c r="J7358" s="161" t="s">
        <v>19202</v>
      </c>
      <c r="K7358" t="s">
        <v>19203</v>
      </c>
      <c r="L7358" t="s">
        <v>15648</v>
      </c>
      <c r="M7358" s="161" t="s">
        <v>19202</v>
      </c>
    </row>
    <row r="7359" spans="9:13" x14ac:dyDescent="0.25">
      <c r="I7359" t="s">
        <v>20213</v>
      </c>
      <c r="J7359" s="161" t="s">
        <v>19202</v>
      </c>
      <c r="K7359" t="s">
        <v>19203</v>
      </c>
      <c r="L7359" t="s">
        <v>20214</v>
      </c>
      <c r="M7359" s="161" t="s">
        <v>19202</v>
      </c>
    </row>
    <row r="7360" spans="9:13" x14ac:dyDescent="0.25">
      <c r="I7360" t="s">
        <v>4219</v>
      </c>
      <c r="J7360" s="161" t="s">
        <v>19202</v>
      </c>
      <c r="K7360" t="s">
        <v>19203</v>
      </c>
      <c r="L7360" t="s">
        <v>4218</v>
      </c>
      <c r="M7360" s="161" t="s">
        <v>19202</v>
      </c>
    </row>
    <row r="7361" spans="9:13" x14ac:dyDescent="0.25">
      <c r="I7361" t="s">
        <v>9304</v>
      </c>
      <c r="J7361" s="161" t="s">
        <v>19202</v>
      </c>
      <c r="K7361" t="s">
        <v>19203</v>
      </c>
      <c r="L7361" t="s">
        <v>9303</v>
      </c>
      <c r="M7361" s="161" t="s">
        <v>19202</v>
      </c>
    </row>
    <row r="7362" spans="9:13" x14ac:dyDescent="0.25">
      <c r="I7362" t="s">
        <v>468</v>
      </c>
      <c r="J7362" s="161" t="s">
        <v>19202</v>
      </c>
      <c r="K7362" t="s">
        <v>19203</v>
      </c>
      <c r="L7362" t="s">
        <v>467</v>
      </c>
      <c r="M7362" s="161" t="s">
        <v>19202</v>
      </c>
    </row>
    <row r="7363" spans="9:13" x14ac:dyDescent="0.25">
      <c r="I7363" t="s">
        <v>17152</v>
      </c>
      <c r="J7363" s="161" t="s">
        <v>19202</v>
      </c>
      <c r="K7363" t="s">
        <v>19203</v>
      </c>
      <c r="L7363" t="s">
        <v>17151</v>
      </c>
      <c r="M7363" s="161" t="s">
        <v>19202</v>
      </c>
    </row>
    <row r="7364" spans="9:13" x14ac:dyDescent="0.25">
      <c r="I7364" t="s">
        <v>17110</v>
      </c>
      <c r="J7364" s="161" t="s">
        <v>19202</v>
      </c>
      <c r="K7364" t="s">
        <v>19203</v>
      </c>
      <c r="L7364" t="s">
        <v>17109</v>
      </c>
      <c r="M7364" s="161" t="s">
        <v>19202</v>
      </c>
    </row>
    <row r="7365" spans="9:13" x14ac:dyDescent="0.25">
      <c r="I7365" t="s">
        <v>15431</v>
      </c>
      <c r="J7365" s="161" t="s">
        <v>19202</v>
      </c>
      <c r="K7365" t="s">
        <v>19203</v>
      </c>
      <c r="L7365" t="s">
        <v>14829</v>
      </c>
      <c r="M7365" s="161" t="s">
        <v>19202</v>
      </c>
    </row>
    <row r="7366" spans="9:13" x14ac:dyDescent="0.25">
      <c r="I7366" t="s">
        <v>466</v>
      </c>
      <c r="J7366" s="161" t="s">
        <v>19202</v>
      </c>
      <c r="K7366" t="s">
        <v>19203</v>
      </c>
      <c r="L7366" t="s">
        <v>465</v>
      </c>
      <c r="M7366" s="161" t="s">
        <v>19202</v>
      </c>
    </row>
    <row r="7367" spans="9:13" x14ac:dyDescent="0.25">
      <c r="I7367" t="s">
        <v>20215</v>
      </c>
      <c r="J7367" s="161" t="s">
        <v>19202</v>
      </c>
      <c r="K7367" t="s">
        <v>19203</v>
      </c>
      <c r="L7367" t="s">
        <v>16987</v>
      </c>
      <c r="M7367" s="161" t="s">
        <v>19202</v>
      </c>
    </row>
    <row r="7368" spans="9:13" x14ac:dyDescent="0.25">
      <c r="I7368" t="s">
        <v>16932</v>
      </c>
      <c r="J7368" s="161" t="s">
        <v>19202</v>
      </c>
      <c r="K7368" t="s">
        <v>19203</v>
      </c>
      <c r="L7368" t="s">
        <v>16931</v>
      </c>
      <c r="M7368" s="161" t="s">
        <v>19202</v>
      </c>
    </row>
    <row r="7369" spans="9:13" x14ac:dyDescent="0.25">
      <c r="I7369" t="s">
        <v>1966</v>
      </c>
      <c r="J7369" s="161" t="s">
        <v>19202</v>
      </c>
      <c r="K7369" t="s">
        <v>19203</v>
      </c>
      <c r="L7369" t="s">
        <v>1965</v>
      </c>
      <c r="M7369" s="161" t="s">
        <v>19202</v>
      </c>
    </row>
    <row r="7370" spans="9:13" x14ac:dyDescent="0.25">
      <c r="I7370" t="s">
        <v>20216</v>
      </c>
      <c r="J7370" s="161" t="s">
        <v>19202</v>
      </c>
      <c r="K7370" t="s">
        <v>19203</v>
      </c>
      <c r="L7370" t="s">
        <v>20217</v>
      </c>
      <c r="M7370" s="161" t="s">
        <v>19202</v>
      </c>
    </row>
    <row r="7371" spans="9:13" x14ac:dyDescent="0.25">
      <c r="I7371" t="s">
        <v>13713</v>
      </c>
      <c r="J7371" s="161" t="s">
        <v>19202</v>
      </c>
      <c r="K7371" t="s">
        <v>19203</v>
      </c>
      <c r="L7371" t="s">
        <v>13712</v>
      </c>
      <c r="M7371" s="161" t="s">
        <v>19202</v>
      </c>
    </row>
    <row r="7372" spans="9:13" x14ac:dyDescent="0.25">
      <c r="I7372" t="s">
        <v>12123</v>
      </c>
      <c r="J7372" s="161" t="s">
        <v>19202</v>
      </c>
      <c r="K7372" t="s">
        <v>19203</v>
      </c>
      <c r="L7372" t="s">
        <v>12122</v>
      </c>
      <c r="M7372" s="161" t="s">
        <v>19202</v>
      </c>
    </row>
    <row r="7373" spans="9:13" x14ac:dyDescent="0.25">
      <c r="I7373" t="s">
        <v>9607</v>
      </c>
      <c r="J7373" s="161" t="s">
        <v>19202</v>
      </c>
      <c r="K7373" t="s">
        <v>19203</v>
      </c>
      <c r="L7373" t="s">
        <v>9606</v>
      </c>
      <c r="M7373" s="161" t="s">
        <v>19202</v>
      </c>
    </row>
    <row r="7374" spans="9:13" x14ac:dyDescent="0.25">
      <c r="I7374" t="s">
        <v>9605</v>
      </c>
      <c r="J7374" s="161" t="s">
        <v>19202</v>
      </c>
      <c r="K7374" t="s">
        <v>19203</v>
      </c>
      <c r="L7374" t="s">
        <v>9604</v>
      </c>
      <c r="M7374" s="161" t="s">
        <v>19202</v>
      </c>
    </row>
    <row r="7375" spans="9:13" x14ac:dyDescent="0.25">
      <c r="I7375" t="s">
        <v>5804</v>
      </c>
      <c r="J7375" s="161" t="s">
        <v>19202</v>
      </c>
      <c r="K7375" t="s">
        <v>19203</v>
      </c>
      <c r="L7375" t="s">
        <v>5803</v>
      </c>
      <c r="M7375" s="161" t="s">
        <v>19202</v>
      </c>
    </row>
    <row r="7376" spans="9:13" x14ac:dyDescent="0.25">
      <c r="I7376" t="s">
        <v>17008</v>
      </c>
      <c r="J7376" s="161" t="s">
        <v>19202</v>
      </c>
      <c r="K7376" t="s">
        <v>19203</v>
      </c>
      <c r="L7376" t="s">
        <v>17007</v>
      </c>
      <c r="M7376" s="161" t="s">
        <v>19202</v>
      </c>
    </row>
    <row r="7377" spans="9:13" x14ac:dyDescent="0.25">
      <c r="I7377" t="s">
        <v>7513</v>
      </c>
      <c r="J7377" s="161" t="s">
        <v>19202</v>
      </c>
      <c r="K7377" t="s">
        <v>19203</v>
      </c>
      <c r="L7377" t="s">
        <v>7512</v>
      </c>
      <c r="M7377" s="161" t="s">
        <v>19202</v>
      </c>
    </row>
    <row r="7378" spans="9:13" x14ac:dyDescent="0.25">
      <c r="I7378" t="s">
        <v>9601</v>
      </c>
      <c r="J7378" s="161" t="s">
        <v>19202</v>
      </c>
      <c r="K7378" t="s">
        <v>19203</v>
      </c>
      <c r="L7378" t="s">
        <v>9600</v>
      </c>
      <c r="M7378" s="161" t="s">
        <v>19202</v>
      </c>
    </row>
    <row r="7379" spans="9:13" x14ac:dyDescent="0.25">
      <c r="I7379" t="s">
        <v>20218</v>
      </c>
      <c r="J7379" s="161" t="s">
        <v>19202</v>
      </c>
      <c r="K7379" t="s">
        <v>19203</v>
      </c>
      <c r="L7379" t="s">
        <v>20219</v>
      </c>
      <c r="M7379" s="161" t="s">
        <v>19202</v>
      </c>
    </row>
    <row r="7380" spans="9:13" x14ac:dyDescent="0.25">
      <c r="I7380" t="s">
        <v>2636</v>
      </c>
      <c r="J7380" s="161" t="s">
        <v>19202</v>
      </c>
      <c r="K7380" t="s">
        <v>19203</v>
      </c>
      <c r="L7380" t="s">
        <v>2635</v>
      </c>
      <c r="M7380" s="161" t="s">
        <v>19202</v>
      </c>
    </row>
    <row r="7381" spans="9:13" x14ac:dyDescent="0.25">
      <c r="I7381" t="s">
        <v>2634</v>
      </c>
      <c r="J7381" s="161" t="s">
        <v>19202</v>
      </c>
      <c r="K7381" t="s">
        <v>19203</v>
      </c>
      <c r="L7381" t="s">
        <v>2633</v>
      </c>
      <c r="M7381" s="161" t="s">
        <v>19202</v>
      </c>
    </row>
    <row r="7382" spans="9:13" x14ac:dyDescent="0.25">
      <c r="I7382" t="s">
        <v>12597</v>
      </c>
      <c r="J7382" s="161" t="s">
        <v>19202</v>
      </c>
      <c r="K7382" t="s">
        <v>19203</v>
      </c>
      <c r="L7382" t="s">
        <v>12596</v>
      </c>
      <c r="M7382" s="161" t="s">
        <v>19202</v>
      </c>
    </row>
    <row r="7383" spans="9:13" x14ac:dyDescent="0.25">
      <c r="I7383" t="s">
        <v>17116</v>
      </c>
      <c r="J7383" s="161" t="s">
        <v>19202</v>
      </c>
      <c r="K7383" t="s">
        <v>19203</v>
      </c>
      <c r="L7383" t="s">
        <v>17115</v>
      </c>
      <c r="M7383" s="161" t="s">
        <v>19202</v>
      </c>
    </row>
    <row r="7384" spans="9:13" x14ac:dyDescent="0.25">
      <c r="I7384" t="s">
        <v>10362</v>
      </c>
      <c r="J7384" s="161" t="s">
        <v>19202</v>
      </c>
      <c r="K7384" t="s">
        <v>19203</v>
      </c>
      <c r="L7384" t="s">
        <v>10361</v>
      </c>
      <c r="M7384" s="161" t="s">
        <v>19202</v>
      </c>
    </row>
    <row r="7385" spans="9:13" x14ac:dyDescent="0.25">
      <c r="I7385" t="s">
        <v>13706</v>
      </c>
      <c r="J7385" s="161" t="s">
        <v>19202</v>
      </c>
      <c r="K7385" t="s">
        <v>19203</v>
      </c>
      <c r="L7385" t="s">
        <v>13705</v>
      </c>
      <c r="M7385" s="161" t="s">
        <v>19202</v>
      </c>
    </row>
    <row r="7386" spans="9:13" x14ac:dyDescent="0.25">
      <c r="I7386" t="s">
        <v>15703</v>
      </c>
      <c r="J7386" s="161" t="s">
        <v>19202</v>
      </c>
      <c r="K7386" t="s">
        <v>19203</v>
      </c>
      <c r="L7386" t="s">
        <v>15702</v>
      </c>
      <c r="M7386" s="161" t="s">
        <v>19202</v>
      </c>
    </row>
    <row r="7387" spans="9:13" x14ac:dyDescent="0.25">
      <c r="I7387" t="s">
        <v>16483</v>
      </c>
      <c r="J7387" s="161" t="s">
        <v>19202</v>
      </c>
      <c r="K7387" t="s">
        <v>19203</v>
      </c>
      <c r="L7387" t="s">
        <v>16482</v>
      </c>
      <c r="M7387" s="161" t="s">
        <v>19202</v>
      </c>
    </row>
    <row r="7388" spans="9:13" x14ac:dyDescent="0.25">
      <c r="I7388" t="s">
        <v>15169</v>
      </c>
      <c r="J7388" s="161" t="s">
        <v>19202</v>
      </c>
      <c r="K7388" t="s">
        <v>19203</v>
      </c>
      <c r="L7388" t="s">
        <v>1314</v>
      </c>
      <c r="M7388" s="161" t="s">
        <v>19202</v>
      </c>
    </row>
    <row r="7389" spans="9:13" x14ac:dyDescent="0.25">
      <c r="I7389" t="s">
        <v>9108</v>
      </c>
      <c r="J7389" s="161" t="s">
        <v>19202</v>
      </c>
      <c r="K7389" t="s">
        <v>19203</v>
      </c>
      <c r="L7389" t="s">
        <v>9107</v>
      </c>
      <c r="M7389" s="161" t="s">
        <v>19202</v>
      </c>
    </row>
    <row r="7390" spans="9:13" x14ac:dyDescent="0.25">
      <c r="I7390" t="s">
        <v>20220</v>
      </c>
      <c r="J7390" s="161" t="s">
        <v>19202</v>
      </c>
      <c r="K7390" t="s">
        <v>19203</v>
      </c>
      <c r="L7390" t="s">
        <v>20221</v>
      </c>
      <c r="M7390" s="161" t="s">
        <v>19202</v>
      </c>
    </row>
    <row r="7391" spans="9:13" x14ac:dyDescent="0.25">
      <c r="I7391" t="s">
        <v>9474</v>
      </c>
      <c r="J7391" s="161" t="s">
        <v>19202</v>
      </c>
      <c r="K7391" t="s">
        <v>19203</v>
      </c>
      <c r="L7391" t="s">
        <v>9473</v>
      </c>
      <c r="M7391" s="161" t="s">
        <v>19202</v>
      </c>
    </row>
    <row r="7392" spans="9:13" x14ac:dyDescent="0.25">
      <c r="I7392" t="s">
        <v>7071</v>
      </c>
      <c r="J7392" s="161" t="s">
        <v>19202</v>
      </c>
      <c r="K7392" t="s">
        <v>19203</v>
      </c>
      <c r="L7392" t="s">
        <v>7070</v>
      </c>
      <c r="M7392" s="161" t="s">
        <v>19202</v>
      </c>
    </row>
    <row r="7393" spans="9:13" x14ac:dyDescent="0.25">
      <c r="I7393" t="s">
        <v>20222</v>
      </c>
      <c r="J7393" s="161" t="s">
        <v>19202</v>
      </c>
      <c r="K7393" t="s">
        <v>19203</v>
      </c>
      <c r="L7393" t="s">
        <v>20223</v>
      </c>
      <c r="M7393" s="161" t="s">
        <v>19202</v>
      </c>
    </row>
    <row r="7394" spans="9:13" x14ac:dyDescent="0.25">
      <c r="I7394" t="s">
        <v>12202</v>
      </c>
      <c r="J7394" s="161" t="s">
        <v>19202</v>
      </c>
      <c r="K7394" t="s">
        <v>19203</v>
      </c>
      <c r="L7394" t="s">
        <v>12201</v>
      </c>
      <c r="M7394" s="161" t="s">
        <v>19202</v>
      </c>
    </row>
    <row r="7395" spans="9:13" x14ac:dyDescent="0.25">
      <c r="I7395" t="s">
        <v>9870</v>
      </c>
      <c r="J7395" s="161" t="s">
        <v>19202</v>
      </c>
      <c r="K7395" t="s">
        <v>19203</v>
      </c>
      <c r="L7395" t="s">
        <v>9869</v>
      </c>
      <c r="M7395" s="161" t="s">
        <v>19202</v>
      </c>
    </row>
    <row r="7396" spans="9:13" x14ac:dyDescent="0.25">
      <c r="I7396" t="s">
        <v>6896</v>
      </c>
      <c r="J7396" s="161" t="s">
        <v>19202</v>
      </c>
      <c r="K7396" t="s">
        <v>19203</v>
      </c>
      <c r="L7396" t="s">
        <v>6895</v>
      </c>
      <c r="M7396" s="161" t="s">
        <v>19202</v>
      </c>
    </row>
    <row r="7397" spans="9:13" x14ac:dyDescent="0.25">
      <c r="I7397" t="s">
        <v>12478</v>
      </c>
      <c r="J7397" s="161" t="s">
        <v>19202</v>
      </c>
      <c r="K7397" t="s">
        <v>19203</v>
      </c>
      <c r="L7397" t="s">
        <v>12477</v>
      </c>
      <c r="M7397" s="161" t="s">
        <v>19202</v>
      </c>
    </row>
    <row r="7398" spans="9:13" x14ac:dyDescent="0.25">
      <c r="I7398" t="s">
        <v>739</v>
      </c>
      <c r="J7398" s="161" t="s">
        <v>19202</v>
      </c>
      <c r="K7398" t="s">
        <v>19203</v>
      </c>
      <c r="L7398" t="s">
        <v>738</v>
      </c>
      <c r="M7398" s="161" t="s">
        <v>19202</v>
      </c>
    </row>
    <row r="7399" spans="9:13" x14ac:dyDescent="0.25">
      <c r="I7399" t="s">
        <v>2969</v>
      </c>
      <c r="J7399" s="161" t="s">
        <v>19202</v>
      </c>
      <c r="K7399" t="s">
        <v>19203</v>
      </c>
      <c r="L7399" t="s">
        <v>2968</v>
      </c>
      <c r="M7399" s="161" t="s">
        <v>19202</v>
      </c>
    </row>
    <row r="7400" spans="9:13" x14ac:dyDescent="0.25">
      <c r="I7400" t="s">
        <v>16372</v>
      </c>
      <c r="J7400" s="161" t="s">
        <v>19202</v>
      </c>
      <c r="K7400" t="s">
        <v>19203</v>
      </c>
      <c r="L7400" t="s">
        <v>15139</v>
      </c>
      <c r="M7400" s="161" t="s">
        <v>19202</v>
      </c>
    </row>
    <row r="7401" spans="9:13" x14ac:dyDescent="0.25">
      <c r="I7401" t="s">
        <v>9374</v>
      </c>
      <c r="J7401" s="161" t="s">
        <v>19202</v>
      </c>
      <c r="K7401" t="s">
        <v>19203</v>
      </c>
      <c r="L7401" t="s">
        <v>9373</v>
      </c>
      <c r="M7401" s="161" t="s">
        <v>19202</v>
      </c>
    </row>
    <row r="7402" spans="9:13" x14ac:dyDescent="0.25">
      <c r="I7402" t="s">
        <v>9470</v>
      </c>
      <c r="J7402" s="161" t="s">
        <v>19202</v>
      </c>
      <c r="K7402" t="s">
        <v>19203</v>
      </c>
      <c r="L7402" t="s">
        <v>9469</v>
      </c>
      <c r="M7402" s="161" t="s">
        <v>19202</v>
      </c>
    </row>
    <row r="7403" spans="9:13" x14ac:dyDescent="0.25">
      <c r="I7403" t="s">
        <v>13700</v>
      </c>
      <c r="J7403" s="161" t="s">
        <v>19202</v>
      </c>
      <c r="K7403" t="s">
        <v>19203</v>
      </c>
      <c r="L7403" t="s">
        <v>13699</v>
      </c>
      <c r="M7403" s="161" t="s">
        <v>19202</v>
      </c>
    </row>
    <row r="7404" spans="9:13" x14ac:dyDescent="0.25">
      <c r="I7404" t="s">
        <v>12582</v>
      </c>
      <c r="J7404" s="161" t="s">
        <v>19202</v>
      </c>
      <c r="K7404" t="s">
        <v>19203</v>
      </c>
      <c r="L7404" t="s">
        <v>12581</v>
      </c>
      <c r="M7404" s="161" t="s">
        <v>19202</v>
      </c>
    </row>
    <row r="7405" spans="9:13" x14ac:dyDescent="0.25">
      <c r="I7405" t="s">
        <v>14986</v>
      </c>
      <c r="J7405" s="161" t="s">
        <v>19202</v>
      </c>
      <c r="K7405" t="s">
        <v>19203</v>
      </c>
      <c r="L7405" t="s">
        <v>14985</v>
      </c>
      <c r="M7405" s="161" t="s">
        <v>19202</v>
      </c>
    </row>
    <row r="7406" spans="9:13" x14ac:dyDescent="0.25">
      <c r="I7406" t="s">
        <v>9258</v>
      </c>
      <c r="J7406" s="161" t="s">
        <v>19202</v>
      </c>
      <c r="K7406" t="s">
        <v>19203</v>
      </c>
      <c r="L7406" t="s">
        <v>9257</v>
      </c>
      <c r="M7406" s="161" t="s">
        <v>19202</v>
      </c>
    </row>
    <row r="7407" spans="9:13" x14ac:dyDescent="0.25">
      <c r="I7407" t="s">
        <v>7378</v>
      </c>
      <c r="J7407" s="161" t="s">
        <v>19202</v>
      </c>
      <c r="K7407" t="s">
        <v>19203</v>
      </c>
      <c r="L7407" t="s">
        <v>7377</v>
      </c>
      <c r="M7407" s="161" t="s">
        <v>19202</v>
      </c>
    </row>
    <row r="7408" spans="9:13" x14ac:dyDescent="0.25">
      <c r="I7408" t="s">
        <v>7376</v>
      </c>
      <c r="J7408" s="161" t="s">
        <v>19202</v>
      </c>
      <c r="K7408" t="s">
        <v>19203</v>
      </c>
      <c r="L7408" t="s">
        <v>7375</v>
      </c>
      <c r="M7408" s="161" t="s">
        <v>19202</v>
      </c>
    </row>
    <row r="7409" spans="9:13" x14ac:dyDescent="0.25">
      <c r="I7409" t="s">
        <v>13993</v>
      </c>
      <c r="J7409" s="161" t="s">
        <v>19202</v>
      </c>
      <c r="K7409" t="s">
        <v>19203</v>
      </c>
      <c r="L7409" t="s">
        <v>13992</v>
      </c>
      <c r="M7409" s="161" t="s">
        <v>19202</v>
      </c>
    </row>
    <row r="7410" spans="9:13" x14ac:dyDescent="0.25">
      <c r="I7410" t="s">
        <v>12125</v>
      </c>
      <c r="J7410" s="161" t="s">
        <v>19202</v>
      </c>
      <c r="K7410" t="s">
        <v>19203</v>
      </c>
      <c r="L7410" t="s">
        <v>12124</v>
      </c>
      <c r="M7410" s="161" t="s">
        <v>19202</v>
      </c>
    </row>
    <row r="7411" spans="9:13" x14ac:dyDescent="0.25">
      <c r="I7411" t="s">
        <v>15167</v>
      </c>
      <c r="J7411" s="161" t="s">
        <v>19202</v>
      </c>
      <c r="K7411" t="s">
        <v>19203</v>
      </c>
      <c r="L7411" t="s">
        <v>2082</v>
      </c>
      <c r="M7411" s="161" t="s">
        <v>19202</v>
      </c>
    </row>
    <row r="7412" spans="9:13" x14ac:dyDescent="0.25">
      <c r="I7412" t="s">
        <v>5802</v>
      </c>
      <c r="J7412" s="161" t="s">
        <v>19202</v>
      </c>
      <c r="K7412" t="s">
        <v>19203</v>
      </c>
      <c r="L7412" t="s">
        <v>5801</v>
      </c>
      <c r="M7412" s="161" t="s">
        <v>19202</v>
      </c>
    </row>
    <row r="7413" spans="9:13" x14ac:dyDescent="0.25">
      <c r="I7413" t="s">
        <v>13696</v>
      </c>
      <c r="J7413" s="161" t="s">
        <v>19202</v>
      </c>
      <c r="K7413" t="s">
        <v>19203</v>
      </c>
      <c r="L7413" t="s">
        <v>1847</v>
      </c>
      <c r="M7413" s="161" t="s">
        <v>19202</v>
      </c>
    </row>
    <row r="7414" spans="9:13" x14ac:dyDescent="0.25">
      <c r="I7414" t="s">
        <v>9380</v>
      </c>
      <c r="J7414" s="161" t="s">
        <v>19202</v>
      </c>
      <c r="K7414" t="s">
        <v>19203</v>
      </c>
      <c r="L7414" t="s">
        <v>9379</v>
      </c>
      <c r="M7414" s="161" t="s">
        <v>19202</v>
      </c>
    </row>
    <row r="7415" spans="9:13" x14ac:dyDescent="0.25">
      <c r="I7415" t="s">
        <v>9376</v>
      </c>
      <c r="J7415" s="161" t="s">
        <v>19202</v>
      </c>
      <c r="K7415" t="s">
        <v>19203</v>
      </c>
      <c r="L7415" t="s">
        <v>9375</v>
      </c>
      <c r="M7415" s="161" t="s">
        <v>19202</v>
      </c>
    </row>
    <row r="7416" spans="9:13" x14ac:dyDescent="0.25">
      <c r="I7416" t="s">
        <v>9366</v>
      </c>
      <c r="J7416" s="161" t="s">
        <v>19202</v>
      </c>
      <c r="K7416" t="s">
        <v>19203</v>
      </c>
      <c r="L7416" t="s">
        <v>9365</v>
      </c>
      <c r="M7416" s="161" t="s">
        <v>19202</v>
      </c>
    </row>
    <row r="7417" spans="9:13" x14ac:dyDescent="0.25">
      <c r="I7417" t="s">
        <v>14984</v>
      </c>
      <c r="J7417" s="161" t="s">
        <v>19202</v>
      </c>
      <c r="K7417" t="s">
        <v>19203</v>
      </c>
      <c r="L7417" t="s">
        <v>14983</v>
      </c>
      <c r="M7417" s="161" t="s">
        <v>19202</v>
      </c>
    </row>
    <row r="7418" spans="9:13" x14ac:dyDescent="0.25">
      <c r="I7418" t="s">
        <v>20224</v>
      </c>
      <c r="J7418" s="161" t="s">
        <v>19202</v>
      </c>
      <c r="K7418" t="s">
        <v>19203</v>
      </c>
      <c r="L7418" t="s">
        <v>4597</v>
      </c>
      <c r="M7418" s="161" t="s">
        <v>19202</v>
      </c>
    </row>
    <row r="7419" spans="9:13" x14ac:dyDescent="0.25">
      <c r="I7419" t="s">
        <v>10615</v>
      </c>
      <c r="J7419" s="161" t="s">
        <v>19202</v>
      </c>
      <c r="K7419" t="s">
        <v>19203</v>
      </c>
      <c r="L7419" t="s">
        <v>10614</v>
      </c>
      <c r="M7419" s="161" t="s">
        <v>19202</v>
      </c>
    </row>
    <row r="7420" spans="9:13" x14ac:dyDescent="0.25">
      <c r="I7420" t="s">
        <v>743</v>
      </c>
      <c r="J7420" s="161" t="s">
        <v>19202</v>
      </c>
      <c r="K7420" t="s">
        <v>19203</v>
      </c>
      <c r="L7420" t="s">
        <v>742</v>
      </c>
      <c r="M7420" s="161" t="s">
        <v>19202</v>
      </c>
    </row>
    <row r="7421" spans="9:13" x14ac:dyDescent="0.25">
      <c r="I7421" t="s">
        <v>14557</v>
      </c>
      <c r="J7421" s="161" t="s">
        <v>19202</v>
      </c>
      <c r="K7421" t="s">
        <v>19203</v>
      </c>
      <c r="L7421" t="s">
        <v>14556</v>
      </c>
      <c r="M7421" s="161" t="s">
        <v>19202</v>
      </c>
    </row>
    <row r="7422" spans="9:13" x14ac:dyDescent="0.25">
      <c r="I7422" t="s">
        <v>10702</v>
      </c>
      <c r="J7422" s="161" t="s">
        <v>19202</v>
      </c>
      <c r="K7422" t="s">
        <v>19203</v>
      </c>
      <c r="L7422" t="s">
        <v>10701</v>
      </c>
      <c r="M7422" s="161" t="s">
        <v>19202</v>
      </c>
    </row>
    <row r="7423" spans="9:13" x14ac:dyDescent="0.25">
      <c r="I7423" t="s">
        <v>14988</v>
      </c>
      <c r="J7423" s="161" t="s">
        <v>19202</v>
      </c>
      <c r="K7423" t="s">
        <v>19203</v>
      </c>
      <c r="L7423" t="s">
        <v>14987</v>
      </c>
      <c r="M7423" s="161" t="s">
        <v>19202</v>
      </c>
    </row>
    <row r="7424" spans="9:13" x14ac:dyDescent="0.25">
      <c r="I7424" t="s">
        <v>15168</v>
      </c>
      <c r="J7424" s="161" t="s">
        <v>19202</v>
      </c>
      <c r="K7424" t="s">
        <v>19203</v>
      </c>
      <c r="L7424" t="s">
        <v>1108</v>
      </c>
      <c r="M7424" s="161" t="s">
        <v>19202</v>
      </c>
    </row>
    <row r="7425" spans="9:13" x14ac:dyDescent="0.25">
      <c r="I7425" t="s">
        <v>9382</v>
      </c>
      <c r="J7425" s="161" t="s">
        <v>19202</v>
      </c>
      <c r="K7425" t="s">
        <v>19203</v>
      </c>
      <c r="L7425" t="s">
        <v>9381</v>
      </c>
      <c r="M7425" s="161" t="s">
        <v>19202</v>
      </c>
    </row>
    <row r="7426" spans="9:13" x14ac:dyDescent="0.25">
      <c r="I7426" t="s">
        <v>4644</v>
      </c>
      <c r="J7426" s="161" t="s">
        <v>19202</v>
      </c>
      <c r="K7426" t="s">
        <v>19203</v>
      </c>
      <c r="L7426" t="s">
        <v>4643</v>
      </c>
      <c r="M7426" s="161" t="s">
        <v>19202</v>
      </c>
    </row>
    <row r="7427" spans="9:13" x14ac:dyDescent="0.25">
      <c r="I7427" t="s">
        <v>20225</v>
      </c>
      <c r="J7427" s="161" t="s">
        <v>19202</v>
      </c>
      <c r="K7427" t="s">
        <v>19203</v>
      </c>
      <c r="L7427" t="s">
        <v>20226</v>
      </c>
      <c r="M7427" s="161" t="s">
        <v>19202</v>
      </c>
    </row>
    <row r="7428" spans="9:13" x14ac:dyDescent="0.25">
      <c r="I7428" t="s">
        <v>10947</v>
      </c>
      <c r="J7428" s="161" t="s">
        <v>19202</v>
      </c>
      <c r="K7428" t="s">
        <v>19203</v>
      </c>
      <c r="L7428" t="s">
        <v>10946</v>
      </c>
      <c r="M7428" s="161" t="s">
        <v>19202</v>
      </c>
    </row>
    <row r="7429" spans="9:13" x14ac:dyDescent="0.25">
      <c r="I7429" t="s">
        <v>20227</v>
      </c>
      <c r="J7429" s="161" t="s">
        <v>19202</v>
      </c>
      <c r="K7429" t="s">
        <v>19203</v>
      </c>
      <c r="L7429" t="s">
        <v>20228</v>
      </c>
      <c r="M7429" s="161" t="s">
        <v>19202</v>
      </c>
    </row>
    <row r="7430" spans="9:13" x14ac:dyDescent="0.25">
      <c r="I7430" t="s">
        <v>20229</v>
      </c>
      <c r="J7430" s="161" t="s">
        <v>19202</v>
      </c>
      <c r="K7430" t="s">
        <v>19203</v>
      </c>
      <c r="L7430" t="s">
        <v>18679</v>
      </c>
      <c r="M7430" s="161" t="s">
        <v>19202</v>
      </c>
    </row>
    <row r="7431" spans="9:13" x14ac:dyDescent="0.25">
      <c r="I7431" t="s">
        <v>8396</v>
      </c>
      <c r="J7431" s="161" t="s">
        <v>19202</v>
      </c>
      <c r="K7431" t="s">
        <v>19203</v>
      </c>
      <c r="L7431" t="s">
        <v>8395</v>
      </c>
      <c r="M7431" s="161" t="s">
        <v>19202</v>
      </c>
    </row>
    <row r="7432" spans="9:13" x14ac:dyDescent="0.25">
      <c r="I7432" t="s">
        <v>6462</v>
      </c>
      <c r="J7432" s="161" t="s">
        <v>19202</v>
      </c>
      <c r="K7432" t="s">
        <v>19203</v>
      </c>
      <c r="L7432" t="s">
        <v>6461</v>
      </c>
      <c r="M7432" s="161" t="s">
        <v>19202</v>
      </c>
    </row>
    <row r="7433" spans="9:13" x14ac:dyDescent="0.25">
      <c r="I7433" t="s">
        <v>9360</v>
      </c>
      <c r="J7433" s="161" t="s">
        <v>19202</v>
      </c>
      <c r="K7433" t="s">
        <v>19203</v>
      </c>
      <c r="L7433" t="s">
        <v>9359</v>
      </c>
      <c r="M7433" s="161" t="s">
        <v>19202</v>
      </c>
    </row>
    <row r="7434" spans="9:13" x14ac:dyDescent="0.25">
      <c r="I7434" t="s">
        <v>3310</v>
      </c>
      <c r="J7434" s="161" t="s">
        <v>19202</v>
      </c>
      <c r="K7434" t="s">
        <v>19203</v>
      </c>
      <c r="L7434" t="s">
        <v>3309</v>
      </c>
      <c r="M7434" s="161" t="s">
        <v>19202</v>
      </c>
    </row>
    <row r="7435" spans="9:13" x14ac:dyDescent="0.25">
      <c r="I7435" t="s">
        <v>10358</v>
      </c>
      <c r="J7435" s="161" t="s">
        <v>19202</v>
      </c>
      <c r="K7435" t="s">
        <v>19203</v>
      </c>
      <c r="L7435" t="s">
        <v>10357</v>
      </c>
      <c r="M7435" s="161" t="s">
        <v>19202</v>
      </c>
    </row>
    <row r="7436" spans="9:13" x14ac:dyDescent="0.25">
      <c r="I7436" t="s">
        <v>4510</v>
      </c>
      <c r="J7436" s="161" t="s">
        <v>19202</v>
      </c>
      <c r="K7436" t="s">
        <v>19203</v>
      </c>
      <c r="L7436" t="s">
        <v>4509</v>
      </c>
      <c r="M7436" s="161" t="s">
        <v>19202</v>
      </c>
    </row>
    <row r="7437" spans="9:13" x14ac:dyDescent="0.25">
      <c r="I7437" t="s">
        <v>20230</v>
      </c>
      <c r="J7437" s="161" t="s">
        <v>19202</v>
      </c>
      <c r="K7437" t="s">
        <v>19203</v>
      </c>
      <c r="L7437" t="s">
        <v>20231</v>
      </c>
      <c r="M7437" s="161" t="s">
        <v>19202</v>
      </c>
    </row>
    <row r="7438" spans="9:13" x14ac:dyDescent="0.25">
      <c r="I7438" t="s">
        <v>17112</v>
      </c>
      <c r="J7438" s="161" t="s">
        <v>19202</v>
      </c>
      <c r="K7438" t="s">
        <v>19203</v>
      </c>
      <c r="L7438" t="s">
        <v>17111</v>
      </c>
      <c r="M7438" s="161" t="s">
        <v>19202</v>
      </c>
    </row>
    <row r="7439" spans="9:13" x14ac:dyDescent="0.25">
      <c r="I7439" t="s">
        <v>8798</v>
      </c>
      <c r="J7439" s="161" t="s">
        <v>19202</v>
      </c>
      <c r="K7439" t="s">
        <v>19203</v>
      </c>
      <c r="L7439" t="s">
        <v>8797</v>
      </c>
      <c r="M7439" s="161" t="s">
        <v>19202</v>
      </c>
    </row>
    <row r="7440" spans="9:13" x14ac:dyDescent="0.25">
      <c r="I7440" t="s">
        <v>2839</v>
      </c>
      <c r="J7440" s="161" t="s">
        <v>19202</v>
      </c>
      <c r="K7440" t="s">
        <v>19203</v>
      </c>
      <c r="L7440" t="s">
        <v>2838</v>
      </c>
      <c r="M7440" s="161" t="s">
        <v>19202</v>
      </c>
    </row>
    <row r="7441" spans="9:13" x14ac:dyDescent="0.25">
      <c r="I7441" t="s">
        <v>16138</v>
      </c>
      <c r="J7441" s="161" t="s">
        <v>19202</v>
      </c>
      <c r="K7441" t="s">
        <v>19203</v>
      </c>
      <c r="L7441" t="s">
        <v>16137</v>
      </c>
      <c r="M7441" s="161" t="s">
        <v>19202</v>
      </c>
    </row>
    <row r="7442" spans="9:13" x14ac:dyDescent="0.25">
      <c r="I7442" t="s">
        <v>16624</v>
      </c>
      <c r="J7442" s="161" t="s">
        <v>19202</v>
      </c>
      <c r="K7442" t="s">
        <v>19203</v>
      </c>
      <c r="L7442" t="s">
        <v>1709</v>
      </c>
      <c r="M7442" s="161" t="s">
        <v>19202</v>
      </c>
    </row>
    <row r="7443" spans="9:13" x14ac:dyDescent="0.25">
      <c r="I7443" t="s">
        <v>9378</v>
      </c>
      <c r="J7443" s="161" t="s">
        <v>19202</v>
      </c>
      <c r="K7443" t="s">
        <v>19203</v>
      </c>
      <c r="L7443" t="s">
        <v>9377</v>
      </c>
      <c r="M7443" s="161" t="s">
        <v>19202</v>
      </c>
    </row>
    <row r="7444" spans="9:13" x14ac:dyDescent="0.25">
      <c r="I7444" t="s">
        <v>3977</v>
      </c>
      <c r="J7444" s="161" t="s">
        <v>19202</v>
      </c>
      <c r="K7444" t="s">
        <v>19203</v>
      </c>
      <c r="L7444" t="s">
        <v>3976</v>
      </c>
      <c r="M7444" s="161" t="s">
        <v>19202</v>
      </c>
    </row>
    <row r="7445" spans="9:13" x14ac:dyDescent="0.25">
      <c r="I7445" t="s">
        <v>13481</v>
      </c>
      <c r="J7445" s="161" t="s">
        <v>19202</v>
      </c>
      <c r="K7445" t="s">
        <v>19203</v>
      </c>
      <c r="L7445" t="s">
        <v>13480</v>
      </c>
      <c r="M7445" s="161" t="s">
        <v>19202</v>
      </c>
    </row>
    <row r="7446" spans="9:13" x14ac:dyDescent="0.25">
      <c r="I7446" t="s">
        <v>13479</v>
      </c>
      <c r="J7446" s="161" t="s">
        <v>19202</v>
      </c>
      <c r="K7446" t="s">
        <v>19203</v>
      </c>
      <c r="L7446" t="s">
        <v>13478</v>
      </c>
      <c r="M7446" s="161" t="s">
        <v>19202</v>
      </c>
    </row>
    <row r="7447" spans="9:13" x14ac:dyDescent="0.25">
      <c r="I7447" t="s">
        <v>13477</v>
      </c>
      <c r="J7447" s="161" t="s">
        <v>19202</v>
      </c>
      <c r="K7447" t="s">
        <v>19203</v>
      </c>
      <c r="L7447" t="s">
        <v>13476</v>
      </c>
      <c r="M7447" s="161" t="s">
        <v>19202</v>
      </c>
    </row>
    <row r="7448" spans="9:13" x14ac:dyDescent="0.25">
      <c r="I7448" t="s">
        <v>12616</v>
      </c>
      <c r="J7448" s="161" t="s">
        <v>19202</v>
      </c>
      <c r="K7448" t="s">
        <v>19203</v>
      </c>
      <c r="L7448" t="s">
        <v>12615</v>
      </c>
      <c r="M7448" s="161" t="s">
        <v>19202</v>
      </c>
    </row>
    <row r="7449" spans="9:13" x14ac:dyDescent="0.25">
      <c r="I7449" t="s">
        <v>12608</v>
      </c>
      <c r="J7449" s="161" t="s">
        <v>19202</v>
      </c>
      <c r="K7449" t="s">
        <v>19203</v>
      </c>
      <c r="L7449" t="s">
        <v>12607</v>
      </c>
      <c r="M7449" s="161" t="s">
        <v>19202</v>
      </c>
    </row>
    <row r="7450" spans="9:13" x14ac:dyDescent="0.25">
      <c r="I7450" t="s">
        <v>12606</v>
      </c>
      <c r="J7450" s="161" t="s">
        <v>19202</v>
      </c>
      <c r="K7450" t="s">
        <v>19203</v>
      </c>
      <c r="L7450" t="s">
        <v>12605</v>
      </c>
      <c r="M7450" s="161" t="s">
        <v>19202</v>
      </c>
    </row>
    <row r="7451" spans="9:13" x14ac:dyDescent="0.25">
      <c r="I7451" t="s">
        <v>12604</v>
      </c>
      <c r="J7451" s="161" t="s">
        <v>19202</v>
      </c>
      <c r="K7451" t="s">
        <v>19203</v>
      </c>
      <c r="L7451" t="s">
        <v>20232</v>
      </c>
      <c r="M7451" s="161" t="s">
        <v>19202</v>
      </c>
    </row>
    <row r="7452" spans="9:13" x14ac:dyDescent="0.25">
      <c r="I7452" t="s">
        <v>12682</v>
      </c>
      <c r="J7452" s="161" t="s">
        <v>19202</v>
      </c>
      <c r="K7452" t="s">
        <v>19203</v>
      </c>
      <c r="L7452" t="s">
        <v>12681</v>
      </c>
      <c r="M7452" s="161" t="s">
        <v>19202</v>
      </c>
    </row>
    <row r="7453" spans="9:13" x14ac:dyDescent="0.25">
      <c r="I7453" t="s">
        <v>13423</v>
      </c>
      <c r="J7453" s="161" t="s">
        <v>19202</v>
      </c>
      <c r="K7453" t="s">
        <v>19203</v>
      </c>
      <c r="L7453" t="s">
        <v>13422</v>
      </c>
      <c r="M7453" s="161" t="s">
        <v>19202</v>
      </c>
    </row>
    <row r="7454" spans="9:13" x14ac:dyDescent="0.25">
      <c r="I7454" t="s">
        <v>12676</v>
      </c>
      <c r="J7454" s="161" t="s">
        <v>19202</v>
      </c>
      <c r="K7454" t="s">
        <v>19203</v>
      </c>
      <c r="L7454" t="s">
        <v>12675</v>
      </c>
      <c r="M7454" s="161" t="s">
        <v>19202</v>
      </c>
    </row>
    <row r="7455" spans="9:13" x14ac:dyDescent="0.25">
      <c r="I7455" t="s">
        <v>13421</v>
      </c>
      <c r="J7455" s="161" t="s">
        <v>19202</v>
      </c>
      <c r="K7455" t="s">
        <v>19203</v>
      </c>
      <c r="L7455" t="s">
        <v>13420</v>
      </c>
      <c r="M7455" s="161" t="s">
        <v>19202</v>
      </c>
    </row>
    <row r="7456" spans="9:13" x14ac:dyDescent="0.25">
      <c r="I7456" t="s">
        <v>13419</v>
      </c>
      <c r="J7456" s="161" t="s">
        <v>19202</v>
      </c>
      <c r="K7456" t="s">
        <v>19203</v>
      </c>
      <c r="L7456" t="s">
        <v>13418</v>
      </c>
      <c r="M7456" s="161" t="s">
        <v>19202</v>
      </c>
    </row>
    <row r="7457" spans="9:13" x14ac:dyDescent="0.25">
      <c r="I7457" t="s">
        <v>20233</v>
      </c>
      <c r="J7457" s="161" t="s">
        <v>19202</v>
      </c>
      <c r="K7457" t="s">
        <v>19203</v>
      </c>
      <c r="L7457" t="s">
        <v>20234</v>
      </c>
      <c r="M7457" s="161" t="s">
        <v>19202</v>
      </c>
    </row>
    <row r="7458" spans="9:13" x14ac:dyDescent="0.25">
      <c r="I7458" t="s">
        <v>2268</v>
      </c>
      <c r="J7458" s="161" t="s">
        <v>19202</v>
      </c>
      <c r="K7458" t="s">
        <v>19203</v>
      </c>
      <c r="L7458" t="s">
        <v>2267</v>
      </c>
      <c r="M7458" s="161" t="s">
        <v>19202</v>
      </c>
    </row>
    <row r="7459" spans="9:13" x14ac:dyDescent="0.25">
      <c r="I7459" t="s">
        <v>8894</v>
      </c>
      <c r="J7459" s="161" t="s">
        <v>19202</v>
      </c>
      <c r="K7459" t="s">
        <v>19203</v>
      </c>
      <c r="L7459" t="s">
        <v>8893</v>
      </c>
      <c r="M7459" s="161" t="s">
        <v>19202</v>
      </c>
    </row>
    <row r="7460" spans="9:13" x14ac:dyDescent="0.25">
      <c r="I7460" t="s">
        <v>2228</v>
      </c>
      <c r="J7460" s="161" t="s">
        <v>19202</v>
      </c>
      <c r="K7460" t="s">
        <v>19203</v>
      </c>
      <c r="L7460" t="s">
        <v>2227</v>
      </c>
      <c r="M7460" s="161" t="s">
        <v>19202</v>
      </c>
    </row>
    <row r="7461" spans="9:13" x14ac:dyDescent="0.25">
      <c r="I7461" t="s">
        <v>9370</v>
      </c>
      <c r="J7461" s="161" t="s">
        <v>19202</v>
      </c>
      <c r="K7461" t="s">
        <v>19203</v>
      </c>
      <c r="L7461" t="s">
        <v>9369</v>
      </c>
      <c r="M7461" s="161" t="s">
        <v>19202</v>
      </c>
    </row>
    <row r="7462" spans="9:13" x14ac:dyDescent="0.25">
      <c r="I7462" t="s">
        <v>9358</v>
      </c>
      <c r="J7462" s="161" t="s">
        <v>19202</v>
      </c>
      <c r="K7462" t="s">
        <v>19203</v>
      </c>
      <c r="L7462" t="s">
        <v>9357</v>
      </c>
      <c r="M7462" s="161" t="s">
        <v>19202</v>
      </c>
    </row>
    <row r="7463" spans="9:13" x14ac:dyDescent="0.25">
      <c r="I7463" t="s">
        <v>16576</v>
      </c>
      <c r="J7463" s="161" t="s">
        <v>19202</v>
      </c>
      <c r="K7463" t="s">
        <v>19203</v>
      </c>
      <c r="L7463" t="s">
        <v>16575</v>
      </c>
      <c r="M7463" s="161" t="s">
        <v>19202</v>
      </c>
    </row>
    <row r="7464" spans="9:13" x14ac:dyDescent="0.25">
      <c r="I7464" t="s">
        <v>12614</v>
      </c>
      <c r="J7464" s="161" t="s">
        <v>19202</v>
      </c>
      <c r="K7464" t="s">
        <v>19203</v>
      </c>
      <c r="L7464" t="s">
        <v>12613</v>
      </c>
      <c r="M7464" s="161" t="s">
        <v>19202</v>
      </c>
    </row>
    <row r="7465" spans="9:13" x14ac:dyDescent="0.25">
      <c r="I7465" t="s">
        <v>12990</v>
      </c>
      <c r="J7465" s="161" t="s">
        <v>19202</v>
      </c>
      <c r="K7465" t="s">
        <v>19203</v>
      </c>
      <c r="L7465" t="s">
        <v>12989</v>
      </c>
      <c r="M7465" s="161" t="s">
        <v>19202</v>
      </c>
    </row>
    <row r="7466" spans="9:13" x14ac:dyDescent="0.25">
      <c r="I7466" t="s">
        <v>12678</v>
      </c>
      <c r="J7466" s="161" t="s">
        <v>19202</v>
      </c>
      <c r="K7466" t="s">
        <v>19203</v>
      </c>
      <c r="L7466" t="s">
        <v>12677</v>
      </c>
      <c r="M7466" s="161" t="s">
        <v>19202</v>
      </c>
    </row>
    <row r="7467" spans="9:13" x14ac:dyDescent="0.25">
      <c r="I7467" t="s">
        <v>8810</v>
      </c>
      <c r="J7467" s="167" t="s">
        <v>19994</v>
      </c>
      <c r="K7467" t="s">
        <v>19203</v>
      </c>
      <c r="L7467" t="s">
        <v>8809</v>
      </c>
      <c r="M7467" s="167" t="s">
        <v>19994</v>
      </c>
    </row>
    <row r="7468" spans="9:13" x14ac:dyDescent="0.25">
      <c r="I7468" t="s">
        <v>15473</v>
      </c>
      <c r="J7468" s="161" t="s">
        <v>19202</v>
      </c>
      <c r="K7468" t="s">
        <v>19203</v>
      </c>
      <c r="L7468" t="s">
        <v>15472</v>
      </c>
      <c r="M7468" s="161" t="s">
        <v>19202</v>
      </c>
    </row>
    <row r="7469" spans="9:13" x14ac:dyDescent="0.25">
      <c r="I7469" t="s">
        <v>2889</v>
      </c>
      <c r="J7469" s="161" t="s">
        <v>19202</v>
      </c>
      <c r="K7469" t="s">
        <v>19203</v>
      </c>
      <c r="L7469" t="s">
        <v>2888</v>
      </c>
      <c r="M7469" s="161" t="s">
        <v>19202</v>
      </c>
    </row>
    <row r="7470" spans="9:13" x14ac:dyDescent="0.25">
      <c r="I7470" t="s">
        <v>7294</v>
      </c>
      <c r="J7470" s="161" t="s">
        <v>19202</v>
      </c>
      <c r="K7470" t="s">
        <v>19203</v>
      </c>
      <c r="L7470" t="s">
        <v>7293</v>
      </c>
      <c r="M7470" s="161" t="s">
        <v>19202</v>
      </c>
    </row>
    <row r="7471" spans="9:13" x14ac:dyDescent="0.25">
      <c r="I7471" t="s">
        <v>20235</v>
      </c>
      <c r="J7471" s="161" t="s">
        <v>19202</v>
      </c>
      <c r="K7471" t="s">
        <v>19203</v>
      </c>
      <c r="L7471" t="s">
        <v>20236</v>
      </c>
      <c r="M7471" s="161" t="s">
        <v>19202</v>
      </c>
    </row>
    <row r="7472" spans="9:13" x14ac:dyDescent="0.25">
      <c r="I7472" t="s">
        <v>10945</v>
      </c>
      <c r="J7472" s="161" t="s">
        <v>19202</v>
      </c>
      <c r="K7472" t="s">
        <v>19203</v>
      </c>
      <c r="L7472" t="s">
        <v>10944</v>
      </c>
      <c r="M7472" s="161" t="s">
        <v>19202</v>
      </c>
    </row>
    <row r="7473" spans="9:13" x14ac:dyDescent="0.25">
      <c r="I7473" t="s">
        <v>16172</v>
      </c>
      <c r="J7473" s="161" t="s">
        <v>19202</v>
      </c>
      <c r="K7473" t="s">
        <v>19203</v>
      </c>
      <c r="L7473" t="s">
        <v>16126</v>
      </c>
      <c r="M7473" s="161" t="s">
        <v>19202</v>
      </c>
    </row>
    <row r="7474" spans="9:13" x14ac:dyDescent="0.25">
      <c r="I7474" t="s">
        <v>16256</v>
      </c>
      <c r="J7474" s="161" t="s">
        <v>19202</v>
      </c>
      <c r="K7474" t="s">
        <v>19203</v>
      </c>
      <c r="L7474" t="s">
        <v>16255</v>
      </c>
      <c r="M7474" s="161" t="s">
        <v>19202</v>
      </c>
    </row>
    <row r="7475" spans="9:13" x14ac:dyDescent="0.25">
      <c r="I7475" t="s">
        <v>10197</v>
      </c>
      <c r="J7475" s="161" t="s">
        <v>19202</v>
      </c>
      <c r="K7475" t="s">
        <v>19203</v>
      </c>
      <c r="L7475" t="s">
        <v>10196</v>
      </c>
      <c r="M7475" s="161" t="s">
        <v>19202</v>
      </c>
    </row>
    <row r="7476" spans="9:13" x14ac:dyDescent="0.25">
      <c r="I7476" t="s">
        <v>8826</v>
      </c>
      <c r="J7476" s="161" t="s">
        <v>19202</v>
      </c>
      <c r="K7476" t="s">
        <v>19203</v>
      </c>
      <c r="L7476" t="s">
        <v>8825</v>
      </c>
      <c r="M7476" s="161" t="s">
        <v>19202</v>
      </c>
    </row>
    <row r="7477" spans="9:13" x14ac:dyDescent="0.25">
      <c r="I7477" t="s">
        <v>3616</v>
      </c>
      <c r="J7477" s="161" t="s">
        <v>19202</v>
      </c>
      <c r="K7477" t="s">
        <v>19203</v>
      </c>
      <c r="L7477" t="s">
        <v>3615</v>
      </c>
      <c r="M7477" s="161" t="s">
        <v>19202</v>
      </c>
    </row>
    <row r="7478" spans="9:13" x14ac:dyDescent="0.25">
      <c r="I7478" t="s">
        <v>17650</v>
      </c>
      <c r="J7478" s="167" t="s">
        <v>19994</v>
      </c>
      <c r="K7478" t="s">
        <v>19203</v>
      </c>
      <c r="L7478" t="s">
        <v>17649</v>
      </c>
      <c r="M7478" s="167" t="s">
        <v>19994</v>
      </c>
    </row>
    <row r="7479" spans="9:13" x14ac:dyDescent="0.25">
      <c r="I7479" t="s">
        <v>6350</v>
      </c>
      <c r="J7479" s="161" t="s">
        <v>19202</v>
      </c>
      <c r="K7479" t="s">
        <v>19203</v>
      </c>
      <c r="L7479" t="s">
        <v>6349</v>
      </c>
      <c r="M7479" s="161" t="s">
        <v>19202</v>
      </c>
    </row>
    <row r="7480" spans="9:13" x14ac:dyDescent="0.25">
      <c r="I7480" t="s">
        <v>13903</v>
      </c>
      <c r="J7480" s="161" t="s">
        <v>19202</v>
      </c>
      <c r="K7480" t="s">
        <v>19203</v>
      </c>
      <c r="L7480" t="s">
        <v>13819</v>
      </c>
      <c r="M7480" s="161" t="s">
        <v>19202</v>
      </c>
    </row>
    <row r="7481" spans="9:13" x14ac:dyDescent="0.25">
      <c r="I7481" t="s">
        <v>12476</v>
      </c>
      <c r="J7481" s="161" t="s">
        <v>19202</v>
      </c>
      <c r="K7481" t="s">
        <v>19203</v>
      </c>
      <c r="L7481" t="s">
        <v>12475</v>
      </c>
      <c r="M7481" s="161" t="s">
        <v>19202</v>
      </c>
    </row>
    <row r="7482" spans="9:13" x14ac:dyDescent="0.25">
      <c r="I7482" t="s">
        <v>5929</v>
      </c>
      <c r="J7482" s="161" t="s">
        <v>19202</v>
      </c>
      <c r="K7482" t="s">
        <v>19203</v>
      </c>
      <c r="L7482" t="s">
        <v>5928</v>
      </c>
      <c r="M7482" s="161" t="s">
        <v>19202</v>
      </c>
    </row>
    <row r="7483" spans="9:13" x14ac:dyDescent="0.25">
      <c r="I7483" t="s">
        <v>12610</v>
      </c>
      <c r="J7483" s="161" t="s">
        <v>19202</v>
      </c>
      <c r="K7483" t="s">
        <v>19203</v>
      </c>
      <c r="L7483" t="s">
        <v>12609</v>
      </c>
      <c r="M7483" s="161" t="s">
        <v>19202</v>
      </c>
    </row>
    <row r="7484" spans="9:13" x14ac:dyDescent="0.25">
      <c r="I7484" t="s">
        <v>864</v>
      </c>
      <c r="J7484" s="161" t="s">
        <v>19202</v>
      </c>
      <c r="K7484" t="s">
        <v>19203</v>
      </c>
      <c r="L7484" t="s">
        <v>863</v>
      </c>
      <c r="M7484" s="161" t="s">
        <v>19202</v>
      </c>
    </row>
    <row r="7485" spans="9:13" x14ac:dyDescent="0.25">
      <c r="I7485" t="s">
        <v>20237</v>
      </c>
      <c r="J7485" s="161" t="s">
        <v>19202</v>
      </c>
      <c r="K7485" t="s">
        <v>19203</v>
      </c>
      <c r="L7485" t="s">
        <v>20238</v>
      </c>
      <c r="M7485" s="161" t="s">
        <v>19202</v>
      </c>
    </row>
    <row r="7486" spans="9:13" x14ac:dyDescent="0.25">
      <c r="I7486" t="s">
        <v>20239</v>
      </c>
      <c r="J7486" s="161" t="s">
        <v>19202</v>
      </c>
      <c r="K7486" t="s">
        <v>19203</v>
      </c>
      <c r="L7486" t="s">
        <v>6502</v>
      </c>
      <c r="M7486" s="161" t="s">
        <v>19202</v>
      </c>
    </row>
    <row r="7487" spans="9:13" x14ac:dyDescent="0.25">
      <c r="I7487" t="s">
        <v>13697</v>
      </c>
      <c r="J7487" s="161" t="s">
        <v>19202</v>
      </c>
      <c r="K7487" t="s">
        <v>19203</v>
      </c>
      <c r="L7487" t="s">
        <v>5202</v>
      </c>
      <c r="M7487" s="161" t="s">
        <v>19202</v>
      </c>
    </row>
    <row r="7488" spans="9:13" x14ac:dyDescent="0.25">
      <c r="I7488" t="s">
        <v>5298</v>
      </c>
      <c r="J7488" s="161" t="s">
        <v>19202</v>
      </c>
      <c r="K7488" t="s">
        <v>19203</v>
      </c>
      <c r="L7488" t="s">
        <v>5297</v>
      </c>
      <c r="M7488" s="161" t="s">
        <v>19202</v>
      </c>
    </row>
    <row r="7489" spans="9:13" x14ac:dyDescent="0.25">
      <c r="I7489" t="s">
        <v>15616</v>
      </c>
      <c r="J7489" s="161" t="s">
        <v>19202</v>
      </c>
      <c r="K7489" t="s">
        <v>19203</v>
      </c>
      <c r="L7489" t="s">
        <v>15615</v>
      </c>
      <c r="M7489" s="161" t="s">
        <v>19202</v>
      </c>
    </row>
    <row r="7490" spans="9:13" x14ac:dyDescent="0.25">
      <c r="I7490" t="s">
        <v>10190</v>
      </c>
      <c r="J7490" s="161" t="s">
        <v>19202</v>
      </c>
      <c r="K7490" t="s">
        <v>19203</v>
      </c>
      <c r="L7490" t="s">
        <v>10189</v>
      </c>
      <c r="M7490" s="161" t="s">
        <v>19202</v>
      </c>
    </row>
    <row r="7491" spans="9:13" x14ac:dyDescent="0.25">
      <c r="I7491" t="s">
        <v>18108</v>
      </c>
      <c r="J7491" s="161" t="s">
        <v>19202</v>
      </c>
      <c r="K7491" t="s">
        <v>19203</v>
      </c>
      <c r="L7491" t="s">
        <v>4261</v>
      </c>
      <c r="M7491" s="161" t="s">
        <v>19202</v>
      </c>
    </row>
    <row r="7492" spans="9:13" x14ac:dyDescent="0.25">
      <c r="I7492" t="s">
        <v>2632</v>
      </c>
      <c r="J7492" s="161" t="s">
        <v>19202</v>
      </c>
      <c r="K7492" t="s">
        <v>19203</v>
      </c>
      <c r="L7492" t="s">
        <v>2631</v>
      </c>
      <c r="M7492" s="161" t="s">
        <v>19202</v>
      </c>
    </row>
    <row r="7493" spans="9:13" x14ac:dyDescent="0.25">
      <c r="I7493" t="s">
        <v>9973</v>
      </c>
      <c r="J7493" s="161" t="s">
        <v>19202</v>
      </c>
      <c r="K7493" t="s">
        <v>19203</v>
      </c>
      <c r="L7493" t="s">
        <v>9972</v>
      </c>
      <c r="M7493" s="161" t="s">
        <v>19202</v>
      </c>
    </row>
    <row r="7494" spans="9:13" x14ac:dyDescent="0.25">
      <c r="I7494" t="s">
        <v>5098</v>
      </c>
      <c r="J7494" s="161" t="s">
        <v>19202</v>
      </c>
      <c r="K7494" t="s">
        <v>19203</v>
      </c>
      <c r="L7494" t="s">
        <v>5097</v>
      </c>
      <c r="M7494" s="161" t="s">
        <v>19202</v>
      </c>
    </row>
    <row r="7495" spans="9:13" x14ac:dyDescent="0.25">
      <c r="I7495" t="s">
        <v>9933</v>
      </c>
      <c r="J7495" s="161" t="s">
        <v>19202</v>
      </c>
      <c r="K7495" t="s">
        <v>19203</v>
      </c>
      <c r="L7495" t="s">
        <v>9932</v>
      </c>
      <c r="M7495" s="161" t="s">
        <v>19202</v>
      </c>
    </row>
    <row r="7496" spans="9:13" x14ac:dyDescent="0.25">
      <c r="I7496" t="s">
        <v>20240</v>
      </c>
      <c r="J7496" s="161" t="s">
        <v>19202</v>
      </c>
      <c r="K7496" t="s">
        <v>19203</v>
      </c>
      <c r="L7496" t="s">
        <v>5202</v>
      </c>
      <c r="M7496" s="161" t="s">
        <v>19202</v>
      </c>
    </row>
    <row r="7497" spans="9:13" x14ac:dyDescent="0.25">
      <c r="I7497" t="s">
        <v>12612</v>
      </c>
      <c r="J7497" s="161" t="s">
        <v>19202</v>
      </c>
      <c r="K7497" t="s">
        <v>19203</v>
      </c>
      <c r="L7497" t="s">
        <v>12611</v>
      </c>
      <c r="M7497" s="161" t="s">
        <v>19202</v>
      </c>
    </row>
    <row r="7498" spans="9:13" x14ac:dyDescent="0.25">
      <c r="I7498" t="s">
        <v>8334</v>
      </c>
      <c r="J7498" s="161" t="s">
        <v>19202</v>
      </c>
      <c r="K7498" t="s">
        <v>19203</v>
      </c>
      <c r="L7498" t="s">
        <v>8333</v>
      </c>
      <c r="M7498" s="161" t="s">
        <v>19202</v>
      </c>
    </row>
    <row r="7499" spans="9:13" x14ac:dyDescent="0.25">
      <c r="I7499" t="s">
        <v>16254</v>
      </c>
      <c r="J7499" s="161" t="s">
        <v>19202</v>
      </c>
      <c r="K7499" t="s">
        <v>19203</v>
      </c>
      <c r="L7499" t="s">
        <v>16253</v>
      </c>
      <c r="M7499" s="161" t="s">
        <v>19202</v>
      </c>
    </row>
    <row r="7500" spans="9:13" x14ac:dyDescent="0.25">
      <c r="I7500" t="s">
        <v>6815</v>
      </c>
      <c r="J7500" s="161" t="s">
        <v>19202</v>
      </c>
      <c r="K7500" t="s">
        <v>19203</v>
      </c>
      <c r="L7500" t="s">
        <v>6814</v>
      </c>
      <c r="M7500" s="161" t="s">
        <v>19202</v>
      </c>
    </row>
    <row r="7501" spans="9:13" x14ac:dyDescent="0.25">
      <c r="I7501" t="s">
        <v>737</v>
      </c>
      <c r="J7501" s="161" t="s">
        <v>19202</v>
      </c>
      <c r="K7501" t="s">
        <v>19203</v>
      </c>
      <c r="L7501" t="s">
        <v>736</v>
      </c>
      <c r="M7501" s="161" t="s">
        <v>19202</v>
      </c>
    </row>
    <row r="7502" spans="9:13" x14ac:dyDescent="0.25">
      <c r="I7502" t="s">
        <v>16623</v>
      </c>
      <c r="J7502" s="161" t="s">
        <v>19202</v>
      </c>
      <c r="K7502" t="s">
        <v>19203</v>
      </c>
      <c r="L7502" t="s">
        <v>16622</v>
      </c>
      <c r="M7502" s="161" t="s">
        <v>19202</v>
      </c>
    </row>
    <row r="7503" spans="9:13" x14ac:dyDescent="0.25">
      <c r="I7503" t="s">
        <v>16173</v>
      </c>
      <c r="J7503" s="161" t="s">
        <v>19202</v>
      </c>
      <c r="K7503" t="s">
        <v>19203</v>
      </c>
      <c r="L7503" t="s">
        <v>15319</v>
      </c>
      <c r="M7503" s="161" t="s">
        <v>19202</v>
      </c>
    </row>
    <row r="7504" spans="9:13" x14ac:dyDescent="0.25">
      <c r="I7504" t="s">
        <v>15171</v>
      </c>
      <c r="J7504" s="161" t="s">
        <v>19202</v>
      </c>
      <c r="K7504" t="s">
        <v>19203</v>
      </c>
      <c r="L7504" t="s">
        <v>15170</v>
      </c>
      <c r="M7504" s="161" t="s">
        <v>19202</v>
      </c>
    </row>
    <row r="7505" spans="9:13" x14ac:dyDescent="0.25">
      <c r="I7505" t="s">
        <v>11639</v>
      </c>
      <c r="J7505" s="161" t="s">
        <v>19202</v>
      </c>
      <c r="K7505" t="s">
        <v>19203</v>
      </c>
      <c r="L7505" t="s">
        <v>11638</v>
      </c>
      <c r="M7505" s="161" t="s">
        <v>19202</v>
      </c>
    </row>
    <row r="7506" spans="9:13" x14ac:dyDescent="0.25">
      <c r="I7506" t="s">
        <v>2451</v>
      </c>
      <c r="J7506" s="161" t="s">
        <v>19202</v>
      </c>
      <c r="K7506" t="s">
        <v>19203</v>
      </c>
      <c r="L7506" t="s">
        <v>2450</v>
      </c>
      <c r="M7506" s="161" t="s">
        <v>19202</v>
      </c>
    </row>
    <row r="7507" spans="9:13" x14ac:dyDescent="0.25">
      <c r="I7507" t="s">
        <v>9364</v>
      </c>
      <c r="J7507" s="161" t="s">
        <v>19202</v>
      </c>
      <c r="K7507" t="s">
        <v>19203</v>
      </c>
      <c r="L7507" t="s">
        <v>9363</v>
      </c>
      <c r="M7507" s="161" t="s">
        <v>19202</v>
      </c>
    </row>
    <row r="7508" spans="9:13" x14ac:dyDescent="0.25">
      <c r="I7508" t="s">
        <v>5179</v>
      </c>
      <c r="J7508" s="161" t="s">
        <v>19202</v>
      </c>
      <c r="K7508" t="s">
        <v>19203</v>
      </c>
      <c r="L7508" t="s">
        <v>5178</v>
      </c>
      <c r="M7508" s="161" t="s">
        <v>19202</v>
      </c>
    </row>
    <row r="7509" spans="9:13" x14ac:dyDescent="0.25">
      <c r="I7509" t="s">
        <v>5175</v>
      </c>
      <c r="J7509" s="161" t="s">
        <v>19202</v>
      </c>
      <c r="K7509" t="s">
        <v>19203</v>
      </c>
      <c r="L7509" t="s">
        <v>5174</v>
      </c>
      <c r="M7509" s="161" t="s">
        <v>19202</v>
      </c>
    </row>
    <row r="7510" spans="9:13" x14ac:dyDescent="0.25">
      <c r="I7510" t="s">
        <v>13997</v>
      </c>
      <c r="J7510" s="161" t="s">
        <v>19202</v>
      </c>
      <c r="K7510" t="s">
        <v>19203</v>
      </c>
      <c r="L7510" t="s">
        <v>13996</v>
      </c>
      <c r="M7510" s="161" t="s">
        <v>19202</v>
      </c>
    </row>
    <row r="7511" spans="9:13" x14ac:dyDescent="0.25">
      <c r="I7511" t="s">
        <v>4074</v>
      </c>
      <c r="J7511" s="161" t="s">
        <v>19202</v>
      </c>
      <c r="K7511" t="s">
        <v>19203</v>
      </c>
      <c r="L7511" t="s">
        <v>4073</v>
      </c>
      <c r="M7511" s="161" t="s">
        <v>19202</v>
      </c>
    </row>
    <row r="7512" spans="9:13" x14ac:dyDescent="0.25">
      <c r="I7512" t="s">
        <v>20241</v>
      </c>
      <c r="J7512" s="161" t="s">
        <v>19202</v>
      </c>
      <c r="K7512" t="s">
        <v>19203</v>
      </c>
      <c r="L7512" t="s">
        <v>20242</v>
      </c>
      <c r="M7512" s="161" t="s">
        <v>19202</v>
      </c>
    </row>
    <row r="7513" spans="9:13" x14ac:dyDescent="0.25">
      <c r="I7513" t="s">
        <v>12723</v>
      </c>
      <c r="J7513" s="161" t="s">
        <v>19202</v>
      </c>
      <c r="K7513" t="s">
        <v>19203</v>
      </c>
      <c r="L7513" t="s">
        <v>12722</v>
      </c>
      <c r="M7513" s="161" t="s">
        <v>19202</v>
      </c>
    </row>
    <row r="7514" spans="9:13" x14ac:dyDescent="0.25">
      <c r="I7514" t="s">
        <v>4919</v>
      </c>
      <c r="J7514" s="161" t="s">
        <v>19202</v>
      </c>
      <c r="K7514" t="s">
        <v>19203</v>
      </c>
      <c r="L7514" t="s">
        <v>4918</v>
      </c>
      <c r="M7514" s="161" t="s">
        <v>19202</v>
      </c>
    </row>
    <row r="7515" spans="9:13" x14ac:dyDescent="0.25">
      <c r="I7515" t="s">
        <v>10303</v>
      </c>
      <c r="J7515" s="161" t="s">
        <v>19202</v>
      </c>
      <c r="K7515" t="s">
        <v>19203</v>
      </c>
      <c r="L7515" t="s">
        <v>10302</v>
      </c>
      <c r="M7515" s="161" t="s">
        <v>19202</v>
      </c>
    </row>
    <row r="7516" spans="9:13" x14ac:dyDescent="0.25">
      <c r="I7516" t="s">
        <v>20243</v>
      </c>
      <c r="J7516" s="161" t="s">
        <v>19202</v>
      </c>
      <c r="K7516" t="s">
        <v>19203</v>
      </c>
      <c r="L7516" t="s">
        <v>20244</v>
      </c>
      <c r="M7516" s="161" t="s">
        <v>19202</v>
      </c>
    </row>
    <row r="7517" spans="9:13" x14ac:dyDescent="0.25">
      <c r="I7517" t="s">
        <v>5400</v>
      </c>
      <c r="J7517" s="161" t="s">
        <v>19202</v>
      </c>
      <c r="K7517" t="s">
        <v>19203</v>
      </c>
      <c r="L7517" t="s">
        <v>5399</v>
      </c>
      <c r="M7517" s="161" t="s">
        <v>19202</v>
      </c>
    </row>
    <row r="7518" spans="9:13" x14ac:dyDescent="0.25">
      <c r="I7518" t="s">
        <v>11591</v>
      </c>
      <c r="J7518" s="161" t="s">
        <v>19202</v>
      </c>
      <c r="K7518" t="s">
        <v>19203</v>
      </c>
      <c r="L7518" t="s">
        <v>11590</v>
      </c>
      <c r="M7518" s="161" t="s">
        <v>19202</v>
      </c>
    </row>
    <row r="7519" spans="9:13" x14ac:dyDescent="0.25">
      <c r="I7519" t="s">
        <v>6414</v>
      </c>
      <c r="J7519" s="161" t="s">
        <v>19202</v>
      </c>
      <c r="K7519" t="s">
        <v>19203</v>
      </c>
      <c r="L7519" t="s">
        <v>350</v>
      </c>
      <c r="M7519" s="161" t="s">
        <v>19202</v>
      </c>
    </row>
    <row r="7520" spans="9:13" x14ac:dyDescent="0.25">
      <c r="I7520" t="s">
        <v>13704</v>
      </c>
      <c r="J7520" s="161" t="s">
        <v>19202</v>
      </c>
      <c r="K7520" t="s">
        <v>19203</v>
      </c>
      <c r="L7520" t="s">
        <v>13703</v>
      </c>
      <c r="M7520" s="161" t="s">
        <v>19202</v>
      </c>
    </row>
    <row r="7521" spans="9:13" x14ac:dyDescent="0.25">
      <c r="I7521" t="s">
        <v>16258</v>
      </c>
      <c r="J7521" s="161" t="s">
        <v>19202</v>
      </c>
      <c r="K7521" t="s">
        <v>19203</v>
      </c>
      <c r="L7521" t="s">
        <v>16257</v>
      </c>
      <c r="M7521" s="161" t="s">
        <v>19202</v>
      </c>
    </row>
    <row r="7522" spans="9:13" x14ac:dyDescent="0.25">
      <c r="I7522" t="s">
        <v>20245</v>
      </c>
      <c r="J7522" s="161" t="s">
        <v>19202</v>
      </c>
      <c r="K7522" t="s">
        <v>19203</v>
      </c>
      <c r="L7522" t="s">
        <v>13725</v>
      </c>
      <c r="M7522" s="161" t="s">
        <v>19202</v>
      </c>
    </row>
    <row r="7523" spans="9:13" x14ac:dyDescent="0.25">
      <c r="I7523" t="s">
        <v>7736</v>
      </c>
      <c r="J7523" s="161" t="s">
        <v>19202</v>
      </c>
      <c r="K7523" t="s">
        <v>19203</v>
      </c>
      <c r="L7523" t="s">
        <v>7735</v>
      </c>
      <c r="M7523" s="161" t="s">
        <v>19202</v>
      </c>
    </row>
    <row r="7524" spans="9:13" x14ac:dyDescent="0.25">
      <c r="I7524" t="s">
        <v>20246</v>
      </c>
      <c r="J7524" s="161" t="s">
        <v>19202</v>
      </c>
      <c r="K7524" t="s">
        <v>19203</v>
      </c>
      <c r="L7524" t="s">
        <v>20247</v>
      </c>
      <c r="M7524" s="161" t="s">
        <v>19202</v>
      </c>
    </row>
    <row r="7525" spans="9:13" x14ac:dyDescent="0.25">
      <c r="I7525" t="s">
        <v>20248</v>
      </c>
      <c r="J7525" s="161" t="s">
        <v>19202</v>
      </c>
      <c r="K7525" t="s">
        <v>19203</v>
      </c>
      <c r="L7525" t="s">
        <v>20249</v>
      </c>
      <c r="M7525" s="161" t="s">
        <v>19202</v>
      </c>
    </row>
    <row r="7526" spans="9:13" x14ac:dyDescent="0.25">
      <c r="I7526" t="s">
        <v>3656</v>
      </c>
      <c r="J7526" s="161" t="s">
        <v>19202</v>
      </c>
      <c r="K7526" t="s">
        <v>19203</v>
      </c>
      <c r="L7526" t="s">
        <v>471</v>
      </c>
      <c r="M7526" s="161" t="s">
        <v>19202</v>
      </c>
    </row>
    <row r="7527" spans="9:13" x14ac:dyDescent="0.25">
      <c r="I7527" t="s">
        <v>20250</v>
      </c>
      <c r="J7527" s="167" t="s">
        <v>19994</v>
      </c>
      <c r="K7527" t="s">
        <v>19203</v>
      </c>
      <c r="L7527" t="s">
        <v>20251</v>
      </c>
      <c r="M7527" s="167" t="s">
        <v>19994</v>
      </c>
    </row>
    <row r="7528" spans="9:13" x14ac:dyDescent="0.25">
      <c r="I7528" t="s">
        <v>9838</v>
      </c>
      <c r="J7528" s="161" t="s">
        <v>19202</v>
      </c>
      <c r="K7528" t="s">
        <v>19203</v>
      </c>
      <c r="L7528" t="s">
        <v>9837</v>
      </c>
      <c r="M7528" s="161" t="s">
        <v>19202</v>
      </c>
    </row>
    <row r="7529" spans="9:13" x14ac:dyDescent="0.25">
      <c r="I7529" t="s">
        <v>2903</v>
      </c>
      <c r="J7529" s="161" t="s">
        <v>19202</v>
      </c>
      <c r="K7529" t="s">
        <v>19203</v>
      </c>
      <c r="L7529" t="s">
        <v>2902</v>
      </c>
      <c r="M7529" s="161" t="s">
        <v>19202</v>
      </c>
    </row>
    <row r="7530" spans="9:13" x14ac:dyDescent="0.25">
      <c r="I7530" t="s">
        <v>9472</v>
      </c>
      <c r="J7530" s="161" t="s">
        <v>19202</v>
      </c>
      <c r="K7530" t="s">
        <v>19203</v>
      </c>
      <c r="L7530" t="s">
        <v>9471</v>
      </c>
      <c r="M7530" s="161" t="s">
        <v>19202</v>
      </c>
    </row>
    <row r="7531" spans="9:13" x14ac:dyDescent="0.25">
      <c r="I7531" t="s">
        <v>9350</v>
      </c>
      <c r="J7531" s="161" t="s">
        <v>19202</v>
      </c>
      <c r="K7531" t="s">
        <v>19203</v>
      </c>
      <c r="L7531" t="s">
        <v>9349</v>
      </c>
      <c r="M7531" s="161" t="s">
        <v>19202</v>
      </c>
    </row>
    <row r="7532" spans="9:13" x14ac:dyDescent="0.25">
      <c r="I7532" t="s">
        <v>6158</v>
      </c>
      <c r="J7532" s="161" t="s">
        <v>19202</v>
      </c>
      <c r="K7532" t="s">
        <v>19203</v>
      </c>
      <c r="L7532" t="s">
        <v>6157</v>
      </c>
      <c r="M7532" s="161" t="s">
        <v>19202</v>
      </c>
    </row>
    <row r="7533" spans="9:13" x14ac:dyDescent="0.25">
      <c r="I7533" t="s">
        <v>13937</v>
      </c>
      <c r="J7533" s="161" t="s">
        <v>19202</v>
      </c>
      <c r="K7533" t="s">
        <v>19203</v>
      </c>
      <c r="L7533" t="s">
        <v>13936</v>
      </c>
      <c r="M7533" s="161" t="s">
        <v>19202</v>
      </c>
    </row>
    <row r="7534" spans="9:13" x14ac:dyDescent="0.25">
      <c r="I7534" t="s">
        <v>17399</v>
      </c>
      <c r="J7534" s="161" t="s">
        <v>19202</v>
      </c>
      <c r="K7534" t="s">
        <v>19203</v>
      </c>
      <c r="L7534" t="s">
        <v>17398</v>
      </c>
      <c r="M7534" s="161" t="s">
        <v>19202</v>
      </c>
    </row>
    <row r="7535" spans="9:13" x14ac:dyDescent="0.25">
      <c r="I7535" t="s">
        <v>20252</v>
      </c>
      <c r="J7535" s="161" t="s">
        <v>19202</v>
      </c>
      <c r="K7535" t="s">
        <v>19203</v>
      </c>
      <c r="L7535" t="s">
        <v>20253</v>
      </c>
      <c r="M7535" s="161" t="s">
        <v>19202</v>
      </c>
    </row>
    <row r="7536" spans="9:13" x14ac:dyDescent="0.25">
      <c r="I7536" t="s">
        <v>4116</v>
      </c>
      <c r="J7536" s="161" t="s">
        <v>19202</v>
      </c>
      <c r="K7536" t="s">
        <v>19203</v>
      </c>
      <c r="L7536" t="s">
        <v>4115</v>
      </c>
      <c r="M7536" s="161" t="s">
        <v>19202</v>
      </c>
    </row>
    <row r="7537" spans="9:13" x14ac:dyDescent="0.25">
      <c r="I7537" t="s">
        <v>10317</v>
      </c>
      <c r="J7537" s="161" t="s">
        <v>19202</v>
      </c>
      <c r="K7537" t="s">
        <v>19203</v>
      </c>
      <c r="L7537" t="s">
        <v>10316</v>
      </c>
      <c r="M7537" s="161" t="s">
        <v>19202</v>
      </c>
    </row>
    <row r="7538" spans="9:13" x14ac:dyDescent="0.25">
      <c r="I7538" t="s">
        <v>862</v>
      </c>
      <c r="J7538" s="161" t="s">
        <v>19202</v>
      </c>
      <c r="K7538" t="s">
        <v>19203</v>
      </c>
      <c r="L7538" t="s">
        <v>861</v>
      </c>
      <c r="M7538" s="161" t="s">
        <v>19202</v>
      </c>
    </row>
    <row r="7539" spans="9:13" x14ac:dyDescent="0.25">
      <c r="I7539" t="s">
        <v>11062</v>
      </c>
      <c r="J7539" s="161" t="s">
        <v>19202</v>
      </c>
      <c r="K7539" t="s">
        <v>19203</v>
      </c>
      <c r="L7539" t="s">
        <v>11061</v>
      </c>
      <c r="M7539" s="161" t="s">
        <v>19202</v>
      </c>
    </row>
    <row r="7540" spans="9:13" x14ac:dyDescent="0.25">
      <c r="I7540" t="s">
        <v>5701</v>
      </c>
      <c r="J7540" s="161" t="s">
        <v>19202</v>
      </c>
      <c r="K7540" t="s">
        <v>19203</v>
      </c>
      <c r="L7540" t="s">
        <v>5700</v>
      </c>
      <c r="M7540" s="161" t="s">
        <v>19202</v>
      </c>
    </row>
    <row r="7541" spans="9:13" x14ac:dyDescent="0.25">
      <c r="I7541" t="s">
        <v>13875</v>
      </c>
      <c r="J7541" s="161" t="s">
        <v>19202</v>
      </c>
      <c r="K7541" t="s">
        <v>19203</v>
      </c>
      <c r="L7541" t="s">
        <v>6251</v>
      </c>
      <c r="M7541" s="161" t="s">
        <v>19202</v>
      </c>
    </row>
    <row r="7542" spans="9:13" x14ac:dyDescent="0.25">
      <c r="I7542" t="s">
        <v>17114</v>
      </c>
      <c r="J7542" s="161" t="s">
        <v>19202</v>
      </c>
      <c r="K7542" t="s">
        <v>19203</v>
      </c>
      <c r="L7542" t="s">
        <v>17113</v>
      </c>
      <c r="M7542" s="161" t="s">
        <v>19202</v>
      </c>
    </row>
    <row r="7543" spans="9:13" x14ac:dyDescent="0.25">
      <c r="I7543" t="s">
        <v>20254</v>
      </c>
      <c r="J7543" s="161" t="s">
        <v>19202</v>
      </c>
      <c r="K7543" t="s">
        <v>19203</v>
      </c>
      <c r="L7543" t="s">
        <v>14908</v>
      </c>
      <c r="M7543" s="161" t="s">
        <v>19202</v>
      </c>
    </row>
    <row r="7544" spans="9:13" x14ac:dyDescent="0.25">
      <c r="I7544" t="s">
        <v>9354</v>
      </c>
      <c r="J7544" s="161" t="s">
        <v>19202</v>
      </c>
      <c r="K7544" t="s">
        <v>19203</v>
      </c>
      <c r="L7544" t="s">
        <v>9353</v>
      </c>
      <c r="M7544" s="161" t="s">
        <v>19202</v>
      </c>
    </row>
    <row r="7545" spans="9:13" x14ac:dyDescent="0.25">
      <c r="I7545" t="s">
        <v>2638</v>
      </c>
      <c r="J7545" s="161" t="s">
        <v>19202</v>
      </c>
      <c r="K7545" t="s">
        <v>19203</v>
      </c>
      <c r="L7545" t="s">
        <v>2637</v>
      </c>
      <c r="M7545" s="161" t="s">
        <v>19202</v>
      </c>
    </row>
    <row r="7546" spans="9:13" x14ac:dyDescent="0.25">
      <c r="I7546" t="s">
        <v>13824</v>
      </c>
      <c r="J7546" s="161" t="s">
        <v>19202</v>
      </c>
      <c r="K7546" t="s">
        <v>19203</v>
      </c>
      <c r="L7546" t="s">
        <v>13823</v>
      </c>
      <c r="M7546" s="161" t="s">
        <v>19202</v>
      </c>
    </row>
    <row r="7547" spans="9:13" x14ac:dyDescent="0.25">
      <c r="I7547" t="s">
        <v>11506</v>
      </c>
      <c r="J7547" s="161" t="s">
        <v>19202</v>
      </c>
      <c r="K7547" t="s">
        <v>19203</v>
      </c>
      <c r="L7547" t="s">
        <v>11505</v>
      </c>
      <c r="M7547" s="161" t="s">
        <v>19202</v>
      </c>
    </row>
    <row r="7548" spans="9:13" x14ac:dyDescent="0.25">
      <c r="I7548" t="s">
        <v>20255</v>
      </c>
      <c r="J7548" s="161" t="s">
        <v>19202</v>
      </c>
      <c r="K7548" t="s">
        <v>19203</v>
      </c>
      <c r="L7548" t="s">
        <v>20256</v>
      </c>
      <c r="M7548" s="161" t="s">
        <v>19202</v>
      </c>
    </row>
    <row r="7549" spans="9:13" x14ac:dyDescent="0.25">
      <c r="I7549" t="s">
        <v>14363</v>
      </c>
      <c r="J7549" s="161" t="s">
        <v>19202</v>
      </c>
      <c r="K7549" t="s">
        <v>19203</v>
      </c>
      <c r="L7549" t="s">
        <v>14362</v>
      </c>
      <c r="M7549" s="161" t="s">
        <v>19202</v>
      </c>
    </row>
    <row r="7550" spans="9:13" x14ac:dyDescent="0.25">
      <c r="I7550" t="s">
        <v>2587</v>
      </c>
      <c r="J7550" s="161" t="s">
        <v>19202</v>
      </c>
      <c r="K7550" t="s">
        <v>19203</v>
      </c>
      <c r="L7550" t="s">
        <v>2586</v>
      </c>
      <c r="M7550" s="161" t="s">
        <v>19202</v>
      </c>
    </row>
    <row r="7551" spans="9:13" x14ac:dyDescent="0.25">
      <c r="I7551" t="s">
        <v>9362</v>
      </c>
      <c r="J7551" s="161" t="s">
        <v>19202</v>
      </c>
      <c r="K7551" t="s">
        <v>19203</v>
      </c>
      <c r="L7551" t="s">
        <v>9361</v>
      </c>
      <c r="M7551" s="161" t="s">
        <v>19202</v>
      </c>
    </row>
    <row r="7552" spans="9:13" x14ac:dyDescent="0.25">
      <c r="I7552" t="s">
        <v>9697</v>
      </c>
      <c r="J7552" s="161" t="s">
        <v>19202</v>
      </c>
      <c r="K7552" t="s">
        <v>19203</v>
      </c>
      <c r="L7552" t="s">
        <v>9696</v>
      </c>
      <c r="M7552" s="161" t="s">
        <v>19202</v>
      </c>
    </row>
    <row r="7553" spans="9:13" x14ac:dyDescent="0.25">
      <c r="I7553" t="s">
        <v>18074</v>
      </c>
      <c r="J7553" s="161" t="s">
        <v>19202</v>
      </c>
      <c r="K7553" t="s">
        <v>19203</v>
      </c>
      <c r="L7553" t="s">
        <v>18073</v>
      </c>
      <c r="M7553" s="161" t="s">
        <v>19202</v>
      </c>
    </row>
    <row r="7554" spans="9:13" x14ac:dyDescent="0.25">
      <c r="I7554" t="s">
        <v>14560</v>
      </c>
      <c r="J7554" s="161" t="s">
        <v>19202</v>
      </c>
      <c r="K7554" t="s">
        <v>19203</v>
      </c>
      <c r="L7554" t="s">
        <v>14559</v>
      </c>
      <c r="M7554" s="161" t="s">
        <v>19202</v>
      </c>
    </row>
    <row r="7555" spans="9:13" x14ac:dyDescent="0.25">
      <c r="I7555" t="s">
        <v>20257</v>
      </c>
      <c r="J7555" s="161" t="s">
        <v>19202</v>
      </c>
      <c r="K7555" t="s">
        <v>19203</v>
      </c>
      <c r="L7555" t="s">
        <v>20258</v>
      </c>
      <c r="M7555" s="161" t="s">
        <v>19202</v>
      </c>
    </row>
    <row r="7556" spans="9:13" x14ac:dyDescent="0.25">
      <c r="I7556" t="s">
        <v>15928</v>
      </c>
      <c r="J7556" s="161" t="s">
        <v>19202</v>
      </c>
      <c r="K7556" t="s">
        <v>19203</v>
      </c>
      <c r="L7556" t="s">
        <v>1690</v>
      </c>
      <c r="M7556" s="161" t="s">
        <v>19202</v>
      </c>
    </row>
    <row r="7557" spans="9:13" x14ac:dyDescent="0.25">
      <c r="I7557" t="s">
        <v>3026</v>
      </c>
      <c r="J7557" s="161" t="s">
        <v>19202</v>
      </c>
      <c r="K7557" t="s">
        <v>19203</v>
      </c>
      <c r="L7557" t="s">
        <v>3025</v>
      </c>
      <c r="M7557" s="161" t="s">
        <v>19202</v>
      </c>
    </row>
    <row r="7558" spans="9:13" x14ac:dyDescent="0.25">
      <c r="I7558" t="s">
        <v>13142</v>
      </c>
      <c r="J7558" s="161" t="s">
        <v>19202</v>
      </c>
      <c r="K7558" t="s">
        <v>19203</v>
      </c>
      <c r="L7558" t="s">
        <v>13141</v>
      </c>
      <c r="M7558" s="161" t="s">
        <v>19202</v>
      </c>
    </row>
    <row r="7559" spans="9:13" x14ac:dyDescent="0.25">
      <c r="I7559" t="s">
        <v>7889</v>
      </c>
      <c r="J7559" s="161" t="s">
        <v>19202</v>
      </c>
      <c r="K7559" t="s">
        <v>19203</v>
      </c>
      <c r="L7559" t="s">
        <v>7888</v>
      </c>
      <c r="M7559" s="161" t="s">
        <v>19202</v>
      </c>
    </row>
    <row r="7560" spans="9:13" x14ac:dyDescent="0.25">
      <c r="I7560" t="s">
        <v>12384</v>
      </c>
      <c r="J7560" s="161" t="s">
        <v>19202</v>
      </c>
      <c r="K7560" t="s">
        <v>19203</v>
      </c>
      <c r="L7560" t="s">
        <v>12383</v>
      </c>
      <c r="M7560" s="161" t="s">
        <v>19202</v>
      </c>
    </row>
    <row r="7561" spans="9:13" x14ac:dyDescent="0.25">
      <c r="I7561" t="s">
        <v>11129</v>
      </c>
      <c r="J7561" s="161" t="s">
        <v>19202</v>
      </c>
      <c r="K7561" t="s">
        <v>19203</v>
      </c>
      <c r="L7561" t="s">
        <v>11128</v>
      </c>
      <c r="M7561" s="161" t="s">
        <v>19202</v>
      </c>
    </row>
    <row r="7562" spans="9:13" x14ac:dyDescent="0.25">
      <c r="I7562" t="s">
        <v>3655</v>
      </c>
      <c r="J7562" s="161" t="s">
        <v>19202</v>
      </c>
      <c r="K7562" t="s">
        <v>19203</v>
      </c>
      <c r="L7562" t="s">
        <v>3654</v>
      </c>
      <c r="M7562" s="161" t="s">
        <v>19202</v>
      </c>
    </row>
    <row r="7563" spans="9:13" x14ac:dyDescent="0.25">
      <c r="I7563" t="s">
        <v>17708</v>
      </c>
      <c r="J7563" s="167" t="s">
        <v>19994</v>
      </c>
      <c r="K7563" t="s">
        <v>19203</v>
      </c>
      <c r="L7563" t="s">
        <v>17707</v>
      </c>
      <c r="M7563" s="167" t="s">
        <v>19994</v>
      </c>
    </row>
    <row r="7564" spans="9:13" x14ac:dyDescent="0.25">
      <c r="I7564" t="s">
        <v>16374</v>
      </c>
      <c r="J7564" s="161" t="s">
        <v>19202</v>
      </c>
      <c r="K7564" t="s">
        <v>19203</v>
      </c>
      <c r="L7564" t="s">
        <v>16373</v>
      </c>
      <c r="M7564" s="161" t="s">
        <v>19202</v>
      </c>
    </row>
    <row r="7565" spans="9:13" x14ac:dyDescent="0.25">
      <c r="I7565" t="s">
        <v>8794</v>
      </c>
      <c r="J7565" s="161" t="s">
        <v>19202</v>
      </c>
      <c r="K7565" t="s">
        <v>19203</v>
      </c>
      <c r="L7565" t="s">
        <v>8793</v>
      </c>
      <c r="M7565" s="161" t="s">
        <v>19202</v>
      </c>
    </row>
    <row r="7566" spans="9:13" x14ac:dyDescent="0.25">
      <c r="I7566" t="s">
        <v>16037</v>
      </c>
      <c r="J7566" s="161" t="s">
        <v>19202</v>
      </c>
      <c r="K7566" t="s">
        <v>19203</v>
      </c>
      <c r="L7566" t="s">
        <v>15339</v>
      </c>
      <c r="M7566" s="161" t="s">
        <v>19202</v>
      </c>
    </row>
    <row r="7567" spans="9:13" x14ac:dyDescent="0.25">
      <c r="I7567" t="s">
        <v>16034</v>
      </c>
      <c r="J7567" s="161" t="s">
        <v>19202</v>
      </c>
      <c r="K7567" t="s">
        <v>19203</v>
      </c>
      <c r="L7567" t="s">
        <v>4634</v>
      </c>
      <c r="M7567" s="161" t="s">
        <v>19202</v>
      </c>
    </row>
    <row r="7568" spans="9:13" x14ac:dyDescent="0.25">
      <c r="I7568" t="s">
        <v>14798</v>
      </c>
      <c r="J7568" s="161" t="s">
        <v>19202</v>
      </c>
      <c r="K7568" t="s">
        <v>19203</v>
      </c>
      <c r="L7568" t="s">
        <v>14797</v>
      </c>
      <c r="M7568" s="161" t="s">
        <v>19202</v>
      </c>
    </row>
    <row r="7569" spans="9:13" x14ac:dyDescent="0.25">
      <c r="I7569" t="s">
        <v>10662</v>
      </c>
      <c r="J7569" s="161" t="s">
        <v>19202</v>
      </c>
      <c r="K7569" t="s">
        <v>19203</v>
      </c>
      <c r="L7569" t="s">
        <v>10661</v>
      </c>
      <c r="M7569" s="161" t="s">
        <v>19202</v>
      </c>
    </row>
    <row r="7570" spans="9:13" x14ac:dyDescent="0.25">
      <c r="I7570" t="s">
        <v>20259</v>
      </c>
      <c r="J7570" s="161" t="s">
        <v>19202</v>
      </c>
      <c r="K7570" t="s">
        <v>19203</v>
      </c>
      <c r="L7570" t="s">
        <v>20260</v>
      </c>
      <c r="M7570" s="161" t="s">
        <v>19202</v>
      </c>
    </row>
    <row r="7571" spans="9:13" x14ac:dyDescent="0.25">
      <c r="I7571" t="s">
        <v>14361</v>
      </c>
      <c r="J7571" s="161" t="s">
        <v>19202</v>
      </c>
      <c r="K7571" t="s">
        <v>19203</v>
      </c>
      <c r="L7571" t="s">
        <v>14360</v>
      </c>
      <c r="M7571" s="161" t="s">
        <v>19202</v>
      </c>
    </row>
    <row r="7572" spans="9:13" x14ac:dyDescent="0.25">
      <c r="I7572" t="s">
        <v>9348</v>
      </c>
      <c r="J7572" s="161" t="s">
        <v>19202</v>
      </c>
      <c r="K7572" t="s">
        <v>19203</v>
      </c>
      <c r="L7572" t="s">
        <v>9347</v>
      </c>
      <c r="M7572" s="161" t="s">
        <v>19202</v>
      </c>
    </row>
    <row r="7573" spans="9:13" x14ac:dyDescent="0.25">
      <c r="I7573" t="s">
        <v>5679</v>
      </c>
      <c r="J7573" s="161" t="s">
        <v>19202</v>
      </c>
      <c r="K7573" t="s">
        <v>19203</v>
      </c>
      <c r="L7573" t="s">
        <v>5678</v>
      </c>
      <c r="M7573" s="161" t="s">
        <v>19202</v>
      </c>
    </row>
    <row r="7574" spans="9:13" x14ac:dyDescent="0.25">
      <c r="I7574" t="s">
        <v>9701</v>
      </c>
      <c r="J7574" s="161" t="s">
        <v>19202</v>
      </c>
      <c r="K7574" t="s">
        <v>19203</v>
      </c>
      <c r="L7574" t="s">
        <v>9700</v>
      </c>
      <c r="M7574" s="161" t="s">
        <v>19202</v>
      </c>
    </row>
    <row r="7575" spans="9:13" x14ac:dyDescent="0.25">
      <c r="I7575" t="s">
        <v>16210</v>
      </c>
      <c r="J7575" s="161" t="s">
        <v>19202</v>
      </c>
      <c r="K7575" t="s">
        <v>19203</v>
      </c>
      <c r="L7575" t="s">
        <v>189</v>
      </c>
      <c r="M7575" s="161" t="s">
        <v>19202</v>
      </c>
    </row>
    <row r="7576" spans="9:13" x14ac:dyDescent="0.25">
      <c r="I7576" t="s">
        <v>17156</v>
      </c>
      <c r="J7576" s="161" t="s">
        <v>19202</v>
      </c>
      <c r="K7576" t="s">
        <v>19203</v>
      </c>
      <c r="L7576" t="s">
        <v>17155</v>
      </c>
      <c r="M7576" s="161" t="s">
        <v>19202</v>
      </c>
    </row>
    <row r="7577" spans="9:13" x14ac:dyDescent="0.25">
      <c r="I7577" t="s">
        <v>8186</v>
      </c>
      <c r="J7577" s="161" t="s">
        <v>19202</v>
      </c>
      <c r="K7577" t="s">
        <v>19203</v>
      </c>
      <c r="L7577" t="s">
        <v>8185</v>
      </c>
      <c r="M7577" s="161" t="s">
        <v>19202</v>
      </c>
    </row>
    <row r="7578" spans="9:13" x14ac:dyDescent="0.25">
      <c r="I7578" t="s">
        <v>13995</v>
      </c>
      <c r="J7578" s="161" t="s">
        <v>19202</v>
      </c>
      <c r="K7578" t="s">
        <v>19203</v>
      </c>
      <c r="L7578" t="s">
        <v>13994</v>
      </c>
      <c r="M7578" s="161" t="s">
        <v>19202</v>
      </c>
    </row>
    <row r="7579" spans="9:13" x14ac:dyDescent="0.25">
      <c r="I7579" t="s">
        <v>16036</v>
      </c>
      <c r="J7579" s="161" t="s">
        <v>19202</v>
      </c>
      <c r="K7579" t="s">
        <v>19203</v>
      </c>
      <c r="L7579" t="s">
        <v>16035</v>
      </c>
      <c r="M7579" s="161" t="s">
        <v>19202</v>
      </c>
    </row>
    <row r="7580" spans="9:13" x14ac:dyDescent="0.25">
      <c r="I7580" t="s">
        <v>20261</v>
      </c>
      <c r="J7580" s="161" t="s">
        <v>19202</v>
      </c>
      <c r="K7580" t="s">
        <v>19203</v>
      </c>
      <c r="L7580" t="s">
        <v>20262</v>
      </c>
      <c r="M7580" s="161" t="s">
        <v>19202</v>
      </c>
    </row>
    <row r="7581" spans="9:13" x14ac:dyDescent="0.25">
      <c r="I7581" t="s">
        <v>20263</v>
      </c>
      <c r="J7581" s="161" t="s">
        <v>19202</v>
      </c>
      <c r="K7581" t="s">
        <v>19203</v>
      </c>
      <c r="L7581" t="s">
        <v>4274</v>
      </c>
      <c r="M7581" s="161" t="s">
        <v>19202</v>
      </c>
    </row>
    <row r="7582" spans="9:13" x14ac:dyDescent="0.25">
      <c r="I7582" t="s">
        <v>11267</v>
      </c>
      <c r="J7582" s="161" t="s">
        <v>19202</v>
      </c>
      <c r="K7582" t="s">
        <v>19203</v>
      </c>
      <c r="L7582" t="s">
        <v>11266</v>
      </c>
      <c r="M7582" s="161" t="s">
        <v>19202</v>
      </c>
    </row>
    <row r="7583" spans="9:13" x14ac:dyDescent="0.25">
      <c r="I7583" t="s">
        <v>9356</v>
      </c>
      <c r="J7583" s="161" t="s">
        <v>19202</v>
      </c>
      <c r="K7583" t="s">
        <v>19203</v>
      </c>
      <c r="L7583" t="s">
        <v>9355</v>
      </c>
      <c r="M7583" s="161" t="s">
        <v>19202</v>
      </c>
    </row>
    <row r="7584" spans="9:13" x14ac:dyDescent="0.25">
      <c r="I7584" t="s">
        <v>9931</v>
      </c>
      <c r="J7584" s="161" t="s">
        <v>19202</v>
      </c>
      <c r="K7584" t="s">
        <v>19203</v>
      </c>
      <c r="L7584" t="s">
        <v>9930</v>
      </c>
      <c r="M7584" s="161" t="s">
        <v>19202</v>
      </c>
    </row>
    <row r="7585" spans="9:13" x14ac:dyDescent="0.25">
      <c r="I7585" t="s">
        <v>9645</v>
      </c>
      <c r="J7585" s="161" t="s">
        <v>19202</v>
      </c>
      <c r="K7585" t="s">
        <v>19203</v>
      </c>
      <c r="L7585" t="s">
        <v>9644</v>
      </c>
      <c r="M7585" s="161" t="s">
        <v>19202</v>
      </c>
    </row>
    <row r="7586" spans="9:13" x14ac:dyDescent="0.25">
      <c r="I7586" t="s">
        <v>6364</v>
      </c>
      <c r="J7586" s="161" t="s">
        <v>19202</v>
      </c>
      <c r="K7586" t="s">
        <v>19203</v>
      </c>
      <c r="L7586" t="s">
        <v>6363</v>
      </c>
      <c r="M7586" s="161" t="s">
        <v>19202</v>
      </c>
    </row>
    <row r="7587" spans="9:13" x14ac:dyDescent="0.25">
      <c r="I7587" t="s">
        <v>8702</v>
      </c>
      <c r="J7587" s="161" t="s">
        <v>19202</v>
      </c>
      <c r="K7587" t="s">
        <v>19203</v>
      </c>
      <c r="L7587" t="s">
        <v>8701</v>
      </c>
      <c r="M7587" s="161" t="s">
        <v>19202</v>
      </c>
    </row>
    <row r="7588" spans="9:13" x14ac:dyDescent="0.25">
      <c r="I7588" t="s">
        <v>3614</v>
      </c>
      <c r="J7588" s="161" t="s">
        <v>19202</v>
      </c>
      <c r="K7588" t="s">
        <v>19203</v>
      </c>
      <c r="L7588" t="s">
        <v>3613</v>
      </c>
      <c r="M7588" s="161" t="s">
        <v>19202</v>
      </c>
    </row>
    <row r="7589" spans="9:13" x14ac:dyDescent="0.25">
      <c r="I7589" t="s">
        <v>5304</v>
      </c>
      <c r="J7589" s="161" t="s">
        <v>19202</v>
      </c>
      <c r="K7589" t="s">
        <v>19203</v>
      </c>
      <c r="L7589" t="s">
        <v>5303</v>
      </c>
      <c r="M7589" s="161" t="s">
        <v>19202</v>
      </c>
    </row>
    <row r="7590" spans="9:13" x14ac:dyDescent="0.25">
      <c r="I7590" t="s">
        <v>4606</v>
      </c>
      <c r="J7590" s="161" t="s">
        <v>19202</v>
      </c>
      <c r="K7590" t="s">
        <v>19203</v>
      </c>
      <c r="L7590" t="s">
        <v>4375</v>
      </c>
      <c r="M7590" s="161" t="s">
        <v>19202</v>
      </c>
    </row>
    <row r="7591" spans="9:13" x14ac:dyDescent="0.25">
      <c r="I7591" t="s">
        <v>14275</v>
      </c>
      <c r="J7591" s="167" t="s">
        <v>19994</v>
      </c>
      <c r="K7591" t="s">
        <v>19203</v>
      </c>
      <c r="L7591" t="s">
        <v>14274</v>
      </c>
      <c r="M7591" s="167" t="s">
        <v>19994</v>
      </c>
    </row>
    <row r="7592" spans="9:13" x14ac:dyDescent="0.25">
      <c r="I7592" t="s">
        <v>15655</v>
      </c>
      <c r="J7592" s="161" t="s">
        <v>19202</v>
      </c>
      <c r="K7592" t="s">
        <v>19203</v>
      </c>
      <c r="L7592" t="s">
        <v>15654</v>
      </c>
      <c r="M7592" s="161" t="s">
        <v>19202</v>
      </c>
    </row>
    <row r="7593" spans="9:13" x14ac:dyDescent="0.25">
      <c r="I7593" t="s">
        <v>15707</v>
      </c>
      <c r="J7593" s="161" t="s">
        <v>19202</v>
      </c>
      <c r="K7593" t="s">
        <v>19203</v>
      </c>
      <c r="L7593" t="s">
        <v>15706</v>
      </c>
      <c r="M7593" s="161" t="s">
        <v>19202</v>
      </c>
    </row>
    <row r="7594" spans="9:13" x14ac:dyDescent="0.25">
      <c r="I7594" t="s">
        <v>15195</v>
      </c>
      <c r="J7594" s="161" t="s">
        <v>19202</v>
      </c>
      <c r="K7594" t="s">
        <v>19203</v>
      </c>
      <c r="L7594" t="s">
        <v>20264</v>
      </c>
      <c r="M7594" s="161" t="s">
        <v>19202</v>
      </c>
    </row>
    <row r="7595" spans="9:13" x14ac:dyDescent="0.25">
      <c r="I7595" t="s">
        <v>16867</v>
      </c>
      <c r="J7595" s="161" t="s">
        <v>19202</v>
      </c>
      <c r="K7595" t="s">
        <v>19203</v>
      </c>
      <c r="L7595" t="s">
        <v>363</v>
      </c>
      <c r="M7595" s="161" t="s">
        <v>19202</v>
      </c>
    </row>
    <row r="7596" spans="9:13" x14ac:dyDescent="0.25">
      <c r="I7596" t="s">
        <v>6416</v>
      </c>
      <c r="J7596" s="161" t="s">
        <v>19202</v>
      </c>
      <c r="K7596" t="s">
        <v>19203</v>
      </c>
      <c r="L7596" t="s">
        <v>6415</v>
      </c>
      <c r="M7596" s="161" t="s">
        <v>19202</v>
      </c>
    </row>
    <row r="7597" spans="9:13" x14ac:dyDescent="0.25">
      <c r="I7597" t="s">
        <v>5844</v>
      </c>
      <c r="J7597" s="161" t="s">
        <v>19202</v>
      </c>
      <c r="K7597" t="s">
        <v>19203</v>
      </c>
      <c r="L7597" t="s">
        <v>5843</v>
      </c>
      <c r="M7597" s="161" t="s">
        <v>19202</v>
      </c>
    </row>
    <row r="7598" spans="9:13" x14ac:dyDescent="0.25">
      <c r="I7598" t="s">
        <v>5177</v>
      </c>
      <c r="J7598" s="161" t="s">
        <v>19202</v>
      </c>
      <c r="K7598" t="s">
        <v>19203</v>
      </c>
      <c r="L7598" t="s">
        <v>5176</v>
      </c>
      <c r="M7598" s="161" t="s">
        <v>19202</v>
      </c>
    </row>
    <row r="7599" spans="9:13" x14ac:dyDescent="0.25">
      <c r="I7599" t="s">
        <v>10508</v>
      </c>
      <c r="J7599" s="161" t="s">
        <v>19202</v>
      </c>
      <c r="K7599" t="s">
        <v>19203</v>
      </c>
      <c r="L7599" t="s">
        <v>10507</v>
      </c>
      <c r="M7599" s="161" t="s">
        <v>19202</v>
      </c>
    </row>
    <row r="7600" spans="9:13" x14ac:dyDescent="0.25">
      <c r="I7600" t="s">
        <v>6248</v>
      </c>
      <c r="J7600" s="161" t="s">
        <v>19994</v>
      </c>
      <c r="K7600" t="s">
        <v>19203</v>
      </c>
      <c r="L7600" t="s">
        <v>6247</v>
      </c>
      <c r="M7600" s="161" t="s">
        <v>19994</v>
      </c>
    </row>
    <row r="7601" spans="9:13" x14ac:dyDescent="0.25">
      <c r="I7601" t="s">
        <v>8279</v>
      </c>
      <c r="J7601" s="161" t="s">
        <v>19202</v>
      </c>
      <c r="K7601" t="s">
        <v>19203</v>
      </c>
      <c r="L7601" t="s">
        <v>8278</v>
      </c>
      <c r="M7601" s="161" t="s">
        <v>19202</v>
      </c>
    </row>
    <row r="7602" spans="9:13" x14ac:dyDescent="0.25">
      <c r="I7602" t="s">
        <v>15166</v>
      </c>
      <c r="J7602" s="161" t="s">
        <v>19202</v>
      </c>
      <c r="K7602" t="s">
        <v>19203</v>
      </c>
      <c r="L7602" t="s">
        <v>331</v>
      </c>
      <c r="M7602" s="161" t="s">
        <v>19202</v>
      </c>
    </row>
    <row r="7603" spans="9:13" x14ac:dyDescent="0.25">
      <c r="I7603" t="s">
        <v>16866</v>
      </c>
      <c r="J7603" s="161" t="s">
        <v>19202</v>
      </c>
      <c r="K7603" t="s">
        <v>19203</v>
      </c>
      <c r="L7603" t="s">
        <v>1588</v>
      </c>
      <c r="M7603" s="161" t="s">
        <v>19202</v>
      </c>
    </row>
    <row r="7604" spans="9:13" x14ac:dyDescent="0.25">
      <c r="I7604" t="s">
        <v>20265</v>
      </c>
      <c r="J7604" s="161" t="s">
        <v>19202</v>
      </c>
      <c r="K7604" t="s">
        <v>19203</v>
      </c>
      <c r="L7604" t="s">
        <v>20266</v>
      </c>
      <c r="M7604" s="161" t="s">
        <v>19202</v>
      </c>
    </row>
    <row r="7605" spans="9:13" x14ac:dyDescent="0.25">
      <c r="I7605" t="s">
        <v>2585</v>
      </c>
      <c r="J7605" s="161" t="s">
        <v>19202</v>
      </c>
      <c r="K7605" t="s">
        <v>19203</v>
      </c>
      <c r="L7605" t="s">
        <v>2584</v>
      </c>
      <c r="M7605" s="161" t="s">
        <v>19202</v>
      </c>
    </row>
    <row r="7606" spans="9:13" x14ac:dyDescent="0.25">
      <c r="I7606" t="s">
        <v>10890</v>
      </c>
      <c r="J7606" s="161" t="s">
        <v>19202</v>
      </c>
      <c r="K7606" t="s">
        <v>19203</v>
      </c>
      <c r="L7606" t="s">
        <v>10889</v>
      </c>
      <c r="M7606" s="161" t="s">
        <v>19202</v>
      </c>
    </row>
    <row r="7607" spans="9:13" x14ac:dyDescent="0.25">
      <c r="I7607" t="s">
        <v>7511</v>
      </c>
      <c r="J7607" s="161" t="s">
        <v>19202</v>
      </c>
      <c r="K7607" t="s">
        <v>19203</v>
      </c>
      <c r="L7607" t="s">
        <v>7510</v>
      </c>
      <c r="M7607" s="161" t="s">
        <v>19202</v>
      </c>
    </row>
    <row r="7608" spans="9:13" x14ac:dyDescent="0.25">
      <c r="I7608" t="s">
        <v>7851</v>
      </c>
      <c r="J7608" s="161" t="s">
        <v>19202</v>
      </c>
      <c r="K7608" t="s">
        <v>19203</v>
      </c>
      <c r="L7608" t="s">
        <v>7850</v>
      </c>
      <c r="M7608" s="161" t="s">
        <v>19202</v>
      </c>
    </row>
    <row r="7609" spans="9:13" x14ac:dyDescent="0.25">
      <c r="I7609" t="s">
        <v>16212</v>
      </c>
      <c r="J7609" s="161" t="s">
        <v>19202</v>
      </c>
      <c r="K7609" t="s">
        <v>19203</v>
      </c>
      <c r="L7609" t="s">
        <v>16211</v>
      </c>
      <c r="M7609" s="161" t="s">
        <v>19202</v>
      </c>
    </row>
    <row r="7610" spans="9:13" x14ac:dyDescent="0.25">
      <c r="I7610" t="s">
        <v>12603</v>
      </c>
      <c r="J7610" s="161" t="s">
        <v>19202</v>
      </c>
      <c r="K7610" t="s">
        <v>19203</v>
      </c>
      <c r="L7610" t="s">
        <v>12602</v>
      </c>
      <c r="M7610" s="161" t="s">
        <v>19202</v>
      </c>
    </row>
    <row r="7611" spans="9:13" x14ac:dyDescent="0.25">
      <c r="I7611" t="s">
        <v>2304</v>
      </c>
      <c r="J7611" s="161" t="s">
        <v>19202</v>
      </c>
      <c r="K7611" t="s">
        <v>19203</v>
      </c>
      <c r="L7611" t="s">
        <v>2303</v>
      </c>
      <c r="M7611" s="161" t="s">
        <v>19202</v>
      </c>
    </row>
    <row r="7612" spans="9:13" x14ac:dyDescent="0.25">
      <c r="I7612" t="s">
        <v>15165</v>
      </c>
      <c r="J7612" s="161" t="s">
        <v>19202</v>
      </c>
      <c r="K7612" t="s">
        <v>19203</v>
      </c>
      <c r="L7612" t="s">
        <v>15164</v>
      </c>
      <c r="M7612" s="161" t="s">
        <v>19202</v>
      </c>
    </row>
    <row r="7613" spans="9:13" x14ac:dyDescent="0.25">
      <c r="I7613" t="s">
        <v>9016</v>
      </c>
      <c r="J7613" s="161" t="s">
        <v>19202</v>
      </c>
      <c r="K7613" t="s">
        <v>19203</v>
      </c>
      <c r="L7613" t="s">
        <v>9015</v>
      </c>
      <c r="M7613" s="161" t="s">
        <v>19202</v>
      </c>
    </row>
    <row r="7614" spans="9:13" x14ac:dyDescent="0.25">
      <c r="I7614" t="s">
        <v>12601</v>
      </c>
      <c r="J7614" s="161" t="s">
        <v>19202</v>
      </c>
      <c r="K7614" t="s">
        <v>19203</v>
      </c>
      <c r="L7614" t="s">
        <v>12600</v>
      </c>
      <c r="M7614" s="161" t="s">
        <v>19202</v>
      </c>
    </row>
    <row r="7615" spans="9:13" x14ac:dyDescent="0.25">
      <c r="I7615" t="s">
        <v>8336</v>
      </c>
      <c r="J7615" s="161" t="s">
        <v>19202</v>
      </c>
      <c r="K7615" t="s">
        <v>19203</v>
      </c>
      <c r="L7615" t="s">
        <v>8335</v>
      </c>
      <c r="M7615" s="161" t="s">
        <v>19202</v>
      </c>
    </row>
    <row r="7616" spans="9:13" x14ac:dyDescent="0.25">
      <c r="I7616" t="s">
        <v>16574</v>
      </c>
      <c r="J7616" s="161" t="s">
        <v>19202</v>
      </c>
      <c r="K7616" t="s">
        <v>19203</v>
      </c>
      <c r="L7616" t="s">
        <v>16573</v>
      </c>
      <c r="M7616" s="161" t="s">
        <v>19202</v>
      </c>
    </row>
    <row r="7617" spans="9:13" x14ac:dyDescent="0.25">
      <c r="I7617" t="s">
        <v>13475</v>
      </c>
      <c r="J7617" s="161" t="s">
        <v>19202</v>
      </c>
      <c r="K7617" t="s">
        <v>19203</v>
      </c>
      <c r="L7617" t="s">
        <v>475</v>
      </c>
      <c r="M7617" s="161" t="s">
        <v>19202</v>
      </c>
    </row>
    <row r="7618" spans="9:13" x14ac:dyDescent="0.25">
      <c r="I7618" t="s">
        <v>4027</v>
      </c>
      <c r="J7618" s="161" t="s">
        <v>19202</v>
      </c>
      <c r="K7618" t="s">
        <v>19203</v>
      </c>
      <c r="L7618" t="s">
        <v>261</v>
      </c>
      <c r="M7618" s="161" t="s">
        <v>19202</v>
      </c>
    </row>
    <row r="7619" spans="9:13" x14ac:dyDescent="0.25">
      <c r="I7619" t="s">
        <v>3653</v>
      </c>
      <c r="J7619" s="161" t="s">
        <v>19202</v>
      </c>
      <c r="K7619" t="s">
        <v>19203</v>
      </c>
      <c r="L7619" t="s">
        <v>3652</v>
      </c>
      <c r="M7619" s="161" t="s">
        <v>19202</v>
      </c>
    </row>
    <row r="7620" spans="9:13" x14ac:dyDescent="0.25">
      <c r="I7620" t="s">
        <v>3815</v>
      </c>
      <c r="J7620" s="161" t="s">
        <v>19202</v>
      </c>
      <c r="K7620" t="s">
        <v>19203</v>
      </c>
      <c r="L7620" t="s">
        <v>3814</v>
      </c>
      <c r="M7620" s="161" t="s">
        <v>19202</v>
      </c>
    </row>
    <row r="7621" spans="9:13" x14ac:dyDescent="0.25">
      <c r="I7621" t="s">
        <v>11504</v>
      </c>
      <c r="J7621" s="161" t="s">
        <v>19202</v>
      </c>
      <c r="K7621" t="s">
        <v>19203</v>
      </c>
      <c r="L7621" t="s">
        <v>11503</v>
      </c>
      <c r="M7621" s="161" t="s">
        <v>19202</v>
      </c>
    </row>
    <row r="7622" spans="9:13" x14ac:dyDescent="0.25">
      <c r="I7622" t="s">
        <v>15587</v>
      </c>
      <c r="J7622" s="161" t="s">
        <v>19202</v>
      </c>
      <c r="K7622" t="s">
        <v>19203</v>
      </c>
      <c r="L7622" t="s">
        <v>15586</v>
      </c>
      <c r="M7622" s="161" t="s">
        <v>19202</v>
      </c>
    </row>
    <row r="7623" spans="9:13" x14ac:dyDescent="0.25">
      <c r="I7623" t="s">
        <v>17870</v>
      </c>
      <c r="J7623" s="167" t="s">
        <v>19994</v>
      </c>
      <c r="K7623" t="s">
        <v>19203</v>
      </c>
      <c r="L7623" t="s">
        <v>724</v>
      </c>
      <c r="M7623" s="167" t="s">
        <v>19994</v>
      </c>
    </row>
    <row r="7624" spans="9:13" x14ac:dyDescent="0.25">
      <c r="I7624" t="s">
        <v>16800</v>
      </c>
      <c r="J7624" s="161" t="s">
        <v>19202</v>
      </c>
      <c r="K7624" t="s">
        <v>19203</v>
      </c>
      <c r="L7624" t="s">
        <v>16799</v>
      </c>
      <c r="M7624" s="161" t="s">
        <v>19202</v>
      </c>
    </row>
    <row r="7625" spans="9:13" x14ac:dyDescent="0.25">
      <c r="I7625" t="s">
        <v>9022</v>
      </c>
      <c r="J7625" s="161" t="s">
        <v>19202</v>
      </c>
      <c r="K7625" t="s">
        <v>19203</v>
      </c>
      <c r="L7625" t="s">
        <v>9021</v>
      </c>
      <c r="M7625" s="161" t="s">
        <v>19202</v>
      </c>
    </row>
    <row r="7626" spans="9:13" x14ac:dyDescent="0.25">
      <c r="I7626" t="s">
        <v>6413</v>
      </c>
      <c r="J7626" s="161" t="s">
        <v>19202</v>
      </c>
      <c r="K7626" t="s">
        <v>19203</v>
      </c>
      <c r="L7626" t="s">
        <v>3686</v>
      </c>
      <c r="M7626" s="161" t="s">
        <v>19202</v>
      </c>
    </row>
    <row r="7627" spans="9:13" x14ac:dyDescent="0.25">
      <c r="I7627" t="s">
        <v>9404</v>
      </c>
      <c r="J7627" s="161" t="s">
        <v>19202</v>
      </c>
      <c r="K7627" t="s">
        <v>19203</v>
      </c>
      <c r="L7627" t="s">
        <v>9403</v>
      </c>
      <c r="M7627" s="161" t="s">
        <v>19202</v>
      </c>
    </row>
    <row r="7628" spans="9:13" x14ac:dyDescent="0.25">
      <c r="I7628" t="s">
        <v>9402</v>
      </c>
      <c r="J7628" s="161" t="s">
        <v>19202</v>
      </c>
      <c r="K7628" t="s">
        <v>19203</v>
      </c>
      <c r="L7628" t="s">
        <v>9401</v>
      </c>
      <c r="M7628" s="161" t="s">
        <v>19202</v>
      </c>
    </row>
    <row r="7629" spans="9:13" x14ac:dyDescent="0.25">
      <c r="I7629" t="s">
        <v>15041</v>
      </c>
      <c r="J7629" s="161" t="s">
        <v>19202</v>
      </c>
      <c r="K7629" t="s">
        <v>19203</v>
      </c>
      <c r="L7629" t="s">
        <v>15040</v>
      </c>
      <c r="M7629" s="161" t="s">
        <v>19202</v>
      </c>
    </row>
    <row r="7630" spans="9:13" x14ac:dyDescent="0.25">
      <c r="I7630" t="s">
        <v>7374</v>
      </c>
      <c r="J7630" s="161" t="s">
        <v>19202</v>
      </c>
      <c r="K7630" t="s">
        <v>19203</v>
      </c>
      <c r="L7630" t="s">
        <v>7373</v>
      </c>
      <c r="M7630" s="161" t="s">
        <v>19202</v>
      </c>
    </row>
    <row r="7631" spans="9:13" x14ac:dyDescent="0.25">
      <c r="I7631" t="s">
        <v>13611</v>
      </c>
      <c r="J7631" s="161" t="s">
        <v>19202</v>
      </c>
      <c r="K7631" t="s">
        <v>19203</v>
      </c>
      <c r="L7631" t="s">
        <v>6787</v>
      </c>
      <c r="M7631" s="161" t="s">
        <v>19202</v>
      </c>
    </row>
    <row r="7632" spans="9:13" x14ac:dyDescent="0.25">
      <c r="I7632" t="s">
        <v>20267</v>
      </c>
      <c r="J7632" s="161" t="s">
        <v>19202</v>
      </c>
      <c r="K7632" t="s">
        <v>19203</v>
      </c>
      <c r="L7632" t="s">
        <v>20268</v>
      </c>
      <c r="M7632" s="161" t="s">
        <v>19202</v>
      </c>
    </row>
    <row r="7633" spans="9:13" x14ac:dyDescent="0.25">
      <c r="I7633" t="s">
        <v>11263</v>
      </c>
      <c r="J7633" s="161" t="s">
        <v>19202</v>
      </c>
      <c r="K7633" t="s">
        <v>19203</v>
      </c>
      <c r="L7633" t="s">
        <v>11262</v>
      </c>
      <c r="M7633" s="161" t="s">
        <v>19202</v>
      </c>
    </row>
    <row r="7634" spans="9:13" x14ac:dyDescent="0.25">
      <c r="I7634" t="s">
        <v>3574</v>
      </c>
      <c r="J7634" s="161" t="s">
        <v>19202</v>
      </c>
      <c r="K7634" t="s">
        <v>19203</v>
      </c>
      <c r="L7634" t="s">
        <v>3573</v>
      </c>
      <c r="M7634" s="161" t="s">
        <v>19202</v>
      </c>
    </row>
    <row r="7635" spans="9:13" x14ac:dyDescent="0.25">
      <c r="I7635" t="s">
        <v>16136</v>
      </c>
      <c r="J7635" s="161" t="s">
        <v>19202</v>
      </c>
      <c r="K7635" t="s">
        <v>19203</v>
      </c>
      <c r="L7635" t="s">
        <v>15026</v>
      </c>
      <c r="M7635" s="161" t="s">
        <v>19202</v>
      </c>
    </row>
    <row r="7636" spans="9:13" x14ac:dyDescent="0.25">
      <c r="I7636" t="s">
        <v>10696</v>
      </c>
      <c r="J7636" s="161" t="s">
        <v>19202</v>
      </c>
      <c r="K7636" t="s">
        <v>19203</v>
      </c>
      <c r="L7636" t="s">
        <v>10695</v>
      </c>
      <c r="M7636" s="161" t="s">
        <v>19202</v>
      </c>
    </row>
    <row r="7637" spans="9:13" x14ac:dyDescent="0.25">
      <c r="I7637" t="s">
        <v>6591</v>
      </c>
      <c r="J7637" s="161" t="s">
        <v>19202</v>
      </c>
      <c r="K7637" t="s">
        <v>19203</v>
      </c>
      <c r="L7637" t="s">
        <v>6227</v>
      </c>
      <c r="M7637" s="161" t="s">
        <v>19202</v>
      </c>
    </row>
    <row r="7638" spans="9:13" x14ac:dyDescent="0.25">
      <c r="I7638" t="s">
        <v>13874</v>
      </c>
      <c r="J7638" s="161" t="s">
        <v>19202</v>
      </c>
      <c r="K7638" t="s">
        <v>19203</v>
      </c>
      <c r="L7638" t="s">
        <v>13873</v>
      </c>
      <c r="M7638" s="161" t="s">
        <v>19202</v>
      </c>
    </row>
    <row r="7639" spans="9:13" x14ac:dyDescent="0.25">
      <c r="I7639" t="s">
        <v>5096</v>
      </c>
      <c r="J7639" s="161" t="s">
        <v>19202</v>
      </c>
      <c r="K7639" t="s">
        <v>19203</v>
      </c>
      <c r="L7639" t="s">
        <v>5095</v>
      </c>
      <c r="M7639" s="161" t="s">
        <v>19202</v>
      </c>
    </row>
    <row r="7640" spans="9:13" x14ac:dyDescent="0.25">
      <c r="I7640" t="s">
        <v>3024</v>
      </c>
      <c r="J7640" s="161" t="s">
        <v>19202</v>
      </c>
      <c r="K7640" t="s">
        <v>19203</v>
      </c>
      <c r="L7640" t="s">
        <v>3023</v>
      </c>
      <c r="M7640" s="161" t="s">
        <v>19202</v>
      </c>
    </row>
    <row r="7641" spans="9:13" x14ac:dyDescent="0.25">
      <c r="I7641" t="s">
        <v>6420</v>
      </c>
      <c r="J7641" s="161" t="s">
        <v>19202</v>
      </c>
      <c r="K7641" t="s">
        <v>19203</v>
      </c>
      <c r="L7641" t="s">
        <v>6419</v>
      </c>
      <c r="M7641" s="161" t="s">
        <v>19202</v>
      </c>
    </row>
    <row r="7642" spans="9:13" x14ac:dyDescent="0.25">
      <c r="I7642" t="s">
        <v>9927</v>
      </c>
      <c r="J7642" s="161" t="s">
        <v>19202</v>
      </c>
      <c r="K7642" t="s">
        <v>19203</v>
      </c>
      <c r="L7642" t="s">
        <v>9926</v>
      </c>
      <c r="M7642" s="161" t="s">
        <v>19202</v>
      </c>
    </row>
    <row r="7643" spans="9:13" x14ac:dyDescent="0.25">
      <c r="I7643" t="s">
        <v>6901</v>
      </c>
      <c r="J7643" s="161" t="s">
        <v>19202</v>
      </c>
      <c r="K7643" t="s">
        <v>19203</v>
      </c>
      <c r="L7643" t="s">
        <v>6900</v>
      </c>
      <c r="M7643" s="161" t="s">
        <v>19202</v>
      </c>
    </row>
    <row r="7644" spans="9:13" x14ac:dyDescent="0.25">
      <c r="I7644" t="s">
        <v>20269</v>
      </c>
      <c r="J7644" s="167" t="s">
        <v>19994</v>
      </c>
      <c r="K7644" t="s">
        <v>19203</v>
      </c>
      <c r="L7644" t="s">
        <v>3862</v>
      </c>
      <c r="M7644" s="167" t="s">
        <v>19994</v>
      </c>
    </row>
    <row r="7645" spans="9:13" x14ac:dyDescent="0.25">
      <c r="I7645" t="s">
        <v>9840</v>
      </c>
      <c r="J7645" s="161" t="s">
        <v>19202</v>
      </c>
      <c r="K7645" t="s">
        <v>19203</v>
      </c>
      <c r="L7645" t="s">
        <v>9839</v>
      </c>
      <c r="M7645" s="161" t="s">
        <v>19202</v>
      </c>
    </row>
    <row r="7646" spans="9:13" x14ac:dyDescent="0.25">
      <c r="I7646" t="s">
        <v>8182</v>
      </c>
      <c r="J7646" s="161" t="s">
        <v>19202</v>
      </c>
      <c r="K7646" t="s">
        <v>19203</v>
      </c>
      <c r="L7646" t="s">
        <v>8181</v>
      </c>
      <c r="M7646" s="161" t="s">
        <v>19202</v>
      </c>
    </row>
    <row r="7647" spans="9:13" x14ac:dyDescent="0.25">
      <c r="I7647" t="s">
        <v>6590</v>
      </c>
      <c r="J7647" s="161" t="s">
        <v>19202</v>
      </c>
      <c r="K7647" t="s">
        <v>19203</v>
      </c>
      <c r="L7647" t="s">
        <v>6589</v>
      </c>
      <c r="M7647" s="161" t="s">
        <v>19202</v>
      </c>
    </row>
    <row r="7648" spans="9:13" x14ac:dyDescent="0.25">
      <c r="I7648" t="s">
        <v>6305</v>
      </c>
      <c r="J7648" s="161" t="s">
        <v>19202</v>
      </c>
      <c r="K7648" t="s">
        <v>19203</v>
      </c>
      <c r="L7648" t="s">
        <v>6304</v>
      </c>
      <c r="M7648" s="161" t="s">
        <v>19202</v>
      </c>
    </row>
    <row r="7649" spans="9:13" x14ac:dyDescent="0.25">
      <c r="I7649" t="s">
        <v>15471</v>
      </c>
      <c r="J7649" s="161" t="s">
        <v>19202</v>
      </c>
      <c r="K7649" t="s">
        <v>19203</v>
      </c>
      <c r="L7649" t="s">
        <v>15470</v>
      </c>
      <c r="M7649" s="161" t="s">
        <v>19202</v>
      </c>
    </row>
    <row r="7650" spans="9:13" x14ac:dyDescent="0.25">
      <c r="I7650" t="s">
        <v>6008</v>
      </c>
      <c r="J7650" s="161" t="s">
        <v>19202</v>
      </c>
      <c r="K7650" t="s">
        <v>19203</v>
      </c>
      <c r="L7650" t="s">
        <v>6007</v>
      </c>
      <c r="M7650" s="161" t="s">
        <v>19202</v>
      </c>
    </row>
    <row r="7651" spans="9:13" x14ac:dyDescent="0.25">
      <c r="I7651" t="s">
        <v>10273</v>
      </c>
      <c r="J7651" s="161" t="s">
        <v>19202</v>
      </c>
      <c r="K7651" t="s">
        <v>19203</v>
      </c>
      <c r="L7651" t="s">
        <v>10272</v>
      </c>
      <c r="M7651" s="161" t="s">
        <v>19202</v>
      </c>
    </row>
    <row r="7652" spans="9:13" x14ac:dyDescent="0.25">
      <c r="I7652" t="s">
        <v>9226</v>
      </c>
      <c r="J7652" s="161" t="s">
        <v>19202</v>
      </c>
      <c r="K7652" t="s">
        <v>19203</v>
      </c>
      <c r="L7652" t="s">
        <v>9225</v>
      </c>
      <c r="M7652" s="161" t="s">
        <v>19202</v>
      </c>
    </row>
    <row r="7653" spans="9:13" x14ac:dyDescent="0.25">
      <c r="I7653" t="s">
        <v>15815</v>
      </c>
      <c r="J7653" s="161" t="s">
        <v>19202</v>
      </c>
      <c r="K7653" t="s">
        <v>19203</v>
      </c>
      <c r="L7653" t="s">
        <v>15814</v>
      </c>
      <c r="M7653" s="161" t="s">
        <v>19202</v>
      </c>
    </row>
    <row r="7654" spans="9:13" x14ac:dyDescent="0.25">
      <c r="I7654" t="s">
        <v>6042</v>
      </c>
      <c r="J7654" s="161" t="s">
        <v>19202</v>
      </c>
      <c r="K7654" t="s">
        <v>19203</v>
      </c>
      <c r="L7654" t="s">
        <v>6041</v>
      </c>
      <c r="M7654" s="161" t="s">
        <v>19202</v>
      </c>
    </row>
    <row r="7655" spans="9:13" x14ac:dyDescent="0.25">
      <c r="I7655" t="s">
        <v>6683</v>
      </c>
      <c r="J7655" s="161" t="s">
        <v>19202</v>
      </c>
      <c r="K7655" t="s">
        <v>19203</v>
      </c>
      <c r="L7655" t="s">
        <v>6378</v>
      </c>
      <c r="M7655" s="161" t="s">
        <v>19202</v>
      </c>
    </row>
    <row r="7656" spans="9:13" x14ac:dyDescent="0.25">
      <c r="I7656" t="s">
        <v>4380</v>
      </c>
      <c r="J7656" s="161" t="s">
        <v>19202</v>
      </c>
      <c r="K7656" t="s">
        <v>19203</v>
      </c>
      <c r="L7656" t="s">
        <v>4379</v>
      </c>
      <c r="M7656" s="161" t="s">
        <v>19202</v>
      </c>
    </row>
    <row r="7657" spans="9:13" x14ac:dyDescent="0.25">
      <c r="I7657" t="s">
        <v>20270</v>
      </c>
      <c r="J7657" s="161" t="s">
        <v>19202</v>
      </c>
      <c r="K7657" t="s">
        <v>19203</v>
      </c>
      <c r="L7657" t="s">
        <v>16766</v>
      </c>
      <c r="M7657" s="161" t="s">
        <v>19202</v>
      </c>
    </row>
    <row r="7658" spans="9:13" x14ac:dyDescent="0.25">
      <c r="I7658" t="s">
        <v>1050</v>
      </c>
      <c r="J7658" s="161" t="s">
        <v>19202</v>
      </c>
      <c r="K7658" t="s">
        <v>19203</v>
      </c>
      <c r="L7658" t="s">
        <v>1049</v>
      </c>
      <c r="M7658" s="161" t="s">
        <v>19202</v>
      </c>
    </row>
    <row r="7659" spans="9:13" x14ac:dyDescent="0.25">
      <c r="I7659" t="s">
        <v>20271</v>
      </c>
      <c r="J7659" s="161" t="s">
        <v>19202</v>
      </c>
      <c r="K7659" t="s">
        <v>19203</v>
      </c>
      <c r="L7659" t="s">
        <v>20272</v>
      </c>
      <c r="M7659" s="161" t="s">
        <v>19202</v>
      </c>
    </row>
    <row r="7660" spans="9:13" x14ac:dyDescent="0.25">
      <c r="I7660" t="s">
        <v>9020</v>
      </c>
      <c r="J7660" s="161" t="s">
        <v>19202</v>
      </c>
      <c r="K7660" t="s">
        <v>19203</v>
      </c>
      <c r="L7660" t="s">
        <v>9019</v>
      </c>
      <c r="M7660" s="161" t="s">
        <v>19202</v>
      </c>
    </row>
    <row r="7661" spans="9:13" x14ac:dyDescent="0.25">
      <c r="I7661" t="s">
        <v>9346</v>
      </c>
      <c r="J7661" s="161" t="s">
        <v>19202</v>
      </c>
      <c r="K7661" t="s">
        <v>19203</v>
      </c>
      <c r="L7661" t="s">
        <v>9345</v>
      </c>
      <c r="M7661" s="161" t="s">
        <v>19202</v>
      </c>
    </row>
    <row r="7662" spans="9:13" x14ac:dyDescent="0.25">
      <c r="I7662" t="s">
        <v>9344</v>
      </c>
      <c r="J7662" s="161" t="s">
        <v>19202</v>
      </c>
      <c r="K7662" t="s">
        <v>19203</v>
      </c>
      <c r="L7662" t="s">
        <v>9343</v>
      </c>
      <c r="M7662" s="161" t="s">
        <v>19202</v>
      </c>
    </row>
    <row r="7663" spans="9:13" x14ac:dyDescent="0.25">
      <c r="I7663" t="s">
        <v>12594</v>
      </c>
      <c r="J7663" s="161" t="s">
        <v>19202</v>
      </c>
      <c r="K7663" t="s">
        <v>19203</v>
      </c>
      <c r="L7663" t="s">
        <v>12593</v>
      </c>
      <c r="M7663" s="161" t="s">
        <v>19202</v>
      </c>
    </row>
    <row r="7664" spans="9:13" x14ac:dyDescent="0.25">
      <c r="I7664" t="s">
        <v>11265</v>
      </c>
      <c r="J7664" s="161" t="s">
        <v>19202</v>
      </c>
      <c r="K7664" t="s">
        <v>19203</v>
      </c>
      <c r="L7664" t="s">
        <v>11264</v>
      </c>
      <c r="M7664" s="161" t="s">
        <v>19202</v>
      </c>
    </row>
    <row r="7665" spans="9:13" x14ac:dyDescent="0.25">
      <c r="I7665" t="s">
        <v>2377</v>
      </c>
      <c r="J7665" s="161" t="s">
        <v>19202</v>
      </c>
      <c r="K7665" t="s">
        <v>19203</v>
      </c>
      <c r="L7665" t="s">
        <v>2376</v>
      </c>
      <c r="M7665" s="161" t="s">
        <v>19202</v>
      </c>
    </row>
    <row r="7666" spans="9:13" x14ac:dyDescent="0.25">
      <c r="I7666" t="s">
        <v>3022</v>
      </c>
      <c r="J7666" s="161" t="s">
        <v>19202</v>
      </c>
      <c r="K7666" t="s">
        <v>19203</v>
      </c>
      <c r="L7666" t="s">
        <v>3021</v>
      </c>
      <c r="M7666" s="161" t="s">
        <v>19202</v>
      </c>
    </row>
    <row r="7667" spans="9:13" x14ac:dyDescent="0.25">
      <c r="I7667" t="s">
        <v>4354</v>
      </c>
      <c r="J7667" s="161" t="s">
        <v>19202</v>
      </c>
      <c r="K7667" t="s">
        <v>19203</v>
      </c>
      <c r="L7667" t="s">
        <v>4353</v>
      </c>
      <c r="M7667" s="161" t="s">
        <v>19202</v>
      </c>
    </row>
    <row r="7668" spans="9:13" x14ac:dyDescent="0.25">
      <c r="I7668" t="s">
        <v>9929</v>
      </c>
      <c r="J7668" s="161" t="s">
        <v>19202</v>
      </c>
      <c r="K7668" t="s">
        <v>19203</v>
      </c>
      <c r="L7668" t="s">
        <v>9928</v>
      </c>
      <c r="M7668" s="161" t="s">
        <v>19202</v>
      </c>
    </row>
    <row r="7669" spans="9:13" x14ac:dyDescent="0.25">
      <c r="I7669" t="s">
        <v>464</v>
      </c>
      <c r="J7669" s="161" t="s">
        <v>19202</v>
      </c>
      <c r="K7669" t="s">
        <v>19203</v>
      </c>
      <c r="L7669" t="s">
        <v>463</v>
      </c>
      <c r="M7669" s="161" t="s">
        <v>19202</v>
      </c>
    </row>
    <row r="7670" spans="9:13" x14ac:dyDescent="0.25">
      <c r="I7670" t="s">
        <v>6813</v>
      </c>
      <c r="J7670" s="161" t="s">
        <v>19202</v>
      </c>
      <c r="K7670" t="s">
        <v>19203</v>
      </c>
      <c r="L7670" t="s">
        <v>6812</v>
      </c>
      <c r="M7670" s="161" t="s">
        <v>19202</v>
      </c>
    </row>
    <row r="7671" spans="9:13" x14ac:dyDescent="0.25">
      <c r="I7671" t="s">
        <v>9868</v>
      </c>
      <c r="J7671" s="161" t="s">
        <v>19202</v>
      </c>
      <c r="K7671" t="s">
        <v>19203</v>
      </c>
      <c r="L7671" t="s">
        <v>9867</v>
      </c>
      <c r="M7671" s="161" t="s">
        <v>19202</v>
      </c>
    </row>
    <row r="7672" spans="9:13" x14ac:dyDescent="0.25">
      <c r="I7672" t="s">
        <v>5908</v>
      </c>
      <c r="J7672" s="161" t="s">
        <v>19202</v>
      </c>
      <c r="K7672" t="s">
        <v>19203</v>
      </c>
      <c r="L7672" t="s">
        <v>5907</v>
      </c>
      <c r="M7672" s="161" t="s">
        <v>19202</v>
      </c>
    </row>
    <row r="7673" spans="9:13" x14ac:dyDescent="0.25">
      <c r="I7673" t="s">
        <v>9014</v>
      </c>
      <c r="J7673" s="161" t="s">
        <v>19202</v>
      </c>
      <c r="K7673" t="s">
        <v>19203</v>
      </c>
      <c r="L7673" t="s">
        <v>9013</v>
      </c>
      <c r="M7673" s="161" t="s">
        <v>19202</v>
      </c>
    </row>
    <row r="7674" spans="9:13" x14ac:dyDescent="0.25">
      <c r="I7674" t="s">
        <v>3521</v>
      </c>
      <c r="J7674" s="161" t="s">
        <v>19202</v>
      </c>
      <c r="K7674" t="s">
        <v>19203</v>
      </c>
      <c r="L7674" t="s">
        <v>3520</v>
      </c>
      <c r="M7674" s="161" t="s">
        <v>19202</v>
      </c>
    </row>
    <row r="7675" spans="9:13" x14ac:dyDescent="0.25">
      <c r="I7675" t="s">
        <v>3809</v>
      </c>
      <c r="J7675" s="161" t="s">
        <v>19202</v>
      </c>
      <c r="K7675" t="s">
        <v>19203</v>
      </c>
      <c r="L7675" t="s">
        <v>3808</v>
      </c>
      <c r="M7675" s="161" t="s">
        <v>19202</v>
      </c>
    </row>
    <row r="7676" spans="9:13" x14ac:dyDescent="0.25">
      <c r="I7676" t="s">
        <v>7887</v>
      </c>
      <c r="J7676" s="161" t="s">
        <v>19202</v>
      </c>
      <c r="K7676" t="s">
        <v>19203</v>
      </c>
      <c r="L7676" t="s">
        <v>7886</v>
      </c>
      <c r="M7676" s="161" t="s">
        <v>19202</v>
      </c>
    </row>
    <row r="7677" spans="9:13" x14ac:dyDescent="0.25">
      <c r="I7677" t="s">
        <v>20273</v>
      </c>
      <c r="J7677" s="161" t="s">
        <v>19202</v>
      </c>
      <c r="K7677" t="s">
        <v>19203</v>
      </c>
      <c r="L7677" t="s">
        <v>4597</v>
      </c>
      <c r="M7677" s="161" t="s">
        <v>19202</v>
      </c>
    </row>
    <row r="7678" spans="9:13" x14ac:dyDescent="0.25">
      <c r="I7678" t="s">
        <v>20274</v>
      </c>
      <c r="J7678" s="161" t="s">
        <v>19202</v>
      </c>
      <c r="K7678" t="s">
        <v>19203</v>
      </c>
      <c r="L7678" t="s">
        <v>928</v>
      </c>
      <c r="M7678" s="161" t="s">
        <v>19202</v>
      </c>
    </row>
    <row r="7679" spans="9:13" x14ac:dyDescent="0.25">
      <c r="I7679" t="s">
        <v>6360</v>
      </c>
      <c r="J7679" s="161" t="s">
        <v>19202</v>
      </c>
      <c r="K7679" t="s">
        <v>19203</v>
      </c>
      <c r="L7679" t="s">
        <v>6359</v>
      </c>
      <c r="M7679" s="161" t="s">
        <v>19202</v>
      </c>
    </row>
    <row r="7680" spans="9:13" x14ac:dyDescent="0.25">
      <c r="I7680" t="s">
        <v>12590</v>
      </c>
      <c r="J7680" s="161" t="s">
        <v>19202</v>
      </c>
      <c r="K7680" t="s">
        <v>19203</v>
      </c>
      <c r="L7680" t="s">
        <v>12589</v>
      </c>
      <c r="M7680" s="161" t="s">
        <v>19202</v>
      </c>
    </row>
    <row r="7681" spans="9:13" x14ac:dyDescent="0.25">
      <c r="I7681" t="s">
        <v>20275</v>
      </c>
      <c r="J7681" s="161" t="s">
        <v>19202</v>
      </c>
      <c r="K7681" t="s">
        <v>19203</v>
      </c>
      <c r="L7681" t="s">
        <v>20276</v>
      </c>
      <c r="M7681" s="161" t="s">
        <v>19202</v>
      </c>
    </row>
    <row r="7682" spans="9:13" x14ac:dyDescent="0.25">
      <c r="I7682" t="s">
        <v>20277</v>
      </c>
      <c r="J7682" s="161" t="s">
        <v>19202</v>
      </c>
      <c r="K7682" t="s">
        <v>19203</v>
      </c>
      <c r="L7682" t="s">
        <v>20278</v>
      </c>
      <c r="M7682" s="161" t="s">
        <v>19202</v>
      </c>
    </row>
    <row r="7683" spans="9:13" x14ac:dyDescent="0.25">
      <c r="I7683" t="s">
        <v>6655</v>
      </c>
      <c r="J7683" s="161" t="s">
        <v>19202</v>
      </c>
      <c r="K7683" t="s">
        <v>19203</v>
      </c>
      <c r="L7683" t="s">
        <v>6654</v>
      </c>
      <c r="M7683" s="161" t="s">
        <v>19202</v>
      </c>
    </row>
    <row r="7684" spans="9:13" x14ac:dyDescent="0.25">
      <c r="I7684" t="s">
        <v>379</v>
      </c>
      <c r="J7684" s="161" t="s">
        <v>19202</v>
      </c>
      <c r="K7684" t="s">
        <v>19203</v>
      </c>
      <c r="L7684" t="s">
        <v>378</v>
      </c>
      <c r="M7684" s="161" t="s">
        <v>19202</v>
      </c>
    </row>
    <row r="7685" spans="9:13" x14ac:dyDescent="0.25">
      <c r="I7685" t="s">
        <v>17401</v>
      </c>
      <c r="J7685" s="161" t="s">
        <v>19202</v>
      </c>
      <c r="K7685" t="s">
        <v>19203</v>
      </c>
      <c r="L7685" t="s">
        <v>17400</v>
      </c>
      <c r="M7685" s="161" t="s">
        <v>19202</v>
      </c>
    </row>
    <row r="7686" spans="9:13" x14ac:dyDescent="0.25">
      <c r="I7686" t="s">
        <v>9106</v>
      </c>
      <c r="J7686" s="161" t="s">
        <v>19202</v>
      </c>
      <c r="K7686" t="s">
        <v>19203</v>
      </c>
      <c r="L7686" t="s">
        <v>9105</v>
      </c>
      <c r="M7686" s="161" t="s">
        <v>19202</v>
      </c>
    </row>
    <row r="7687" spans="9:13" x14ac:dyDescent="0.25">
      <c r="I7687" t="s">
        <v>3971</v>
      </c>
      <c r="J7687" s="161" t="s">
        <v>19202</v>
      </c>
      <c r="K7687" t="s">
        <v>19203</v>
      </c>
      <c r="L7687" t="s">
        <v>3970</v>
      </c>
      <c r="M7687" s="161" t="s">
        <v>19202</v>
      </c>
    </row>
    <row r="7688" spans="9:13" x14ac:dyDescent="0.25">
      <c r="I7688" t="s">
        <v>3492</v>
      </c>
      <c r="J7688" s="161" t="s">
        <v>19202</v>
      </c>
      <c r="K7688" t="s">
        <v>19203</v>
      </c>
      <c r="L7688" t="s">
        <v>3491</v>
      </c>
      <c r="M7688" s="161" t="s">
        <v>19202</v>
      </c>
    </row>
    <row r="7689" spans="9:13" x14ac:dyDescent="0.25">
      <c r="I7689" t="s">
        <v>18107</v>
      </c>
      <c r="J7689" s="167" t="s">
        <v>19994</v>
      </c>
      <c r="K7689" t="s">
        <v>19203</v>
      </c>
      <c r="L7689" t="s">
        <v>18106</v>
      </c>
      <c r="M7689" s="167" t="s">
        <v>19994</v>
      </c>
    </row>
    <row r="7690" spans="9:13" x14ac:dyDescent="0.25">
      <c r="I7690" t="s">
        <v>9372</v>
      </c>
      <c r="J7690" s="161" t="s">
        <v>19202</v>
      </c>
      <c r="K7690" t="s">
        <v>19203</v>
      </c>
      <c r="L7690" t="s">
        <v>9371</v>
      </c>
      <c r="M7690" s="161" t="s">
        <v>19202</v>
      </c>
    </row>
    <row r="7691" spans="9:13" x14ac:dyDescent="0.25">
      <c r="I7691" t="s">
        <v>6422</v>
      </c>
      <c r="J7691" s="161" t="s">
        <v>19202</v>
      </c>
      <c r="K7691" t="s">
        <v>19203</v>
      </c>
      <c r="L7691" t="s">
        <v>6421</v>
      </c>
      <c r="M7691" s="161" t="s">
        <v>19202</v>
      </c>
    </row>
    <row r="7692" spans="9:13" x14ac:dyDescent="0.25">
      <c r="I7692" t="s">
        <v>15433</v>
      </c>
      <c r="J7692" s="161" t="s">
        <v>19202</v>
      </c>
      <c r="K7692" t="s">
        <v>19203</v>
      </c>
      <c r="L7692" t="s">
        <v>15432</v>
      </c>
      <c r="M7692" s="161" t="s">
        <v>19202</v>
      </c>
    </row>
    <row r="7693" spans="9:13" x14ac:dyDescent="0.25">
      <c r="I7693" t="s">
        <v>6574</v>
      </c>
      <c r="J7693" s="161" t="s">
        <v>19202</v>
      </c>
      <c r="K7693" t="s">
        <v>19203</v>
      </c>
      <c r="L7693" t="s">
        <v>6573</v>
      </c>
      <c r="M7693" s="161" t="s">
        <v>19202</v>
      </c>
    </row>
    <row r="7694" spans="9:13" x14ac:dyDescent="0.25">
      <c r="I7694" t="s">
        <v>20279</v>
      </c>
      <c r="J7694" s="161" t="s">
        <v>19202</v>
      </c>
      <c r="K7694" t="s">
        <v>19203</v>
      </c>
      <c r="L7694" t="s">
        <v>20280</v>
      </c>
      <c r="M7694" s="161" t="s">
        <v>19202</v>
      </c>
    </row>
    <row r="7695" spans="9:13" x14ac:dyDescent="0.25">
      <c r="I7695" t="s">
        <v>9530</v>
      </c>
      <c r="J7695" s="161" t="s">
        <v>19202</v>
      </c>
      <c r="K7695" t="s">
        <v>19203</v>
      </c>
      <c r="L7695" t="s">
        <v>9529</v>
      </c>
      <c r="M7695" s="161" t="s">
        <v>19202</v>
      </c>
    </row>
    <row r="7696" spans="9:13" x14ac:dyDescent="0.25">
      <c r="I7696" t="s">
        <v>10271</v>
      </c>
      <c r="J7696" s="161" t="s">
        <v>19202</v>
      </c>
      <c r="K7696" t="s">
        <v>19203</v>
      </c>
      <c r="L7696" t="s">
        <v>10270</v>
      </c>
      <c r="M7696" s="161" t="s">
        <v>19202</v>
      </c>
    </row>
    <row r="7697" spans="9:13" x14ac:dyDescent="0.25">
      <c r="I7697" t="s">
        <v>4378</v>
      </c>
      <c r="J7697" s="161" t="s">
        <v>19202</v>
      </c>
      <c r="K7697" t="s">
        <v>19203</v>
      </c>
      <c r="L7697" t="s">
        <v>4377</v>
      </c>
      <c r="M7697" s="161" t="s">
        <v>19202</v>
      </c>
    </row>
    <row r="7698" spans="9:13" x14ac:dyDescent="0.25">
      <c r="I7698" t="s">
        <v>9398</v>
      </c>
      <c r="J7698" s="161" t="s">
        <v>19202</v>
      </c>
      <c r="K7698" t="s">
        <v>19203</v>
      </c>
      <c r="L7698" t="s">
        <v>9397</v>
      </c>
      <c r="M7698" s="161" t="s">
        <v>19202</v>
      </c>
    </row>
    <row r="7699" spans="9:13" x14ac:dyDescent="0.25">
      <c r="I7699" t="s">
        <v>5155</v>
      </c>
      <c r="J7699" s="161" t="s">
        <v>19202</v>
      </c>
      <c r="K7699" t="s">
        <v>19203</v>
      </c>
      <c r="L7699" t="s">
        <v>5154</v>
      </c>
      <c r="M7699" s="161" t="s">
        <v>19202</v>
      </c>
    </row>
    <row r="7700" spans="9:13" x14ac:dyDescent="0.25">
      <c r="I7700" t="s">
        <v>15038</v>
      </c>
      <c r="J7700" s="161" t="s">
        <v>19202</v>
      </c>
      <c r="K7700" t="s">
        <v>19203</v>
      </c>
      <c r="L7700" t="s">
        <v>15037</v>
      </c>
      <c r="M7700" s="161" t="s">
        <v>19202</v>
      </c>
    </row>
    <row r="7701" spans="9:13" x14ac:dyDescent="0.25">
      <c r="I7701" t="s">
        <v>377</v>
      </c>
      <c r="J7701" s="161" t="s">
        <v>19202</v>
      </c>
      <c r="K7701" t="s">
        <v>19203</v>
      </c>
      <c r="L7701" t="s">
        <v>376</v>
      </c>
      <c r="M7701" s="161" t="s">
        <v>19202</v>
      </c>
    </row>
    <row r="7702" spans="9:13" x14ac:dyDescent="0.25">
      <c r="I7702" t="s">
        <v>17006</v>
      </c>
      <c r="J7702" s="161" t="s">
        <v>19202</v>
      </c>
      <c r="K7702" t="s">
        <v>19203</v>
      </c>
      <c r="L7702" t="s">
        <v>17005</v>
      </c>
      <c r="M7702" s="161" t="s">
        <v>19202</v>
      </c>
    </row>
    <row r="7703" spans="9:13" x14ac:dyDescent="0.25">
      <c r="I7703" t="s">
        <v>11937</v>
      </c>
      <c r="J7703" s="161" t="s">
        <v>19202</v>
      </c>
      <c r="K7703" t="s">
        <v>19203</v>
      </c>
      <c r="L7703" t="s">
        <v>11936</v>
      </c>
      <c r="M7703" s="161" t="s">
        <v>19202</v>
      </c>
    </row>
    <row r="7704" spans="9:13" x14ac:dyDescent="0.25">
      <c r="I7704" t="s">
        <v>456</v>
      </c>
      <c r="J7704" s="167" t="s">
        <v>19994</v>
      </c>
      <c r="K7704" t="s">
        <v>19203</v>
      </c>
      <c r="L7704" t="s">
        <v>455</v>
      </c>
      <c r="M7704" s="167" t="s">
        <v>19994</v>
      </c>
    </row>
    <row r="7705" spans="9:13" x14ac:dyDescent="0.25">
      <c r="I7705" t="s">
        <v>5173</v>
      </c>
      <c r="J7705" s="161" t="s">
        <v>19202</v>
      </c>
      <c r="K7705" t="s">
        <v>19203</v>
      </c>
      <c r="L7705" t="s">
        <v>5172</v>
      </c>
      <c r="M7705" s="161" t="s">
        <v>19202</v>
      </c>
    </row>
    <row r="7706" spans="9:13" x14ac:dyDescent="0.25">
      <c r="I7706" t="s">
        <v>5163</v>
      </c>
      <c r="J7706" s="161" t="s">
        <v>19202</v>
      </c>
      <c r="K7706" t="s">
        <v>19203</v>
      </c>
      <c r="L7706" t="s">
        <v>5162</v>
      </c>
      <c r="M7706" s="161" t="s">
        <v>19202</v>
      </c>
    </row>
    <row r="7707" spans="9:13" x14ac:dyDescent="0.25">
      <c r="I7707" t="s">
        <v>14800</v>
      </c>
      <c r="J7707" s="161" t="s">
        <v>19202</v>
      </c>
      <c r="K7707" t="s">
        <v>19203</v>
      </c>
      <c r="L7707" t="s">
        <v>14799</v>
      </c>
      <c r="M7707" s="161" t="s">
        <v>19202</v>
      </c>
    </row>
    <row r="7708" spans="9:13" x14ac:dyDescent="0.25">
      <c r="I7708" t="s">
        <v>6044</v>
      </c>
      <c r="J7708" s="161" t="s">
        <v>19202</v>
      </c>
      <c r="K7708" t="s">
        <v>19203</v>
      </c>
      <c r="L7708" t="s">
        <v>6043</v>
      </c>
      <c r="M7708" s="161" t="s">
        <v>19202</v>
      </c>
    </row>
    <row r="7709" spans="9:13" x14ac:dyDescent="0.25">
      <c r="I7709" t="s">
        <v>11903</v>
      </c>
      <c r="J7709" s="161" t="s">
        <v>19202</v>
      </c>
      <c r="K7709" t="s">
        <v>19203</v>
      </c>
      <c r="L7709" t="s">
        <v>11902</v>
      </c>
      <c r="M7709" s="161" t="s">
        <v>19202</v>
      </c>
    </row>
    <row r="7710" spans="9:13" x14ac:dyDescent="0.25">
      <c r="I7710" t="s">
        <v>20281</v>
      </c>
      <c r="J7710" s="161" t="s">
        <v>19202</v>
      </c>
      <c r="K7710" t="s">
        <v>19203</v>
      </c>
      <c r="L7710" t="s">
        <v>261</v>
      </c>
      <c r="M7710" s="161" t="s">
        <v>19202</v>
      </c>
    </row>
    <row r="7711" spans="9:13" x14ac:dyDescent="0.25">
      <c r="I7711" t="s">
        <v>20282</v>
      </c>
      <c r="J7711" s="161" t="s">
        <v>19202</v>
      </c>
      <c r="K7711" t="s">
        <v>19203</v>
      </c>
      <c r="L7711" t="s">
        <v>20283</v>
      </c>
      <c r="M7711" s="161" t="s">
        <v>19202</v>
      </c>
    </row>
    <row r="7712" spans="9:13" x14ac:dyDescent="0.25">
      <c r="I7712" t="s">
        <v>14961</v>
      </c>
      <c r="J7712" s="161" t="s">
        <v>19202</v>
      </c>
      <c r="K7712" t="s">
        <v>19203</v>
      </c>
      <c r="L7712" t="s">
        <v>14960</v>
      </c>
      <c r="M7712" s="161" t="s">
        <v>19202</v>
      </c>
    </row>
    <row r="7713" spans="9:13" x14ac:dyDescent="0.25">
      <c r="I7713" t="s">
        <v>20284</v>
      </c>
      <c r="J7713" s="161" t="s">
        <v>19202</v>
      </c>
      <c r="K7713" t="s">
        <v>19203</v>
      </c>
      <c r="L7713" t="s">
        <v>20285</v>
      </c>
      <c r="M7713" s="161" t="s">
        <v>19202</v>
      </c>
    </row>
    <row r="7714" spans="9:13" x14ac:dyDescent="0.25">
      <c r="I7714" t="s">
        <v>5171</v>
      </c>
      <c r="J7714" s="161" t="s">
        <v>19202</v>
      </c>
      <c r="K7714" t="s">
        <v>19203</v>
      </c>
      <c r="L7714" t="s">
        <v>5170</v>
      </c>
      <c r="M7714" s="161" t="s">
        <v>19202</v>
      </c>
    </row>
    <row r="7715" spans="9:13" x14ac:dyDescent="0.25">
      <c r="I7715" t="s">
        <v>5159</v>
      </c>
      <c r="J7715" s="161" t="s">
        <v>19202</v>
      </c>
      <c r="K7715" t="s">
        <v>19203</v>
      </c>
      <c r="L7715" t="s">
        <v>5158</v>
      </c>
      <c r="M7715" s="161" t="s">
        <v>19202</v>
      </c>
    </row>
    <row r="7716" spans="9:13" x14ac:dyDescent="0.25">
      <c r="I7716" t="s">
        <v>11261</v>
      </c>
      <c r="J7716" s="161" t="s">
        <v>19202</v>
      </c>
      <c r="K7716" t="s">
        <v>19203</v>
      </c>
      <c r="L7716" t="s">
        <v>11260</v>
      </c>
      <c r="M7716" s="161" t="s">
        <v>19202</v>
      </c>
    </row>
    <row r="7717" spans="9:13" x14ac:dyDescent="0.25">
      <c r="I7717" t="s">
        <v>12595</v>
      </c>
      <c r="J7717" s="161" t="s">
        <v>19202</v>
      </c>
      <c r="K7717" t="s">
        <v>19203</v>
      </c>
      <c r="L7717" t="s">
        <v>12521</v>
      </c>
      <c r="M7717" s="161" t="s">
        <v>19202</v>
      </c>
    </row>
    <row r="7718" spans="9:13" x14ac:dyDescent="0.25">
      <c r="I7718" t="s">
        <v>3183</v>
      </c>
      <c r="J7718" s="161" t="s">
        <v>19202</v>
      </c>
      <c r="K7718" t="s">
        <v>19203</v>
      </c>
      <c r="L7718" t="s">
        <v>3182</v>
      </c>
      <c r="M7718" s="161" t="s">
        <v>19202</v>
      </c>
    </row>
    <row r="7719" spans="9:13" x14ac:dyDescent="0.25">
      <c r="I7719" t="s">
        <v>12314</v>
      </c>
      <c r="J7719" s="161" t="s">
        <v>19202</v>
      </c>
      <c r="K7719" t="s">
        <v>19203</v>
      </c>
      <c r="L7719" t="s">
        <v>12313</v>
      </c>
      <c r="M7719" s="161" t="s">
        <v>19202</v>
      </c>
    </row>
    <row r="7720" spans="9:13" x14ac:dyDescent="0.25">
      <c r="I7720" t="s">
        <v>13805</v>
      </c>
      <c r="J7720" s="161" t="s">
        <v>19202</v>
      </c>
      <c r="K7720" t="s">
        <v>19203</v>
      </c>
      <c r="L7720" t="s">
        <v>1406</v>
      </c>
      <c r="M7720" s="161" t="s">
        <v>19202</v>
      </c>
    </row>
    <row r="7721" spans="9:13" x14ac:dyDescent="0.25">
      <c r="I7721" t="s">
        <v>5167</v>
      </c>
      <c r="J7721" s="161" t="s">
        <v>19202</v>
      </c>
      <c r="K7721" t="s">
        <v>19203</v>
      </c>
      <c r="L7721" t="s">
        <v>5166</v>
      </c>
      <c r="M7721" s="161" t="s">
        <v>19202</v>
      </c>
    </row>
    <row r="7722" spans="9:13" x14ac:dyDescent="0.25">
      <c r="I7722" t="s">
        <v>9104</v>
      </c>
      <c r="J7722" s="161" t="s">
        <v>19202</v>
      </c>
      <c r="K7722" t="s">
        <v>19203</v>
      </c>
      <c r="L7722" t="s">
        <v>9103</v>
      </c>
      <c r="M7722" s="161" t="s">
        <v>19202</v>
      </c>
    </row>
    <row r="7723" spans="9:13" x14ac:dyDescent="0.25">
      <c r="I7723" t="s">
        <v>8864</v>
      </c>
      <c r="J7723" s="161" t="s">
        <v>19202</v>
      </c>
      <c r="K7723" t="s">
        <v>19203</v>
      </c>
      <c r="L7723" t="s">
        <v>8863</v>
      </c>
      <c r="M7723" s="161" t="s">
        <v>19202</v>
      </c>
    </row>
    <row r="7724" spans="9:13" x14ac:dyDescent="0.25">
      <c r="I7724" t="s">
        <v>11831</v>
      </c>
      <c r="J7724" s="161" t="s">
        <v>19202</v>
      </c>
      <c r="K7724" t="s">
        <v>19203</v>
      </c>
      <c r="L7724" t="s">
        <v>11830</v>
      </c>
      <c r="M7724" s="161" t="s">
        <v>19202</v>
      </c>
    </row>
    <row r="7725" spans="9:13" x14ac:dyDescent="0.25">
      <c r="I7725" t="s">
        <v>4783</v>
      </c>
      <c r="J7725" s="161" t="s">
        <v>19202</v>
      </c>
      <c r="K7725" t="s">
        <v>19203</v>
      </c>
      <c r="L7725" t="s">
        <v>4782</v>
      </c>
      <c r="M7725" s="161" t="s">
        <v>19202</v>
      </c>
    </row>
    <row r="7726" spans="9:13" x14ac:dyDescent="0.25">
      <c r="I7726" t="s">
        <v>6546</v>
      </c>
      <c r="J7726" s="161" t="s">
        <v>19202</v>
      </c>
      <c r="K7726" t="s">
        <v>19203</v>
      </c>
      <c r="L7726" t="s">
        <v>6292</v>
      </c>
      <c r="M7726" s="161" t="s">
        <v>19202</v>
      </c>
    </row>
    <row r="7727" spans="9:13" x14ac:dyDescent="0.25">
      <c r="I7727" t="s">
        <v>8578</v>
      </c>
      <c r="J7727" s="161" t="s">
        <v>19202</v>
      </c>
      <c r="K7727" t="s">
        <v>19203</v>
      </c>
      <c r="L7727" t="s">
        <v>8577</v>
      </c>
      <c r="M7727" s="161" t="s">
        <v>19202</v>
      </c>
    </row>
    <row r="7728" spans="9:13" x14ac:dyDescent="0.25">
      <c r="I7728" t="s">
        <v>20286</v>
      </c>
      <c r="J7728" s="161" t="s">
        <v>19202</v>
      </c>
      <c r="K7728" t="s">
        <v>19203</v>
      </c>
      <c r="L7728" t="s">
        <v>20287</v>
      </c>
      <c r="M7728" s="161" t="s">
        <v>19202</v>
      </c>
    </row>
    <row r="7729" spans="9:13" x14ac:dyDescent="0.25">
      <c r="I7729" t="s">
        <v>8672</v>
      </c>
      <c r="J7729" s="161" t="s">
        <v>19202</v>
      </c>
      <c r="K7729" t="s">
        <v>19203</v>
      </c>
      <c r="L7729" t="s">
        <v>8671</v>
      </c>
      <c r="M7729" s="161" t="s">
        <v>19202</v>
      </c>
    </row>
    <row r="7730" spans="9:13" x14ac:dyDescent="0.25">
      <c r="I7730" t="s">
        <v>13816</v>
      </c>
      <c r="J7730" s="161" t="s">
        <v>19202</v>
      </c>
      <c r="K7730" t="s">
        <v>19203</v>
      </c>
      <c r="L7730" t="s">
        <v>13680</v>
      </c>
      <c r="M7730" s="161" t="s">
        <v>19202</v>
      </c>
    </row>
    <row r="7731" spans="9:13" x14ac:dyDescent="0.25">
      <c r="I7731" t="s">
        <v>4726</v>
      </c>
      <c r="J7731" s="161" t="s">
        <v>19202</v>
      </c>
      <c r="K7731" t="s">
        <v>19203</v>
      </c>
      <c r="L7731" t="s">
        <v>4725</v>
      </c>
      <c r="M7731" s="161" t="s">
        <v>19202</v>
      </c>
    </row>
    <row r="7732" spans="9:13" x14ac:dyDescent="0.25">
      <c r="I7732" t="s">
        <v>20288</v>
      </c>
      <c r="J7732" s="161" t="s">
        <v>19202</v>
      </c>
      <c r="K7732" t="s">
        <v>19203</v>
      </c>
      <c r="L7732" t="s">
        <v>20289</v>
      </c>
      <c r="M7732" s="161" t="s">
        <v>19202</v>
      </c>
    </row>
    <row r="7733" spans="9:13" x14ac:dyDescent="0.25">
      <c r="I7733" t="s">
        <v>9742</v>
      </c>
      <c r="J7733" s="161" t="s">
        <v>19202</v>
      </c>
      <c r="K7733" t="s">
        <v>19203</v>
      </c>
      <c r="L7733" t="s">
        <v>9741</v>
      </c>
      <c r="M7733" s="161" t="s">
        <v>19202</v>
      </c>
    </row>
    <row r="7734" spans="9:13" x14ac:dyDescent="0.25">
      <c r="I7734" t="s">
        <v>14915</v>
      </c>
      <c r="J7734" s="161" t="s">
        <v>19202</v>
      </c>
      <c r="K7734" t="s">
        <v>19203</v>
      </c>
      <c r="L7734" t="s">
        <v>14914</v>
      </c>
      <c r="M7734" s="161" t="s">
        <v>19202</v>
      </c>
    </row>
    <row r="7735" spans="9:13" x14ac:dyDescent="0.25">
      <c r="I7735" t="s">
        <v>9400</v>
      </c>
      <c r="J7735" s="161" t="s">
        <v>19202</v>
      </c>
      <c r="K7735" t="s">
        <v>19203</v>
      </c>
      <c r="L7735" t="s">
        <v>9399</v>
      </c>
      <c r="M7735" s="161" t="s">
        <v>19202</v>
      </c>
    </row>
    <row r="7736" spans="9:13" x14ac:dyDescent="0.25">
      <c r="I7736" t="s">
        <v>20290</v>
      </c>
      <c r="J7736" s="161" t="s">
        <v>19202</v>
      </c>
      <c r="K7736" t="s">
        <v>19203</v>
      </c>
      <c r="L7736" t="s">
        <v>20291</v>
      </c>
      <c r="M7736" s="161" t="s">
        <v>19202</v>
      </c>
    </row>
    <row r="7737" spans="9:13" x14ac:dyDescent="0.25">
      <c r="I7737" t="s">
        <v>5165</v>
      </c>
      <c r="J7737" s="161" t="s">
        <v>19202</v>
      </c>
      <c r="K7737" t="s">
        <v>19203</v>
      </c>
      <c r="L7737" t="s">
        <v>5164</v>
      </c>
      <c r="M7737" s="161" t="s">
        <v>19202</v>
      </c>
    </row>
    <row r="7738" spans="9:13" x14ac:dyDescent="0.25">
      <c r="I7738" t="s">
        <v>15194</v>
      </c>
      <c r="J7738" s="161" t="s">
        <v>19202</v>
      </c>
      <c r="K7738" t="s">
        <v>19203</v>
      </c>
      <c r="L7738" t="s">
        <v>15193</v>
      </c>
      <c r="M7738" s="161" t="s">
        <v>19202</v>
      </c>
    </row>
    <row r="7739" spans="9:13" x14ac:dyDescent="0.25">
      <c r="I7739" t="s">
        <v>15845</v>
      </c>
      <c r="J7739" s="161" t="s">
        <v>19202</v>
      </c>
      <c r="K7739" t="s">
        <v>19203</v>
      </c>
      <c r="L7739" t="s">
        <v>934</v>
      </c>
      <c r="M7739" s="161" t="s">
        <v>19202</v>
      </c>
    </row>
    <row r="7740" spans="9:13" x14ac:dyDescent="0.25">
      <c r="I7740" t="s">
        <v>2306</v>
      </c>
      <c r="J7740" s="161" t="s">
        <v>19202</v>
      </c>
      <c r="K7740" t="s">
        <v>19203</v>
      </c>
      <c r="L7740" t="s">
        <v>2305</v>
      </c>
      <c r="M7740" s="161" t="s">
        <v>19202</v>
      </c>
    </row>
    <row r="7741" spans="9:13" x14ac:dyDescent="0.25">
      <c r="I7741" t="s">
        <v>20292</v>
      </c>
      <c r="J7741" s="161" t="s">
        <v>19202</v>
      </c>
      <c r="K7741" t="s">
        <v>19203</v>
      </c>
      <c r="L7741" t="s">
        <v>20293</v>
      </c>
      <c r="M7741" s="161" t="s">
        <v>19202</v>
      </c>
    </row>
    <row r="7742" spans="9:13" x14ac:dyDescent="0.25">
      <c r="I7742" t="s">
        <v>12725</v>
      </c>
      <c r="J7742" s="161" t="s">
        <v>19202</v>
      </c>
      <c r="K7742" t="s">
        <v>19203</v>
      </c>
      <c r="L7742" t="s">
        <v>12724</v>
      </c>
      <c r="M7742" s="161" t="s">
        <v>19202</v>
      </c>
    </row>
    <row r="7743" spans="9:13" x14ac:dyDescent="0.25">
      <c r="I7743" t="s">
        <v>12668</v>
      </c>
      <c r="J7743" s="161" t="s">
        <v>19202</v>
      </c>
      <c r="K7743" t="s">
        <v>19203</v>
      </c>
      <c r="L7743" t="s">
        <v>12667</v>
      </c>
      <c r="M7743" s="161" t="s">
        <v>19202</v>
      </c>
    </row>
    <row r="7744" spans="9:13" x14ac:dyDescent="0.25">
      <c r="I7744" t="s">
        <v>555</v>
      </c>
      <c r="J7744" s="161" t="s">
        <v>19202</v>
      </c>
      <c r="K7744" t="s">
        <v>19203</v>
      </c>
      <c r="L7744" t="s">
        <v>554</v>
      </c>
      <c r="M7744" s="161" t="s">
        <v>19202</v>
      </c>
    </row>
    <row r="7745" spans="9:13" x14ac:dyDescent="0.25">
      <c r="I7745" t="s">
        <v>5610</v>
      </c>
      <c r="J7745" s="161" t="s">
        <v>19202</v>
      </c>
      <c r="K7745" t="s">
        <v>19203</v>
      </c>
      <c r="L7745" t="s">
        <v>5609</v>
      </c>
      <c r="M7745" s="161" t="s">
        <v>19202</v>
      </c>
    </row>
    <row r="7746" spans="9:13" x14ac:dyDescent="0.25">
      <c r="I7746" t="s">
        <v>12382</v>
      </c>
      <c r="J7746" s="161" t="s">
        <v>19202</v>
      </c>
      <c r="K7746" t="s">
        <v>19203</v>
      </c>
      <c r="L7746" t="s">
        <v>12381</v>
      </c>
      <c r="M7746" s="161" t="s">
        <v>19202</v>
      </c>
    </row>
    <row r="7747" spans="9:13" x14ac:dyDescent="0.25">
      <c r="I7747" t="s">
        <v>5157</v>
      </c>
      <c r="J7747" s="161" t="s">
        <v>19202</v>
      </c>
      <c r="K7747" t="s">
        <v>19203</v>
      </c>
      <c r="L7747" t="s">
        <v>20294</v>
      </c>
      <c r="M7747" s="161" t="s">
        <v>19202</v>
      </c>
    </row>
    <row r="7748" spans="9:13" x14ac:dyDescent="0.25">
      <c r="I7748" t="s">
        <v>4614</v>
      </c>
      <c r="J7748" s="161" t="s">
        <v>19202</v>
      </c>
      <c r="K7748" t="s">
        <v>19203</v>
      </c>
      <c r="L7748" t="s">
        <v>4613</v>
      </c>
      <c r="M7748" s="161" t="s">
        <v>19202</v>
      </c>
    </row>
    <row r="7749" spans="9:13" x14ac:dyDescent="0.25">
      <c r="I7749" t="s">
        <v>3973</v>
      </c>
      <c r="J7749" s="161" t="s">
        <v>19202</v>
      </c>
      <c r="K7749" t="s">
        <v>19203</v>
      </c>
      <c r="L7749" t="s">
        <v>3972</v>
      </c>
      <c r="M7749" s="161" t="s">
        <v>19202</v>
      </c>
    </row>
    <row r="7750" spans="9:13" x14ac:dyDescent="0.25">
      <c r="I7750" t="s">
        <v>20295</v>
      </c>
      <c r="J7750" s="161" t="s">
        <v>19202</v>
      </c>
      <c r="K7750" t="s">
        <v>19203</v>
      </c>
      <c r="L7750" t="s">
        <v>20296</v>
      </c>
      <c r="M7750" s="161" t="s">
        <v>19202</v>
      </c>
    </row>
    <row r="7751" spans="9:13" x14ac:dyDescent="0.25">
      <c r="I7751" t="s">
        <v>8184</v>
      </c>
      <c r="J7751" s="161" t="s">
        <v>19202</v>
      </c>
      <c r="K7751" t="s">
        <v>19203</v>
      </c>
      <c r="L7751" t="s">
        <v>8183</v>
      </c>
      <c r="M7751" s="161" t="s">
        <v>19202</v>
      </c>
    </row>
    <row r="7752" spans="9:13" x14ac:dyDescent="0.25">
      <c r="I7752" t="s">
        <v>20297</v>
      </c>
      <c r="J7752" s="161" t="s">
        <v>19202</v>
      </c>
      <c r="K7752" t="s">
        <v>19203</v>
      </c>
      <c r="L7752" t="s">
        <v>20298</v>
      </c>
      <c r="M7752" s="161" t="s">
        <v>19202</v>
      </c>
    </row>
    <row r="7753" spans="9:13" x14ac:dyDescent="0.25">
      <c r="I7753" t="s">
        <v>9342</v>
      </c>
      <c r="J7753" s="161" t="s">
        <v>19202</v>
      </c>
      <c r="K7753" t="s">
        <v>19203</v>
      </c>
      <c r="L7753" t="s">
        <v>9341</v>
      </c>
      <c r="M7753" s="161" t="s">
        <v>19202</v>
      </c>
    </row>
    <row r="7754" spans="9:13" x14ac:dyDescent="0.25">
      <c r="I7754" t="s">
        <v>5169</v>
      </c>
      <c r="J7754" s="161" t="s">
        <v>19202</v>
      </c>
      <c r="K7754" t="s">
        <v>19203</v>
      </c>
      <c r="L7754" t="s">
        <v>5168</v>
      </c>
      <c r="M7754" s="161" t="s">
        <v>19202</v>
      </c>
    </row>
    <row r="7755" spans="9:13" x14ac:dyDescent="0.25">
      <c r="I7755" t="s">
        <v>20299</v>
      </c>
      <c r="J7755" s="161" t="s">
        <v>19202</v>
      </c>
      <c r="K7755" t="s">
        <v>19203</v>
      </c>
      <c r="L7755" t="s">
        <v>2700</v>
      </c>
      <c r="M7755" s="161" t="s">
        <v>19202</v>
      </c>
    </row>
    <row r="7756" spans="9:13" x14ac:dyDescent="0.25">
      <c r="I7756" t="s">
        <v>9298</v>
      </c>
      <c r="J7756" s="161" t="s">
        <v>19202</v>
      </c>
      <c r="K7756" t="s">
        <v>19203</v>
      </c>
      <c r="L7756" t="s">
        <v>9297</v>
      </c>
      <c r="M7756" s="161" t="s">
        <v>19202</v>
      </c>
    </row>
    <row r="7757" spans="9:13" x14ac:dyDescent="0.25">
      <c r="I7757" t="s">
        <v>11869</v>
      </c>
      <c r="J7757" s="161" t="s">
        <v>19202</v>
      </c>
      <c r="K7757" t="s">
        <v>19203</v>
      </c>
      <c r="L7757" t="s">
        <v>11868</v>
      </c>
      <c r="M7757" s="161" t="s">
        <v>19202</v>
      </c>
    </row>
    <row r="7758" spans="9:13" x14ac:dyDescent="0.25">
      <c r="I7758" t="s">
        <v>20300</v>
      </c>
      <c r="J7758" s="161" t="s">
        <v>19202</v>
      </c>
      <c r="K7758" t="s">
        <v>19203</v>
      </c>
      <c r="L7758" t="s">
        <v>20301</v>
      </c>
      <c r="M7758" s="161" t="s">
        <v>19202</v>
      </c>
    </row>
    <row r="7759" spans="9:13" x14ac:dyDescent="0.25">
      <c r="I7759" t="s">
        <v>347</v>
      </c>
      <c r="J7759" s="161" t="s">
        <v>19202</v>
      </c>
      <c r="K7759" t="s">
        <v>19203</v>
      </c>
      <c r="L7759" t="s">
        <v>346</v>
      </c>
      <c r="M7759" s="161" t="s">
        <v>19202</v>
      </c>
    </row>
    <row r="7760" spans="9:13" x14ac:dyDescent="0.25">
      <c r="I7760" t="s">
        <v>20302</v>
      </c>
      <c r="J7760" s="161" t="s">
        <v>19202</v>
      </c>
      <c r="K7760" t="s">
        <v>19203</v>
      </c>
      <c r="L7760" t="s">
        <v>20303</v>
      </c>
      <c r="M7760" s="161" t="s">
        <v>19202</v>
      </c>
    </row>
    <row r="7761" spans="9:13" x14ac:dyDescent="0.25">
      <c r="I7761" t="s">
        <v>15889</v>
      </c>
      <c r="J7761" s="161" t="s">
        <v>19202</v>
      </c>
      <c r="K7761" t="s">
        <v>19203</v>
      </c>
      <c r="L7761" t="s">
        <v>13197</v>
      </c>
      <c r="M7761" s="161" t="s">
        <v>19202</v>
      </c>
    </row>
    <row r="7762" spans="9:13" x14ac:dyDescent="0.25">
      <c r="I7762" t="s">
        <v>20304</v>
      </c>
      <c r="J7762" s="161" t="s">
        <v>19202</v>
      </c>
      <c r="K7762" t="s">
        <v>19203</v>
      </c>
      <c r="L7762" t="s">
        <v>20305</v>
      </c>
      <c r="M7762" s="161" t="s">
        <v>19202</v>
      </c>
    </row>
    <row r="7763" spans="9:13" x14ac:dyDescent="0.25">
      <c r="I7763" t="s">
        <v>20306</v>
      </c>
      <c r="J7763" s="161" t="s">
        <v>19202</v>
      </c>
      <c r="K7763" t="s">
        <v>19203</v>
      </c>
      <c r="L7763" t="s">
        <v>20307</v>
      </c>
      <c r="M7763" s="161" t="s">
        <v>19202</v>
      </c>
    </row>
    <row r="7764" spans="9:13" x14ac:dyDescent="0.25">
      <c r="I7764" t="s">
        <v>3691</v>
      </c>
      <c r="J7764" s="161" t="s">
        <v>19202</v>
      </c>
      <c r="K7764" t="s">
        <v>19203</v>
      </c>
      <c r="L7764" t="s">
        <v>3571</v>
      </c>
      <c r="M7764" s="161" t="s">
        <v>19202</v>
      </c>
    </row>
    <row r="7765" spans="9:13" x14ac:dyDescent="0.25">
      <c r="I7765" t="s">
        <v>12634</v>
      </c>
      <c r="J7765" s="161" t="s">
        <v>19202</v>
      </c>
      <c r="K7765" t="s">
        <v>19203</v>
      </c>
      <c r="L7765" t="s">
        <v>12633</v>
      </c>
      <c r="M7765" s="161" t="s">
        <v>19202</v>
      </c>
    </row>
    <row r="7766" spans="9:13" x14ac:dyDescent="0.25">
      <c r="I7766" t="s">
        <v>9599</v>
      </c>
      <c r="J7766" s="161" t="s">
        <v>19202</v>
      </c>
      <c r="K7766" t="s">
        <v>19203</v>
      </c>
      <c r="L7766" t="s">
        <v>9598</v>
      </c>
      <c r="M7766" s="161" t="s">
        <v>19202</v>
      </c>
    </row>
    <row r="7767" spans="9:13" x14ac:dyDescent="0.25">
      <c r="I7767" t="s">
        <v>9396</v>
      </c>
      <c r="J7767" s="161" t="s">
        <v>19202</v>
      </c>
      <c r="K7767" t="s">
        <v>19203</v>
      </c>
      <c r="L7767" t="s">
        <v>9395</v>
      </c>
      <c r="M7767" s="161" t="s">
        <v>19202</v>
      </c>
    </row>
    <row r="7768" spans="9:13" x14ac:dyDescent="0.25">
      <c r="I7768" t="s">
        <v>15051</v>
      </c>
      <c r="J7768" s="161" t="s">
        <v>19202</v>
      </c>
      <c r="K7768" t="s">
        <v>19203</v>
      </c>
      <c r="L7768" t="s">
        <v>4597</v>
      </c>
      <c r="M7768" s="161" t="s">
        <v>19202</v>
      </c>
    </row>
    <row r="7769" spans="9:13" x14ac:dyDescent="0.25">
      <c r="I7769" t="s">
        <v>15032</v>
      </c>
      <c r="J7769" s="161" t="s">
        <v>19202</v>
      </c>
      <c r="K7769" t="s">
        <v>19203</v>
      </c>
      <c r="L7769" t="s">
        <v>15031</v>
      </c>
      <c r="M7769" s="161" t="s">
        <v>19202</v>
      </c>
    </row>
    <row r="7770" spans="9:13" x14ac:dyDescent="0.25">
      <c r="I7770" t="s">
        <v>16168</v>
      </c>
      <c r="J7770" s="161" t="s">
        <v>19202</v>
      </c>
      <c r="K7770" t="s">
        <v>19203</v>
      </c>
      <c r="L7770" t="s">
        <v>16167</v>
      </c>
      <c r="M7770" s="161" t="s">
        <v>19202</v>
      </c>
    </row>
    <row r="7771" spans="9:13" x14ac:dyDescent="0.25">
      <c r="I7771" t="s">
        <v>2526</v>
      </c>
      <c r="J7771" s="161" t="s">
        <v>19202</v>
      </c>
      <c r="K7771" t="s">
        <v>19203</v>
      </c>
      <c r="L7771" t="s">
        <v>2525</v>
      </c>
      <c r="M7771" s="161" t="s">
        <v>19202</v>
      </c>
    </row>
    <row r="7772" spans="9:13" x14ac:dyDescent="0.25">
      <c r="I7772" t="s">
        <v>10269</v>
      </c>
      <c r="J7772" s="161" t="s">
        <v>19202</v>
      </c>
      <c r="K7772" t="s">
        <v>19203</v>
      </c>
      <c r="L7772" t="s">
        <v>10268</v>
      </c>
      <c r="M7772" s="161" t="s">
        <v>19202</v>
      </c>
    </row>
    <row r="7773" spans="9:13" x14ac:dyDescent="0.25">
      <c r="I7773" t="s">
        <v>364</v>
      </c>
      <c r="J7773" s="161" t="s">
        <v>19202</v>
      </c>
      <c r="K7773" t="s">
        <v>19203</v>
      </c>
      <c r="L7773" t="s">
        <v>363</v>
      </c>
      <c r="M7773" s="161" t="s">
        <v>19202</v>
      </c>
    </row>
    <row r="7774" spans="9:13" x14ac:dyDescent="0.25">
      <c r="I7774" t="s">
        <v>17002</v>
      </c>
      <c r="J7774" s="161" t="s">
        <v>19202</v>
      </c>
      <c r="K7774" t="s">
        <v>19203</v>
      </c>
      <c r="L7774" t="s">
        <v>17001</v>
      </c>
      <c r="M7774" s="161" t="s">
        <v>19202</v>
      </c>
    </row>
    <row r="7775" spans="9:13" x14ac:dyDescent="0.25">
      <c r="I7775" t="s">
        <v>20308</v>
      </c>
      <c r="J7775" s="161" t="s">
        <v>19202</v>
      </c>
      <c r="K7775" t="s">
        <v>19203</v>
      </c>
      <c r="L7775" t="s">
        <v>20309</v>
      </c>
      <c r="M7775" s="161" t="s">
        <v>19202</v>
      </c>
    </row>
    <row r="7776" spans="9:13" x14ac:dyDescent="0.25">
      <c r="I7776" t="s">
        <v>12584</v>
      </c>
      <c r="J7776" s="161" t="s">
        <v>19202</v>
      </c>
      <c r="K7776" t="s">
        <v>19203</v>
      </c>
      <c r="L7776" t="s">
        <v>12583</v>
      </c>
      <c r="M7776" s="161" t="s">
        <v>19202</v>
      </c>
    </row>
    <row r="7777" spans="9:13" x14ac:dyDescent="0.25">
      <c r="I7777" t="s">
        <v>16524</v>
      </c>
      <c r="J7777" s="161" t="s">
        <v>19202</v>
      </c>
      <c r="K7777" t="s">
        <v>19203</v>
      </c>
      <c r="L7777" t="s">
        <v>16523</v>
      </c>
      <c r="M7777" s="161" t="s">
        <v>19202</v>
      </c>
    </row>
    <row r="7778" spans="9:13" x14ac:dyDescent="0.25">
      <c r="I7778" t="s">
        <v>2564</v>
      </c>
      <c r="J7778" s="161" t="s">
        <v>19202</v>
      </c>
      <c r="K7778" t="s">
        <v>19203</v>
      </c>
      <c r="L7778" t="s">
        <v>2563</v>
      </c>
      <c r="M7778" s="161" t="s">
        <v>19202</v>
      </c>
    </row>
    <row r="7779" spans="9:13" x14ac:dyDescent="0.25">
      <c r="I7779" t="s">
        <v>10261</v>
      </c>
      <c r="J7779" s="161" t="s">
        <v>19202</v>
      </c>
      <c r="K7779" t="s">
        <v>19203</v>
      </c>
      <c r="L7779" t="s">
        <v>10260</v>
      </c>
      <c r="M7779" s="161" t="s">
        <v>19202</v>
      </c>
    </row>
    <row r="7780" spans="9:13" x14ac:dyDescent="0.25">
      <c r="I7780" t="s">
        <v>20310</v>
      </c>
      <c r="J7780" s="161" t="s">
        <v>19202</v>
      </c>
      <c r="K7780" t="s">
        <v>19203</v>
      </c>
      <c r="L7780" t="s">
        <v>20311</v>
      </c>
      <c r="M7780" s="161" t="s">
        <v>19202</v>
      </c>
    </row>
    <row r="7781" spans="9:13" x14ac:dyDescent="0.25">
      <c r="I7781" t="s">
        <v>10844</v>
      </c>
      <c r="J7781" s="161" t="s">
        <v>19994</v>
      </c>
      <c r="K7781" t="s">
        <v>19203</v>
      </c>
      <c r="L7781" t="s">
        <v>10843</v>
      </c>
      <c r="M7781" s="161" t="s">
        <v>19994</v>
      </c>
    </row>
    <row r="7782" spans="9:13" x14ac:dyDescent="0.25">
      <c r="I7782" t="s">
        <v>6219</v>
      </c>
      <c r="J7782" s="161" t="s">
        <v>19994</v>
      </c>
      <c r="K7782" t="s">
        <v>19203</v>
      </c>
      <c r="L7782" t="s">
        <v>6218</v>
      </c>
      <c r="M7782" s="161" t="s">
        <v>19994</v>
      </c>
    </row>
    <row r="7783" spans="9:13" x14ac:dyDescent="0.25">
      <c r="I7783" t="s">
        <v>17706</v>
      </c>
      <c r="J7783" s="167" t="s">
        <v>19994</v>
      </c>
      <c r="K7783" t="s">
        <v>19203</v>
      </c>
      <c r="L7783" t="s">
        <v>17705</v>
      </c>
      <c r="M7783" s="167" t="s">
        <v>19994</v>
      </c>
    </row>
    <row r="7784" spans="9:13" x14ac:dyDescent="0.25">
      <c r="I7784" t="s">
        <v>2379</v>
      </c>
      <c r="J7784" s="161" t="s">
        <v>19202</v>
      </c>
      <c r="K7784" t="s">
        <v>19203</v>
      </c>
      <c r="L7784" t="s">
        <v>2378</v>
      </c>
      <c r="M7784" s="161" t="s">
        <v>19202</v>
      </c>
    </row>
    <row r="7785" spans="9:13" x14ac:dyDescent="0.25">
      <c r="I7785" t="s">
        <v>20312</v>
      </c>
      <c r="J7785" s="161" t="s">
        <v>19202</v>
      </c>
      <c r="K7785" t="s">
        <v>19203</v>
      </c>
      <c r="L7785" t="s">
        <v>20313</v>
      </c>
      <c r="M7785" s="161" t="s">
        <v>19202</v>
      </c>
    </row>
    <row r="7786" spans="9:13" x14ac:dyDescent="0.25">
      <c r="I7786" t="s">
        <v>11125</v>
      </c>
      <c r="J7786" s="161" t="s">
        <v>19202</v>
      </c>
      <c r="K7786" t="s">
        <v>19203</v>
      </c>
      <c r="L7786" t="s">
        <v>11124</v>
      </c>
      <c r="M7786" s="161" t="s">
        <v>19202</v>
      </c>
    </row>
    <row r="7787" spans="9:13" x14ac:dyDescent="0.25">
      <c r="I7787" t="s">
        <v>14919</v>
      </c>
      <c r="J7787" s="161" t="s">
        <v>19202</v>
      </c>
      <c r="K7787" t="s">
        <v>19203</v>
      </c>
      <c r="L7787" t="s">
        <v>14918</v>
      </c>
      <c r="M7787" s="161" t="s">
        <v>19202</v>
      </c>
    </row>
    <row r="7788" spans="9:13" x14ac:dyDescent="0.25">
      <c r="I7788" t="s">
        <v>16621</v>
      </c>
      <c r="J7788" s="161" t="s">
        <v>19202</v>
      </c>
      <c r="K7788" t="s">
        <v>19203</v>
      </c>
      <c r="L7788" t="s">
        <v>16620</v>
      </c>
      <c r="M7788" s="161" t="s">
        <v>19202</v>
      </c>
    </row>
    <row r="7789" spans="9:13" x14ac:dyDescent="0.25">
      <c r="I7789" t="s">
        <v>15886</v>
      </c>
      <c r="J7789" s="161" t="s">
        <v>19202</v>
      </c>
      <c r="K7789" t="s">
        <v>19203</v>
      </c>
      <c r="L7789" t="s">
        <v>15150</v>
      </c>
      <c r="M7789" s="161" t="s">
        <v>19202</v>
      </c>
    </row>
    <row r="7790" spans="9:13" x14ac:dyDescent="0.25">
      <c r="I7790" t="s">
        <v>13807</v>
      </c>
      <c r="J7790" s="161" t="s">
        <v>19202</v>
      </c>
      <c r="K7790" t="s">
        <v>19203</v>
      </c>
      <c r="L7790" t="s">
        <v>13806</v>
      </c>
      <c r="M7790" s="161" t="s">
        <v>19202</v>
      </c>
    </row>
    <row r="7791" spans="9:13" x14ac:dyDescent="0.25">
      <c r="I7791" t="s">
        <v>12670</v>
      </c>
      <c r="J7791" s="161" t="s">
        <v>19202</v>
      </c>
      <c r="K7791" t="s">
        <v>19203</v>
      </c>
      <c r="L7791" t="s">
        <v>12669</v>
      </c>
      <c r="M7791" s="161" t="s">
        <v>19202</v>
      </c>
    </row>
    <row r="7792" spans="9:13" x14ac:dyDescent="0.25">
      <c r="I7792" t="s">
        <v>20314</v>
      </c>
      <c r="J7792" s="161" t="s">
        <v>19202</v>
      </c>
      <c r="K7792" t="s">
        <v>19203</v>
      </c>
      <c r="L7792" t="s">
        <v>20315</v>
      </c>
      <c r="M7792" s="161" t="s">
        <v>19202</v>
      </c>
    </row>
    <row r="7793" spans="9:13" x14ac:dyDescent="0.25">
      <c r="I7793" t="s">
        <v>6587</v>
      </c>
      <c r="J7793" s="161" t="s">
        <v>19202</v>
      </c>
      <c r="K7793" t="s">
        <v>19203</v>
      </c>
      <c r="L7793" t="s">
        <v>6074</v>
      </c>
      <c r="M7793" s="161" t="s">
        <v>19202</v>
      </c>
    </row>
    <row r="7794" spans="9:13" x14ac:dyDescent="0.25">
      <c r="I7794" t="s">
        <v>17148</v>
      </c>
      <c r="J7794" s="161" t="s">
        <v>19202</v>
      </c>
      <c r="K7794" t="s">
        <v>19203</v>
      </c>
      <c r="L7794" t="s">
        <v>17147</v>
      </c>
      <c r="M7794" s="161" t="s">
        <v>19202</v>
      </c>
    </row>
    <row r="7795" spans="9:13" x14ac:dyDescent="0.25">
      <c r="I7795" t="s">
        <v>10265</v>
      </c>
      <c r="J7795" s="161" t="s">
        <v>19202</v>
      </c>
      <c r="K7795" t="s">
        <v>19203</v>
      </c>
      <c r="L7795" t="s">
        <v>10264</v>
      </c>
      <c r="M7795" s="161" t="s">
        <v>19202</v>
      </c>
    </row>
    <row r="7796" spans="9:13" x14ac:dyDescent="0.25">
      <c r="I7796" t="s">
        <v>10773</v>
      </c>
      <c r="J7796" s="161" t="s">
        <v>19202</v>
      </c>
      <c r="K7796" t="s">
        <v>19203</v>
      </c>
      <c r="L7796" t="s">
        <v>10772</v>
      </c>
      <c r="M7796" s="161" t="s">
        <v>19202</v>
      </c>
    </row>
    <row r="7797" spans="9:13" x14ac:dyDescent="0.25">
      <c r="I7797" t="s">
        <v>6348</v>
      </c>
      <c r="J7797" s="161" t="s">
        <v>19202</v>
      </c>
      <c r="K7797" t="s">
        <v>19203</v>
      </c>
      <c r="L7797" t="s">
        <v>85</v>
      </c>
      <c r="M7797" s="161" t="s">
        <v>19202</v>
      </c>
    </row>
    <row r="7798" spans="9:13" x14ac:dyDescent="0.25">
      <c r="I7798" t="s">
        <v>14359</v>
      </c>
      <c r="J7798" s="161" t="s">
        <v>19202</v>
      </c>
      <c r="K7798" t="s">
        <v>19203</v>
      </c>
      <c r="L7798" t="s">
        <v>14358</v>
      </c>
      <c r="M7798" s="161" t="s">
        <v>19202</v>
      </c>
    </row>
    <row r="7799" spans="9:13" x14ac:dyDescent="0.25">
      <c r="I7799" t="s">
        <v>9264</v>
      </c>
      <c r="J7799" s="161" t="s">
        <v>19202</v>
      </c>
      <c r="K7799" t="s">
        <v>19203</v>
      </c>
      <c r="L7799" t="s">
        <v>9263</v>
      </c>
      <c r="M7799" s="161" t="s">
        <v>19202</v>
      </c>
    </row>
    <row r="7800" spans="9:13" x14ac:dyDescent="0.25">
      <c r="I7800" t="s">
        <v>780</v>
      </c>
      <c r="J7800" s="161" t="s">
        <v>19202</v>
      </c>
      <c r="K7800" t="s">
        <v>19203</v>
      </c>
      <c r="L7800" t="s">
        <v>779</v>
      </c>
      <c r="M7800" s="161" t="s">
        <v>19202</v>
      </c>
    </row>
    <row r="7801" spans="9:13" x14ac:dyDescent="0.25">
      <c r="I7801" t="s">
        <v>353</v>
      </c>
      <c r="J7801" s="161" t="s">
        <v>19202</v>
      </c>
      <c r="K7801" t="s">
        <v>19203</v>
      </c>
      <c r="L7801" t="s">
        <v>352</v>
      </c>
      <c r="M7801" s="161" t="s">
        <v>19202</v>
      </c>
    </row>
    <row r="7802" spans="9:13" x14ac:dyDescent="0.25">
      <c r="I7802" t="s">
        <v>15274</v>
      </c>
      <c r="J7802" s="161" t="s">
        <v>19202</v>
      </c>
      <c r="K7802" t="s">
        <v>19203</v>
      </c>
      <c r="L7802" t="s">
        <v>457</v>
      </c>
      <c r="M7802" s="161" t="s">
        <v>19202</v>
      </c>
    </row>
    <row r="7803" spans="9:13" x14ac:dyDescent="0.25">
      <c r="I7803" t="s">
        <v>20316</v>
      </c>
      <c r="J7803" s="161" t="s">
        <v>19202</v>
      </c>
      <c r="K7803" t="s">
        <v>19203</v>
      </c>
      <c r="L7803" t="s">
        <v>20317</v>
      </c>
      <c r="M7803" s="161" t="s">
        <v>19202</v>
      </c>
    </row>
    <row r="7804" spans="9:13" x14ac:dyDescent="0.25">
      <c r="I7804" t="s">
        <v>20318</v>
      </c>
      <c r="J7804" s="161" t="s">
        <v>19202</v>
      </c>
      <c r="K7804" t="s">
        <v>19203</v>
      </c>
      <c r="L7804" t="s">
        <v>20319</v>
      </c>
      <c r="M7804" s="161" t="s">
        <v>19202</v>
      </c>
    </row>
    <row r="7805" spans="9:13" x14ac:dyDescent="0.25">
      <c r="I7805" t="s">
        <v>13026</v>
      </c>
      <c r="J7805" s="161" t="s">
        <v>19202</v>
      </c>
      <c r="K7805" t="s">
        <v>19203</v>
      </c>
      <c r="L7805" t="s">
        <v>13025</v>
      </c>
      <c r="M7805" s="161" t="s">
        <v>19202</v>
      </c>
    </row>
    <row r="7806" spans="9:13" x14ac:dyDescent="0.25">
      <c r="I7806" t="s">
        <v>16481</v>
      </c>
      <c r="J7806" s="161" t="s">
        <v>19202</v>
      </c>
      <c r="K7806" t="s">
        <v>19203</v>
      </c>
      <c r="L7806" t="s">
        <v>16480</v>
      </c>
      <c r="M7806" s="161" t="s">
        <v>19202</v>
      </c>
    </row>
    <row r="7807" spans="9:13" x14ac:dyDescent="0.25">
      <c r="I7807" t="s">
        <v>833</v>
      </c>
      <c r="J7807" s="161" t="s">
        <v>19202</v>
      </c>
      <c r="K7807" t="s">
        <v>19203</v>
      </c>
      <c r="L7807" t="s">
        <v>832</v>
      </c>
      <c r="M7807" s="161" t="s">
        <v>19202</v>
      </c>
    </row>
    <row r="7808" spans="9:13" x14ac:dyDescent="0.25">
      <c r="I7808" t="s">
        <v>5606</v>
      </c>
      <c r="J7808" s="167" t="s">
        <v>19994</v>
      </c>
      <c r="K7808" t="s">
        <v>19203</v>
      </c>
      <c r="L7808" t="s">
        <v>5605</v>
      </c>
      <c r="M7808" s="167" t="s">
        <v>19994</v>
      </c>
    </row>
    <row r="7809" spans="9:13" x14ac:dyDescent="0.25">
      <c r="I7809" t="s">
        <v>9866</v>
      </c>
      <c r="J7809" s="161" t="s">
        <v>19202</v>
      </c>
      <c r="K7809" t="s">
        <v>19203</v>
      </c>
      <c r="L7809" t="s">
        <v>9865</v>
      </c>
      <c r="M7809" s="161" t="s">
        <v>19202</v>
      </c>
    </row>
    <row r="7810" spans="9:13" x14ac:dyDescent="0.25">
      <c r="I7810" t="s">
        <v>14501</v>
      </c>
      <c r="J7810" s="161" t="s">
        <v>19202</v>
      </c>
      <c r="K7810" t="s">
        <v>19203</v>
      </c>
      <c r="L7810" t="s">
        <v>700</v>
      </c>
      <c r="M7810" s="161" t="s">
        <v>19202</v>
      </c>
    </row>
    <row r="7811" spans="9:13" x14ac:dyDescent="0.25">
      <c r="I7811" t="s">
        <v>14357</v>
      </c>
      <c r="J7811" s="161" t="s">
        <v>19202</v>
      </c>
      <c r="K7811" t="s">
        <v>19203</v>
      </c>
      <c r="L7811" t="s">
        <v>14356</v>
      </c>
      <c r="M7811" s="161" t="s">
        <v>19202</v>
      </c>
    </row>
    <row r="7812" spans="9:13" x14ac:dyDescent="0.25">
      <c r="I7812" t="s">
        <v>2184</v>
      </c>
      <c r="J7812" s="161" t="s">
        <v>19202</v>
      </c>
      <c r="K7812" t="s">
        <v>19203</v>
      </c>
      <c r="L7812" t="s">
        <v>2183</v>
      </c>
      <c r="M7812" s="161" t="s">
        <v>19202</v>
      </c>
    </row>
    <row r="7813" spans="9:13" x14ac:dyDescent="0.25">
      <c r="I7813" t="s">
        <v>16371</v>
      </c>
      <c r="J7813" s="161" t="s">
        <v>19202</v>
      </c>
      <c r="K7813" t="s">
        <v>19203</v>
      </c>
      <c r="L7813" t="s">
        <v>16370</v>
      </c>
      <c r="M7813" s="161" t="s">
        <v>19202</v>
      </c>
    </row>
    <row r="7814" spans="9:13" x14ac:dyDescent="0.25">
      <c r="I7814" t="s">
        <v>5153</v>
      </c>
      <c r="J7814" s="161" t="s">
        <v>19202</v>
      </c>
      <c r="K7814" t="s">
        <v>19203</v>
      </c>
      <c r="L7814" t="s">
        <v>5152</v>
      </c>
      <c r="M7814" s="161" t="s">
        <v>19202</v>
      </c>
    </row>
    <row r="7815" spans="9:13" x14ac:dyDescent="0.25">
      <c r="I7815" t="s">
        <v>20320</v>
      </c>
      <c r="J7815" s="161" t="s">
        <v>19202</v>
      </c>
      <c r="K7815" t="s">
        <v>19203</v>
      </c>
      <c r="L7815" t="s">
        <v>20321</v>
      </c>
      <c r="M7815" s="161" t="s">
        <v>19202</v>
      </c>
    </row>
    <row r="7816" spans="9:13" x14ac:dyDescent="0.25">
      <c r="I7816" t="s">
        <v>605</v>
      </c>
      <c r="J7816" s="161" t="s">
        <v>19202</v>
      </c>
      <c r="K7816" t="s">
        <v>19203</v>
      </c>
      <c r="L7816" t="s">
        <v>604</v>
      </c>
      <c r="M7816" s="161" t="s">
        <v>19202</v>
      </c>
    </row>
    <row r="7817" spans="9:13" x14ac:dyDescent="0.25">
      <c r="I7817" t="s">
        <v>5161</v>
      </c>
      <c r="J7817" s="161" t="s">
        <v>19202</v>
      </c>
      <c r="K7817" t="s">
        <v>19203</v>
      </c>
      <c r="L7817" t="s">
        <v>5160</v>
      </c>
      <c r="M7817" s="161" t="s">
        <v>19202</v>
      </c>
    </row>
    <row r="7818" spans="9:13" x14ac:dyDescent="0.25">
      <c r="I7818" t="s">
        <v>6040</v>
      </c>
      <c r="J7818" s="161" t="s">
        <v>19202</v>
      </c>
      <c r="K7818" t="s">
        <v>19203</v>
      </c>
      <c r="L7818" t="s">
        <v>6039</v>
      </c>
      <c r="M7818" s="161" t="s">
        <v>19202</v>
      </c>
    </row>
    <row r="7819" spans="9:13" x14ac:dyDescent="0.25">
      <c r="I7819" t="s">
        <v>15926</v>
      </c>
      <c r="J7819" s="161" t="s">
        <v>19202</v>
      </c>
      <c r="K7819" t="s">
        <v>19203</v>
      </c>
      <c r="L7819" t="s">
        <v>15925</v>
      </c>
      <c r="M7819" s="161" t="s">
        <v>19202</v>
      </c>
    </row>
    <row r="7820" spans="9:13" x14ac:dyDescent="0.25">
      <c r="I7820" t="s">
        <v>460</v>
      </c>
      <c r="J7820" s="161" t="s">
        <v>19202</v>
      </c>
      <c r="K7820" t="s">
        <v>19203</v>
      </c>
      <c r="L7820" t="s">
        <v>459</v>
      </c>
      <c r="M7820" s="161" t="s">
        <v>19202</v>
      </c>
    </row>
    <row r="7821" spans="9:13" x14ac:dyDescent="0.25">
      <c r="I7821" t="s">
        <v>20322</v>
      </c>
      <c r="J7821" s="161" t="s">
        <v>19202</v>
      </c>
      <c r="K7821" t="s">
        <v>19203</v>
      </c>
      <c r="L7821" t="s">
        <v>20323</v>
      </c>
      <c r="M7821" s="161" t="s">
        <v>19202</v>
      </c>
    </row>
    <row r="7822" spans="9:13" x14ac:dyDescent="0.25">
      <c r="I7822" t="s">
        <v>451</v>
      </c>
      <c r="J7822" s="161" t="s">
        <v>19202</v>
      </c>
      <c r="K7822" t="s">
        <v>19203</v>
      </c>
      <c r="L7822" t="s">
        <v>450</v>
      </c>
      <c r="M7822" s="161" t="s">
        <v>19202</v>
      </c>
    </row>
    <row r="7823" spans="9:13" x14ac:dyDescent="0.25">
      <c r="I7823" t="s">
        <v>11667</v>
      </c>
      <c r="J7823" s="161" t="s">
        <v>19202</v>
      </c>
      <c r="K7823" t="s">
        <v>19203</v>
      </c>
      <c r="L7823" t="s">
        <v>11666</v>
      </c>
      <c r="M7823" s="161" t="s">
        <v>19202</v>
      </c>
    </row>
    <row r="7824" spans="9:13" x14ac:dyDescent="0.25">
      <c r="I7824" t="s">
        <v>14273</v>
      </c>
      <c r="J7824" s="161" t="s">
        <v>19202</v>
      </c>
      <c r="K7824" t="s">
        <v>19203</v>
      </c>
      <c r="L7824" t="s">
        <v>1520</v>
      </c>
      <c r="M7824" s="161" t="s">
        <v>19202</v>
      </c>
    </row>
    <row r="7825" spans="9:13" x14ac:dyDescent="0.25">
      <c r="I7825" t="s">
        <v>7794</v>
      </c>
      <c r="J7825" s="161" t="s">
        <v>19202</v>
      </c>
      <c r="K7825" t="s">
        <v>19203</v>
      </c>
      <c r="L7825" t="s">
        <v>7793</v>
      </c>
      <c r="M7825" s="161" t="s">
        <v>19202</v>
      </c>
    </row>
    <row r="7826" spans="9:13" x14ac:dyDescent="0.25">
      <c r="I7826" t="s">
        <v>12099</v>
      </c>
      <c r="J7826" s="161" t="s">
        <v>19202</v>
      </c>
      <c r="K7826" t="s">
        <v>19203</v>
      </c>
      <c r="L7826" t="s">
        <v>12098</v>
      </c>
      <c r="M7826" s="161" t="s">
        <v>19202</v>
      </c>
    </row>
    <row r="7827" spans="9:13" x14ac:dyDescent="0.25">
      <c r="I7827" t="s">
        <v>9925</v>
      </c>
      <c r="J7827" s="161" t="s">
        <v>19202</v>
      </c>
      <c r="K7827" t="s">
        <v>19203</v>
      </c>
      <c r="L7827" t="s">
        <v>9924</v>
      </c>
      <c r="M7827" s="161" t="s">
        <v>19202</v>
      </c>
    </row>
    <row r="7828" spans="9:13" x14ac:dyDescent="0.25">
      <c r="I7828" t="s">
        <v>16727</v>
      </c>
      <c r="J7828" s="161" t="s">
        <v>19202</v>
      </c>
      <c r="K7828" t="s">
        <v>19203</v>
      </c>
      <c r="L7828" t="s">
        <v>16726</v>
      </c>
      <c r="M7828" s="161" t="s">
        <v>19202</v>
      </c>
    </row>
    <row r="7829" spans="9:13" x14ac:dyDescent="0.25">
      <c r="I7829" t="s">
        <v>20324</v>
      </c>
      <c r="J7829" s="161" t="s">
        <v>19202</v>
      </c>
      <c r="K7829" t="s">
        <v>19203</v>
      </c>
      <c r="L7829" t="s">
        <v>20325</v>
      </c>
      <c r="M7829" s="161" t="s">
        <v>19202</v>
      </c>
    </row>
    <row r="7830" spans="9:13" x14ac:dyDescent="0.25">
      <c r="I7830" t="s">
        <v>8632</v>
      </c>
      <c r="J7830" s="161" t="s">
        <v>19202</v>
      </c>
      <c r="K7830" t="s">
        <v>19203</v>
      </c>
      <c r="L7830" t="s">
        <v>8631</v>
      </c>
      <c r="M7830" s="161" t="s">
        <v>19202</v>
      </c>
    </row>
    <row r="7831" spans="9:13" x14ac:dyDescent="0.25">
      <c r="I7831" t="s">
        <v>8946</v>
      </c>
      <c r="J7831" s="161" t="s">
        <v>19202</v>
      </c>
      <c r="K7831" t="s">
        <v>19203</v>
      </c>
      <c r="L7831" t="s">
        <v>8945</v>
      </c>
      <c r="M7831" s="161" t="s">
        <v>19202</v>
      </c>
    </row>
    <row r="7832" spans="9:13" x14ac:dyDescent="0.25">
      <c r="I7832" t="s">
        <v>17104</v>
      </c>
      <c r="J7832" s="161" t="s">
        <v>19202</v>
      </c>
      <c r="K7832" t="s">
        <v>19203</v>
      </c>
      <c r="L7832" t="s">
        <v>17103</v>
      </c>
      <c r="M7832" s="161" t="s">
        <v>19202</v>
      </c>
    </row>
    <row r="7833" spans="9:13" x14ac:dyDescent="0.25">
      <c r="I7833" t="s">
        <v>12510</v>
      </c>
      <c r="J7833" s="161" t="s">
        <v>19202</v>
      </c>
      <c r="K7833" t="s">
        <v>19203</v>
      </c>
      <c r="L7833" t="s">
        <v>12509</v>
      </c>
      <c r="M7833" s="161" t="s">
        <v>19202</v>
      </c>
    </row>
    <row r="7834" spans="9:13" x14ac:dyDescent="0.25">
      <c r="I7834" t="s">
        <v>375</v>
      </c>
      <c r="J7834" s="161" t="s">
        <v>19202</v>
      </c>
      <c r="K7834" t="s">
        <v>19203</v>
      </c>
      <c r="L7834" t="s">
        <v>374</v>
      </c>
      <c r="M7834" s="161" t="s">
        <v>19202</v>
      </c>
    </row>
    <row r="7835" spans="9:13" x14ac:dyDescent="0.25">
      <c r="I7835" t="s">
        <v>365</v>
      </c>
      <c r="J7835" s="161" t="s">
        <v>19202</v>
      </c>
      <c r="K7835" t="s">
        <v>19203</v>
      </c>
      <c r="L7835" t="s">
        <v>261</v>
      </c>
      <c r="M7835" s="161" t="s">
        <v>19202</v>
      </c>
    </row>
    <row r="7836" spans="9:13" x14ac:dyDescent="0.25">
      <c r="I7836" t="s">
        <v>3187</v>
      </c>
      <c r="J7836" s="161" t="s">
        <v>19202</v>
      </c>
      <c r="K7836" t="s">
        <v>19203</v>
      </c>
      <c r="L7836" t="s">
        <v>3186</v>
      </c>
      <c r="M7836" s="161" t="s">
        <v>19202</v>
      </c>
    </row>
    <row r="7837" spans="9:13" x14ac:dyDescent="0.25">
      <c r="I7837" t="s">
        <v>20326</v>
      </c>
      <c r="J7837" s="167" t="s">
        <v>19994</v>
      </c>
      <c r="K7837" t="s">
        <v>19203</v>
      </c>
      <c r="L7837" t="s">
        <v>826</v>
      </c>
      <c r="M7837" s="167" t="s">
        <v>19994</v>
      </c>
    </row>
    <row r="7838" spans="9:13" x14ac:dyDescent="0.25">
      <c r="I7838" t="s">
        <v>12588</v>
      </c>
      <c r="J7838" s="161" t="s">
        <v>19202</v>
      </c>
      <c r="K7838" t="s">
        <v>19203</v>
      </c>
      <c r="L7838" t="s">
        <v>12587</v>
      </c>
      <c r="M7838" s="161" t="s">
        <v>19202</v>
      </c>
    </row>
    <row r="7839" spans="9:13" x14ac:dyDescent="0.25">
      <c r="I7839" t="s">
        <v>7210</v>
      </c>
      <c r="J7839" s="161" t="s">
        <v>19202</v>
      </c>
      <c r="K7839" t="s">
        <v>19203</v>
      </c>
      <c r="L7839" t="s">
        <v>7209</v>
      </c>
      <c r="M7839" s="161" t="s">
        <v>19202</v>
      </c>
    </row>
    <row r="7840" spans="9:13" x14ac:dyDescent="0.25">
      <c r="I7840" t="s">
        <v>8576</v>
      </c>
      <c r="J7840" s="161" t="s">
        <v>19202</v>
      </c>
      <c r="K7840" t="s">
        <v>19203</v>
      </c>
      <c r="L7840" t="s">
        <v>8575</v>
      </c>
      <c r="M7840" s="161" t="s">
        <v>19202</v>
      </c>
    </row>
    <row r="7841" spans="9:13" x14ac:dyDescent="0.25">
      <c r="I7841" t="s">
        <v>11064</v>
      </c>
      <c r="J7841" s="161" t="s">
        <v>19202</v>
      </c>
      <c r="K7841" t="s">
        <v>19203</v>
      </c>
      <c r="L7841" t="s">
        <v>11063</v>
      </c>
      <c r="M7841" s="161" t="s">
        <v>19202</v>
      </c>
    </row>
    <row r="7842" spans="9:13" x14ac:dyDescent="0.25">
      <c r="I7842" t="s">
        <v>9062</v>
      </c>
      <c r="J7842" s="161" t="s">
        <v>19202</v>
      </c>
      <c r="K7842" t="s">
        <v>19203</v>
      </c>
      <c r="L7842" t="s">
        <v>9061</v>
      </c>
      <c r="M7842" s="161" t="s">
        <v>19202</v>
      </c>
    </row>
    <row r="7843" spans="9:13" x14ac:dyDescent="0.25">
      <c r="I7843" t="s">
        <v>11060</v>
      </c>
      <c r="J7843" s="161" t="s">
        <v>19202</v>
      </c>
      <c r="K7843" t="s">
        <v>19203</v>
      </c>
      <c r="L7843" t="s">
        <v>11059</v>
      </c>
      <c r="M7843" s="161" t="s">
        <v>19202</v>
      </c>
    </row>
    <row r="7844" spans="9:13" x14ac:dyDescent="0.25">
      <c r="I7844" t="s">
        <v>11651</v>
      </c>
      <c r="J7844" s="161" t="s">
        <v>19202</v>
      </c>
      <c r="K7844" t="s">
        <v>19203</v>
      </c>
      <c r="L7844" t="s">
        <v>11650</v>
      </c>
      <c r="M7844" s="161" t="s">
        <v>19202</v>
      </c>
    </row>
    <row r="7845" spans="9:13" x14ac:dyDescent="0.25">
      <c r="I7845" t="s">
        <v>5798</v>
      </c>
      <c r="J7845" s="161" t="s">
        <v>19202</v>
      </c>
      <c r="K7845" t="s">
        <v>19203</v>
      </c>
      <c r="L7845" t="s">
        <v>5797</v>
      </c>
      <c r="M7845" s="161" t="s">
        <v>19202</v>
      </c>
    </row>
    <row r="7846" spans="9:13" x14ac:dyDescent="0.25">
      <c r="I7846" t="s">
        <v>6794</v>
      </c>
      <c r="J7846" s="161" t="s">
        <v>19202</v>
      </c>
      <c r="K7846" t="s">
        <v>19203</v>
      </c>
      <c r="L7846" t="s">
        <v>6793</v>
      </c>
      <c r="M7846" s="161" t="s">
        <v>19202</v>
      </c>
    </row>
    <row r="7847" spans="9:13" x14ac:dyDescent="0.25">
      <c r="I7847" t="s">
        <v>6704</v>
      </c>
      <c r="J7847" s="167" t="s">
        <v>19994</v>
      </c>
      <c r="K7847" t="s">
        <v>19203</v>
      </c>
      <c r="L7847" t="s">
        <v>6703</v>
      </c>
      <c r="M7847" s="167" t="s">
        <v>19994</v>
      </c>
    </row>
    <row r="7848" spans="9:13" x14ac:dyDescent="0.25">
      <c r="I7848" t="s">
        <v>12380</v>
      </c>
      <c r="J7848" s="161" t="s">
        <v>19202</v>
      </c>
      <c r="K7848" t="s">
        <v>19203</v>
      </c>
      <c r="L7848" t="s">
        <v>12379</v>
      </c>
      <c r="M7848" s="161" t="s">
        <v>19202</v>
      </c>
    </row>
    <row r="7849" spans="9:13" x14ac:dyDescent="0.25">
      <c r="I7849" t="s">
        <v>6410</v>
      </c>
      <c r="J7849" s="161" t="s">
        <v>19202</v>
      </c>
      <c r="K7849" t="s">
        <v>19203</v>
      </c>
      <c r="L7849" t="s">
        <v>6409</v>
      </c>
      <c r="M7849" s="161" t="s">
        <v>19202</v>
      </c>
    </row>
    <row r="7850" spans="9:13" x14ac:dyDescent="0.25">
      <c r="I7850" t="s">
        <v>17716</v>
      </c>
      <c r="J7850" s="161" t="s">
        <v>19202</v>
      </c>
      <c r="K7850" t="s">
        <v>19203</v>
      </c>
      <c r="L7850" t="s">
        <v>17715</v>
      </c>
      <c r="M7850" s="161" t="s">
        <v>19202</v>
      </c>
    </row>
    <row r="7851" spans="9:13" x14ac:dyDescent="0.25">
      <c r="I7851" t="s">
        <v>11643</v>
      </c>
      <c r="J7851" s="161" t="s">
        <v>19202</v>
      </c>
      <c r="K7851" t="s">
        <v>19203</v>
      </c>
      <c r="L7851" t="s">
        <v>11642</v>
      </c>
      <c r="M7851" s="161" t="s">
        <v>19202</v>
      </c>
    </row>
    <row r="7852" spans="9:13" x14ac:dyDescent="0.25">
      <c r="I7852" t="s">
        <v>11728</v>
      </c>
      <c r="J7852" s="161" t="s">
        <v>19202</v>
      </c>
      <c r="K7852" t="s">
        <v>19203</v>
      </c>
      <c r="L7852" t="s">
        <v>11727</v>
      </c>
      <c r="M7852" s="161" t="s">
        <v>19202</v>
      </c>
    </row>
    <row r="7853" spans="9:13" x14ac:dyDescent="0.25">
      <c r="I7853" t="s">
        <v>12851</v>
      </c>
      <c r="J7853" s="161" t="s">
        <v>19202</v>
      </c>
      <c r="K7853" t="s">
        <v>19203</v>
      </c>
      <c r="L7853" t="s">
        <v>12850</v>
      </c>
      <c r="M7853" s="161" t="s">
        <v>19202</v>
      </c>
    </row>
    <row r="7854" spans="9:13" x14ac:dyDescent="0.25">
      <c r="I7854" t="s">
        <v>367</v>
      </c>
      <c r="J7854" s="161" t="s">
        <v>19202</v>
      </c>
      <c r="K7854" t="s">
        <v>19203</v>
      </c>
      <c r="L7854" t="s">
        <v>366</v>
      </c>
      <c r="M7854" s="161" t="s">
        <v>19202</v>
      </c>
    </row>
    <row r="7855" spans="9:13" x14ac:dyDescent="0.25">
      <c r="I7855" t="s">
        <v>20327</v>
      </c>
      <c r="J7855" s="161" t="s">
        <v>19202</v>
      </c>
      <c r="K7855" t="s">
        <v>19203</v>
      </c>
      <c r="L7855" t="s">
        <v>20328</v>
      </c>
      <c r="M7855" s="161" t="s">
        <v>19202</v>
      </c>
    </row>
    <row r="7856" spans="9:13" x14ac:dyDescent="0.25">
      <c r="I7856" t="s">
        <v>20329</v>
      </c>
      <c r="J7856" s="161" t="s">
        <v>19202</v>
      </c>
      <c r="K7856" t="s">
        <v>19203</v>
      </c>
      <c r="L7856" t="s">
        <v>20330</v>
      </c>
      <c r="M7856" s="161" t="s">
        <v>19202</v>
      </c>
    </row>
    <row r="7857" spans="9:13" x14ac:dyDescent="0.25">
      <c r="I7857" t="s">
        <v>5260</v>
      </c>
      <c r="J7857" s="161" t="s">
        <v>19202</v>
      </c>
      <c r="K7857" t="s">
        <v>19203</v>
      </c>
      <c r="L7857" t="s">
        <v>5259</v>
      </c>
      <c r="M7857" s="161" t="s">
        <v>19202</v>
      </c>
    </row>
    <row r="7858" spans="9:13" x14ac:dyDescent="0.25">
      <c r="I7858" t="s">
        <v>15095</v>
      </c>
      <c r="J7858" s="161" t="s">
        <v>19202</v>
      </c>
      <c r="K7858" t="s">
        <v>19203</v>
      </c>
      <c r="L7858" t="s">
        <v>15094</v>
      </c>
      <c r="M7858" s="161" t="s">
        <v>19202</v>
      </c>
    </row>
    <row r="7859" spans="9:13" x14ac:dyDescent="0.25">
      <c r="I7859" t="s">
        <v>6891</v>
      </c>
      <c r="J7859" s="161" t="s">
        <v>19202</v>
      </c>
      <c r="K7859" t="s">
        <v>19203</v>
      </c>
      <c r="L7859" t="s">
        <v>6890</v>
      </c>
      <c r="M7859" s="161" t="s">
        <v>19202</v>
      </c>
    </row>
    <row r="7860" spans="9:13" x14ac:dyDescent="0.25">
      <c r="I7860" t="s">
        <v>362</v>
      </c>
      <c r="J7860" s="161" t="s">
        <v>19202</v>
      </c>
      <c r="K7860" t="s">
        <v>19203</v>
      </c>
      <c r="L7860" t="s">
        <v>361</v>
      </c>
      <c r="M7860" s="161" t="s">
        <v>19202</v>
      </c>
    </row>
    <row r="7861" spans="9:13" x14ac:dyDescent="0.25">
      <c r="I7861" t="s">
        <v>360</v>
      </c>
      <c r="J7861" s="161" t="s">
        <v>19202</v>
      </c>
      <c r="K7861" t="s">
        <v>19203</v>
      </c>
      <c r="L7861" t="s">
        <v>359</v>
      </c>
      <c r="M7861" s="161" t="s">
        <v>19202</v>
      </c>
    </row>
    <row r="7862" spans="9:13" x14ac:dyDescent="0.25">
      <c r="I7862" t="s">
        <v>8876</v>
      </c>
      <c r="J7862" s="161" t="s">
        <v>19202</v>
      </c>
      <c r="K7862" t="s">
        <v>19203</v>
      </c>
      <c r="L7862" t="s">
        <v>8875</v>
      </c>
      <c r="M7862" s="161" t="s">
        <v>19202</v>
      </c>
    </row>
    <row r="7863" spans="9:13" x14ac:dyDescent="0.25">
      <c r="I7863" t="s">
        <v>8874</v>
      </c>
      <c r="J7863" s="161" t="s">
        <v>19202</v>
      </c>
      <c r="K7863" t="s">
        <v>19203</v>
      </c>
      <c r="L7863" t="s">
        <v>8873</v>
      </c>
      <c r="M7863" s="161" t="s">
        <v>19202</v>
      </c>
    </row>
    <row r="7864" spans="9:13" x14ac:dyDescent="0.25">
      <c r="I7864" t="s">
        <v>8872</v>
      </c>
      <c r="J7864" s="161" t="s">
        <v>19202</v>
      </c>
      <c r="K7864" t="s">
        <v>19203</v>
      </c>
      <c r="L7864" t="s">
        <v>8871</v>
      </c>
      <c r="M7864" s="161" t="s">
        <v>19202</v>
      </c>
    </row>
    <row r="7865" spans="9:13" x14ac:dyDescent="0.25">
      <c r="I7865" t="s">
        <v>8870</v>
      </c>
      <c r="J7865" s="161" t="s">
        <v>19202</v>
      </c>
      <c r="K7865" t="s">
        <v>19203</v>
      </c>
      <c r="L7865" t="s">
        <v>8869</v>
      </c>
      <c r="M7865" s="161" t="s">
        <v>19202</v>
      </c>
    </row>
    <row r="7866" spans="9:13" x14ac:dyDescent="0.25">
      <c r="I7866" t="s">
        <v>8858</v>
      </c>
      <c r="J7866" s="161" t="s">
        <v>19202</v>
      </c>
      <c r="K7866" t="s">
        <v>19203</v>
      </c>
      <c r="L7866" t="s">
        <v>8857</v>
      </c>
      <c r="M7866" s="161" t="s">
        <v>19202</v>
      </c>
    </row>
    <row r="7867" spans="9:13" x14ac:dyDescent="0.25">
      <c r="I7867" t="s">
        <v>8854</v>
      </c>
      <c r="J7867" s="161" t="s">
        <v>19202</v>
      </c>
      <c r="K7867" t="s">
        <v>19203</v>
      </c>
      <c r="L7867" t="s">
        <v>8853</v>
      </c>
      <c r="M7867" s="161" t="s">
        <v>19202</v>
      </c>
    </row>
    <row r="7868" spans="9:13" x14ac:dyDescent="0.25">
      <c r="I7868" t="s">
        <v>20331</v>
      </c>
      <c r="J7868" s="161" t="s">
        <v>19202</v>
      </c>
      <c r="K7868" t="s">
        <v>19203</v>
      </c>
      <c r="L7868" t="s">
        <v>20332</v>
      </c>
      <c r="M7868" s="161" t="s">
        <v>19202</v>
      </c>
    </row>
    <row r="7869" spans="9:13" x14ac:dyDescent="0.25">
      <c r="I7869" t="s">
        <v>20333</v>
      </c>
      <c r="J7869" s="161" t="s">
        <v>19202</v>
      </c>
      <c r="K7869" t="s">
        <v>19203</v>
      </c>
      <c r="L7869" t="s">
        <v>20334</v>
      </c>
      <c r="M7869" s="161" t="s">
        <v>19202</v>
      </c>
    </row>
    <row r="7870" spans="9:13" x14ac:dyDescent="0.25">
      <c r="I7870" t="s">
        <v>12599</v>
      </c>
      <c r="J7870" s="161" t="s">
        <v>19202</v>
      </c>
      <c r="K7870" t="s">
        <v>19203</v>
      </c>
      <c r="L7870" t="s">
        <v>12598</v>
      </c>
      <c r="M7870" s="161" t="s">
        <v>19202</v>
      </c>
    </row>
    <row r="7871" spans="9:13" x14ac:dyDescent="0.25">
      <c r="I7871" t="s">
        <v>16479</v>
      </c>
      <c r="J7871" s="161" t="s">
        <v>19202</v>
      </c>
      <c r="K7871" t="s">
        <v>19203</v>
      </c>
      <c r="L7871" t="s">
        <v>126</v>
      </c>
      <c r="M7871" s="161" t="s">
        <v>19202</v>
      </c>
    </row>
    <row r="7872" spans="9:13" x14ac:dyDescent="0.25">
      <c r="I7872" t="s">
        <v>14948</v>
      </c>
      <c r="J7872" s="161" t="s">
        <v>19202</v>
      </c>
      <c r="K7872" t="s">
        <v>19203</v>
      </c>
      <c r="L7872" t="s">
        <v>6385</v>
      </c>
      <c r="M7872" s="161" t="s">
        <v>19202</v>
      </c>
    </row>
    <row r="7873" spans="9:13" x14ac:dyDescent="0.25">
      <c r="I7873" t="s">
        <v>11647</v>
      </c>
      <c r="J7873" s="161" t="s">
        <v>19202</v>
      </c>
      <c r="K7873" t="s">
        <v>19203</v>
      </c>
      <c r="L7873" t="s">
        <v>11646</v>
      </c>
      <c r="M7873" s="161" t="s">
        <v>19202</v>
      </c>
    </row>
    <row r="7874" spans="9:13" x14ac:dyDescent="0.25">
      <c r="I7874" t="s">
        <v>8574</v>
      </c>
      <c r="J7874" s="161" t="s">
        <v>19202</v>
      </c>
      <c r="K7874" t="s">
        <v>19203</v>
      </c>
      <c r="L7874" t="s">
        <v>8573</v>
      </c>
      <c r="M7874" s="161" t="s">
        <v>19202</v>
      </c>
    </row>
    <row r="7875" spans="9:13" x14ac:dyDescent="0.25">
      <c r="I7875" t="s">
        <v>11669</v>
      </c>
      <c r="J7875" s="161" t="s">
        <v>19202</v>
      </c>
      <c r="K7875" t="s">
        <v>19203</v>
      </c>
      <c r="L7875" t="s">
        <v>11668</v>
      </c>
      <c r="M7875" s="161" t="s">
        <v>19202</v>
      </c>
    </row>
    <row r="7876" spans="9:13" x14ac:dyDescent="0.25">
      <c r="I7876" t="s">
        <v>5149</v>
      </c>
      <c r="J7876" s="161" t="s">
        <v>19202</v>
      </c>
      <c r="K7876" t="s">
        <v>19203</v>
      </c>
      <c r="L7876" t="s">
        <v>3512</v>
      </c>
      <c r="M7876" s="161" t="s">
        <v>19202</v>
      </c>
    </row>
    <row r="7877" spans="9:13" x14ac:dyDescent="0.25">
      <c r="I7877" t="s">
        <v>2524</v>
      </c>
      <c r="J7877" s="161" t="s">
        <v>19202</v>
      </c>
      <c r="K7877" t="s">
        <v>19203</v>
      </c>
      <c r="L7877" t="s">
        <v>2523</v>
      </c>
      <c r="M7877" s="161" t="s">
        <v>19202</v>
      </c>
    </row>
    <row r="7878" spans="9:13" x14ac:dyDescent="0.25">
      <c r="I7878" t="s">
        <v>371</v>
      </c>
      <c r="J7878" s="161" t="s">
        <v>19202</v>
      </c>
      <c r="K7878" t="s">
        <v>19203</v>
      </c>
      <c r="L7878" t="s">
        <v>370</v>
      </c>
      <c r="M7878" s="161" t="s">
        <v>19202</v>
      </c>
    </row>
    <row r="7879" spans="9:13" x14ac:dyDescent="0.25">
      <c r="I7879" t="s">
        <v>10313</v>
      </c>
      <c r="J7879" s="161" t="s">
        <v>19202</v>
      </c>
      <c r="K7879" t="s">
        <v>19203</v>
      </c>
      <c r="L7879" t="s">
        <v>10312</v>
      </c>
      <c r="M7879" s="161" t="s">
        <v>19202</v>
      </c>
    </row>
    <row r="7880" spans="9:13" x14ac:dyDescent="0.25">
      <c r="I7880" t="s">
        <v>20335</v>
      </c>
      <c r="J7880" s="161" t="s">
        <v>19202</v>
      </c>
      <c r="K7880" t="s">
        <v>19203</v>
      </c>
      <c r="L7880" t="s">
        <v>20336</v>
      </c>
      <c r="M7880" s="161" t="s">
        <v>19202</v>
      </c>
    </row>
    <row r="7881" spans="9:13" x14ac:dyDescent="0.25">
      <c r="I7881" t="s">
        <v>5258</v>
      </c>
      <c r="J7881" s="161" t="s">
        <v>19202</v>
      </c>
      <c r="K7881" t="s">
        <v>19203</v>
      </c>
      <c r="L7881" t="s">
        <v>5257</v>
      </c>
      <c r="M7881" s="161" t="s">
        <v>19202</v>
      </c>
    </row>
    <row r="7882" spans="9:13" x14ac:dyDescent="0.25">
      <c r="I7882" t="s">
        <v>5476</v>
      </c>
      <c r="J7882" s="161" t="s">
        <v>19202</v>
      </c>
      <c r="K7882" t="s">
        <v>19203</v>
      </c>
      <c r="L7882" t="s">
        <v>5475</v>
      </c>
      <c r="M7882" s="161" t="s">
        <v>19202</v>
      </c>
    </row>
    <row r="7883" spans="9:13" x14ac:dyDescent="0.25">
      <c r="I7883" t="s">
        <v>20337</v>
      </c>
      <c r="J7883" s="161" t="s">
        <v>19202</v>
      </c>
      <c r="K7883" t="s">
        <v>19203</v>
      </c>
      <c r="L7883" t="s">
        <v>15227</v>
      </c>
      <c r="M7883" s="161" t="s">
        <v>19202</v>
      </c>
    </row>
    <row r="7884" spans="9:13" x14ac:dyDescent="0.25">
      <c r="I7884" t="s">
        <v>16369</v>
      </c>
      <c r="J7884" s="161" t="s">
        <v>19202</v>
      </c>
      <c r="K7884" t="s">
        <v>19203</v>
      </c>
      <c r="L7884" t="s">
        <v>16368</v>
      </c>
      <c r="M7884" s="161" t="s">
        <v>19202</v>
      </c>
    </row>
    <row r="7885" spans="9:13" x14ac:dyDescent="0.25">
      <c r="I7885" t="s">
        <v>6586</v>
      </c>
      <c r="J7885" s="161" t="s">
        <v>19202</v>
      </c>
      <c r="K7885" t="s">
        <v>19203</v>
      </c>
      <c r="L7885" t="s">
        <v>6585</v>
      </c>
      <c r="M7885" s="161" t="s">
        <v>19202</v>
      </c>
    </row>
    <row r="7886" spans="9:13" x14ac:dyDescent="0.25">
      <c r="I7886" t="s">
        <v>11500</v>
      </c>
      <c r="J7886" s="161" t="s">
        <v>19202</v>
      </c>
      <c r="K7886" t="s">
        <v>19203</v>
      </c>
      <c r="L7886" t="s">
        <v>11499</v>
      </c>
      <c r="M7886" s="161" t="s">
        <v>19202</v>
      </c>
    </row>
    <row r="7887" spans="9:13" x14ac:dyDescent="0.25">
      <c r="I7887" t="s">
        <v>20338</v>
      </c>
      <c r="J7887" s="161" t="s">
        <v>19202</v>
      </c>
      <c r="K7887" t="s">
        <v>19203</v>
      </c>
      <c r="L7887" t="s">
        <v>20339</v>
      </c>
      <c r="M7887" s="161" t="s">
        <v>19202</v>
      </c>
    </row>
    <row r="7888" spans="9:13" x14ac:dyDescent="0.25">
      <c r="I7888" t="s">
        <v>9923</v>
      </c>
      <c r="J7888" s="161" t="s">
        <v>19202</v>
      </c>
      <c r="K7888" t="s">
        <v>19203</v>
      </c>
      <c r="L7888" t="s">
        <v>9922</v>
      </c>
      <c r="M7888" s="161" t="s">
        <v>19202</v>
      </c>
    </row>
    <row r="7889" spans="9:13" x14ac:dyDescent="0.25">
      <c r="I7889" t="s">
        <v>17004</v>
      </c>
      <c r="J7889" s="161" t="s">
        <v>19202</v>
      </c>
      <c r="K7889" t="s">
        <v>19203</v>
      </c>
      <c r="L7889" t="s">
        <v>17003</v>
      </c>
      <c r="M7889" s="161" t="s">
        <v>19202</v>
      </c>
    </row>
    <row r="7890" spans="9:13" x14ac:dyDescent="0.25">
      <c r="I7890" t="s">
        <v>20340</v>
      </c>
      <c r="J7890" s="161" t="s">
        <v>19202</v>
      </c>
      <c r="K7890" t="s">
        <v>19203</v>
      </c>
      <c r="L7890" t="s">
        <v>20341</v>
      </c>
      <c r="M7890" s="161" t="s">
        <v>19202</v>
      </c>
    </row>
    <row r="7891" spans="9:13" x14ac:dyDescent="0.25">
      <c r="I7891" t="s">
        <v>11641</v>
      </c>
      <c r="J7891" s="161" t="s">
        <v>19202</v>
      </c>
      <c r="K7891" t="s">
        <v>19203</v>
      </c>
      <c r="L7891" t="s">
        <v>11640</v>
      </c>
      <c r="M7891" s="161" t="s">
        <v>19202</v>
      </c>
    </row>
    <row r="7892" spans="9:13" x14ac:dyDescent="0.25">
      <c r="I7892" t="s">
        <v>16140</v>
      </c>
      <c r="J7892" s="161" t="s">
        <v>19202</v>
      </c>
      <c r="K7892" t="s">
        <v>19203</v>
      </c>
      <c r="L7892" t="s">
        <v>16139</v>
      </c>
      <c r="M7892" s="161" t="s">
        <v>19202</v>
      </c>
    </row>
    <row r="7893" spans="9:13" x14ac:dyDescent="0.25">
      <c r="I7893" t="s">
        <v>20342</v>
      </c>
      <c r="J7893" s="161" t="s">
        <v>19202</v>
      </c>
      <c r="K7893" t="s">
        <v>19203</v>
      </c>
      <c r="L7893" t="s">
        <v>20343</v>
      </c>
      <c r="M7893" s="161" t="s">
        <v>19202</v>
      </c>
    </row>
    <row r="7894" spans="9:13" x14ac:dyDescent="0.25">
      <c r="I7894" t="s">
        <v>9394</v>
      </c>
      <c r="J7894" s="161" t="s">
        <v>19202</v>
      </c>
      <c r="K7894" t="s">
        <v>19203</v>
      </c>
      <c r="L7894" t="s">
        <v>9393</v>
      </c>
      <c r="M7894" s="161" t="s">
        <v>19202</v>
      </c>
    </row>
    <row r="7895" spans="9:13" x14ac:dyDescent="0.25">
      <c r="I7895" t="s">
        <v>515</v>
      </c>
      <c r="J7895" s="161" t="s">
        <v>19202</v>
      </c>
      <c r="K7895" t="s">
        <v>19203</v>
      </c>
      <c r="L7895" t="s">
        <v>514</v>
      </c>
      <c r="M7895" s="161" t="s">
        <v>19202</v>
      </c>
    </row>
    <row r="7896" spans="9:13" x14ac:dyDescent="0.25">
      <c r="I7896" t="s">
        <v>20344</v>
      </c>
      <c r="J7896" s="161" t="s">
        <v>19202</v>
      </c>
      <c r="K7896" t="s">
        <v>19203</v>
      </c>
      <c r="L7896" t="s">
        <v>20345</v>
      </c>
      <c r="M7896" s="161" t="s">
        <v>19202</v>
      </c>
    </row>
    <row r="7897" spans="9:13" x14ac:dyDescent="0.25">
      <c r="I7897" t="s">
        <v>11871</v>
      </c>
      <c r="J7897" s="161" t="s">
        <v>19202</v>
      </c>
      <c r="K7897" t="s">
        <v>19203</v>
      </c>
      <c r="L7897" t="s">
        <v>11870</v>
      </c>
      <c r="M7897" s="161" t="s">
        <v>19202</v>
      </c>
    </row>
    <row r="7898" spans="9:13" x14ac:dyDescent="0.25">
      <c r="I7898" t="s">
        <v>5151</v>
      </c>
      <c r="J7898" s="161" t="s">
        <v>19202</v>
      </c>
      <c r="K7898" t="s">
        <v>19203</v>
      </c>
      <c r="L7898" t="s">
        <v>5150</v>
      </c>
      <c r="M7898" s="161" t="s">
        <v>19202</v>
      </c>
    </row>
    <row r="7899" spans="9:13" x14ac:dyDescent="0.25">
      <c r="I7899" t="s">
        <v>12853</v>
      </c>
      <c r="J7899" s="161" t="s">
        <v>19202</v>
      </c>
      <c r="K7899" t="s">
        <v>19203</v>
      </c>
      <c r="L7899" t="s">
        <v>12852</v>
      </c>
      <c r="M7899" s="161" t="s">
        <v>19202</v>
      </c>
    </row>
    <row r="7900" spans="9:13" x14ac:dyDescent="0.25">
      <c r="I7900" t="s">
        <v>6418</v>
      </c>
      <c r="J7900" s="161" t="s">
        <v>19202</v>
      </c>
      <c r="K7900" t="s">
        <v>19203</v>
      </c>
      <c r="L7900" t="s">
        <v>6417</v>
      </c>
      <c r="M7900" s="161" t="s">
        <v>19202</v>
      </c>
    </row>
    <row r="7901" spans="9:13" x14ac:dyDescent="0.25">
      <c r="I7901" t="s">
        <v>458</v>
      </c>
      <c r="J7901" s="167" t="s">
        <v>19994</v>
      </c>
      <c r="K7901" t="s">
        <v>19203</v>
      </c>
      <c r="L7901" t="s">
        <v>457</v>
      </c>
      <c r="M7901" s="167" t="s">
        <v>19994</v>
      </c>
    </row>
    <row r="7902" spans="9:13" x14ac:dyDescent="0.25">
      <c r="I7902" t="s">
        <v>6702</v>
      </c>
      <c r="J7902" s="161" t="s">
        <v>19202</v>
      </c>
      <c r="K7902" t="s">
        <v>19203</v>
      </c>
      <c r="L7902" t="s">
        <v>3544</v>
      </c>
      <c r="M7902" s="161" t="s">
        <v>19202</v>
      </c>
    </row>
    <row r="7903" spans="9:13" x14ac:dyDescent="0.25">
      <c r="I7903" t="s">
        <v>20346</v>
      </c>
      <c r="J7903" s="161" t="s">
        <v>19202</v>
      </c>
      <c r="K7903" t="s">
        <v>19203</v>
      </c>
      <c r="L7903" t="s">
        <v>189</v>
      </c>
      <c r="M7903" s="161" t="s">
        <v>19202</v>
      </c>
    </row>
    <row r="7904" spans="9:13" x14ac:dyDescent="0.25">
      <c r="I7904" t="s">
        <v>5148</v>
      </c>
      <c r="J7904" s="161" t="s">
        <v>19202</v>
      </c>
      <c r="K7904" t="s">
        <v>19203</v>
      </c>
      <c r="L7904" t="s">
        <v>5147</v>
      </c>
      <c r="M7904" s="161" t="s">
        <v>19202</v>
      </c>
    </row>
    <row r="7905" spans="9:13" x14ac:dyDescent="0.25">
      <c r="I7905" t="s">
        <v>9018</v>
      </c>
      <c r="J7905" s="161" t="s">
        <v>19202</v>
      </c>
      <c r="K7905" t="s">
        <v>19203</v>
      </c>
      <c r="L7905" t="s">
        <v>9017</v>
      </c>
      <c r="M7905" s="161" t="s">
        <v>19202</v>
      </c>
    </row>
    <row r="7906" spans="9:13" x14ac:dyDescent="0.25">
      <c r="I7906" t="s">
        <v>7175</v>
      </c>
      <c r="J7906" s="161" t="s">
        <v>19202</v>
      </c>
      <c r="K7906" t="s">
        <v>19203</v>
      </c>
      <c r="L7906" t="s">
        <v>7174</v>
      </c>
      <c r="M7906" s="161" t="s">
        <v>19202</v>
      </c>
    </row>
    <row r="7907" spans="9:13" x14ac:dyDescent="0.25">
      <c r="I7907" t="s">
        <v>9340</v>
      </c>
      <c r="J7907" s="161" t="s">
        <v>19202</v>
      </c>
      <c r="K7907" t="s">
        <v>19203</v>
      </c>
      <c r="L7907" t="s">
        <v>9339</v>
      </c>
      <c r="M7907" s="161" t="s">
        <v>19202</v>
      </c>
    </row>
    <row r="7908" spans="9:13" x14ac:dyDescent="0.25">
      <c r="I7908" t="s">
        <v>15048</v>
      </c>
      <c r="J7908" s="161" t="s">
        <v>19202</v>
      </c>
      <c r="K7908" t="s">
        <v>19203</v>
      </c>
      <c r="L7908" t="s">
        <v>15047</v>
      </c>
      <c r="M7908" s="161" t="s">
        <v>19202</v>
      </c>
    </row>
    <row r="7909" spans="9:13" x14ac:dyDescent="0.25">
      <c r="I7909" t="s">
        <v>15997</v>
      </c>
      <c r="J7909" s="161" t="s">
        <v>19202</v>
      </c>
      <c r="K7909" t="s">
        <v>19203</v>
      </c>
      <c r="L7909" t="s">
        <v>6247</v>
      </c>
      <c r="M7909" s="161" t="s">
        <v>19202</v>
      </c>
    </row>
    <row r="7910" spans="9:13" x14ac:dyDescent="0.25">
      <c r="I7910" t="s">
        <v>10660</v>
      </c>
      <c r="J7910" s="161" t="s">
        <v>19202</v>
      </c>
      <c r="K7910" t="s">
        <v>19203</v>
      </c>
      <c r="L7910" t="s">
        <v>10659</v>
      </c>
      <c r="M7910" s="161" t="s">
        <v>19202</v>
      </c>
    </row>
    <row r="7911" spans="9:13" x14ac:dyDescent="0.25">
      <c r="I7911" t="s">
        <v>10420</v>
      </c>
      <c r="J7911" s="161" t="s">
        <v>19202</v>
      </c>
      <c r="K7911" t="s">
        <v>19203</v>
      </c>
      <c r="L7911" t="s">
        <v>10419</v>
      </c>
      <c r="M7911" s="161" t="s">
        <v>19202</v>
      </c>
    </row>
    <row r="7912" spans="9:13" x14ac:dyDescent="0.25">
      <c r="I7912" t="s">
        <v>6300</v>
      </c>
      <c r="J7912" s="161" t="s">
        <v>19202</v>
      </c>
      <c r="K7912" t="s">
        <v>19203</v>
      </c>
      <c r="L7912" t="s">
        <v>6299</v>
      </c>
      <c r="M7912" s="161" t="s">
        <v>19202</v>
      </c>
    </row>
    <row r="7913" spans="9:13" x14ac:dyDescent="0.25">
      <c r="I7913" t="s">
        <v>15093</v>
      </c>
      <c r="J7913" s="161" t="s">
        <v>19202</v>
      </c>
      <c r="K7913" t="s">
        <v>19203</v>
      </c>
      <c r="L7913" t="s">
        <v>15092</v>
      </c>
      <c r="M7913" s="161" t="s">
        <v>19202</v>
      </c>
    </row>
    <row r="7914" spans="9:13" x14ac:dyDescent="0.25">
      <c r="I7914" t="s">
        <v>20347</v>
      </c>
      <c r="J7914" s="161" t="s">
        <v>19202</v>
      </c>
      <c r="K7914" t="s">
        <v>19203</v>
      </c>
      <c r="L7914" t="s">
        <v>20348</v>
      </c>
      <c r="M7914" s="161" t="s">
        <v>19202</v>
      </c>
    </row>
    <row r="7915" spans="9:13" x14ac:dyDescent="0.25">
      <c r="I7915" t="s">
        <v>14404</v>
      </c>
      <c r="J7915" s="161" t="s">
        <v>19202</v>
      </c>
      <c r="K7915" t="s">
        <v>19203</v>
      </c>
      <c r="L7915" t="s">
        <v>104</v>
      </c>
      <c r="M7915" s="161" t="s">
        <v>19202</v>
      </c>
    </row>
    <row r="7916" spans="9:13" x14ac:dyDescent="0.25">
      <c r="I7916" t="s">
        <v>2522</v>
      </c>
      <c r="J7916" s="161" t="s">
        <v>19202</v>
      </c>
      <c r="K7916" t="s">
        <v>19203</v>
      </c>
      <c r="L7916" t="s">
        <v>2521</v>
      </c>
      <c r="M7916" s="161" t="s">
        <v>19202</v>
      </c>
    </row>
    <row r="7917" spans="9:13" x14ac:dyDescent="0.25">
      <c r="I7917" t="s">
        <v>20349</v>
      </c>
      <c r="J7917" s="167" t="s">
        <v>19994</v>
      </c>
      <c r="K7917" t="s">
        <v>19203</v>
      </c>
      <c r="L7917" t="s">
        <v>20350</v>
      </c>
      <c r="M7917" s="167" t="s">
        <v>19994</v>
      </c>
    </row>
    <row r="7918" spans="9:13" x14ac:dyDescent="0.25">
      <c r="I7918" t="s">
        <v>14954</v>
      </c>
      <c r="J7918" s="161" t="s">
        <v>19202</v>
      </c>
      <c r="K7918" t="s">
        <v>19203</v>
      </c>
      <c r="L7918" t="s">
        <v>14953</v>
      </c>
      <c r="M7918" s="161" t="s">
        <v>19202</v>
      </c>
    </row>
    <row r="7919" spans="9:13" x14ac:dyDescent="0.25">
      <c r="I7919" t="s">
        <v>4188</v>
      </c>
      <c r="J7919" s="161" t="s">
        <v>19202</v>
      </c>
      <c r="K7919" t="s">
        <v>19203</v>
      </c>
      <c r="L7919" t="s">
        <v>4187</v>
      </c>
      <c r="M7919" s="161" t="s">
        <v>19202</v>
      </c>
    </row>
    <row r="7920" spans="9:13" x14ac:dyDescent="0.25">
      <c r="I7920" t="s">
        <v>12578</v>
      </c>
      <c r="J7920" s="161" t="s">
        <v>19202</v>
      </c>
      <c r="K7920" t="s">
        <v>19203</v>
      </c>
      <c r="L7920" t="s">
        <v>12577</v>
      </c>
      <c r="M7920" s="161" t="s">
        <v>19202</v>
      </c>
    </row>
    <row r="7921" spans="9:13" x14ac:dyDescent="0.25">
      <c r="I7921" t="s">
        <v>7173</v>
      </c>
      <c r="J7921" s="161" t="s">
        <v>19202</v>
      </c>
      <c r="K7921" t="s">
        <v>19203</v>
      </c>
      <c r="L7921" t="s">
        <v>7172</v>
      </c>
      <c r="M7921" s="161" t="s">
        <v>19202</v>
      </c>
    </row>
    <row r="7922" spans="9:13" x14ac:dyDescent="0.25">
      <c r="I7922" t="s">
        <v>14555</v>
      </c>
      <c r="J7922" s="161" t="s">
        <v>19202</v>
      </c>
      <c r="K7922" t="s">
        <v>19203</v>
      </c>
      <c r="L7922" t="s">
        <v>14554</v>
      </c>
      <c r="M7922" s="161" t="s">
        <v>19202</v>
      </c>
    </row>
    <row r="7923" spans="9:13" x14ac:dyDescent="0.25">
      <c r="I7923" t="s">
        <v>14551</v>
      </c>
      <c r="J7923" s="161" t="s">
        <v>19202</v>
      </c>
      <c r="K7923" t="s">
        <v>19203</v>
      </c>
      <c r="L7923" t="s">
        <v>14550</v>
      </c>
      <c r="M7923" s="161" t="s">
        <v>19202</v>
      </c>
    </row>
    <row r="7924" spans="9:13" x14ac:dyDescent="0.25">
      <c r="I7924" t="s">
        <v>14549</v>
      </c>
      <c r="J7924" s="161" t="s">
        <v>19202</v>
      </c>
      <c r="K7924" t="s">
        <v>19203</v>
      </c>
      <c r="L7924" t="s">
        <v>14548</v>
      </c>
      <c r="M7924" s="161" t="s">
        <v>19202</v>
      </c>
    </row>
    <row r="7925" spans="9:13" x14ac:dyDescent="0.25">
      <c r="I7925" t="s">
        <v>20351</v>
      </c>
      <c r="J7925" s="161" t="s">
        <v>19202</v>
      </c>
      <c r="K7925" t="s">
        <v>19203</v>
      </c>
      <c r="L7925" t="s">
        <v>20352</v>
      </c>
      <c r="M7925" s="161" t="s">
        <v>19202</v>
      </c>
    </row>
    <row r="7926" spans="9:13" x14ac:dyDescent="0.25">
      <c r="I7926" t="s">
        <v>2665</v>
      </c>
      <c r="J7926" s="161" t="s">
        <v>19202</v>
      </c>
      <c r="K7926" t="s">
        <v>19203</v>
      </c>
      <c r="L7926" t="s">
        <v>2664</v>
      </c>
      <c r="M7926" s="161" t="s">
        <v>19202</v>
      </c>
    </row>
    <row r="7927" spans="9:13" x14ac:dyDescent="0.25">
      <c r="I7927" t="s">
        <v>11219</v>
      </c>
      <c r="J7927" s="161" t="s">
        <v>19202</v>
      </c>
      <c r="K7927" t="s">
        <v>19203</v>
      </c>
      <c r="L7927" t="s">
        <v>11218</v>
      </c>
      <c r="M7927" s="161" t="s">
        <v>19202</v>
      </c>
    </row>
    <row r="7928" spans="9:13" x14ac:dyDescent="0.25">
      <c r="I7928" t="s">
        <v>20353</v>
      </c>
      <c r="J7928" s="161" t="s">
        <v>19202</v>
      </c>
      <c r="K7928" t="s">
        <v>19203</v>
      </c>
      <c r="L7928" t="s">
        <v>20354</v>
      </c>
      <c r="M7928" s="161" t="s">
        <v>19202</v>
      </c>
    </row>
    <row r="7929" spans="9:13" x14ac:dyDescent="0.25">
      <c r="I7929" t="s">
        <v>20355</v>
      </c>
      <c r="J7929" s="161" t="s">
        <v>19202</v>
      </c>
      <c r="K7929" t="s">
        <v>19203</v>
      </c>
      <c r="L7929" t="s">
        <v>20356</v>
      </c>
      <c r="M7929" s="161" t="s">
        <v>19202</v>
      </c>
    </row>
    <row r="7930" spans="9:13" x14ac:dyDescent="0.25">
      <c r="I7930" t="s">
        <v>20357</v>
      </c>
      <c r="J7930" s="161" t="s">
        <v>19202</v>
      </c>
      <c r="K7930" t="s">
        <v>19203</v>
      </c>
      <c r="L7930" t="s">
        <v>20358</v>
      </c>
      <c r="M7930" s="161" t="s">
        <v>19202</v>
      </c>
    </row>
    <row r="7931" spans="9:13" x14ac:dyDescent="0.25">
      <c r="I7931" t="s">
        <v>14917</v>
      </c>
      <c r="J7931" s="161" t="s">
        <v>19202</v>
      </c>
      <c r="K7931" t="s">
        <v>19203</v>
      </c>
      <c r="L7931" t="s">
        <v>14916</v>
      </c>
      <c r="M7931" s="161" t="s">
        <v>19202</v>
      </c>
    </row>
    <row r="7932" spans="9:13" x14ac:dyDescent="0.25">
      <c r="I7932" t="s">
        <v>3870</v>
      </c>
      <c r="J7932" s="161" t="s">
        <v>19202</v>
      </c>
      <c r="K7932" t="s">
        <v>19203</v>
      </c>
      <c r="L7932" t="s">
        <v>3869</v>
      </c>
      <c r="M7932" s="161" t="s">
        <v>19202</v>
      </c>
    </row>
    <row r="7933" spans="9:13" x14ac:dyDescent="0.25">
      <c r="I7933" t="s">
        <v>6296</v>
      </c>
      <c r="J7933" s="161" t="s">
        <v>19202</v>
      </c>
      <c r="K7933" t="s">
        <v>19203</v>
      </c>
      <c r="L7933" t="s">
        <v>122</v>
      </c>
      <c r="M7933" s="161" t="s">
        <v>19202</v>
      </c>
    </row>
    <row r="7934" spans="9:13" x14ac:dyDescent="0.25">
      <c r="I7934" t="s">
        <v>11967</v>
      </c>
      <c r="J7934" s="161" t="s">
        <v>19202</v>
      </c>
      <c r="K7934" t="s">
        <v>19203</v>
      </c>
      <c r="L7934" t="s">
        <v>11966</v>
      </c>
      <c r="M7934" s="161" t="s">
        <v>19202</v>
      </c>
    </row>
    <row r="7935" spans="9:13" x14ac:dyDescent="0.25">
      <c r="I7935" t="s">
        <v>20359</v>
      </c>
      <c r="J7935" s="161" t="s">
        <v>19202</v>
      </c>
      <c r="K7935" t="s">
        <v>19203</v>
      </c>
      <c r="L7935" t="s">
        <v>1397</v>
      </c>
      <c r="M7935" s="161" t="s">
        <v>19202</v>
      </c>
    </row>
    <row r="7936" spans="9:13" x14ac:dyDescent="0.25">
      <c r="I7936" t="s">
        <v>8868</v>
      </c>
      <c r="J7936" s="161" t="s">
        <v>19202</v>
      </c>
      <c r="K7936" t="s">
        <v>19203</v>
      </c>
      <c r="L7936" t="s">
        <v>8867</v>
      </c>
      <c r="M7936" s="161" t="s">
        <v>19202</v>
      </c>
    </row>
    <row r="7937" spans="9:13" x14ac:dyDescent="0.25">
      <c r="I7937" t="s">
        <v>11732</v>
      </c>
      <c r="J7937" s="161" t="s">
        <v>19202</v>
      </c>
      <c r="K7937" t="s">
        <v>19203</v>
      </c>
      <c r="L7937" t="s">
        <v>11731</v>
      </c>
      <c r="M7937" s="161" t="s">
        <v>19202</v>
      </c>
    </row>
    <row r="7938" spans="9:13" x14ac:dyDescent="0.25">
      <c r="I7938" t="s">
        <v>10263</v>
      </c>
      <c r="J7938" s="161" t="s">
        <v>19202</v>
      </c>
      <c r="K7938" t="s">
        <v>19203</v>
      </c>
      <c r="L7938" t="s">
        <v>10262</v>
      </c>
      <c r="M7938" s="161" t="s">
        <v>19202</v>
      </c>
    </row>
    <row r="7939" spans="9:13" x14ac:dyDescent="0.25">
      <c r="I7939" t="s">
        <v>20360</v>
      </c>
      <c r="J7939" s="161" t="s">
        <v>19202</v>
      </c>
      <c r="K7939" t="s">
        <v>19203</v>
      </c>
      <c r="L7939" t="s">
        <v>214</v>
      </c>
      <c r="M7939" s="161" t="s">
        <v>19202</v>
      </c>
    </row>
    <row r="7940" spans="9:13" x14ac:dyDescent="0.25">
      <c r="I7940" t="s">
        <v>5092</v>
      </c>
      <c r="J7940" s="161" t="s">
        <v>19202</v>
      </c>
      <c r="K7940" t="s">
        <v>19203</v>
      </c>
      <c r="L7940" t="s">
        <v>5091</v>
      </c>
      <c r="M7940" s="161" t="s">
        <v>19202</v>
      </c>
    </row>
    <row r="7941" spans="9:13" x14ac:dyDescent="0.25">
      <c r="I7941" t="s">
        <v>20361</v>
      </c>
      <c r="J7941" s="161" t="s">
        <v>19202</v>
      </c>
      <c r="K7941" t="s">
        <v>19203</v>
      </c>
      <c r="L7941" t="s">
        <v>20362</v>
      </c>
      <c r="M7941" s="161" t="s">
        <v>19202</v>
      </c>
    </row>
    <row r="7942" spans="9:13" x14ac:dyDescent="0.25">
      <c r="I7942" t="s">
        <v>12586</v>
      </c>
      <c r="J7942" s="161" t="s">
        <v>19202</v>
      </c>
      <c r="K7942" t="s">
        <v>19203</v>
      </c>
      <c r="L7942" t="s">
        <v>12585</v>
      </c>
      <c r="M7942" s="161" t="s">
        <v>19202</v>
      </c>
    </row>
    <row r="7943" spans="9:13" x14ac:dyDescent="0.25">
      <c r="I7943" t="s">
        <v>8180</v>
      </c>
      <c r="J7943" s="161" t="s">
        <v>19202</v>
      </c>
      <c r="K7943" t="s">
        <v>19203</v>
      </c>
      <c r="L7943" t="s">
        <v>8179</v>
      </c>
      <c r="M7943" s="161" t="s">
        <v>19202</v>
      </c>
    </row>
    <row r="7944" spans="9:13" x14ac:dyDescent="0.25">
      <c r="I7944" t="s">
        <v>14403</v>
      </c>
      <c r="J7944" s="161" t="s">
        <v>19202</v>
      </c>
      <c r="K7944" t="s">
        <v>19203</v>
      </c>
      <c r="L7944" t="s">
        <v>14402</v>
      </c>
      <c r="M7944" s="161" t="s">
        <v>19202</v>
      </c>
    </row>
    <row r="7945" spans="9:13" x14ac:dyDescent="0.25">
      <c r="I7945" t="s">
        <v>12580</v>
      </c>
      <c r="J7945" s="161" t="s">
        <v>19202</v>
      </c>
      <c r="K7945" t="s">
        <v>19203</v>
      </c>
      <c r="L7945" t="s">
        <v>12579</v>
      </c>
      <c r="M7945" s="161" t="s">
        <v>19202</v>
      </c>
    </row>
    <row r="7946" spans="9:13" x14ac:dyDescent="0.25">
      <c r="I7946" t="s">
        <v>14913</v>
      </c>
      <c r="J7946" s="161" t="s">
        <v>19202</v>
      </c>
      <c r="K7946" t="s">
        <v>19203</v>
      </c>
      <c r="L7946" t="s">
        <v>14912</v>
      </c>
      <c r="M7946" s="161" t="s">
        <v>19202</v>
      </c>
    </row>
    <row r="7947" spans="9:13" x14ac:dyDescent="0.25">
      <c r="I7947" t="s">
        <v>10309</v>
      </c>
      <c r="J7947" s="161" t="s">
        <v>19202</v>
      </c>
      <c r="K7947" t="s">
        <v>19203</v>
      </c>
      <c r="L7947" t="s">
        <v>10308</v>
      </c>
      <c r="M7947" s="161" t="s">
        <v>19202</v>
      </c>
    </row>
    <row r="7948" spans="9:13" x14ac:dyDescent="0.25">
      <c r="I7948" t="s">
        <v>5912</v>
      </c>
      <c r="J7948" s="161" t="s">
        <v>19202</v>
      </c>
      <c r="K7948" t="s">
        <v>19203</v>
      </c>
      <c r="L7948" t="s">
        <v>5911</v>
      </c>
      <c r="M7948" s="161" t="s">
        <v>19202</v>
      </c>
    </row>
    <row r="7949" spans="9:13" x14ac:dyDescent="0.25">
      <c r="I7949" t="s">
        <v>14909</v>
      </c>
      <c r="J7949" s="161" t="s">
        <v>19202</v>
      </c>
      <c r="K7949" t="s">
        <v>19203</v>
      </c>
      <c r="L7949" t="s">
        <v>14908</v>
      </c>
      <c r="M7949" s="161" t="s">
        <v>19202</v>
      </c>
    </row>
    <row r="7950" spans="9:13" x14ac:dyDescent="0.25">
      <c r="I7950" t="s">
        <v>351</v>
      </c>
      <c r="J7950" s="161" t="s">
        <v>19202</v>
      </c>
      <c r="K7950" t="s">
        <v>19203</v>
      </c>
      <c r="L7950" t="s">
        <v>350</v>
      </c>
      <c r="M7950" s="161" t="s">
        <v>19202</v>
      </c>
    </row>
    <row r="7951" spans="9:13" x14ac:dyDescent="0.25">
      <c r="I7951" t="s">
        <v>11131</v>
      </c>
      <c r="J7951" s="161" t="s">
        <v>19202</v>
      </c>
      <c r="K7951" t="s">
        <v>19203</v>
      </c>
      <c r="L7951" t="s">
        <v>11130</v>
      </c>
      <c r="M7951" s="161" t="s">
        <v>19202</v>
      </c>
    </row>
    <row r="7952" spans="9:13" x14ac:dyDescent="0.25">
      <c r="I7952" t="s">
        <v>6295</v>
      </c>
      <c r="J7952" s="161" t="s">
        <v>19202</v>
      </c>
      <c r="K7952" t="s">
        <v>19203</v>
      </c>
      <c r="L7952" t="s">
        <v>6294</v>
      </c>
      <c r="M7952" s="161" t="s">
        <v>19202</v>
      </c>
    </row>
    <row r="7953" spans="9:13" x14ac:dyDescent="0.25">
      <c r="I7953" t="s">
        <v>8862</v>
      </c>
      <c r="J7953" s="161" t="s">
        <v>19202</v>
      </c>
      <c r="K7953" t="s">
        <v>19203</v>
      </c>
      <c r="L7953" t="s">
        <v>8861</v>
      </c>
      <c r="M7953" s="161" t="s">
        <v>19202</v>
      </c>
    </row>
    <row r="7954" spans="9:13" x14ac:dyDescent="0.25">
      <c r="I7954" t="s">
        <v>12346</v>
      </c>
      <c r="J7954" s="161" t="s">
        <v>19202</v>
      </c>
      <c r="K7954" t="s">
        <v>19203</v>
      </c>
      <c r="L7954" t="s">
        <v>12345</v>
      </c>
      <c r="M7954" s="161" t="s">
        <v>19202</v>
      </c>
    </row>
    <row r="7955" spans="9:13" x14ac:dyDescent="0.25">
      <c r="I7955" t="s">
        <v>14903</v>
      </c>
      <c r="J7955" s="161" t="s">
        <v>19202</v>
      </c>
      <c r="K7955" t="s">
        <v>19203</v>
      </c>
      <c r="L7955" t="s">
        <v>14902</v>
      </c>
      <c r="M7955" s="161" t="s">
        <v>19202</v>
      </c>
    </row>
    <row r="7956" spans="9:13" x14ac:dyDescent="0.25">
      <c r="I7956" t="s">
        <v>10252</v>
      </c>
      <c r="J7956" s="161" t="s">
        <v>19202</v>
      </c>
      <c r="K7956" t="s">
        <v>19203</v>
      </c>
      <c r="L7956" t="s">
        <v>10251</v>
      </c>
      <c r="M7956" s="161" t="s">
        <v>19202</v>
      </c>
    </row>
    <row r="7957" spans="9:13" x14ac:dyDescent="0.25">
      <c r="I7957" t="s">
        <v>5982</v>
      </c>
      <c r="J7957" s="161" t="s">
        <v>19202</v>
      </c>
      <c r="K7957" t="s">
        <v>19203</v>
      </c>
      <c r="L7957" t="s">
        <v>5981</v>
      </c>
      <c r="M7957" s="161" t="s">
        <v>19202</v>
      </c>
    </row>
    <row r="7958" spans="9:13" x14ac:dyDescent="0.25">
      <c r="I7958" t="s">
        <v>14406</v>
      </c>
      <c r="J7958" s="161" t="s">
        <v>19202</v>
      </c>
      <c r="K7958" t="s">
        <v>19203</v>
      </c>
      <c r="L7958" t="s">
        <v>14405</v>
      </c>
      <c r="M7958" s="161" t="s">
        <v>19202</v>
      </c>
    </row>
    <row r="7959" spans="9:13" x14ac:dyDescent="0.25">
      <c r="I7959" t="s">
        <v>13417</v>
      </c>
      <c r="J7959" s="161" t="s">
        <v>19202</v>
      </c>
      <c r="K7959" t="s">
        <v>19203</v>
      </c>
      <c r="L7959" t="s">
        <v>13416</v>
      </c>
      <c r="M7959" s="161" t="s">
        <v>19202</v>
      </c>
    </row>
    <row r="7960" spans="9:13" x14ac:dyDescent="0.25">
      <c r="I7960" t="s">
        <v>12680</v>
      </c>
      <c r="J7960" s="161" t="s">
        <v>19202</v>
      </c>
      <c r="K7960" t="s">
        <v>19203</v>
      </c>
      <c r="L7960" t="s">
        <v>12679</v>
      </c>
      <c r="M7960" s="161" t="s">
        <v>19202</v>
      </c>
    </row>
    <row r="7961" spans="9:13" x14ac:dyDescent="0.25">
      <c r="I7961" t="s">
        <v>553</v>
      </c>
      <c r="J7961" s="161" t="s">
        <v>19202</v>
      </c>
      <c r="K7961" t="s">
        <v>19203</v>
      </c>
      <c r="L7961" t="s">
        <v>552</v>
      </c>
      <c r="M7961" s="161" t="s">
        <v>19202</v>
      </c>
    </row>
    <row r="7962" spans="9:13" x14ac:dyDescent="0.25">
      <c r="I7962" t="s">
        <v>13089</v>
      </c>
      <c r="J7962" s="161" t="s">
        <v>19202</v>
      </c>
      <c r="K7962" t="s">
        <v>19203</v>
      </c>
      <c r="L7962" t="s">
        <v>13088</v>
      </c>
      <c r="M7962" s="161" t="s">
        <v>19202</v>
      </c>
    </row>
    <row r="7963" spans="9:13" x14ac:dyDescent="0.25">
      <c r="I7963" t="s">
        <v>16860</v>
      </c>
      <c r="J7963" s="161" t="s">
        <v>19202</v>
      </c>
      <c r="K7963" t="s">
        <v>19203</v>
      </c>
      <c r="L7963" t="s">
        <v>16859</v>
      </c>
      <c r="M7963" s="161" t="s">
        <v>19202</v>
      </c>
    </row>
    <row r="7964" spans="9:13" x14ac:dyDescent="0.25">
      <c r="I7964" t="s">
        <v>15705</v>
      </c>
      <c r="J7964" s="161" t="s">
        <v>19202</v>
      </c>
      <c r="K7964" t="s">
        <v>19203</v>
      </c>
      <c r="L7964" t="s">
        <v>15704</v>
      </c>
      <c r="M7964" s="161" t="s">
        <v>19202</v>
      </c>
    </row>
    <row r="7965" spans="9:13" x14ac:dyDescent="0.25">
      <c r="I7965" t="s">
        <v>20363</v>
      </c>
      <c r="J7965" s="161" t="s">
        <v>19202</v>
      </c>
      <c r="K7965" t="s">
        <v>19203</v>
      </c>
      <c r="L7965" t="s">
        <v>1350</v>
      </c>
      <c r="M7965" s="161" t="s">
        <v>19202</v>
      </c>
    </row>
    <row r="7966" spans="9:13" x14ac:dyDescent="0.25">
      <c r="I7966" t="s">
        <v>13847</v>
      </c>
      <c r="J7966" s="161" t="s">
        <v>19202</v>
      </c>
      <c r="K7966" t="s">
        <v>19203</v>
      </c>
      <c r="L7966" t="s">
        <v>5105</v>
      </c>
      <c r="M7966" s="161" t="s">
        <v>19202</v>
      </c>
    </row>
    <row r="7967" spans="9:13" x14ac:dyDescent="0.25">
      <c r="I7967" t="s">
        <v>9864</v>
      </c>
      <c r="J7967" s="161" t="s">
        <v>19202</v>
      </c>
      <c r="K7967" t="s">
        <v>19203</v>
      </c>
      <c r="L7967" t="s">
        <v>9863</v>
      </c>
      <c r="M7967" s="161" t="s">
        <v>19202</v>
      </c>
    </row>
    <row r="7968" spans="9:13" x14ac:dyDescent="0.25">
      <c r="I7968" t="s">
        <v>11133</v>
      </c>
      <c r="J7968" s="161" t="s">
        <v>19202</v>
      </c>
      <c r="K7968" t="s">
        <v>19203</v>
      </c>
      <c r="L7968" t="s">
        <v>11132</v>
      </c>
      <c r="M7968" s="161" t="s">
        <v>19202</v>
      </c>
    </row>
    <row r="7969" spans="9:13" x14ac:dyDescent="0.25">
      <c r="I7969" t="s">
        <v>13472</v>
      </c>
      <c r="J7969" s="167" t="s">
        <v>19994</v>
      </c>
      <c r="K7969" t="s">
        <v>19203</v>
      </c>
      <c r="L7969" t="s">
        <v>13471</v>
      </c>
      <c r="M7969" s="167" t="s">
        <v>19994</v>
      </c>
    </row>
    <row r="7970" spans="9:13" x14ac:dyDescent="0.25">
      <c r="I7970" t="s">
        <v>20364</v>
      </c>
      <c r="J7970" s="161" t="s">
        <v>19202</v>
      </c>
      <c r="K7970" t="s">
        <v>19203</v>
      </c>
      <c r="L7970" t="s">
        <v>20365</v>
      </c>
      <c r="M7970" s="161" t="s">
        <v>19202</v>
      </c>
    </row>
    <row r="7971" spans="9:13" x14ac:dyDescent="0.25">
      <c r="I7971" t="s">
        <v>10188</v>
      </c>
      <c r="J7971" s="161" t="s">
        <v>19202</v>
      </c>
      <c r="K7971" t="s">
        <v>19203</v>
      </c>
      <c r="L7971" t="s">
        <v>10187</v>
      </c>
      <c r="M7971" s="161" t="s">
        <v>19202</v>
      </c>
    </row>
    <row r="7972" spans="9:13" x14ac:dyDescent="0.25">
      <c r="I7972" t="s">
        <v>10178</v>
      </c>
      <c r="J7972" s="161" t="s">
        <v>19202</v>
      </c>
      <c r="K7972" t="s">
        <v>19203</v>
      </c>
      <c r="L7972" t="s">
        <v>10177</v>
      </c>
      <c r="M7972" s="161" t="s">
        <v>19202</v>
      </c>
    </row>
    <row r="7973" spans="9:13" x14ac:dyDescent="0.25">
      <c r="I7973" t="s">
        <v>20366</v>
      </c>
      <c r="J7973" s="161" t="s">
        <v>19202</v>
      </c>
      <c r="K7973" t="s">
        <v>19203</v>
      </c>
      <c r="L7973" t="s">
        <v>16933</v>
      </c>
      <c r="M7973" s="161" t="s">
        <v>19202</v>
      </c>
    </row>
    <row r="7974" spans="9:13" x14ac:dyDescent="0.25">
      <c r="I7974" t="s">
        <v>3612</v>
      </c>
      <c r="J7974" s="161" t="s">
        <v>19202</v>
      </c>
      <c r="K7974" t="s">
        <v>19203</v>
      </c>
      <c r="L7974" t="s">
        <v>3611</v>
      </c>
      <c r="M7974" s="161" t="s">
        <v>19202</v>
      </c>
    </row>
    <row r="7975" spans="9:13" x14ac:dyDescent="0.25">
      <c r="I7975" t="s">
        <v>16441</v>
      </c>
      <c r="J7975" s="161" t="s">
        <v>19202</v>
      </c>
      <c r="K7975" t="s">
        <v>19203</v>
      </c>
      <c r="L7975" t="s">
        <v>2374</v>
      </c>
      <c r="M7975" s="161" t="s">
        <v>19202</v>
      </c>
    </row>
    <row r="7976" spans="9:13" x14ac:dyDescent="0.25">
      <c r="I7976" t="s">
        <v>20367</v>
      </c>
      <c r="J7976" s="161" t="s">
        <v>19202</v>
      </c>
      <c r="K7976" t="s">
        <v>19203</v>
      </c>
      <c r="L7976" t="s">
        <v>20368</v>
      </c>
      <c r="M7976" s="161" t="s">
        <v>19202</v>
      </c>
    </row>
    <row r="7977" spans="9:13" x14ac:dyDescent="0.25">
      <c r="I7977" t="s">
        <v>186</v>
      </c>
      <c r="J7977" s="161" t="s">
        <v>19994</v>
      </c>
      <c r="K7977" t="s">
        <v>19203</v>
      </c>
      <c r="L7977" t="s">
        <v>185</v>
      </c>
      <c r="M7977" s="161" t="s">
        <v>19994</v>
      </c>
    </row>
    <row r="7978" spans="9:13" x14ac:dyDescent="0.25">
      <c r="I7978" t="s">
        <v>17108</v>
      </c>
      <c r="J7978" s="161" t="s">
        <v>19202</v>
      </c>
      <c r="K7978" t="s">
        <v>19203</v>
      </c>
      <c r="L7978" t="s">
        <v>17107</v>
      </c>
      <c r="M7978" s="161" t="s">
        <v>19202</v>
      </c>
    </row>
    <row r="7979" spans="9:13" x14ac:dyDescent="0.25">
      <c r="I7979" t="s">
        <v>13693</v>
      </c>
      <c r="J7979" s="161" t="s">
        <v>19202</v>
      </c>
      <c r="K7979" t="s">
        <v>19203</v>
      </c>
      <c r="L7979" t="s">
        <v>1123</v>
      </c>
      <c r="M7979" s="161" t="s">
        <v>19202</v>
      </c>
    </row>
    <row r="7980" spans="9:13" x14ac:dyDescent="0.25">
      <c r="I7980" t="s">
        <v>8696</v>
      </c>
      <c r="J7980" s="161" t="s">
        <v>19202</v>
      </c>
      <c r="K7980" t="s">
        <v>19203</v>
      </c>
      <c r="L7980" t="s">
        <v>8695</v>
      </c>
      <c r="M7980" s="161" t="s">
        <v>19202</v>
      </c>
    </row>
    <row r="7981" spans="9:13" x14ac:dyDescent="0.25">
      <c r="I7981" t="s">
        <v>14553</v>
      </c>
      <c r="J7981" s="161" t="s">
        <v>19202</v>
      </c>
      <c r="K7981" t="s">
        <v>19203</v>
      </c>
      <c r="L7981" t="s">
        <v>14552</v>
      </c>
      <c r="M7981" s="161" t="s">
        <v>19202</v>
      </c>
    </row>
    <row r="7982" spans="9:13" x14ac:dyDescent="0.25">
      <c r="I7982" t="s">
        <v>9060</v>
      </c>
      <c r="J7982" s="161" t="s">
        <v>19202</v>
      </c>
      <c r="K7982" t="s">
        <v>19203</v>
      </c>
      <c r="L7982" t="s">
        <v>9059</v>
      </c>
      <c r="M7982" s="161" t="s">
        <v>19202</v>
      </c>
    </row>
    <row r="7983" spans="9:13" x14ac:dyDescent="0.25">
      <c r="I7983" t="s">
        <v>3308</v>
      </c>
      <c r="J7983" s="161" t="s">
        <v>19202</v>
      </c>
      <c r="K7983" t="s">
        <v>19203</v>
      </c>
      <c r="L7983" t="s">
        <v>3307</v>
      </c>
      <c r="M7983" s="161" t="s">
        <v>19202</v>
      </c>
    </row>
    <row r="7984" spans="9:13" x14ac:dyDescent="0.25">
      <c r="I7984" t="s">
        <v>20369</v>
      </c>
      <c r="J7984" s="161" t="s">
        <v>19202</v>
      </c>
      <c r="K7984" t="s">
        <v>19203</v>
      </c>
      <c r="L7984" t="s">
        <v>20370</v>
      </c>
      <c r="M7984" s="161" t="s">
        <v>19202</v>
      </c>
    </row>
    <row r="7985" spans="9:13" x14ac:dyDescent="0.25">
      <c r="I7985" t="s">
        <v>6955</v>
      </c>
      <c r="J7985" s="161" t="s">
        <v>19202</v>
      </c>
      <c r="K7985" t="s">
        <v>19203</v>
      </c>
      <c r="L7985" t="s">
        <v>6954</v>
      </c>
      <c r="M7985" s="161" t="s">
        <v>19202</v>
      </c>
    </row>
    <row r="7986" spans="9:13" x14ac:dyDescent="0.25">
      <c r="I7986" t="s">
        <v>20371</v>
      </c>
      <c r="J7986" s="161" t="s">
        <v>19202</v>
      </c>
      <c r="K7986" t="s">
        <v>19203</v>
      </c>
      <c r="L7986" t="s">
        <v>20372</v>
      </c>
      <c r="M7986" s="161" t="s">
        <v>19202</v>
      </c>
    </row>
    <row r="7987" spans="9:13" x14ac:dyDescent="0.25">
      <c r="I7987" t="s">
        <v>16522</v>
      </c>
      <c r="J7987" s="161" t="s">
        <v>19202</v>
      </c>
      <c r="K7987" t="s">
        <v>19203</v>
      </c>
      <c r="L7987" t="s">
        <v>16521</v>
      </c>
      <c r="M7987" s="161" t="s">
        <v>19202</v>
      </c>
    </row>
    <row r="7988" spans="9:13" x14ac:dyDescent="0.25">
      <c r="I7988" t="s">
        <v>10259</v>
      </c>
      <c r="J7988" s="161" t="s">
        <v>19202</v>
      </c>
      <c r="K7988" t="s">
        <v>19203</v>
      </c>
      <c r="L7988" t="s">
        <v>10258</v>
      </c>
      <c r="M7988" s="161" t="s">
        <v>19202</v>
      </c>
    </row>
    <row r="7989" spans="9:13" x14ac:dyDescent="0.25">
      <c r="I7989" t="s">
        <v>703</v>
      </c>
      <c r="J7989" s="161" t="s">
        <v>19202</v>
      </c>
      <c r="K7989" t="s">
        <v>19203</v>
      </c>
      <c r="L7989" t="s">
        <v>702</v>
      </c>
      <c r="M7989" s="161" t="s">
        <v>19202</v>
      </c>
    </row>
    <row r="7990" spans="9:13" x14ac:dyDescent="0.25">
      <c r="I7990" t="s">
        <v>15044</v>
      </c>
      <c r="J7990" s="161" t="s">
        <v>19202</v>
      </c>
      <c r="K7990" t="s">
        <v>19203</v>
      </c>
      <c r="L7990" t="s">
        <v>3537</v>
      </c>
      <c r="M7990" s="161" t="s">
        <v>19202</v>
      </c>
    </row>
    <row r="7991" spans="9:13" x14ac:dyDescent="0.25">
      <c r="I7991" t="s">
        <v>7133</v>
      </c>
      <c r="J7991" s="161" t="s">
        <v>19202</v>
      </c>
      <c r="K7991" t="s">
        <v>19203</v>
      </c>
      <c r="L7991" t="s">
        <v>7132</v>
      </c>
      <c r="M7991" s="161" t="s">
        <v>19202</v>
      </c>
    </row>
    <row r="7992" spans="9:13" x14ac:dyDescent="0.25">
      <c r="I7992" t="s">
        <v>8332</v>
      </c>
      <c r="J7992" s="161" t="s">
        <v>19202</v>
      </c>
      <c r="K7992" t="s">
        <v>19203</v>
      </c>
      <c r="L7992" t="s">
        <v>8331</v>
      </c>
      <c r="M7992" s="161" t="s">
        <v>19202</v>
      </c>
    </row>
    <row r="7993" spans="9:13" x14ac:dyDescent="0.25">
      <c r="I7993" t="s">
        <v>317</v>
      </c>
      <c r="J7993" s="167" t="s">
        <v>19994</v>
      </c>
      <c r="K7993" t="s">
        <v>19203</v>
      </c>
      <c r="L7993" t="s">
        <v>316</v>
      </c>
      <c r="M7993" s="167" t="s">
        <v>19994</v>
      </c>
    </row>
    <row r="7994" spans="9:13" x14ac:dyDescent="0.25">
      <c r="I7994" t="s">
        <v>3975</v>
      </c>
      <c r="J7994" s="161" t="s">
        <v>19202</v>
      </c>
      <c r="K7994" t="s">
        <v>19203</v>
      </c>
      <c r="L7994" t="s">
        <v>3974</v>
      </c>
      <c r="M7994" s="161" t="s">
        <v>19202</v>
      </c>
    </row>
    <row r="7995" spans="9:13" x14ac:dyDescent="0.25">
      <c r="I7995" t="s">
        <v>6347</v>
      </c>
      <c r="J7995" s="161" t="s">
        <v>19202</v>
      </c>
      <c r="K7995" t="s">
        <v>19203</v>
      </c>
      <c r="L7995" t="s">
        <v>6346</v>
      </c>
      <c r="M7995" s="161" t="s">
        <v>19202</v>
      </c>
    </row>
    <row r="7996" spans="9:13" x14ac:dyDescent="0.25">
      <c r="I7996" t="s">
        <v>20373</v>
      </c>
      <c r="J7996" s="161" t="s">
        <v>19202</v>
      </c>
      <c r="K7996" t="s">
        <v>19203</v>
      </c>
      <c r="L7996" t="s">
        <v>20374</v>
      </c>
      <c r="M7996" s="161" t="s">
        <v>19202</v>
      </c>
    </row>
    <row r="7997" spans="9:13" x14ac:dyDescent="0.25">
      <c r="I7997" t="s">
        <v>10186</v>
      </c>
      <c r="J7997" s="161" t="s">
        <v>19202</v>
      </c>
      <c r="K7997" t="s">
        <v>19203</v>
      </c>
      <c r="L7997" t="s">
        <v>10185</v>
      </c>
      <c r="M7997" s="161" t="s">
        <v>19202</v>
      </c>
    </row>
    <row r="7998" spans="9:13" x14ac:dyDescent="0.25">
      <c r="I7998" t="s">
        <v>15842</v>
      </c>
      <c r="J7998" s="167" t="s">
        <v>19994</v>
      </c>
      <c r="K7998" t="s">
        <v>19203</v>
      </c>
      <c r="L7998" t="s">
        <v>15841</v>
      </c>
      <c r="M7998" s="167" t="s">
        <v>19994</v>
      </c>
    </row>
    <row r="7999" spans="9:13" x14ac:dyDescent="0.25">
      <c r="I7999" t="s">
        <v>20375</v>
      </c>
      <c r="J7999" s="161" t="s">
        <v>19202</v>
      </c>
      <c r="K7999" t="s">
        <v>19203</v>
      </c>
      <c r="L7999" t="s">
        <v>16040</v>
      </c>
      <c r="M7999" s="161" t="s">
        <v>19202</v>
      </c>
    </row>
    <row r="8000" spans="9:13" x14ac:dyDescent="0.25">
      <c r="I8000" t="s">
        <v>11649</v>
      </c>
      <c r="J8000" s="161" t="s">
        <v>19202</v>
      </c>
      <c r="K8000" t="s">
        <v>19203</v>
      </c>
      <c r="L8000" t="s">
        <v>11648</v>
      </c>
      <c r="M8000" s="161" t="s">
        <v>19202</v>
      </c>
    </row>
    <row r="8001" spans="9:13" x14ac:dyDescent="0.25">
      <c r="I8001" t="s">
        <v>4114</v>
      </c>
      <c r="J8001" s="161" t="s">
        <v>19202</v>
      </c>
      <c r="K8001" t="s">
        <v>19203</v>
      </c>
      <c r="L8001" t="s">
        <v>4113</v>
      </c>
      <c r="M8001" s="161" t="s">
        <v>19202</v>
      </c>
    </row>
    <row r="8002" spans="9:13" x14ac:dyDescent="0.25">
      <c r="I8002" t="s">
        <v>3813</v>
      </c>
      <c r="J8002" s="161" t="s">
        <v>19202</v>
      </c>
      <c r="K8002" t="s">
        <v>19203</v>
      </c>
      <c r="L8002" t="s">
        <v>3812</v>
      </c>
      <c r="M8002" s="161" t="s">
        <v>19202</v>
      </c>
    </row>
    <row r="8003" spans="9:13" x14ac:dyDescent="0.25">
      <c r="I8003" t="s">
        <v>11865</v>
      </c>
      <c r="J8003" s="161" t="s">
        <v>19202</v>
      </c>
      <c r="K8003" t="s">
        <v>19203</v>
      </c>
      <c r="L8003" t="s">
        <v>11864</v>
      </c>
      <c r="M8003" s="161" t="s">
        <v>19202</v>
      </c>
    </row>
    <row r="8004" spans="9:13" x14ac:dyDescent="0.25">
      <c r="I8004" t="s">
        <v>7131</v>
      </c>
      <c r="J8004" s="161" t="s">
        <v>19202</v>
      </c>
      <c r="K8004" t="s">
        <v>19203</v>
      </c>
      <c r="L8004" t="s">
        <v>7130</v>
      </c>
      <c r="M8004" s="161" t="s">
        <v>19202</v>
      </c>
    </row>
    <row r="8005" spans="9:13" x14ac:dyDescent="0.25">
      <c r="I8005" t="s">
        <v>11567</v>
      </c>
      <c r="J8005" s="161" t="s">
        <v>19202</v>
      </c>
      <c r="K8005" t="s">
        <v>19203</v>
      </c>
      <c r="L8005" t="s">
        <v>11566</v>
      </c>
      <c r="M8005" s="161" t="s">
        <v>19202</v>
      </c>
    </row>
    <row r="8006" spans="9:13" x14ac:dyDescent="0.25">
      <c r="I8006" t="s">
        <v>6307</v>
      </c>
      <c r="J8006" s="167" t="s">
        <v>19994</v>
      </c>
      <c r="K8006" t="s">
        <v>19203</v>
      </c>
      <c r="L8006" t="s">
        <v>6306</v>
      </c>
      <c r="M8006" s="167" t="s">
        <v>19994</v>
      </c>
    </row>
    <row r="8007" spans="9:13" x14ac:dyDescent="0.25">
      <c r="I8007" t="s">
        <v>12119</v>
      </c>
      <c r="J8007" s="161" t="s">
        <v>19202</v>
      </c>
      <c r="K8007" t="s">
        <v>19203</v>
      </c>
      <c r="L8007" t="s">
        <v>12118</v>
      </c>
      <c r="M8007" s="161" t="s">
        <v>19202</v>
      </c>
    </row>
    <row r="8008" spans="9:13" x14ac:dyDescent="0.25">
      <c r="I8008" t="s">
        <v>11724</v>
      </c>
      <c r="J8008" s="161" t="s">
        <v>19202</v>
      </c>
      <c r="K8008" t="s">
        <v>19203</v>
      </c>
      <c r="L8008" t="s">
        <v>11723</v>
      </c>
      <c r="M8008" s="161" t="s">
        <v>19202</v>
      </c>
    </row>
    <row r="8009" spans="9:13" x14ac:dyDescent="0.25">
      <c r="I8009" t="s">
        <v>8570</v>
      </c>
      <c r="J8009" s="161" t="s">
        <v>19202</v>
      </c>
      <c r="K8009" t="s">
        <v>19203</v>
      </c>
      <c r="L8009" t="s">
        <v>8569</v>
      </c>
      <c r="M8009" s="161" t="s">
        <v>19202</v>
      </c>
    </row>
    <row r="8010" spans="9:13" x14ac:dyDescent="0.25">
      <c r="I8010" t="s">
        <v>16209</v>
      </c>
      <c r="J8010" s="161" t="s">
        <v>19202</v>
      </c>
      <c r="K8010" t="s">
        <v>19203</v>
      </c>
      <c r="L8010" t="s">
        <v>16208</v>
      </c>
      <c r="M8010" s="161" t="s">
        <v>19202</v>
      </c>
    </row>
    <row r="8011" spans="9:13" x14ac:dyDescent="0.25">
      <c r="I8011" t="s">
        <v>9740</v>
      </c>
      <c r="J8011" s="161" t="s">
        <v>19202</v>
      </c>
      <c r="K8011" t="s">
        <v>19203</v>
      </c>
      <c r="L8011" t="s">
        <v>9739</v>
      </c>
      <c r="M8011" s="161" t="s">
        <v>19202</v>
      </c>
    </row>
    <row r="8012" spans="9:13" x14ac:dyDescent="0.25">
      <c r="I8012" t="s">
        <v>20376</v>
      </c>
      <c r="J8012" s="161" t="s">
        <v>19202</v>
      </c>
      <c r="K8012" t="s">
        <v>19203</v>
      </c>
      <c r="L8012" t="s">
        <v>20377</v>
      </c>
      <c r="M8012" s="161" t="s">
        <v>19202</v>
      </c>
    </row>
    <row r="8013" spans="9:13" x14ac:dyDescent="0.25">
      <c r="I8013" t="s">
        <v>9593</v>
      </c>
      <c r="J8013" s="161" t="s">
        <v>19202</v>
      </c>
      <c r="K8013" t="s">
        <v>19203</v>
      </c>
      <c r="L8013" t="s">
        <v>9592</v>
      </c>
      <c r="M8013" s="161" t="s">
        <v>19202</v>
      </c>
    </row>
    <row r="8014" spans="9:13" x14ac:dyDescent="0.25">
      <c r="I8014" t="s">
        <v>5800</v>
      </c>
      <c r="J8014" s="161" t="s">
        <v>19202</v>
      </c>
      <c r="K8014" t="s">
        <v>19203</v>
      </c>
      <c r="L8014" t="s">
        <v>5799</v>
      </c>
      <c r="M8014" s="161" t="s">
        <v>19202</v>
      </c>
    </row>
    <row r="8015" spans="9:13" x14ac:dyDescent="0.25">
      <c r="I8015" t="s">
        <v>7171</v>
      </c>
      <c r="J8015" s="161" t="s">
        <v>19202</v>
      </c>
      <c r="K8015" t="s">
        <v>19203</v>
      </c>
      <c r="L8015" t="s">
        <v>7170</v>
      </c>
      <c r="M8015" s="161" t="s">
        <v>19202</v>
      </c>
    </row>
    <row r="8016" spans="9:13" x14ac:dyDescent="0.25">
      <c r="I8016" t="s">
        <v>5146</v>
      </c>
      <c r="J8016" s="161" t="s">
        <v>19202</v>
      </c>
      <c r="K8016" t="s">
        <v>19203</v>
      </c>
      <c r="L8016" t="s">
        <v>1520</v>
      </c>
      <c r="M8016" s="161" t="s">
        <v>19202</v>
      </c>
    </row>
    <row r="8017" spans="9:13" x14ac:dyDescent="0.25">
      <c r="I8017" t="s">
        <v>20378</v>
      </c>
      <c r="J8017" s="161" t="s">
        <v>19202</v>
      </c>
      <c r="K8017" t="s">
        <v>19203</v>
      </c>
      <c r="L8017" t="s">
        <v>20379</v>
      </c>
      <c r="M8017" s="161" t="s">
        <v>19202</v>
      </c>
    </row>
    <row r="8018" spans="9:13" x14ac:dyDescent="0.25">
      <c r="I8018" t="s">
        <v>6412</v>
      </c>
      <c r="J8018" s="161" t="s">
        <v>19202</v>
      </c>
      <c r="K8018" t="s">
        <v>19203</v>
      </c>
      <c r="L8018" t="s">
        <v>6411</v>
      </c>
      <c r="M8018" s="161" t="s">
        <v>19202</v>
      </c>
    </row>
    <row r="8019" spans="9:13" x14ac:dyDescent="0.25">
      <c r="I8019" t="s">
        <v>7652</v>
      </c>
      <c r="J8019" s="161" t="s">
        <v>19202</v>
      </c>
      <c r="K8019" t="s">
        <v>19203</v>
      </c>
      <c r="L8019" t="s">
        <v>7651</v>
      </c>
      <c r="M8019" s="161" t="s">
        <v>19202</v>
      </c>
    </row>
    <row r="8020" spans="9:13" x14ac:dyDescent="0.25">
      <c r="I8020" t="s">
        <v>20380</v>
      </c>
      <c r="J8020" s="161" t="s">
        <v>19202</v>
      </c>
      <c r="K8020" t="s">
        <v>19203</v>
      </c>
      <c r="L8020" t="s">
        <v>20381</v>
      </c>
      <c r="M8020" s="161" t="s">
        <v>19202</v>
      </c>
    </row>
    <row r="8021" spans="9:13" x14ac:dyDescent="0.25">
      <c r="I8021" t="s">
        <v>5145</v>
      </c>
      <c r="J8021" s="161" t="s">
        <v>19202</v>
      </c>
      <c r="K8021" t="s">
        <v>19203</v>
      </c>
      <c r="L8021" t="s">
        <v>5144</v>
      </c>
      <c r="M8021" s="161" t="s">
        <v>19202</v>
      </c>
    </row>
    <row r="8022" spans="9:13" x14ac:dyDescent="0.25">
      <c r="I8022" t="s">
        <v>3651</v>
      </c>
      <c r="J8022" s="161" t="s">
        <v>19202</v>
      </c>
      <c r="K8022" t="s">
        <v>19203</v>
      </c>
      <c r="L8022" t="s">
        <v>3650</v>
      </c>
      <c r="M8022" s="161" t="s">
        <v>19202</v>
      </c>
    </row>
    <row r="8023" spans="9:13" x14ac:dyDescent="0.25">
      <c r="I8023" t="s">
        <v>7507</v>
      </c>
      <c r="J8023" s="161" t="s">
        <v>19202</v>
      </c>
      <c r="K8023" t="s">
        <v>19203</v>
      </c>
      <c r="L8023" t="s">
        <v>7506</v>
      </c>
      <c r="M8023" s="161" t="s">
        <v>19202</v>
      </c>
    </row>
    <row r="8024" spans="9:13" x14ac:dyDescent="0.25">
      <c r="I8024" t="s">
        <v>3392</v>
      </c>
      <c r="J8024" s="161" t="s">
        <v>19202</v>
      </c>
      <c r="K8024" t="s">
        <v>19203</v>
      </c>
      <c r="L8024" t="s">
        <v>3391</v>
      </c>
      <c r="M8024" s="161" t="s">
        <v>19202</v>
      </c>
    </row>
    <row r="8025" spans="9:13" x14ac:dyDescent="0.25">
      <c r="I8025" t="s">
        <v>15653</v>
      </c>
      <c r="J8025" s="161" t="s">
        <v>19202</v>
      </c>
      <c r="K8025" t="s">
        <v>19203</v>
      </c>
      <c r="L8025" t="s">
        <v>15652</v>
      </c>
      <c r="M8025" s="161" t="s">
        <v>19202</v>
      </c>
    </row>
    <row r="8026" spans="9:13" x14ac:dyDescent="0.25">
      <c r="I8026" t="s">
        <v>16207</v>
      </c>
      <c r="J8026" s="161" t="s">
        <v>19202</v>
      </c>
      <c r="K8026" t="s">
        <v>19203</v>
      </c>
      <c r="L8026" t="s">
        <v>3505</v>
      </c>
      <c r="M8026" s="161" t="s">
        <v>19202</v>
      </c>
    </row>
    <row r="8027" spans="9:13" x14ac:dyDescent="0.25">
      <c r="I8027" t="s">
        <v>9597</v>
      </c>
      <c r="J8027" s="161" t="s">
        <v>19202</v>
      </c>
      <c r="K8027" t="s">
        <v>19203</v>
      </c>
      <c r="L8027" t="s">
        <v>9596</v>
      </c>
      <c r="M8027" s="161" t="s">
        <v>19202</v>
      </c>
    </row>
    <row r="8028" spans="9:13" x14ac:dyDescent="0.25">
      <c r="I8028" t="s">
        <v>5398</v>
      </c>
      <c r="J8028" s="161" t="s">
        <v>19202</v>
      </c>
      <c r="K8028" t="s">
        <v>19203</v>
      </c>
      <c r="L8028" t="s">
        <v>5397</v>
      </c>
      <c r="M8028" s="161" t="s">
        <v>19202</v>
      </c>
    </row>
    <row r="8029" spans="9:13" x14ac:dyDescent="0.25">
      <c r="I8029" t="s">
        <v>735</v>
      </c>
      <c r="J8029" s="161" t="s">
        <v>19202</v>
      </c>
      <c r="K8029" t="s">
        <v>19203</v>
      </c>
      <c r="L8029" t="s">
        <v>734</v>
      </c>
      <c r="M8029" s="161" t="s">
        <v>19202</v>
      </c>
    </row>
    <row r="8030" spans="9:13" x14ac:dyDescent="0.25">
      <c r="I8030" t="s">
        <v>12902</v>
      </c>
      <c r="J8030" s="161" t="s">
        <v>19202</v>
      </c>
      <c r="K8030" t="s">
        <v>19203</v>
      </c>
      <c r="L8030" t="s">
        <v>12901</v>
      </c>
      <c r="M8030" s="161" t="s">
        <v>19202</v>
      </c>
    </row>
    <row r="8031" spans="9:13" x14ac:dyDescent="0.25">
      <c r="I8031" t="s">
        <v>13695</v>
      </c>
      <c r="J8031" s="161" t="s">
        <v>19202</v>
      </c>
      <c r="K8031" t="s">
        <v>19203</v>
      </c>
      <c r="L8031" t="s">
        <v>13694</v>
      </c>
      <c r="M8031" s="161" t="s">
        <v>19202</v>
      </c>
    </row>
    <row r="8032" spans="9:13" x14ac:dyDescent="0.25">
      <c r="I8032" t="s">
        <v>13137</v>
      </c>
      <c r="J8032" s="161" t="s">
        <v>19202</v>
      </c>
      <c r="K8032" t="s">
        <v>19203</v>
      </c>
      <c r="L8032" t="s">
        <v>13136</v>
      </c>
      <c r="M8032" s="161" t="s">
        <v>19202</v>
      </c>
    </row>
    <row r="8033" spans="9:13" x14ac:dyDescent="0.25">
      <c r="I8033" t="s">
        <v>12752</v>
      </c>
      <c r="J8033" s="161" t="s">
        <v>19202</v>
      </c>
      <c r="K8033" t="s">
        <v>19203</v>
      </c>
      <c r="L8033" t="s">
        <v>12751</v>
      </c>
      <c r="M8033" s="161" t="s">
        <v>19202</v>
      </c>
    </row>
    <row r="8034" spans="9:13" x14ac:dyDescent="0.25">
      <c r="I8034" t="s">
        <v>13698</v>
      </c>
      <c r="J8034" s="161" t="s">
        <v>19202</v>
      </c>
      <c r="K8034" t="s">
        <v>19203</v>
      </c>
      <c r="L8034" t="s">
        <v>85</v>
      </c>
      <c r="M8034" s="161" t="s">
        <v>19202</v>
      </c>
    </row>
    <row r="8035" spans="9:13" x14ac:dyDescent="0.25">
      <c r="I8035" t="s">
        <v>15888</v>
      </c>
      <c r="J8035" s="161" t="s">
        <v>19202</v>
      </c>
      <c r="K8035" t="s">
        <v>19203</v>
      </c>
      <c r="L8035" t="s">
        <v>15887</v>
      </c>
      <c r="M8035" s="161" t="s">
        <v>19202</v>
      </c>
    </row>
    <row r="8036" spans="9:13" x14ac:dyDescent="0.25">
      <c r="I8036" t="s">
        <v>14192</v>
      </c>
      <c r="J8036" s="161" t="s">
        <v>19202</v>
      </c>
      <c r="K8036" t="s">
        <v>19203</v>
      </c>
      <c r="L8036" t="s">
        <v>14191</v>
      </c>
      <c r="M8036" s="161" t="s">
        <v>19202</v>
      </c>
    </row>
    <row r="8037" spans="9:13" x14ac:dyDescent="0.25">
      <c r="I8037" t="s">
        <v>20382</v>
      </c>
      <c r="J8037" s="161" t="s">
        <v>19202</v>
      </c>
      <c r="K8037" t="s">
        <v>19203</v>
      </c>
      <c r="L8037" t="s">
        <v>20383</v>
      </c>
      <c r="M8037" s="161" t="s">
        <v>19202</v>
      </c>
    </row>
    <row r="8038" spans="9:13" x14ac:dyDescent="0.25">
      <c r="I8038" t="s">
        <v>20384</v>
      </c>
      <c r="J8038" s="161" t="s">
        <v>19202</v>
      </c>
      <c r="K8038" t="s">
        <v>19203</v>
      </c>
      <c r="L8038" t="s">
        <v>20385</v>
      </c>
      <c r="M8038" s="161" t="s">
        <v>19202</v>
      </c>
    </row>
    <row r="8039" spans="9:13" x14ac:dyDescent="0.25">
      <c r="I8039" t="s">
        <v>11121</v>
      </c>
      <c r="J8039" s="161" t="s">
        <v>19202</v>
      </c>
      <c r="K8039" t="s">
        <v>19203</v>
      </c>
      <c r="L8039" t="s">
        <v>11120</v>
      </c>
      <c r="M8039" s="161" t="s">
        <v>19202</v>
      </c>
    </row>
    <row r="8040" spans="9:13" x14ac:dyDescent="0.25">
      <c r="I8040" t="s">
        <v>11671</v>
      </c>
      <c r="J8040" s="161" t="s">
        <v>19202</v>
      </c>
      <c r="K8040" t="s">
        <v>19203</v>
      </c>
      <c r="L8040" t="s">
        <v>11670</v>
      </c>
      <c r="M8040" s="161" t="s">
        <v>19202</v>
      </c>
    </row>
    <row r="8041" spans="9:13" x14ac:dyDescent="0.25">
      <c r="I8041" t="s">
        <v>2178</v>
      </c>
      <c r="J8041" s="161" t="s">
        <v>19202</v>
      </c>
      <c r="K8041" t="s">
        <v>19203</v>
      </c>
      <c r="L8041" t="s">
        <v>2177</v>
      </c>
      <c r="M8041" s="161" t="s">
        <v>19202</v>
      </c>
    </row>
    <row r="8042" spans="9:13" x14ac:dyDescent="0.25">
      <c r="I8042" t="s">
        <v>8572</v>
      </c>
      <c r="J8042" s="161" t="s">
        <v>19202</v>
      </c>
      <c r="K8042" t="s">
        <v>19203</v>
      </c>
      <c r="L8042" t="s">
        <v>8571</v>
      </c>
      <c r="M8042" s="161" t="s">
        <v>19202</v>
      </c>
    </row>
    <row r="8043" spans="9:13" x14ac:dyDescent="0.25">
      <c r="I8043" t="s">
        <v>14894</v>
      </c>
      <c r="J8043" s="161" t="s">
        <v>19202</v>
      </c>
      <c r="K8043" t="s">
        <v>19203</v>
      </c>
      <c r="L8043" t="s">
        <v>14893</v>
      </c>
      <c r="M8043" s="161" t="s">
        <v>19202</v>
      </c>
    </row>
    <row r="8044" spans="9:13" x14ac:dyDescent="0.25">
      <c r="I8044" t="s">
        <v>2663</v>
      </c>
      <c r="J8044" s="161" t="s">
        <v>19202</v>
      </c>
      <c r="K8044" t="s">
        <v>19203</v>
      </c>
      <c r="L8044" t="s">
        <v>2374</v>
      </c>
      <c r="M8044" s="161" t="s">
        <v>19202</v>
      </c>
    </row>
    <row r="8045" spans="9:13" x14ac:dyDescent="0.25">
      <c r="I8045" t="s">
        <v>10311</v>
      </c>
      <c r="J8045" s="161" t="s">
        <v>19202</v>
      </c>
      <c r="K8045" t="s">
        <v>19203</v>
      </c>
      <c r="L8045" t="s">
        <v>10310</v>
      </c>
      <c r="M8045" s="161" t="s">
        <v>19202</v>
      </c>
    </row>
    <row r="8046" spans="9:13" x14ac:dyDescent="0.25">
      <c r="I8046" t="s">
        <v>20386</v>
      </c>
      <c r="J8046" s="161" t="s">
        <v>19202</v>
      </c>
      <c r="K8046" t="s">
        <v>19203</v>
      </c>
      <c r="L8046" t="s">
        <v>4597</v>
      </c>
      <c r="M8046" s="161" t="s">
        <v>19202</v>
      </c>
    </row>
    <row r="8047" spans="9:13" x14ac:dyDescent="0.25">
      <c r="I8047" t="s">
        <v>13087</v>
      </c>
      <c r="J8047" s="161" t="s">
        <v>19202</v>
      </c>
      <c r="K8047" t="s">
        <v>19203</v>
      </c>
      <c r="L8047" t="s">
        <v>13086</v>
      </c>
      <c r="M8047" s="161" t="s">
        <v>19202</v>
      </c>
    </row>
    <row r="8048" spans="9:13" x14ac:dyDescent="0.25">
      <c r="I8048" t="s">
        <v>2174</v>
      </c>
      <c r="J8048" s="161" t="s">
        <v>19202</v>
      </c>
      <c r="K8048" t="s">
        <v>19203</v>
      </c>
      <c r="L8048" t="s">
        <v>2173</v>
      </c>
      <c r="M8048" s="161" t="s">
        <v>19202</v>
      </c>
    </row>
    <row r="8049" spans="9:13" x14ac:dyDescent="0.25">
      <c r="I8049" t="s">
        <v>4184</v>
      </c>
      <c r="J8049" s="161" t="s">
        <v>19202</v>
      </c>
      <c r="K8049" t="s">
        <v>19203</v>
      </c>
      <c r="L8049" t="s">
        <v>4183</v>
      </c>
      <c r="M8049" s="161" t="s">
        <v>19202</v>
      </c>
    </row>
    <row r="8050" spans="9:13" x14ac:dyDescent="0.25">
      <c r="I8050" t="s">
        <v>14959</v>
      </c>
      <c r="J8050" s="161" t="s">
        <v>19202</v>
      </c>
      <c r="K8050" t="s">
        <v>19203</v>
      </c>
      <c r="L8050" t="s">
        <v>14958</v>
      </c>
      <c r="M8050" s="161" t="s">
        <v>19202</v>
      </c>
    </row>
    <row r="8051" spans="9:13" x14ac:dyDescent="0.25">
      <c r="I8051" t="s">
        <v>9695</v>
      </c>
      <c r="J8051" s="161" t="s">
        <v>19202</v>
      </c>
      <c r="K8051" t="s">
        <v>19203</v>
      </c>
      <c r="L8051" t="s">
        <v>9694</v>
      </c>
      <c r="M8051" s="161" t="s">
        <v>19202</v>
      </c>
    </row>
    <row r="8052" spans="9:13" x14ac:dyDescent="0.25">
      <c r="I8052" t="s">
        <v>8760</v>
      </c>
      <c r="J8052" s="167" t="s">
        <v>19994</v>
      </c>
      <c r="K8052" t="s">
        <v>19203</v>
      </c>
      <c r="L8052" t="s">
        <v>8759</v>
      </c>
      <c r="M8052" s="167" t="s">
        <v>19994</v>
      </c>
    </row>
    <row r="8053" spans="9:13" x14ac:dyDescent="0.25">
      <c r="I8053" t="s">
        <v>349</v>
      </c>
      <c r="J8053" s="161" t="s">
        <v>19202</v>
      </c>
      <c r="K8053" t="s">
        <v>19203</v>
      </c>
      <c r="L8053" t="s">
        <v>348</v>
      </c>
      <c r="M8053" s="161" t="s">
        <v>19202</v>
      </c>
    </row>
    <row r="8054" spans="9:13" x14ac:dyDescent="0.25">
      <c r="I8054" t="s">
        <v>20387</v>
      </c>
      <c r="J8054" s="161" t="s">
        <v>19202</v>
      </c>
      <c r="K8054" t="s">
        <v>19203</v>
      </c>
      <c r="L8054" t="s">
        <v>20388</v>
      </c>
      <c r="M8054" s="161" t="s">
        <v>19202</v>
      </c>
    </row>
    <row r="8055" spans="9:13" x14ac:dyDescent="0.25">
      <c r="I8055" t="s">
        <v>3811</v>
      </c>
      <c r="J8055" s="161" t="s">
        <v>19202</v>
      </c>
      <c r="K8055" t="s">
        <v>19203</v>
      </c>
      <c r="L8055" t="s">
        <v>3810</v>
      </c>
      <c r="M8055" s="161" t="s">
        <v>19202</v>
      </c>
    </row>
    <row r="8056" spans="9:13" x14ac:dyDescent="0.25">
      <c r="I8056" t="s">
        <v>18070</v>
      </c>
      <c r="J8056" s="167" t="s">
        <v>19994</v>
      </c>
      <c r="K8056" t="s">
        <v>19203</v>
      </c>
      <c r="L8056" t="s">
        <v>18069</v>
      </c>
      <c r="M8056" s="167" t="s">
        <v>19994</v>
      </c>
    </row>
    <row r="8057" spans="9:13" x14ac:dyDescent="0.25">
      <c r="I8057" t="s">
        <v>13804</v>
      </c>
      <c r="J8057" s="161" t="s">
        <v>19202</v>
      </c>
      <c r="K8057" t="s">
        <v>19203</v>
      </c>
      <c r="L8057" t="s">
        <v>13803</v>
      </c>
      <c r="M8057" s="161" t="s">
        <v>19202</v>
      </c>
    </row>
    <row r="8058" spans="9:13" x14ac:dyDescent="0.25">
      <c r="I8058" t="s">
        <v>10346</v>
      </c>
      <c r="J8058" s="161" t="s">
        <v>19202</v>
      </c>
      <c r="K8058" t="s">
        <v>19203</v>
      </c>
      <c r="L8058" t="s">
        <v>4792</v>
      </c>
      <c r="M8058" s="161" t="s">
        <v>19202</v>
      </c>
    </row>
    <row r="8059" spans="9:13" x14ac:dyDescent="0.25">
      <c r="I8059" t="s">
        <v>3498</v>
      </c>
      <c r="J8059" s="161" t="s">
        <v>19202</v>
      </c>
      <c r="K8059" t="s">
        <v>19203</v>
      </c>
      <c r="L8059" t="s">
        <v>3497</v>
      </c>
      <c r="M8059" s="161" t="s">
        <v>19202</v>
      </c>
    </row>
    <row r="8060" spans="9:13" x14ac:dyDescent="0.25">
      <c r="I8060" t="s">
        <v>16998</v>
      </c>
      <c r="J8060" s="161" t="s">
        <v>19202</v>
      </c>
      <c r="K8060" t="s">
        <v>19203</v>
      </c>
      <c r="L8060" t="s">
        <v>16997</v>
      </c>
      <c r="M8060" s="161" t="s">
        <v>19202</v>
      </c>
    </row>
    <row r="8061" spans="9:13" x14ac:dyDescent="0.25">
      <c r="I8061" t="s">
        <v>8704</v>
      </c>
      <c r="J8061" s="161" t="s">
        <v>19202</v>
      </c>
      <c r="K8061" t="s">
        <v>19203</v>
      </c>
      <c r="L8061" t="s">
        <v>8703</v>
      </c>
      <c r="M8061" s="161" t="s">
        <v>19202</v>
      </c>
    </row>
    <row r="8062" spans="9:13" x14ac:dyDescent="0.25">
      <c r="I8062" t="s">
        <v>8822</v>
      </c>
      <c r="J8062" s="167" t="s">
        <v>19994</v>
      </c>
      <c r="K8062" t="s">
        <v>19203</v>
      </c>
      <c r="L8062" t="s">
        <v>8821</v>
      </c>
      <c r="M8062" s="167" t="s">
        <v>19994</v>
      </c>
    </row>
    <row r="8063" spans="9:13" x14ac:dyDescent="0.25">
      <c r="I8063" t="s">
        <v>20389</v>
      </c>
      <c r="J8063" s="161" t="s">
        <v>19202</v>
      </c>
      <c r="K8063" t="s">
        <v>19203</v>
      </c>
      <c r="L8063" t="s">
        <v>20390</v>
      </c>
      <c r="M8063" s="161" t="s">
        <v>19202</v>
      </c>
    </row>
    <row r="8064" spans="9:13" x14ac:dyDescent="0.25">
      <c r="I8064" t="s">
        <v>4275</v>
      </c>
      <c r="J8064" s="161" t="s">
        <v>19202</v>
      </c>
      <c r="K8064" t="s">
        <v>19203</v>
      </c>
      <c r="L8064" t="s">
        <v>4274</v>
      </c>
      <c r="M8064" s="161" t="s">
        <v>19202</v>
      </c>
    </row>
    <row r="8065" spans="9:13" x14ac:dyDescent="0.25">
      <c r="I8065" t="s">
        <v>20391</v>
      </c>
      <c r="J8065" s="161" t="s">
        <v>19202</v>
      </c>
      <c r="K8065" t="s">
        <v>19203</v>
      </c>
      <c r="L8065" t="s">
        <v>20392</v>
      </c>
      <c r="M8065" s="161" t="s">
        <v>19202</v>
      </c>
    </row>
    <row r="8066" spans="9:13" x14ac:dyDescent="0.25">
      <c r="I8066" t="s">
        <v>17000</v>
      </c>
      <c r="J8066" s="161" t="s">
        <v>19202</v>
      </c>
      <c r="K8066" t="s">
        <v>19203</v>
      </c>
      <c r="L8066" t="s">
        <v>16999</v>
      </c>
      <c r="M8066" s="161" t="s">
        <v>19202</v>
      </c>
    </row>
    <row r="8067" spans="9:13" x14ac:dyDescent="0.25">
      <c r="I8067" t="s">
        <v>4779</v>
      </c>
      <c r="J8067" s="161" t="s">
        <v>19202</v>
      </c>
      <c r="K8067" t="s">
        <v>19203</v>
      </c>
      <c r="L8067" t="s">
        <v>4778</v>
      </c>
      <c r="M8067" s="161" t="s">
        <v>19202</v>
      </c>
    </row>
    <row r="8068" spans="9:13" x14ac:dyDescent="0.25">
      <c r="I8068" t="s">
        <v>13474</v>
      </c>
      <c r="J8068" s="161" t="s">
        <v>19202</v>
      </c>
      <c r="K8068" t="s">
        <v>19203</v>
      </c>
      <c r="L8068" t="s">
        <v>13473</v>
      </c>
      <c r="M8068" s="161" t="s">
        <v>19202</v>
      </c>
    </row>
    <row r="8069" spans="9:13" x14ac:dyDescent="0.25">
      <c r="I8069" t="s">
        <v>14957</v>
      </c>
      <c r="J8069" s="161" t="s">
        <v>19202</v>
      </c>
      <c r="K8069" t="s">
        <v>19203</v>
      </c>
      <c r="L8069" t="s">
        <v>14893</v>
      </c>
      <c r="M8069" s="161" t="s">
        <v>19202</v>
      </c>
    </row>
    <row r="8070" spans="9:13" x14ac:dyDescent="0.25">
      <c r="I8070" t="s">
        <v>14956</v>
      </c>
      <c r="J8070" s="161" t="s">
        <v>19202</v>
      </c>
      <c r="K8070" t="s">
        <v>19203</v>
      </c>
      <c r="L8070" t="s">
        <v>14955</v>
      </c>
      <c r="M8070" s="161" t="s">
        <v>19202</v>
      </c>
    </row>
    <row r="8071" spans="9:13" x14ac:dyDescent="0.25">
      <c r="I8071" t="s">
        <v>6584</v>
      </c>
      <c r="J8071" s="161" t="s">
        <v>19202</v>
      </c>
      <c r="K8071" t="s">
        <v>19203</v>
      </c>
      <c r="L8071" t="s">
        <v>6564</v>
      </c>
      <c r="M8071" s="161" t="s">
        <v>19202</v>
      </c>
    </row>
    <row r="8072" spans="9:13" x14ac:dyDescent="0.25">
      <c r="I8072" t="s">
        <v>15233</v>
      </c>
      <c r="J8072" s="161" t="s">
        <v>19202</v>
      </c>
      <c r="K8072" t="s">
        <v>19203</v>
      </c>
      <c r="L8072" t="s">
        <v>15232</v>
      </c>
      <c r="M8072" s="161" t="s">
        <v>19202</v>
      </c>
    </row>
    <row r="8073" spans="9:13" x14ac:dyDescent="0.25">
      <c r="I8073" t="s">
        <v>470</v>
      </c>
      <c r="J8073" s="161" t="s">
        <v>19202</v>
      </c>
      <c r="K8073" t="s">
        <v>19203</v>
      </c>
      <c r="L8073" t="s">
        <v>469</v>
      </c>
      <c r="M8073" s="161" t="s">
        <v>19202</v>
      </c>
    </row>
    <row r="8074" spans="9:13" x14ac:dyDescent="0.25">
      <c r="I8074" t="s">
        <v>20393</v>
      </c>
      <c r="J8074" s="161" t="s">
        <v>19202</v>
      </c>
      <c r="K8074" t="s">
        <v>19203</v>
      </c>
      <c r="L8074" t="s">
        <v>20394</v>
      </c>
      <c r="M8074" s="161" t="s">
        <v>19202</v>
      </c>
    </row>
    <row r="8075" spans="9:13" x14ac:dyDescent="0.25">
      <c r="I8075" t="s">
        <v>20395</v>
      </c>
      <c r="J8075" s="161" t="s">
        <v>19202</v>
      </c>
      <c r="K8075" t="s">
        <v>19203</v>
      </c>
      <c r="L8075" t="s">
        <v>16142</v>
      </c>
      <c r="M8075" s="161" t="s">
        <v>19202</v>
      </c>
    </row>
    <row r="8076" spans="9:13" x14ac:dyDescent="0.25">
      <c r="I8076" t="s">
        <v>3831</v>
      </c>
      <c r="J8076" s="161" t="s">
        <v>19202</v>
      </c>
      <c r="K8076" t="s">
        <v>19203</v>
      </c>
      <c r="L8076" t="s">
        <v>3830</v>
      </c>
      <c r="M8076" s="161" t="s">
        <v>19202</v>
      </c>
    </row>
    <row r="8077" spans="9:13" x14ac:dyDescent="0.25">
      <c r="I8077" t="s">
        <v>5675</v>
      </c>
      <c r="J8077" s="161" t="s">
        <v>19202</v>
      </c>
      <c r="K8077" t="s">
        <v>19203</v>
      </c>
      <c r="L8077" t="s">
        <v>5674</v>
      </c>
      <c r="M8077" s="161" t="s">
        <v>19202</v>
      </c>
    </row>
    <row r="8078" spans="9:13" x14ac:dyDescent="0.25">
      <c r="I8078" t="s">
        <v>10180</v>
      </c>
      <c r="J8078" s="161" t="s">
        <v>19202</v>
      </c>
      <c r="K8078" t="s">
        <v>19203</v>
      </c>
      <c r="L8078" t="s">
        <v>10179</v>
      </c>
      <c r="M8078" s="161" t="s">
        <v>19202</v>
      </c>
    </row>
    <row r="8079" spans="9:13" x14ac:dyDescent="0.25">
      <c r="I8079" t="s">
        <v>9392</v>
      </c>
      <c r="J8079" s="161" t="s">
        <v>19202</v>
      </c>
      <c r="K8079" t="s">
        <v>19203</v>
      </c>
      <c r="L8079" t="s">
        <v>9391</v>
      </c>
      <c r="M8079" s="161" t="s">
        <v>19202</v>
      </c>
    </row>
    <row r="8080" spans="9:13" x14ac:dyDescent="0.25">
      <c r="I8080" t="s">
        <v>20396</v>
      </c>
      <c r="J8080" s="161" t="s">
        <v>19202</v>
      </c>
      <c r="K8080" t="s">
        <v>19203</v>
      </c>
      <c r="L8080" t="s">
        <v>20397</v>
      </c>
      <c r="M8080" s="161" t="s">
        <v>19202</v>
      </c>
    </row>
    <row r="8081" spans="9:13" x14ac:dyDescent="0.25">
      <c r="I8081" t="s">
        <v>6036</v>
      </c>
      <c r="J8081" s="161" t="s">
        <v>19202</v>
      </c>
      <c r="K8081" t="s">
        <v>19203</v>
      </c>
      <c r="L8081" t="s">
        <v>6033</v>
      </c>
      <c r="M8081" s="161" t="s">
        <v>19202</v>
      </c>
    </row>
    <row r="8082" spans="9:13" x14ac:dyDescent="0.25">
      <c r="I8082" t="s">
        <v>13415</v>
      </c>
      <c r="J8082" s="161" t="s">
        <v>19202</v>
      </c>
      <c r="K8082" t="s">
        <v>19203</v>
      </c>
      <c r="L8082" t="s">
        <v>13414</v>
      </c>
      <c r="M8082" s="161" t="s">
        <v>19202</v>
      </c>
    </row>
    <row r="8083" spans="9:13" x14ac:dyDescent="0.25">
      <c r="I8083" t="s">
        <v>20398</v>
      </c>
      <c r="J8083" s="161" t="s">
        <v>19202</v>
      </c>
      <c r="K8083" t="s">
        <v>19203</v>
      </c>
      <c r="L8083" t="s">
        <v>20399</v>
      </c>
      <c r="M8083" s="161" t="s">
        <v>19202</v>
      </c>
    </row>
    <row r="8084" spans="9:13" x14ac:dyDescent="0.25">
      <c r="I8084" t="s">
        <v>11635</v>
      </c>
      <c r="J8084" s="167" t="s">
        <v>19994</v>
      </c>
      <c r="K8084" t="s">
        <v>19203</v>
      </c>
      <c r="L8084" t="s">
        <v>11634</v>
      </c>
      <c r="M8084" s="167" t="s">
        <v>19994</v>
      </c>
    </row>
    <row r="8085" spans="9:13" x14ac:dyDescent="0.25">
      <c r="I8085" t="s">
        <v>462</v>
      </c>
      <c r="J8085" s="161" t="s">
        <v>19202</v>
      </c>
      <c r="K8085" t="s">
        <v>19203</v>
      </c>
      <c r="L8085" t="s">
        <v>461</v>
      </c>
      <c r="M8085" s="161" t="s">
        <v>19202</v>
      </c>
    </row>
    <row r="8086" spans="9:13" x14ac:dyDescent="0.25">
      <c r="I8086" t="s">
        <v>3502</v>
      </c>
      <c r="J8086" s="161" t="s">
        <v>19202</v>
      </c>
      <c r="K8086" t="s">
        <v>19203</v>
      </c>
      <c r="L8086" t="s">
        <v>3501</v>
      </c>
      <c r="M8086" s="161" t="s">
        <v>19202</v>
      </c>
    </row>
    <row r="8087" spans="9:13" x14ac:dyDescent="0.25">
      <c r="I8087" t="s">
        <v>15192</v>
      </c>
      <c r="J8087" s="161" t="s">
        <v>19202</v>
      </c>
      <c r="K8087" t="s">
        <v>19203</v>
      </c>
      <c r="L8087" t="s">
        <v>15191</v>
      </c>
      <c r="M8087" s="161" t="s">
        <v>19202</v>
      </c>
    </row>
    <row r="8088" spans="9:13" x14ac:dyDescent="0.25">
      <c r="I8088" t="s">
        <v>8944</v>
      </c>
      <c r="J8088" s="161" t="s">
        <v>19202</v>
      </c>
      <c r="K8088" t="s">
        <v>19203</v>
      </c>
      <c r="L8088" t="s">
        <v>8943</v>
      </c>
      <c r="M8088" s="161" t="s">
        <v>19202</v>
      </c>
    </row>
    <row r="8089" spans="9:13" x14ac:dyDescent="0.25">
      <c r="I8089" t="s">
        <v>20400</v>
      </c>
      <c r="J8089" s="161" t="s">
        <v>19202</v>
      </c>
      <c r="K8089" t="s">
        <v>19203</v>
      </c>
      <c r="L8089" t="s">
        <v>20401</v>
      </c>
      <c r="M8089" s="161" t="s">
        <v>19202</v>
      </c>
    </row>
    <row r="8090" spans="9:13" x14ac:dyDescent="0.25">
      <c r="I8090" t="s">
        <v>6583</v>
      </c>
      <c r="J8090" s="161" t="s">
        <v>19202</v>
      </c>
      <c r="K8090" t="s">
        <v>19203</v>
      </c>
      <c r="L8090" t="s">
        <v>6582</v>
      </c>
      <c r="M8090" s="161" t="s">
        <v>19202</v>
      </c>
    </row>
    <row r="8091" spans="9:13" x14ac:dyDescent="0.25">
      <c r="I8091" t="s">
        <v>10184</v>
      </c>
      <c r="J8091" s="161" t="s">
        <v>19202</v>
      </c>
      <c r="K8091" t="s">
        <v>19203</v>
      </c>
      <c r="L8091" t="s">
        <v>10183</v>
      </c>
      <c r="M8091" s="161" t="s">
        <v>19202</v>
      </c>
    </row>
    <row r="8092" spans="9:13" x14ac:dyDescent="0.25">
      <c r="I8092" t="s">
        <v>10182</v>
      </c>
      <c r="J8092" s="161" t="s">
        <v>19202</v>
      </c>
      <c r="K8092" t="s">
        <v>19203</v>
      </c>
      <c r="L8092" t="s">
        <v>10181</v>
      </c>
      <c r="M8092" s="161" t="s">
        <v>19202</v>
      </c>
    </row>
    <row r="8093" spans="9:13" x14ac:dyDescent="0.25">
      <c r="I8093" t="s">
        <v>10172</v>
      </c>
      <c r="J8093" s="161" t="s">
        <v>19202</v>
      </c>
      <c r="K8093" t="s">
        <v>19203</v>
      </c>
      <c r="L8093" t="s">
        <v>10171</v>
      </c>
      <c r="M8093" s="161" t="s">
        <v>19202</v>
      </c>
    </row>
    <row r="8094" spans="9:13" x14ac:dyDescent="0.25">
      <c r="I8094" t="s">
        <v>4186</v>
      </c>
      <c r="J8094" s="161" t="s">
        <v>19202</v>
      </c>
      <c r="K8094" t="s">
        <v>19203</v>
      </c>
      <c r="L8094" t="s">
        <v>4185</v>
      </c>
      <c r="M8094" s="161" t="s">
        <v>19202</v>
      </c>
    </row>
    <row r="8095" spans="9:13" x14ac:dyDescent="0.25">
      <c r="I8095" t="s">
        <v>14896</v>
      </c>
      <c r="J8095" s="161" t="s">
        <v>19202</v>
      </c>
      <c r="K8095" t="s">
        <v>19203</v>
      </c>
      <c r="L8095" t="s">
        <v>14895</v>
      </c>
      <c r="M8095" s="161" t="s">
        <v>19202</v>
      </c>
    </row>
    <row r="8096" spans="9:13" x14ac:dyDescent="0.25">
      <c r="I8096" t="s">
        <v>6548</v>
      </c>
      <c r="J8096" s="161" t="s">
        <v>19202</v>
      </c>
      <c r="K8096" t="s">
        <v>19203</v>
      </c>
      <c r="L8096" t="s">
        <v>6547</v>
      </c>
      <c r="M8096" s="161" t="s">
        <v>19202</v>
      </c>
    </row>
    <row r="8097" spans="9:13" x14ac:dyDescent="0.25">
      <c r="I8097" t="s">
        <v>20402</v>
      </c>
      <c r="J8097" s="161" t="s">
        <v>19202</v>
      </c>
      <c r="K8097" t="s">
        <v>19203</v>
      </c>
      <c r="L8097" t="s">
        <v>20403</v>
      </c>
      <c r="M8097" s="161" t="s">
        <v>19202</v>
      </c>
    </row>
    <row r="8098" spans="9:13" x14ac:dyDescent="0.25">
      <c r="I8098" t="s">
        <v>6408</v>
      </c>
      <c r="J8098" s="161" t="s">
        <v>19202</v>
      </c>
      <c r="K8098" t="s">
        <v>19203</v>
      </c>
      <c r="L8098" t="s">
        <v>6407</v>
      </c>
      <c r="M8098" s="161" t="s">
        <v>19202</v>
      </c>
    </row>
    <row r="8099" spans="9:13" x14ac:dyDescent="0.25">
      <c r="I8099" t="s">
        <v>6345</v>
      </c>
      <c r="J8099" s="161" t="s">
        <v>19202</v>
      </c>
      <c r="K8099" t="s">
        <v>19203</v>
      </c>
      <c r="L8099" t="s">
        <v>6344</v>
      </c>
      <c r="M8099" s="161" t="s">
        <v>19202</v>
      </c>
    </row>
    <row r="8100" spans="9:13" x14ac:dyDescent="0.25">
      <c r="I8100" t="s">
        <v>14898</v>
      </c>
      <c r="J8100" s="161" t="s">
        <v>19202</v>
      </c>
      <c r="K8100" t="s">
        <v>19203</v>
      </c>
      <c r="L8100" t="s">
        <v>14897</v>
      </c>
      <c r="M8100" s="161" t="s">
        <v>19202</v>
      </c>
    </row>
    <row r="8101" spans="9:13" x14ac:dyDescent="0.25">
      <c r="I8101" t="s">
        <v>15235</v>
      </c>
      <c r="J8101" s="161" t="s">
        <v>19202</v>
      </c>
      <c r="K8101" t="s">
        <v>19203</v>
      </c>
      <c r="L8101" t="s">
        <v>15234</v>
      </c>
      <c r="M8101" s="161" t="s">
        <v>19202</v>
      </c>
    </row>
    <row r="8102" spans="9:13" x14ac:dyDescent="0.25">
      <c r="I8102" t="s">
        <v>10356</v>
      </c>
      <c r="J8102" s="161" t="s">
        <v>19202</v>
      </c>
      <c r="K8102" t="s">
        <v>19203</v>
      </c>
      <c r="L8102" t="s">
        <v>10355</v>
      </c>
      <c r="M8102" s="161" t="s">
        <v>19202</v>
      </c>
    </row>
    <row r="8103" spans="9:13" x14ac:dyDescent="0.25">
      <c r="I8103" t="s">
        <v>10354</v>
      </c>
      <c r="J8103" s="161" t="s">
        <v>19202</v>
      </c>
      <c r="K8103" t="s">
        <v>19203</v>
      </c>
      <c r="L8103" t="s">
        <v>10353</v>
      </c>
      <c r="M8103" s="161" t="s">
        <v>19202</v>
      </c>
    </row>
    <row r="8104" spans="9:13" x14ac:dyDescent="0.25">
      <c r="I8104" t="s">
        <v>13413</v>
      </c>
      <c r="J8104" s="161" t="s">
        <v>19202</v>
      </c>
      <c r="K8104" t="s">
        <v>19203</v>
      </c>
      <c r="L8104" t="s">
        <v>13412</v>
      </c>
      <c r="M8104" s="161" t="s">
        <v>19202</v>
      </c>
    </row>
    <row r="8105" spans="9:13" x14ac:dyDescent="0.25">
      <c r="I8105" t="s">
        <v>6892</v>
      </c>
      <c r="J8105" s="161" t="s">
        <v>19202</v>
      </c>
      <c r="K8105" t="s">
        <v>19203</v>
      </c>
      <c r="L8105" t="s">
        <v>4257</v>
      </c>
      <c r="M8105" s="161" t="s">
        <v>19202</v>
      </c>
    </row>
    <row r="8106" spans="9:13" x14ac:dyDescent="0.25">
      <c r="I8106" t="s">
        <v>10257</v>
      </c>
      <c r="J8106" s="161" t="s">
        <v>19202</v>
      </c>
      <c r="K8106" t="s">
        <v>19203</v>
      </c>
      <c r="L8106" t="s">
        <v>1599</v>
      </c>
      <c r="M8106" s="161" t="s">
        <v>19202</v>
      </c>
    </row>
    <row r="8107" spans="9:13" x14ac:dyDescent="0.25">
      <c r="I8107" t="s">
        <v>15429</v>
      </c>
      <c r="J8107" s="161" t="s">
        <v>19202</v>
      </c>
      <c r="K8107" t="s">
        <v>19203</v>
      </c>
      <c r="L8107" t="s">
        <v>861</v>
      </c>
      <c r="M8107" s="161" t="s">
        <v>19202</v>
      </c>
    </row>
    <row r="8108" spans="9:13" x14ac:dyDescent="0.25">
      <c r="I8108" t="s">
        <v>6755</v>
      </c>
      <c r="J8108" s="161" t="s">
        <v>19202</v>
      </c>
      <c r="K8108" t="s">
        <v>19203</v>
      </c>
      <c r="L8108" t="s">
        <v>6754</v>
      </c>
      <c r="M8108" s="161" t="s">
        <v>19202</v>
      </c>
    </row>
    <row r="8109" spans="9:13" x14ac:dyDescent="0.25">
      <c r="I8109" t="s">
        <v>12672</v>
      </c>
      <c r="J8109" s="161" t="s">
        <v>19202</v>
      </c>
      <c r="K8109" t="s">
        <v>19203</v>
      </c>
      <c r="L8109" t="s">
        <v>12671</v>
      </c>
      <c r="M8109" s="161" t="s">
        <v>19202</v>
      </c>
    </row>
    <row r="8110" spans="9:13" x14ac:dyDescent="0.25">
      <c r="I8110" t="s">
        <v>14355</v>
      </c>
      <c r="J8110" s="167" t="s">
        <v>19994</v>
      </c>
      <c r="K8110" t="s">
        <v>19203</v>
      </c>
      <c r="L8110" t="s">
        <v>14354</v>
      </c>
      <c r="M8110" s="167" t="s">
        <v>19994</v>
      </c>
    </row>
    <row r="8111" spans="9:13" x14ac:dyDescent="0.25">
      <c r="I8111" t="s">
        <v>705</v>
      </c>
      <c r="J8111" s="161" t="s">
        <v>19202</v>
      </c>
      <c r="K8111" t="s">
        <v>19203</v>
      </c>
      <c r="L8111" t="s">
        <v>704</v>
      </c>
      <c r="M8111" s="161" t="s">
        <v>19202</v>
      </c>
    </row>
    <row r="8112" spans="9:13" x14ac:dyDescent="0.25">
      <c r="I8112" t="s">
        <v>20404</v>
      </c>
      <c r="J8112" s="161" t="s">
        <v>19202</v>
      </c>
      <c r="K8112" t="s">
        <v>19203</v>
      </c>
      <c r="L8112" t="s">
        <v>20405</v>
      </c>
      <c r="M8112" s="161" t="s">
        <v>19202</v>
      </c>
    </row>
    <row r="8113" spans="9:13" x14ac:dyDescent="0.25">
      <c r="I8113" t="s">
        <v>15924</v>
      </c>
      <c r="J8113" s="161" t="s">
        <v>19202</v>
      </c>
      <c r="K8113" t="s">
        <v>19203</v>
      </c>
      <c r="L8113" t="s">
        <v>15923</v>
      </c>
      <c r="M8113" s="161" t="s">
        <v>19202</v>
      </c>
    </row>
    <row r="8114" spans="9:13" x14ac:dyDescent="0.25">
      <c r="I8114" t="s">
        <v>11633</v>
      </c>
      <c r="J8114" s="167" t="s">
        <v>19994</v>
      </c>
      <c r="K8114" t="s">
        <v>19203</v>
      </c>
      <c r="L8114" t="s">
        <v>11632</v>
      </c>
      <c r="M8114" s="167" t="s">
        <v>19994</v>
      </c>
    </row>
    <row r="8115" spans="9:13" x14ac:dyDescent="0.25">
      <c r="I8115" t="s">
        <v>20406</v>
      </c>
      <c r="J8115" s="161" t="s">
        <v>19202</v>
      </c>
      <c r="K8115" t="s">
        <v>19203</v>
      </c>
      <c r="L8115" t="s">
        <v>20407</v>
      </c>
      <c r="M8115" s="161" t="s">
        <v>19202</v>
      </c>
    </row>
    <row r="8116" spans="9:13" x14ac:dyDescent="0.25">
      <c r="I8116" t="s">
        <v>15467</v>
      </c>
      <c r="J8116" s="161" t="s">
        <v>19202</v>
      </c>
      <c r="K8116" t="s">
        <v>19203</v>
      </c>
      <c r="L8116" t="s">
        <v>15466</v>
      </c>
      <c r="M8116" s="161" t="s">
        <v>19202</v>
      </c>
    </row>
    <row r="8117" spans="9:13" x14ac:dyDescent="0.25">
      <c r="I8117" t="s">
        <v>10943</v>
      </c>
      <c r="J8117" s="161" t="s">
        <v>19202</v>
      </c>
      <c r="K8117" t="s">
        <v>19203</v>
      </c>
      <c r="L8117" t="s">
        <v>10942</v>
      </c>
      <c r="M8117" s="161" t="s">
        <v>19202</v>
      </c>
    </row>
    <row r="8118" spans="9:13" x14ac:dyDescent="0.25">
      <c r="I8118" t="s">
        <v>10194</v>
      </c>
      <c r="J8118" s="161" t="s">
        <v>19202</v>
      </c>
      <c r="K8118" t="s">
        <v>19203</v>
      </c>
      <c r="L8118" t="s">
        <v>10193</v>
      </c>
      <c r="M8118" s="161" t="s">
        <v>19202</v>
      </c>
    </row>
    <row r="8119" spans="9:13" x14ac:dyDescent="0.25">
      <c r="I8119" t="s">
        <v>7015</v>
      </c>
      <c r="J8119" s="167" t="s">
        <v>19994</v>
      </c>
      <c r="K8119" t="s">
        <v>19203</v>
      </c>
      <c r="L8119" t="s">
        <v>7014</v>
      </c>
      <c r="M8119" s="167" t="s">
        <v>19994</v>
      </c>
    </row>
    <row r="8120" spans="9:13" x14ac:dyDescent="0.25">
      <c r="I8120" t="s">
        <v>10129</v>
      </c>
      <c r="J8120" s="161" t="s">
        <v>19994</v>
      </c>
      <c r="K8120" t="s">
        <v>19203</v>
      </c>
      <c r="L8120" t="s">
        <v>10128</v>
      </c>
      <c r="M8120" s="161" t="s">
        <v>19994</v>
      </c>
    </row>
    <row r="8121" spans="9:13" x14ac:dyDescent="0.25">
      <c r="I8121" t="s">
        <v>10176</v>
      </c>
      <c r="J8121" s="161" t="s">
        <v>19202</v>
      </c>
      <c r="K8121" t="s">
        <v>19203</v>
      </c>
      <c r="L8121" t="s">
        <v>10175</v>
      </c>
      <c r="M8121" s="161" t="s">
        <v>19202</v>
      </c>
    </row>
    <row r="8122" spans="9:13" x14ac:dyDescent="0.25">
      <c r="I8122" t="s">
        <v>10174</v>
      </c>
      <c r="J8122" s="161" t="s">
        <v>19202</v>
      </c>
      <c r="K8122" t="s">
        <v>19203</v>
      </c>
      <c r="L8122" t="s">
        <v>10173</v>
      </c>
      <c r="M8122" s="161" t="s">
        <v>19202</v>
      </c>
    </row>
    <row r="8123" spans="9:13" x14ac:dyDescent="0.25">
      <c r="I8123" t="s">
        <v>15426</v>
      </c>
      <c r="J8123" s="161" t="s">
        <v>19202</v>
      </c>
      <c r="K8123" t="s">
        <v>19203</v>
      </c>
      <c r="L8123" t="s">
        <v>15425</v>
      </c>
      <c r="M8123" s="161" t="s">
        <v>19202</v>
      </c>
    </row>
    <row r="8124" spans="9:13" x14ac:dyDescent="0.25">
      <c r="I8124" t="s">
        <v>17106</v>
      </c>
      <c r="J8124" s="161" t="s">
        <v>19202</v>
      </c>
      <c r="K8124" t="s">
        <v>19203</v>
      </c>
      <c r="L8124" t="s">
        <v>17105</v>
      </c>
      <c r="M8124" s="161" t="s">
        <v>19202</v>
      </c>
    </row>
    <row r="8125" spans="9:13" x14ac:dyDescent="0.25">
      <c r="I8125" t="s">
        <v>3807</v>
      </c>
      <c r="J8125" s="161" t="s">
        <v>19202</v>
      </c>
      <c r="K8125" t="s">
        <v>19203</v>
      </c>
      <c r="L8125" t="s">
        <v>1484</v>
      </c>
      <c r="M8125" s="161" t="s">
        <v>19202</v>
      </c>
    </row>
    <row r="8126" spans="9:13" x14ac:dyDescent="0.25">
      <c r="I8126" t="s">
        <v>20408</v>
      </c>
      <c r="J8126" s="167" t="s">
        <v>19994</v>
      </c>
      <c r="K8126" t="s">
        <v>19203</v>
      </c>
      <c r="L8126" t="s">
        <v>20409</v>
      </c>
      <c r="M8126" s="167" t="s">
        <v>19994</v>
      </c>
    </row>
    <row r="8127" spans="9:13" x14ac:dyDescent="0.25">
      <c r="I8127" t="s">
        <v>20410</v>
      </c>
      <c r="J8127" s="161" t="s">
        <v>19202</v>
      </c>
      <c r="K8127" t="s">
        <v>19203</v>
      </c>
      <c r="L8127" t="s">
        <v>20411</v>
      </c>
      <c r="M8127" s="161" t="s">
        <v>19202</v>
      </c>
    </row>
    <row r="8128" spans="9:13" x14ac:dyDescent="0.25">
      <c r="I8128" t="s">
        <v>9294</v>
      </c>
      <c r="J8128" s="161" t="s">
        <v>19202</v>
      </c>
      <c r="K8128" t="s">
        <v>19203</v>
      </c>
      <c r="L8128" t="s">
        <v>9293</v>
      </c>
      <c r="M8128" s="161" t="s">
        <v>19202</v>
      </c>
    </row>
    <row r="8129" spans="9:13" x14ac:dyDescent="0.25">
      <c r="I8129" t="s">
        <v>20412</v>
      </c>
      <c r="J8129" s="161" t="s">
        <v>19202</v>
      </c>
      <c r="K8129" t="s">
        <v>19203</v>
      </c>
      <c r="L8129" t="s">
        <v>20413</v>
      </c>
      <c r="M8129" s="161" t="s">
        <v>19202</v>
      </c>
    </row>
    <row r="8130" spans="9:13" x14ac:dyDescent="0.25">
      <c r="I8130" t="s">
        <v>13133</v>
      </c>
      <c r="J8130" s="161" t="s">
        <v>19202</v>
      </c>
      <c r="K8130" t="s">
        <v>19203</v>
      </c>
      <c r="L8130" t="s">
        <v>13132</v>
      </c>
      <c r="M8130" s="161" t="s">
        <v>19202</v>
      </c>
    </row>
    <row r="8131" spans="9:13" x14ac:dyDescent="0.25">
      <c r="I8131" t="s">
        <v>15730</v>
      </c>
      <c r="J8131" s="161" t="s">
        <v>19202</v>
      </c>
      <c r="K8131" t="s">
        <v>19203</v>
      </c>
      <c r="L8131" t="s">
        <v>15729</v>
      </c>
      <c r="M8131" s="161" t="s">
        <v>19202</v>
      </c>
    </row>
    <row r="8132" spans="9:13" x14ac:dyDescent="0.25">
      <c r="I8132" t="s">
        <v>20414</v>
      </c>
      <c r="J8132" s="167" t="s">
        <v>19994</v>
      </c>
      <c r="K8132" t="s">
        <v>19203</v>
      </c>
      <c r="L8132" t="s">
        <v>14849</v>
      </c>
      <c r="M8132" s="167" t="s">
        <v>19994</v>
      </c>
    </row>
    <row r="8133" spans="9:13" x14ac:dyDescent="0.25">
      <c r="I8133" t="s">
        <v>15791</v>
      </c>
      <c r="J8133" s="161" t="s">
        <v>19202</v>
      </c>
      <c r="K8133" t="s">
        <v>19203</v>
      </c>
      <c r="L8133" t="s">
        <v>15790</v>
      </c>
      <c r="M8133" s="161" t="s">
        <v>19202</v>
      </c>
    </row>
    <row r="8134" spans="9:13" x14ac:dyDescent="0.25">
      <c r="I8134" t="s">
        <v>13608</v>
      </c>
      <c r="J8134" s="161" t="s">
        <v>19202</v>
      </c>
      <c r="K8134" t="s">
        <v>19203</v>
      </c>
      <c r="L8134" t="s">
        <v>13607</v>
      </c>
      <c r="M8134" s="161" t="s">
        <v>19202</v>
      </c>
    </row>
    <row r="8135" spans="9:13" x14ac:dyDescent="0.25">
      <c r="I8135" t="s">
        <v>9738</v>
      </c>
      <c r="J8135" s="161" t="s">
        <v>19202</v>
      </c>
      <c r="K8135" t="s">
        <v>19203</v>
      </c>
      <c r="L8135" t="s">
        <v>9737</v>
      </c>
      <c r="M8135" s="161" t="s">
        <v>19202</v>
      </c>
    </row>
    <row r="8136" spans="9:13" x14ac:dyDescent="0.25">
      <c r="I8136" t="s">
        <v>20415</v>
      </c>
      <c r="J8136" s="161" t="s">
        <v>19202</v>
      </c>
      <c r="K8136" t="s">
        <v>19203</v>
      </c>
      <c r="L8136" t="s">
        <v>20416</v>
      </c>
      <c r="M8136" s="161" t="s">
        <v>19202</v>
      </c>
    </row>
    <row r="8137" spans="9:13" x14ac:dyDescent="0.25">
      <c r="I8137" t="s">
        <v>10250</v>
      </c>
      <c r="J8137" s="161" t="s">
        <v>19202</v>
      </c>
      <c r="K8137" t="s">
        <v>19203</v>
      </c>
      <c r="L8137" t="s">
        <v>10249</v>
      </c>
      <c r="M8137" s="161" t="s">
        <v>19202</v>
      </c>
    </row>
    <row r="8138" spans="9:13" x14ac:dyDescent="0.25">
      <c r="I8138" t="s">
        <v>6404</v>
      </c>
      <c r="J8138" s="161" t="s">
        <v>19202</v>
      </c>
      <c r="K8138" t="s">
        <v>19203</v>
      </c>
      <c r="L8138" t="s">
        <v>6237</v>
      </c>
      <c r="M8138" s="161" t="s">
        <v>19202</v>
      </c>
    </row>
    <row r="8139" spans="9:13" x14ac:dyDescent="0.25">
      <c r="I8139" t="s">
        <v>13139</v>
      </c>
      <c r="J8139" s="161" t="s">
        <v>19202</v>
      </c>
      <c r="K8139" t="s">
        <v>19203</v>
      </c>
      <c r="L8139" t="s">
        <v>13138</v>
      </c>
      <c r="M8139" s="161" t="s">
        <v>19202</v>
      </c>
    </row>
    <row r="8140" spans="9:13" x14ac:dyDescent="0.25">
      <c r="I8140" t="s">
        <v>10352</v>
      </c>
      <c r="J8140" s="161" t="s">
        <v>19202</v>
      </c>
      <c r="K8140" t="s">
        <v>19203</v>
      </c>
      <c r="L8140" t="s">
        <v>10351</v>
      </c>
      <c r="M8140" s="161" t="s">
        <v>19202</v>
      </c>
    </row>
    <row r="8141" spans="9:13" x14ac:dyDescent="0.25">
      <c r="I8141" t="s">
        <v>16171</v>
      </c>
      <c r="J8141" s="161" t="s">
        <v>19202</v>
      </c>
      <c r="K8141" t="s">
        <v>19203</v>
      </c>
      <c r="L8141" t="s">
        <v>6809</v>
      </c>
      <c r="M8141" s="161" t="s">
        <v>19202</v>
      </c>
    </row>
    <row r="8142" spans="9:13" x14ac:dyDescent="0.25">
      <c r="I8142" t="s">
        <v>11722</v>
      </c>
      <c r="J8142" s="161" t="s">
        <v>19202</v>
      </c>
      <c r="K8142" t="s">
        <v>19203</v>
      </c>
      <c r="L8142" t="s">
        <v>11721</v>
      </c>
      <c r="M8142" s="161" t="s">
        <v>19202</v>
      </c>
    </row>
    <row r="8143" spans="9:13" x14ac:dyDescent="0.25">
      <c r="I8143" t="s">
        <v>20417</v>
      </c>
      <c r="J8143" s="161" t="s">
        <v>19202</v>
      </c>
      <c r="K8143" t="s">
        <v>19203</v>
      </c>
      <c r="L8143" t="s">
        <v>20418</v>
      </c>
      <c r="M8143" s="161" t="s">
        <v>19202</v>
      </c>
    </row>
    <row r="8144" spans="9:13" x14ac:dyDescent="0.25">
      <c r="I8144" t="s">
        <v>20419</v>
      </c>
      <c r="J8144" s="161" t="s">
        <v>19202</v>
      </c>
      <c r="K8144" t="s">
        <v>19203</v>
      </c>
      <c r="L8144" t="s">
        <v>13969</v>
      </c>
      <c r="M8144" s="161" t="s">
        <v>19202</v>
      </c>
    </row>
    <row r="8145" spans="9:13" x14ac:dyDescent="0.25">
      <c r="I8145" t="s">
        <v>11607</v>
      </c>
      <c r="J8145" s="167" t="s">
        <v>19994</v>
      </c>
      <c r="K8145" t="s">
        <v>19203</v>
      </c>
      <c r="L8145" t="s">
        <v>11606</v>
      </c>
      <c r="M8145" s="167" t="s">
        <v>19994</v>
      </c>
    </row>
    <row r="8146" spans="9:13" x14ac:dyDescent="0.25">
      <c r="I8146" t="s">
        <v>11601</v>
      </c>
      <c r="J8146" s="161" t="s">
        <v>19202</v>
      </c>
      <c r="K8146" t="s">
        <v>19203</v>
      </c>
      <c r="L8146" t="s">
        <v>11600</v>
      </c>
      <c r="M8146" s="161" t="s">
        <v>19202</v>
      </c>
    </row>
    <row r="8147" spans="9:13" x14ac:dyDescent="0.25">
      <c r="I8147" t="s">
        <v>14150</v>
      </c>
      <c r="J8147" s="161" t="s">
        <v>19202</v>
      </c>
      <c r="K8147" t="s">
        <v>19203</v>
      </c>
      <c r="L8147" t="s">
        <v>14149</v>
      </c>
      <c r="M8147" s="161" t="s">
        <v>19202</v>
      </c>
    </row>
    <row r="8148" spans="9:13" x14ac:dyDescent="0.25">
      <c r="I8148" t="s">
        <v>453</v>
      </c>
      <c r="J8148" s="161" t="s">
        <v>19202</v>
      </c>
      <c r="K8148" t="s">
        <v>19203</v>
      </c>
      <c r="L8148" t="s">
        <v>452</v>
      </c>
      <c r="M8148" s="161" t="s">
        <v>19202</v>
      </c>
    </row>
    <row r="8149" spans="9:13" x14ac:dyDescent="0.25">
      <c r="I8149" t="s">
        <v>1018</v>
      </c>
      <c r="J8149" s="161" t="s">
        <v>19202</v>
      </c>
      <c r="K8149" t="s">
        <v>19203</v>
      </c>
      <c r="L8149" t="s">
        <v>1017</v>
      </c>
      <c r="M8149" s="161" t="s">
        <v>19202</v>
      </c>
    </row>
    <row r="8150" spans="9:13" x14ac:dyDescent="0.25">
      <c r="I8150" t="s">
        <v>3608</v>
      </c>
      <c r="J8150" s="161" t="s">
        <v>19202</v>
      </c>
      <c r="K8150" t="s">
        <v>19203</v>
      </c>
      <c r="L8150" t="s">
        <v>3607</v>
      </c>
      <c r="M8150" s="161" t="s">
        <v>19202</v>
      </c>
    </row>
    <row r="8151" spans="9:13" x14ac:dyDescent="0.25">
      <c r="I8151" t="s">
        <v>6682</v>
      </c>
      <c r="J8151" s="161" t="s">
        <v>19202</v>
      </c>
      <c r="K8151" t="s">
        <v>19203</v>
      </c>
      <c r="L8151" t="s">
        <v>4607</v>
      </c>
      <c r="M8151" s="161" t="s">
        <v>19202</v>
      </c>
    </row>
    <row r="8152" spans="9:13" x14ac:dyDescent="0.25">
      <c r="I8152" t="s">
        <v>3576</v>
      </c>
      <c r="J8152" s="161" t="s">
        <v>19202</v>
      </c>
      <c r="K8152" t="s">
        <v>19203</v>
      </c>
      <c r="L8152" t="s">
        <v>3575</v>
      </c>
      <c r="M8152" s="161" t="s">
        <v>19202</v>
      </c>
    </row>
    <row r="8153" spans="9:13" x14ac:dyDescent="0.25">
      <c r="I8153" t="s">
        <v>13606</v>
      </c>
      <c r="J8153" s="161" t="s">
        <v>19202</v>
      </c>
      <c r="K8153" t="s">
        <v>19203</v>
      </c>
      <c r="L8153" t="s">
        <v>189</v>
      </c>
      <c r="M8153" s="161" t="s">
        <v>19202</v>
      </c>
    </row>
    <row r="8154" spans="9:13" x14ac:dyDescent="0.25">
      <c r="I8154" t="s">
        <v>410</v>
      </c>
      <c r="J8154" s="161" t="s">
        <v>19202</v>
      </c>
      <c r="K8154" t="s">
        <v>19203</v>
      </c>
      <c r="L8154" t="s">
        <v>409</v>
      </c>
      <c r="M8154" s="161" t="s">
        <v>19202</v>
      </c>
    </row>
    <row r="8155" spans="9:13" x14ac:dyDescent="0.25">
      <c r="I8155" t="s">
        <v>7686</v>
      </c>
      <c r="J8155" s="161" t="s">
        <v>19202</v>
      </c>
      <c r="K8155" t="s">
        <v>19203</v>
      </c>
      <c r="L8155" t="s">
        <v>7685</v>
      </c>
      <c r="M8155" s="161" t="s">
        <v>19202</v>
      </c>
    </row>
    <row r="8156" spans="9:13" x14ac:dyDescent="0.25">
      <c r="I8156" t="s">
        <v>15424</v>
      </c>
      <c r="J8156" s="161" t="s">
        <v>19202</v>
      </c>
      <c r="K8156" t="s">
        <v>19203</v>
      </c>
      <c r="L8156" t="s">
        <v>15423</v>
      </c>
      <c r="M8156" s="161" t="s">
        <v>19202</v>
      </c>
    </row>
    <row r="8157" spans="9:13" x14ac:dyDescent="0.25">
      <c r="I8157" t="s">
        <v>20420</v>
      </c>
      <c r="J8157" s="161" t="s">
        <v>19202</v>
      </c>
      <c r="K8157" t="s">
        <v>19203</v>
      </c>
      <c r="L8157" t="s">
        <v>20421</v>
      </c>
      <c r="M8157" s="161" t="s">
        <v>19202</v>
      </c>
    </row>
    <row r="8158" spans="9:13" x14ac:dyDescent="0.25">
      <c r="I8158" t="s">
        <v>15998</v>
      </c>
      <c r="J8158" s="161" t="s">
        <v>19202</v>
      </c>
      <c r="K8158" t="s">
        <v>19203</v>
      </c>
      <c r="L8158" t="s">
        <v>7862</v>
      </c>
      <c r="M8158" s="161" t="s">
        <v>19202</v>
      </c>
    </row>
    <row r="8159" spans="9:13" x14ac:dyDescent="0.25">
      <c r="I8159" t="s">
        <v>15543</v>
      </c>
      <c r="J8159" s="167" t="s">
        <v>19994</v>
      </c>
      <c r="K8159" t="s">
        <v>19203</v>
      </c>
      <c r="L8159" t="s">
        <v>4133</v>
      </c>
      <c r="M8159" s="167" t="s">
        <v>19994</v>
      </c>
    </row>
    <row r="8160" spans="9:13" x14ac:dyDescent="0.25">
      <c r="I8160" t="s">
        <v>5904</v>
      </c>
      <c r="J8160" s="161" t="s">
        <v>19202</v>
      </c>
      <c r="K8160" t="s">
        <v>19203</v>
      </c>
      <c r="L8160" t="s">
        <v>5903</v>
      </c>
      <c r="M8160" s="161" t="s">
        <v>19202</v>
      </c>
    </row>
    <row r="8161" spans="9:13" x14ac:dyDescent="0.25">
      <c r="I8161" t="s">
        <v>234</v>
      </c>
      <c r="J8161" s="161" t="s">
        <v>19202</v>
      </c>
      <c r="K8161" t="s">
        <v>19203</v>
      </c>
      <c r="L8161" t="s">
        <v>233</v>
      </c>
      <c r="M8161" s="161" t="s">
        <v>19202</v>
      </c>
    </row>
    <row r="8162" spans="9:13" x14ac:dyDescent="0.25">
      <c r="I8162" t="s">
        <v>20422</v>
      </c>
      <c r="J8162" s="161" t="s">
        <v>19202</v>
      </c>
      <c r="K8162" t="s">
        <v>19203</v>
      </c>
      <c r="L8162" t="s">
        <v>20423</v>
      </c>
      <c r="M8162" s="161" t="s">
        <v>19202</v>
      </c>
    </row>
    <row r="8163" spans="9:13" x14ac:dyDescent="0.25">
      <c r="I8163" t="s">
        <v>9736</v>
      </c>
      <c r="J8163" s="161" t="s">
        <v>19202</v>
      </c>
      <c r="K8163" t="s">
        <v>19203</v>
      </c>
      <c r="L8163" t="s">
        <v>9735</v>
      </c>
      <c r="M8163" s="161" t="s">
        <v>19202</v>
      </c>
    </row>
    <row r="8164" spans="9:13" x14ac:dyDescent="0.25">
      <c r="I8164" t="s">
        <v>16367</v>
      </c>
      <c r="J8164" s="161" t="s">
        <v>19202</v>
      </c>
      <c r="K8164" t="s">
        <v>19203</v>
      </c>
      <c r="L8164" t="s">
        <v>13969</v>
      </c>
      <c r="M8164" s="161" t="s">
        <v>19202</v>
      </c>
    </row>
    <row r="8165" spans="9:13" x14ac:dyDescent="0.25">
      <c r="I8165" t="s">
        <v>7129</v>
      </c>
      <c r="J8165" s="161" t="s">
        <v>19202</v>
      </c>
      <c r="K8165" t="s">
        <v>19203</v>
      </c>
      <c r="L8165" t="s">
        <v>7128</v>
      </c>
      <c r="M8165" s="161" t="s">
        <v>19202</v>
      </c>
    </row>
    <row r="8166" spans="9:13" x14ac:dyDescent="0.25">
      <c r="I8166" t="s">
        <v>20424</v>
      </c>
      <c r="J8166" s="161" t="s">
        <v>19202</v>
      </c>
      <c r="K8166" t="s">
        <v>19203</v>
      </c>
      <c r="L8166" t="s">
        <v>4664</v>
      </c>
      <c r="M8166" s="161" t="s">
        <v>19202</v>
      </c>
    </row>
    <row r="8167" spans="9:13" x14ac:dyDescent="0.25">
      <c r="I8167" t="s">
        <v>3610</v>
      </c>
      <c r="J8167" s="161" t="s">
        <v>19202</v>
      </c>
      <c r="K8167" t="s">
        <v>19203</v>
      </c>
      <c r="L8167" t="s">
        <v>3609</v>
      </c>
      <c r="M8167" s="161" t="s">
        <v>19202</v>
      </c>
    </row>
    <row r="8168" spans="9:13" x14ac:dyDescent="0.25">
      <c r="I8168" t="s">
        <v>8940</v>
      </c>
      <c r="J8168" s="161" t="s">
        <v>19202</v>
      </c>
      <c r="K8168" t="s">
        <v>19203</v>
      </c>
      <c r="L8168" t="s">
        <v>8939</v>
      </c>
      <c r="M8168" s="161" t="s">
        <v>19202</v>
      </c>
    </row>
    <row r="8169" spans="9:13" x14ac:dyDescent="0.25">
      <c r="I8169" t="s">
        <v>17608</v>
      </c>
      <c r="J8169" s="161" t="s">
        <v>19202</v>
      </c>
      <c r="K8169" t="s">
        <v>19203</v>
      </c>
      <c r="L8169" t="s">
        <v>6328</v>
      </c>
      <c r="M8169" s="161" t="s">
        <v>19202</v>
      </c>
    </row>
    <row r="8170" spans="9:13" x14ac:dyDescent="0.25">
      <c r="I8170" t="s">
        <v>15039</v>
      </c>
      <c r="J8170" s="161" t="s">
        <v>19202</v>
      </c>
      <c r="K8170" t="s">
        <v>19203</v>
      </c>
      <c r="L8170" t="s">
        <v>11396</v>
      </c>
      <c r="M8170" s="161" t="s">
        <v>19202</v>
      </c>
    </row>
    <row r="8171" spans="9:13" x14ac:dyDescent="0.25">
      <c r="I8171" t="s">
        <v>15651</v>
      </c>
      <c r="J8171" s="161" t="s">
        <v>19202</v>
      </c>
      <c r="K8171" t="s">
        <v>19203</v>
      </c>
      <c r="L8171" t="s">
        <v>15650</v>
      </c>
      <c r="M8171" s="161" t="s">
        <v>19202</v>
      </c>
    </row>
    <row r="8172" spans="9:13" x14ac:dyDescent="0.25">
      <c r="I8172" t="s">
        <v>6651</v>
      </c>
      <c r="J8172" s="161" t="s">
        <v>19202</v>
      </c>
      <c r="K8172" t="s">
        <v>19203</v>
      </c>
      <c r="L8172" t="s">
        <v>6650</v>
      </c>
      <c r="M8172" s="161" t="s">
        <v>19202</v>
      </c>
    </row>
    <row r="8173" spans="9:13" x14ac:dyDescent="0.25">
      <c r="I8173" t="s">
        <v>6581</v>
      </c>
      <c r="J8173" s="161" t="s">
        <v>19202</v>
      </c>
      <c r="K8173" t="s">
        <v>19203</v>
      </c>
      <c r="L8173" t="s">
        <v>6580</v>
      </c>
      <c r="M8173" s="161" t="s">
        <v>19202</v>
      </c>
    </row>
    <row r="8174" spans="9:13" x14ac:dyDescent="0.25">
      <c r="I8174" t="s">
        <v>15091</v>
      </c>
      <c r="J8174" s="161" t="s">
        <v>19202</v>
      </c>
      <c r="K8174" t="s">
        <v>19203</v>
      </c>
      <c r="L8174" t="s">
        <v>4060</v>
      </c>
      <c r="M8174" s="161" t="s">
        <v>19202</v>
      </c>
    </row>
    <row r="8175" spans="9:13" x14ac:dyDescent="0.25">
      <c r="I8175" t="s">
        <v>408</v>
      </c>
      <c r="J8175" s="161" t="s">
        <v>19202</v>
      </c>
      <c r="K8175" t="s">
        <v>19203</v>
      </c>
      <c r="L8175" t="s">
        <v>407</v>
      </c>
      <c r="M8175" s="161" t="s">
        <v>19202</v>
      </c>
    </row>
    <row r="8176" spans="9:13" x14ac:dyDescent="0.25">
      <c r="I8176" t="s">
        <v>10350</v>
      </c>
      <c r="J8176" s="161" t="s">
        <v>19202</v>
      </c>
      <c r="K8176" t="s">
        <v>19203</v>
      </c>
      <c r="L8176" t="s">
        <v>10349</v>
      </c>
      <c r="M8176" s="161" t="s">
        <v>19202</v>
      </c>
    </row>
    <row r="8177" spans="9:13" x14ac:dyDescent="0.25">
      <c r="I8177" t="s">
        <v>16996</v>
      </c>
      <c r="J8177" s="161" t="s">
        <v>19202</v>
      </c>
      <c r="K8177" t="s">
        <v>19203</v>
      </c>
      <c r="L8177" t="s">
        <v>861</v>
      </c>
      <c r="M8177" s="161" t="s">
        <v>19202</v>
      </c>
    </row>
    <row r="8178" spans="9:13" x14ac:dyDescent="0.25">
      <c r="I8178" t="s">
        <v>6578</v>
      </c>
      <c r="J8178" s="161" t="s">
        <v>19202</v>
      </c>
      <c r="K8178" t="s">
        <v>19203</v>
      </c>
      <c r="L8178" t="s">
        <v>6577</v>
      </c>
      <c r="M8178" s="161" t="s">
        <v>19202</v>
      </c>
    </row>
    <row r="8179" spans="9:13" x14ac:dyDescent="0.25">
      <c r="I8179" t="s">
        <v>294</v>
      </c>
      <c r="J8179" s="161" t="s">
        <v>19202</v>
      </c>
      <c r="K8179" t="s">
        <v>19203</v>
      </c>
      <c r="L8179" t="s">
        <v>293</v>
      </c>
      <c r="M8179" s="161" t="s">
        <v>19202</v>
      </c>
    </row>
    <row r="8180" spans="9:13" x14ac:dyDescent="0.25">
      <c r="I8180" t="s">
        <v>6197</v>
      </c>
      <c r="J8180" s="161" t="s">
        <v>19202</v>
      </c>
      <c r="K8180" t="s">
        <v>19203</v>
      </c>
      <c r="L8180" t="s">
        <v>6196</v>
      </c>
      <c r="M8180" s="161" t="s">
        <v>19202</v>
      </c>
    </row>
    <row r="8181" spans="9:13" x14ac:dyDescent="0.25">
      <c r="I8181" t="s">
        <v>8096</v>
      </c>
      <c r="J8181" s="161" t="s">
        <v>19202</v>
      </c>
      <c r="K8181" t="s">
        <v>19203</v>
      </c>
      <c r="L8181" t="s">
        <v>8095</v>
      </c>
      <c r="M8181" s="161" t="s">
        <v>19202</v>
      </c>
    </row>
    <row r="8182" spans="9:13" x14ac:dyDescent="0.25">
      <c r="I8182" t="s">
        <v>5396</v>
      </c>
      <c r="J8182" s="161" t="s">
        <v>19202</v>
      </c>
      <c r="K8182" t="s">
        <v>19203</v>
      </c>
      <c r="L8182" t="s">
        <v>5395</v>
      </c>
      <c r="M8182" s="161" t="s">
        <v>19202</v>
      </c>
    </row>
    <row r="8183" spans="9:13" x14ac:dyDescent="0.25">
      <c r="I8183" t="s">
        <v>20425</v>
      </c>
      <c r="J8183" s="161" t="s">
        <v>19202</v>
      </c>
      <c r="K8183" t="s">
        <v>19203</v>
      </c>
      <c r="L8183" t="s">
        <v>4717</v>
      </c>
      <c r="M8183" s="161" t="s">
        <v>19202</v>
      </c>
    </row>
    <row r="8184" spans="9:13" x14ac:dyDescent="0.25">
      <c r="I8184" t="s">
        <v>10307</v>
      </c>
      <c r="J8184" s="161" t="s">
        <v>19202</v>
      </c>
      <c r="K8184" t="s">
        <v>19203</v>
      </c>
      <c r="L8184" t="s">
        <v>10306</v>
      </c>
      <c r="M8184" s="161" t="s">
        <v>19202</v>
      </c>
    </row>
    <row r="8185" spans="9:13" x14ac:dyDescent="0.25">
      <c r="I8185" t="s">
        <v>6428</v>
      </c>
      <c r="J8185" s="161" t="s">
        <v>19994</v>
      </c>
      <c r="K8185" t="s">
        <v>19203</v>
      </c>
      <c r="L8185" t="s">
        <v>6427</v>
      </c>
      <c r="M8185" s="161" t="s">
        <v>19994</v>
      </c>
    </row>
    <row r="8186" spans="9:13" x14ac:dyDescent="0.25">
      <c r="I8186" t="s">
        <v>20426</v>
      </c>
      <c r="J8186" s="161" t="s">
        <v>19202</v>
      </c>
      <c r="K8186" t="s">
        <v>19203</v>
      </c>
      <c r="L8186" t="s">
        <v>20427</v>
      </c>
      <c r="M8186" s="161" t="s">
        <v>19202</v>
      </c>
    </row>
    <row r="8187" spans="9:13" x14ac:dyDescent="0.25">
      <c r="I8187" t="s">
        <v>3536</v>
      </c>
      <c r="J8187" s="161" t="s">
        <v>19202</v>
      </c>
      <c r="K8187" t="s">
        <v>19203</v>
      </c>
      <c r="L8187" t="s">
        <v>24</v>
      </c>
      <c r="M8187" s="161" t="s">
        <v>19202</v>
      </c>
    </row>
    <row r="8188" spans="9:13" x14ac:dyDescent="0.25">
      <c r="I8188" t="s">
        <v>20428</v>
      </c>
      <c r="J8188" s="161" t="s">
        <v>19202</v>
      </c>
      <c r="K8188" t="s">
        <v>19203</v>
      </c>
      <c r="L8188" t="s">
        <v>20429</v>
      </c>
      <c r="M8188" s="161" t="s">
        <v>19202</v>
      </c>
    </row>
    <row r="8189" spans="9:13" x14ac:dyDescent="0.25">
      <c r="I8189" t="s">
        <v>15885</v>
      </c>
      <c r="J8189" s="161" t="s">
        <v>19202</v>
      </c>
      <c r="K8189" t="s">
        <v>19203</v>
      </c>
      <c r="L8189" t="s">
        <v>15884</v>
      </c>
      <c r="M8189" s="161" t="s">
        <v>19202</v>
      </c>
    </row>
    <row r="8190" spans="9:13" x14ac:dyDescent="0.25">
      <c r="I8190" t="s">
        <v>860</v>
      </c>
      <c r="J8190" s="161" t="s">
        <v>19202</v>
      </c>
      <c r="K8190" t="s">
        <v>19203</v>
      </c>
      <c r="L8190" t="s">
        <v>859</v>
      </c>
      <c r="M8190" s="161" t="s">
        <v>19202</v>
      </c>
    </row>
    <row r="8191" spans="9:13" x14ac:dyDescent="0.25">
      <c r="I8191" t="s">
        <v>17640</v>
      </c>
      <c r="J8191" s="161" t="s">
        <v>19202</v>
      </c>
      <c r="K8191" t="s">
        <v>19203</v>
      </c>
      <c r="L8191" t="s">
        <v>17639</v>
      </c>
      <c r="M8191" s="161" t="s">
        <v>19202</v>
      </c>
    </row>
    <row r="8192" spans="9:13" x14ac:dyDescent="0.25">
      <c r="I8192" t="s">
        <v>15465</v>
      </c>
      <c r="J8192" s="161" t="s">
        <v>19202</v>
      </c>
      <c r="K8192" t="s">
        <v>19203</v>
      </c>
      <c r="L8192" t="s">
        <v>12640</v>
      </c>
      <c r="M8192" s="161" t="s">
        <v>19202</v>
      </c>
    </row>
    <row r="8193" spans="9:13" x14ac:dyDescent="0.25">
      <c r="I8193" t="s">
        <v>9558</v>
      </c>
      <c r="J8193" s="161" t="s">
        <v>19202</v>
      </c>
      <c r="K8193" t="s">
        <v>19203</v>
      </c>
      <c r="L8193" t="s">
        <v>9557</v>
      </c>
      <c r="M8193" s="161" t="s">
        <v>19202</v>
      </c>
    </row>
    <row r="8194" spans="9:13" x14ac:dyDescent="0.25">
      <c r="I8194" t="s">
        <v>9302</v>
      </c>
      <c r="J8194" s="161" t="s">
        <v>19202</v>
      </c>
      <c r="K8194" t="s">
        <v>19203</v>
      </c>
      <c r="L8194" t="s">
        <v>9301</v>
      </c>
      <c r="M8194" s="161" t="s">
        <v>19202</v>
      </c>
    </row>
    <row r="8195" spans="9:13" x14ac:dyDescent="0.25">
      <c r="I8195" t="s">
        <v>3346</v>
      </c>
      <c r="J8195" s="161" t="s">
        <v>19202</v>
      </c>
      <c r="K8195" t="s">
        <v>19203</v>
      </c>
      <c r="L8195" t="s">
        <v>3345</v>
      </c>
      <c r="M8195" s="161" t="s">
        <v>19202</v>
      </c>
    </row>
    <row r="8196" spans="9:13" x14ac:dyDescent="0.25">
      <c r="I8196" t="s">
        <v>14465</v>
      </c>
      <c r="J8196" s="161" t="s">
        <v>19202</v>
      </c>
      <c r="K8196" t="s">
        <v>19203</v>
      </c>
      <c r="L8196" t="s">
        <v>14464</v>
      </c>
      <c r="M8196" s="161" t="s">
        <v>19202</v>
      </c>
    </row>
    <row r="8197" spans="9:13" x14ac:dyDescent="0.25">
      <c r="I8197" t="s">
        <v>8498</v>
      </c>
      <c r="J8197" s="161" t="s">
        <v>19202</v>
      </c>
      <c r="K8197" t="s">
        <v>19203</v>
      </c>
      <c r="L8197" t="s">
        <v>8497</v>
      </c>
      <c r="M8197" s="161" t="s">
        <v>19202</v>
      </c>
    </row>
    <row r="8198" spans="9:13" x14ac:dyDescent="0.25">
      <c r="I8198" t="s">
        <v>8394</v>
      </c>
      <c r="J8198" s="161" t="s">
        <v>19202</v>
      </c>
      <c r="K8198" t="s">
        <v>19203</v>
      </c>
      <c r="L8198" t="s">
        <v>8393</v>
      </c>
      <c r="M8198" s="161" t="s">
        <v>19202</v>
      </c>
    </row>
    <row r="8199" spans="9:13" x14ac:dyDescent="0.25">
      <c r="I8199" t="s">
        <v>4273</v>
      </c>
      <c r="J8199" s="161" t="s">
        <v>19202</v>
      </c>
      <c r="K8199" t="s">
        <v>19203</v>
      </c>
      <c r="L8199" t="s">
        <v>4272</v>
      </c>
      <c r="M8199" s="161" t="s">
        <v>19202</v>
      </c>
    </row>
    <row r="8200" spans="9:13" x14ac:dyDescent="0.25">
      <c r="I8200" t="s">
        <v>9440</v>
      </c>
      <c r="J8200" s="161" t="s">
        <v>19202</v>
      </c>
      <c r="K8200" t="s">
        <v>19203</v>
      </c>
      <c r="L8200" t="s">
        <v>9439</v>
      </c>
      <c r="M8200" s="161" t="s">
        <v>19202</v>
      </c>
    </row>
    <row r="8201" spans="9:13" x14ac:dyDescent="0.25">
      <c r="I8201" t="s">
        <v>3509</v>
      </c>
      <c r="J8201" s="161" t="s">
        <v>19202</v>
      </c>
      <c r="K8201" t="s">
        <v>19203</v>
      </c>
      <c r="L8201" t="s">
        <v>3508</v>
      </c>
      <c r="M8201" s="161" t="s">
        <v>19202</v>
      </c>
    </row>
    <row r="8202" spans="9:13" x14ac:dyDescent="0.25">
      <c r="I8202" t="s">
        <v>5671</v>
      </c>
      <c r="J8202" s="167" t="s">
        <v>19994</v>
      </c>
      <c r="K8202" t="s">
        <v>19203</v>
      </c>
      <c r="L8202" t="s">
        <v>5670</v>
      </c>
      <c r="M8202" s="167" t="s">
        <v>19994</v>
      </c>
    </row>
    <row r="8203" spans="9:13" x14ac:dyDescent="0.25">
      <c r="I8203" t="s">
        <v>20430</v>
      </c>
      <c r="J8203" s="161" t="s">
        <v>19202</v>
      </c>
      <c r="K8203" t="s">
        <v>19203</v>
      </c>
      <c r="L8203" t="s">
        <v>15283</v>
      </c>
      <c r="M8203" s="161" t="s">
        <v>19202</v>
      </c>
    </row>
    <row r="8204" spans="9:13" x14ac:dyDescent="0.25">
      <c r="I8204" t="s">
        <v>10256</v>
      </c>
      <c r="J8204" s="161" t="s">
        <v>19202</v>
      </c>
      <c r="K8204" t="s">
        <v>19203</v>
      </c>
      <c r="L8204" t="s">
        <v>10255</v>
      </c>
      <c r="M8204" s="161" t="s">
        <v>19202</v>
      </c>
    </row>
    <row r="8205" spans="9:13" x14ac:dyDescent="0.25">
      <c r="I8205" t="s">
        <v>7650</v>
      </c>
      <c r="J8205" s="161" t="s">
        <v>19202</v>
      </c>
      <c r="K8205" t="s">
        <v>19203</v>
      </c>
      <c r="L8205" t="s">
        <v>7649</v>
      </c>
      <c r="M8205" s="161" t="s">
        <v>19202</v>
      </c>
    </row>
    <row r="8206" spans="9:13" x14ac:dyDescent="0.25">
      <c r="I8206" t="s">
        <v>20431</v>
      </c>
      <c r="J8206" s="161" t="s">
        <v>19202</v>
      </c>
      <c r="K8206" t="s">
        <v>19203</v>
      </c>
      <c r="L8206" t="s">
        <v>2667</v>
      </c>
      <c r="M8206" s="161" t="s">
        <v>19202</v>
      </c>
    </row>
    <row r="8207" spans="9:13" x14ac:dyDescent="0.25">
      <c r="I8207" t="s">
        <v>6038</v>
      </c>
      <c r="J8207" s="161" t="s">
        <v>19202</v>
      </c>
      <c r="K8207" t="s">
        <v>19203</v>
      </c>
      <c r="L8207" t="s">
        <v>6037</v>
      </c>
      <c r="M8207" s="161" t="s">
        <v>19202</v>
      </c>
    </row>
    <row r="8208" spans="9:13" x14ac:dyDescent="0.25">
      <c r="I8208" t="s">
        <v>4508</v>
      </c>
      <c r="J8208" s="161" t="s">
        <v>19202</v>
      </c>
      <c r="K8208" t="s">
        <v>19203</v>
      </c>
      <c r="L8208" t="s">
        <v>4507</v>
      </c>
      <c r="M8208" s="161" t="s">
        <v>19202</v>
      </c>
    </row>
    <row r="8209" spans="9:13" x14ac:dyDescent="0.25">
      <c r="I8209" t="s">
        <v>13135</v>
      </c>
      <c r="J8209" s="161" t="s">
        <v>19202</v>
      </c>
      <c r="K8209" t="s">
        <v>19203</v>
      </c>
      <c r="L8209" t="s">
        <v>13134</v>
      </c>
      <c r="M8209" s="161" t="s">
        <v>19202</v>
      </c>
    </row>
    <row r="8210" spans="9:13" x14ac:dyDescent="0.25">
      <c r="I8210" t="s">
        <v>9919</v>
      </c>
      <c r="J8210" s="161" t="s">
        <v>19202</v>
      </c>
      <c r="K8210" t="s">
        <v>19203</v>
      </c>
      <c r="L8210" t="s">
        <v>9918</v>
      </c>
      <c r="M8210" s="161" t="s">
        <v>19202</v>
      </c>
    </row>
    <row r="8211" spans="9:13" x14ac:dyDescent="0.25">
      <c r="I8211" t="s">
        <v>20432</v>
      </c>
      <c r="J8211" s="161" t="s">
        <v>19202</v>
      </c>
      <c r="K8211" t="s">
        <v>19203</v>
      </c>
      <c r="L8211" t="s">
        <v>20433</v>
      </c>
      <c r="M8211" s="161" t="s">
        <v>19202</v>
      </c>
    </row>
    <row r="8212" spans="9:13" x14ac:dyDescent="0.25">
      <c r="I8212" t="s">
        <v>15046</v>
      </c>
      <c r="J8212" s="161" t="s">
        <v>19202</v>
      </c>
      <c r="K8212" t="s">
        <v>19203</v>
      </c>
      <c r="L8212" t="s">
        <v>15045</v>
      </c>
      <c r="M8212" s="161" t="s">
        <v>19202</v>
      </c>
    </row>
    <row r="8213" spans="9:13" x14ac:dyDescent="0.25">
      <c r="I8213" t="s">
        <v>12988</v>
      </c>
      <c r="J8213" s="161" t="s">
        <v>19202</v>
      </c>
      <c r="K8213" t="s">
        <v>19203</v>
      </c>
      <c r="L8213" t="s">
        <v>4133</v>
      </c>
      <c r="M8213" s="161" t="s">
        <v>19202</v>
      </c>
    </row>
    <row r="8214" spans="9:13" x14ac:dyDescent="0.25">
      <c r="I8214" t="s">
        <v>3969</v>
      </c>
      <c r="J8214" s="161" t="s">
        <v>19202</v>
      </c>
      <c r="K8214" t="s">
        <v>19203</v>
      </c>
      <c r="L8214" t="s">
        <v>3968</v>
      </c>
      <c r="M8214" s="161" t="s">
        <v>19202</v>
      </c>
    </row>
    <row r="8215" spans="9:13" x14ac:dyDescent="0.25">
      <c r="I8215" t="s">
        <v>17144</v>
      </c>
      <c r="J8215" s="161" t="s">
        <v>19202</v>
      </c>
      <c r="K8215" t="s">
        <v>19203</v>
      </c>
      <c r="L8215" t="s">
        <v>17143</v>
      </c>
      <c r="M8215" s="161" t="s">
        <v>19202</v>
      </c>
    </row>
    <row r="8216" spans="9:13" x14ac:dyDescent="0.25">
      <c r="I8216" t="s">
        <v>12312</v>
      </c>
      <c r="J8216" s="161" t="s">
        <v>19202</v>
      </c>
      <c r="K8216" t="s">
        <v>19203</v>
      </c>
      <c r="L8216" t="s">
        <v>12311</v>
      </c>
      <c r="M8216" s="161" t="s">
        <v>19202</v>
      </c>
    </row>
    <row r="8217" spans="9:13" x14ac:dyDescent="0.25">
      <c r="I8217" t="s">
        <v>12308</v>
      </c>
      <c r="J8217" s="161" t="s">
        <v>19202</v>
      </c>
      <c r="K8217" t="s">
        <v>19203</v>
      </c>
      <c r="L8217" t="s">
        <v>12307</v>
      </c>
      <c r="M8217" s="161" t="s">
        <v>19202</v>
      </c>
    </row>
    <row r="8218" spans="9:13" x14ac:dyDescent="0.25">
      <c r="I8218" t="s">
        <v>5137</v>
      </c>
      <c r="J8218" s="161" t="s">
        <v>19202</v>
      </c>
      <c r="K8218" t="s">
        <v>19203</v>
      </c>
      <c r="L8218" t="s">
        <v>928</v>
      </c>
      <c r="M8218" s="161" t="s">
        <v>19202</v>
      </c>
    </row>
    <row r="8219" spans="9:13" x14ac:dyDescent="0.25">
      <c r="I8219" t="s">
        <v>6093</v>
      </c>
      <c r="J8219" s="161" t="s">
        <v>19202</v>
      </c>
      <c r="K8219" t="s">
        <v>19203</v>
      </c>
      <c r="L8219" t="s">
        <v>6024</v>
      </c>
      <c r="M8219" s="161" t="s">
        <v>19202</v>
      </c>
    </row>
    <row r="8220" spans="9:13" x14ac:dyDescent="0.25">
      <c r="I8220" t="s">
        <v>6889</v>
      </c>
      <c r="J8220" s="161" t="s">
        <v>19202</v>
      </c>
      <c r="K8220" t="s">
        <v>19203</v>
      </c>
      <c r="L8220" t="s">
        <v>1023</v>
      </c>
      <c r="M8220" s="161" t="s">
        <v>19202</v>
      </c>
    </row>
    <row r="8221" spans="9:13" x14ac:dyDescent="0.25">
      <c r="I8221" t="s">
        <v>6406</v>
      </c>
      <c r="J8221" s="161" t="s">
        <v>19202</v>
      </c>
      <c r="K8221" t="s">
        <v>19203</v>
      </c>
      <c r="L8221" t="s">
        <v>6405</v>
      </c>
      <c r="M8221" s="161" t="s">
        <v>19202</v>
      </c>
    </row>
    <row r="8222" spans="9:13" x14ac:dyDescent="0.25">
      <c r="I8222" t="s">
        <v>9300</v>
      </c>
      <c r="J8222" s="161" t="s">
        <v>19202</v>
      </c>
      <c r="K8222" t="s">
        <v>19203</v>
      </c>
      <c r="L8222" t="s">
        <v>9299</v>
      </c>
      <c r="M8222" s="161" t="s">
        <v>19202</v>
      </c>
    </row>
    <row r="8223" spans="9:13" x14ac:dyDescent="0.25">
      <c r="I8223" t="s">
        <v>5677</v>
      </c>
      <c r="J8223" s="161" t="s">
        <v>19202</v>
      </c>
      <c r="K8223" t="s">
        <v>19203</v>
      </c>
      <c r="L8223" t="s">
        <v>5676</v>
      </c>
      <c r="M8223" s="161" t="s">
        <v>19202</v>
      </c>
    </row>
    <row r="8224" spans="9:13" x14ac:dyDescent="0.25">
      <c r="I8224" t="s">
        <v>20434</v>
      </c>
      <c r="J8224" s="161" t="s">
        <v>19202</v>
      </c>
      <c r="K8224" t="s">
        <v>19203</v>
      </c>
      <c r="L8224" t="s">
        <v>1559</v>
      </c>
      <c r="M8224" s="161" t="s">
        <v>19202</v>
      </c>
    </row>
    <row r="8225" spans="9:13" x14ac:dyDescent="0.25">
      <c r="I8225" t="s">
        <v>4427</v>
      </c>
      <c r="J8225" s="161" t="s">
        <v>19202</v>
      </c>
      <c r="K8225" t="s">
        <v>19203</v>
      </c>
      <c r="L8225" t="s">
        <v>4426</v>
      </c>
      <c r="M8225" s="161" t="s">
        <v>19202</v>
      </c>
    </row>
    <row r="8226" spans="9:13" x14ac:dyDescent="0.25">
      <c r="I8226" t="s">
        <v>15190</v>
      </c>
      <c r="J8226" s="161" t="s">
        <v>19202</v>
      </c>
      <c r="K8226" t="s">
        <v>19203</v>
      </c>
      <c r="L8226" t="s">
        <v>15189</v>
      </c>
      <c r="M8226" s="161" t="s">
        <v>19202</v>
      </c>
    </row>
    <row r="8227" spans="9:13" x14ac:dyDescent="0.25">
      <c r="I8227" t="s">
        <v>14272</v>
      </c>
      <c r="J8227" s="161" t="s">
        <v>19202</v>
      </c>
      <c r="K8227" t="s">
        <v>19203</v>
      </c>
      <c r="L8227" t="s">
        <v>14271</v>
      </c>
      <c r="M8227" s="161" t="s">
        <v>19202</v>
      </c>
    </row>
    <row r="8228" spans="9:13" x14ac:dyDescent="0.25">
      <c r="I8228" t="s">
        <v>9442</v>
      </c>
      <c r="J8228" s="161" t="s">
        <v>19202</v>
      </c>
      <c r="K8228" t="s">
        <v>19203</v>
      </c>
      <c r="L8228" t="s">
        <v>9441</v>
      </c>
      <c r="M8228" s="161" t="s">
        <v>19202</v>
      </c>
    </row>
    <row r="8229" spans="9:13" x14ac:dyDescent="0.25">
      <c r="I8229" t="s">
        <v>9054</v>
      </c>
      <c r="J8229" s="161" t="s">
        <v>19202</v>
      </c>
      <c r="K8229" t="s">
        <v>19203</v>
      </c>
      <c r="L8229" t="s">
        <v>9053</v>
      </c>
      <c r="M8229" s="161" t="s">
        <v>19202</v>
      </c>
    </row>
    <row r="8230" spans="9:13" x14ac:dyDescent="0.25">
      <c r="I8230" t="s">
        <v>2560</v>
      </c>
      <c r="J8230" s="161" t="s">
        <v>19202</v>
      </c>
      <c r="K8230" t="s">
        <v>19203</v>
      </c>
      <c r="L8230" t="s">
        <v>2559</v>
      </c>
      <c r="M8230" s="161" t="s">
        <v>19202</v>
      </c>
    </row>
    <row r="8231" spans="9:13" x14ac:dyDescent="0.25">
      <c r="I8231" t="s">
        <v>11663</v>
      </c>
      <c r="J8231" s="161" t="s">
        <v>19202</v>
      </c>
      <c r="K8231" t="s">
        <v>19203</v>
      </c>
      <c r="L8231" t="s">
        <v>11662</v>
      </c>
      <c r="M8231" s="161" t="s">
        <v>19202</v>
      </c>
    </row>
    <row r="8232" spans="9:13" x14ac:dyDescent="0.25">
      <c r="I8232" t="s">
        <v>10299</v>
      </c>
      <c r="J8232" s="161" t="s">
        <v>19202</v>
      </c>
      <c r="K8232" t="s">
        <v>19203</v>
      </c>
      <c r="L8232" t="s">
        <v>10298</v>
      </c>
      <c r="M8232" s="161" t="s">
        <v>19202</v>
      </c>
    </row>
    <row r="8233" spans="9:13" x14ac:dyDescent="0.25">
      <c r="I8233" t="s">
        <v>12665</v>
      </c>
      <c r="J8233" s="161" t="s">
        <v>19202</v>
      </c>
      <c r="K8233" t="s">
        <v>19203</v>
      </c>
      <c r="L8233" t="s">
        <v>824</v>
      </c>
      <c r="M8233" s="161" t="s">
        <v>19202</v>
      </c>
    </row>
    <row r="8234" spans="9:13" x14ac:dyDescent="0.25">
      <c r="I8234" t="s">
        <v>666</v>
      </c>
      <c r="J8234" s="161" t="s">
        <v>19202</v>
      </c>
      <c r="K8234" t="s">
        <v>19203</v>
      </c>
      <c r="L8234" t="s">
        <v>665</v>
      </c>
      <c r="M8234" s="161" t="s">
        <v>19202</v>
      </c>
    </row>
    <row r="8235" spans="9:13" x14ac:dyDescent="0.25">
      <c r="I8235" t="s">
        <v>3806</v>
      </c>
      <c r="J8235" s="161" t="s">
        <v>19202</v>
      </c>
      <c r="K8235" t="s">
        <v>19203</v>
      </c>
      <c r="L8235" t="s">
        <v>3805</v>
      </c>
      <c r="M8235" s="161" t="s">
        <v>19202</v>
      </c>
    </row>
    <row r="8236" spans="9:13" x14ac:dyDescent="0.25">
      <c r="I8236" t="s">
        <v>2220</v>
      </c>
      <c r="J8236" s="161" t="s">
        <v>19202</v>
      </c>
      <c r="K8236" t="s">
        <v>19203</v>
      </c>
      <c r="L8236" t="s">
        <v>2219</v>
      </c>
      <c r="M8236" s="161" t="s">
        <v>19202</v>
      </c>
    </row>
    <row r="8237" spans="9:13" x14ac:dyDescent="0.25">
      <c r="I8237" t="s">
        <v>5906</v>
      </c>
      <c r="J8237" s="161" t="s">
        <v>19202</v>
      </c>
      <c r="K8237" t="s">
        <v>19203</v>
      </c>
      <c r="L8237" t="s">
        <v>5905</v>
      </c>
      <c r="M8237" s="161" t="s">
        <v>19202</v>
      </c>
    </row>
    <row r="8238" spans="9:13" x14ac:dyDescent="0.25">
      <c r="I8238" t="s">
        <v>9554</v>
      </c>
      <c r="J8238" s="161" t="s">
        <v>19202</v>
      </c>
      <c r="K8238" t="s">
        <v>19203</v>
      </c>
      <c r="L8238" t="s">
        <v>9553</v>
      </c>
      <c r="M8238" s="161" t="s">
        <v>19202</v>
      </c>
    </row>
    <row r="8239" spans="9:13" x14ac:dyDescent="0.25">
      <c r="I8239" t="s">
        <v>20435</v>
      </c>
      <c r="J8239" s="161" t="s">
        <v>19202</v>
      </c>
      <c r="K8239" t="s">
        <v>19203</v>
      </c>
      <c r="L8239" t="s">
        <v>6522</v>
      </c>
      <c r="M8239" s="161" t="s">
        <v>19202</v>
      </c>
    </row>
    <row r="8240" spans="9:13" x14ac:dyDescent="0.25">
      <c r="I8240" t="s">
        <v>6090</v>
      </c>
      <c r="J8240" s="161" t="s">
        <v>19202</v>
      </c>
      <c r="K8240" t="s">
        <v>19203</v>
      </c>
      <c r="L8240" t="s">
        <v>128</v>
      </c>
      <c r="M8240" s="161" t="s">
        <v>19202</v>
      </c>
    </row>
    <row r="8241" spans="9:13" x14ac:dyDescent="0.25">
      <c r="I8241" t="s">
        <v>12117</v>
      </c>
      <c r="J8241" s="161" t="s">
        <v>19202</v>
      </c>
      <c r="K8241" t="s">
        <v>19203</v>
      </c>
      <c r="L8241" t="s">
        <v>12116</v>
      </c>
      <c r="M8241" s="161" t="s">
        <v>19202</v>
      </c>
    </row>
    <row r="8242" spans="9:13" x14ac:dyDescent="0.25">
      <c r="I8242" t="s">
        <v>7005</v>
      </c>
      <c r="J8242" s="161" t="s">
        <v>19202</v>
      </c>
      <c r="K8242" t="s">
        <v>19203</v>
      </c>
      <c r="L8242" t="s">
        <v>7004</v>
      </c>
      <c r="M8242" s="161" t="s">
        <v>19202</v>
      </c>
    </row>
    <row r="8243" spans="9:13" x14ac:dyDescent="0.25">
      <c r="I8243" t="s">
        <v>2925</v>
      </c>
      <c r="J8243" s="161" t="s">
        <v>19202</v>
      </c>
      <c r="K8243" t="s">
        <v>19203</v>
      </c>
      <c r="L8243" t="s">
        <v>2924</v>
      </c>
      <c r="M8243" s="161" t="s">
        <v>19202</v>
      </c>
    </row>
    <row r="8244" spans="9:13" x14ac:dyDescent="0.25">
      <c r="I8244" t="s">
        <v>11653</v>
      </c>
      <c r="J8244" s="161" t="s">
        <v>19202</v>
      </c>
      <c r="K8244" t="s">
        <v>19203</v>
      </c>
      <c r="L8244" t="s">
        <v>11652</v>
      </c>
      <c r="M8244" s="161" t="s">
        <v>19202</v>
      </c>
    </row>
    <row r="8245" spans="9:13" x14ac:dyDescent="0.25">
      <c r="I8245" t="s">
        <v>3967</v>
      </c>
      <c r="J8245" s="167" t="s">
        <v>19994</v>
      </c>
      <c r="K8245" t="s">
        <v>19203</v>
      </c>
      <c r="L8245" t="s">
        <v>3966</v>
      </c>
      <c r="M8245" s="167" t="s">
        <v>19994</v>
      </c>
    </row>
    <row r="8246" spans="9:13" x14ac:dyDescent="0.25">
      <c r="I8246" t="s">
        <v>3490</v>
      </c>
      <c r="J8246" s="161" t="s">
        <v>19202</v>
      </c>
      <c r="K8246" t="s">
        <v>19203</v>
      </c>
      <c r="L8246" t="s">
        <v>3489</v>
      </c>
      <c r="M8246" s="161" t="s">
        <v>19202</v>
      </c>
    </row>
    <row r="8247" spans="9:13" x14ac:dyDescent="0.25">
      <c r="I8247" t="s">
        <v>5143</v>
      </c>
      <c r="J8247" s="161" t="s">
        <v>19202</v>
      </c>
      <c r="K8247" t="s">
        <v>19203</v>
      </c>
      <c r="L8247" t="s">
        <v>5142</v>
      </c>
      <c r="M8247" s="161" t="s">
        <v>19202</v>
      </c>
    </row>
    <row r="8248" spans="9:13" x14ac:dyDescent="0.25">
      <c r="I8248" t="s">
        <v>9056</v>
      </c>
      <c r="J8248" s="161" t="s">
        <v>19202</v>
      </c>
      <c r="K8248" t="s">
        <v>19203</v>
      </c>
      <c r="L8248" t="s">
        <v>9055</v>
      </c>
      <c r="M8248" s="161" t="s">
        <v>19202</v>
      </c>
    </row>
    <row r="8249" spans="9:13" x14ac:dyDescent="0.25">
      <c r="I8249" t="s">
        <v>10729</v>
      </c>
      <c r="J8249" s="161" t="s">
        <v>19202</v>
      </c>
      <c r="K8249" t="s">
        <v>19203</v>
      </c>
      <c r="L8249" t="s">
        <v>10728</v>
      </c>
      <c r="M8249" s="161" t="s">
        <v>19202</v>
      </c>
    </row>
    <row r="8250" spans="9:13" x14ac:dyDescent="0.25">
      <c r="I8250" t="s">
        <v>20436</v>
      </c>
      <c r="J8250" s="161" t="s">
        <v>19202</v>
      </c>
      <c r="K8250" t="s">
        <v>19203</v>
      </c>
      <c r="L8250" t="s">
        <v>20437</v>
      </c>
      <c r="M8250" s="161" t="s">
        <v>19202</v>
      </c>
    </row>
    <row r="8251" spans="9:13" x14ac:dyDescent="0.25">
      <c r="I8251" t="s">
        <v>2562</v>
      </c>
      <c r="J8251" s="161" t="s">
        <v>19202</v>
      </c>
      <c r="K8251" t="s">
        <v>19203</v>
      </c>
      <c r="L8251" t="s">
        <v>2561</v>
      </c>
      <c r="M8251" s="161" t="s">
        <v>19202</v>
      </c>
    </row>
    <row r="8252" spans="9:13" x14ac:dyDescent="0.25">
      <c r="I8252" t="s">
        <v>20438</v>
      </c>
      <c r="J8252" s="161" t="s">
        <v>19202</v>
      </c>
      <c r="K8252" t="s">
        <v>19203</v>
      </c>
      <c r="L8252" t="s">
        <v>1119</v>
      </c>
      <c r="M8252" s="161" t="s">
        <v>19202</v>
      </c>
    </row>
    <row r="8253" spans="9:13" x14ac:dyDescent="0.25">
      <c r="I8253" t="s">
        <v>20439</v>
      </c>
      <c r="J8253" s="161" t="s">
        <v>19994</v>
      </c>
      <c r="K8253" t="s">
        <v>19203</v>
      </c>
      <c r="L8253" t="s">
        <v>20440</v>
      </c>
      <c r="M8253" s="161" t="s">
        <v>19994</v>
      </c>
    </row>
    <row r="8254" spans="9:13" x14ac:dyDescent="0.25">
      <c r="I8254" t="s">
        <v>9921</v>
      </c>
      <c r="J8254" s="161" t="s">
        <v>19202</v>
      </c>
      <c r="K8254" t="s">
        <v>19203</v>
      </c>
      <c r="L8254" t="s">
        <v>9920</v>
      </c>
      <c r="M8254" s="161" t="s">
        <v>19202</v>
      </c>
    </row>
    <row r="8255" spans="9:13" x14ac:dyDescent="0.25">
      <c r="I8255" t="s">
        <v>11629</v>
      </c>
      <c r="J8255" s="167" t="s">
        <v>19994</v>
      </c>
      <c r="K8255" t="s">
        <v>19203</v>
      </c>
      <c r="L8255" t="s">
        <v>11628</v>
      </c>
      <c r="M8255" s="167" t="s">
        <v>19994</v>
      </c>
    </row>
    <row r="8256" spans="9:13" x14ac:dyDescent="0.25">
      <c r="I8256" t="s">
        <v>13085</v>
      </c>
      <c r="J8256" s="161" t="s">
        <v>19202</v>
      </c>
      <c r="K8256" t="s">
        <v>19203</v>
      </c>
      <c r="L8256" t="s">
        <v>13084</v>
      </c>
      <c r="M8256" s="161" t="s">
        <v>19202</v>
      </c>
    </row>
    <row r="8257" spans="9:13" x14ac:dyDescent="0.25">
      <c r="I8257" t="s">
        <v>20441</v>
      </c>
      <c r="J8257" s="161" t="s">
        <v>19202</v>
      </c>
      <c r="K8257" t="s">
        <v>19203</v>
      </c>
      <c r="L8257" t="s">
        <v>20442</v>
      </c>
      <c r="M8257" s="161" t="s">
        <v>19202</v>
      </c>
    </row>
    <row r="8258" spans="9:13" x14ac:dyDescent="0.25">
      <c r="I8258" t="s">
        <v>13690</v>
      </c>
      <c r="J8258" s="161" t="s">
        <v>19202</v>
      </c>
      <c r="K8258" t="s">
        <v>19203</v>
      </c>
      <c r="L8258" t="s">
        <v>6464</v>
      </c>
      <c r="M8258" s="161" t="s">
        <v>19202</v>
      </c>
    </row>
    <row r="8259" spans="9:13" x14ac:dyDescent="0.25">
      <c r="I8259" t="s">
        <v>15728</v>
      </c>
      <c r="J8259" s="161" t="s">
        <v>19202</v>
      </c>
      <c r="K8259" t="s">
        <v>19203</v>
      </c>
      <c r="L8259" t="s">
        <v>15727</v>
      </c>
      <c r="M8259" s="161" t="s">
        <v>19202</v>
      </c>
    </row>
    <row r="8260" spans="9:13" x14ac:dyDescent="0.25">
      <c r="I8260" t="s">
        <v>20443</v>
      </c>
      <c r="J8260" s="161" t="s">
        <v>19202</v>
      </c>
      <c r="K8260" t="s">
        <v>19203</v>
      </c>
      <c r="L8260" t="s">
        <v>261</v>
      </c>
      <c r="M8260" s="161" t="s">
        <v>19202</v>
      </c>
    </row>
    <row r="8261" spans="9:13" x14ac:dyDescent="0.25">
      <c r="I8261" t="s">
        <v>10170</v>
      </c>
      <c r="J8261" s="161" t="s">
        <v>19202</v>
      </c>
      <c r="K8261" t="s">
        <v>19203</v>
      </c>
      <c r="L8261" t="s">
        <v>10169</v>
      </c>
      <c r="M8261" s="161" t="s">
        <v>19202</v>
      </c>
    </row>
    <row r="8262" spans="9:13" x14ac:dyDescent="0.25">
      <c r="I8262" t="s">
        <v>20444</v>
      </c>
      <c r="J8262" s="161" t="s">
        <v>19202</v>
      </c>
      <c r="K8262" t="s">
        <v>19203</v>
      </c>
      <c r="L8262" t="s">
        <v>20445</v>
      </c>
      <c r="M8262" s="161" t="s">
        <v>19202</v>
      </c>
    </row>
    <row r="8263" spans="9:13" x14ac:dyDescent="0.25">
      <c r="I8263" t="s">
        <v>8452</v>
      </c>
      <c r="J8263" s="161" t="s">
        <v>19202</v>
      </c>
      <c r="K8263" t="s">
        <v>19203</v>
      </c>
      <c r="L8263" t="s">
        <v>8451</v>
      </c>
      <c r="M8263" s="161" t="s">
        <v>19202</v>
      </c>
    </row>
    <row r="8264" spans="9:13" x14ac:dyDescent="0.25">
      <c r="I8264" t="s">
        <v>14901</v>
      </c>
      <c r="J8264" s="161" t="s">
        <v>19202</v>
      </c>
      <c r="K8264" t="s">
        <v>19203</v>
      </c>
      <c r="L8264" t="s">
        <v>1555</v>
      </c>
      <c r="M8264" s="161" t="s">
        <v>19202</v>
      </c>
    </row>
    <row r="8265" spans="9:13" x14ac:dyDescent="0.25">
      <c r="I8265" t="s">
        <v>12310</v>
      </c>
      <c r="J8265" s="161" t="s">
        <v>19202</v>
      </c>
      <c r="K8265" t="s">
        <v>19203</v>
      </c>
      <c r="L8265" t="s">
        <v>12309</v>
      </c>
      <c r="M8265" s="161" t="s">
        <v>19202</v>
      </c>
    </row>
    <row r="8266" spans="9:13" x14ac:dyDescent="0.25">
      <c r="I8266" t="s">
        <v>9102</v>
      </c>
      <c r="J8266" s="161" t="s">
        <v>19202</v>
      </c>
      <c r="K8266" t="s">
        <v>19203</v>
      </c>
      <c r="L8266" t="s">
        <v>9101</v>
      </c>
      <c r="M8266" s="161" t="s">
        <v>19202</v>
      </c>
    </row>
    <row r="8267" spans="9:13" x14ac:dyDescent="0.25">
      <c r="I8267" t="s">
        <v>12754</v>
      </c>
      <c r="J8267" s="161" t="s">
        <v>19202</v>
      </c>
      <c r="K8267" t="s">
        <v>19203</v>
      </c>
      <c r="L8267" t="s">
        <v>12753</v>
      </c>
      <c r="M8267" s="161" t="s">
        <v>19202</v>
      </c>
    </row>
    <row r="8268" spans="9:13" x14ac:dyDescent="0.25">
      <c r="I8268" t="s">
        <v>16865</v>
      </c>
      <c r="J8268" s="161" t="s">
        <v>19202</v>
      </c>
      <c r="K8268" t="s">
        <v>19203</v>
      </c>
      <c r="L8268" t="s">
        <v>16864</v>
      </c>
      <c r="M8268" s="161" t="s">
        <v>19202</v>
      </c>
    </row>
    <row r="8269" spans="9:13" x14ac:dyDescent="0.25">
      <c r="I8269" t="s">
        <v>14952</v>
      </c>
      <c r="J8269" s="161" t="s">
        <v>19202</v>
      </c>
      <c r="K8269" t="s">
        <v>19203</v>
      </c>
      <c r="L8269" t="s">
        <v>14951</v>
      </c>
      <c r="M8269" s="161" t="s">
        <v>19202</v>
      </c>
    </row>
    <row r="8270" spans="9:13" x14ac:dyDescent="0.25">
      <c r="I8270" t="s">
        <v>6092</v>
      </c>
      <c r="J8270" s="161" t="s">
        <v>19202</v>
      </c>
      <c r="K8270" t="s">
        <v>19203</v>
      </c>
      <c r="L8270" t="s">
        <v>6091</v>
      </c>
      <c r="M8270" s="161" t="s">
        <v>19202</v>
      </c>
    </row>
    <row r="8271" spans="9:13" x14ac:dyDescent="0.25">
      <c r="I8271" t="s">
        <v>8892</v>
      </c>
      <c r="J8271" s="161" t="s">
        <v>19202</v>
      </c>
      <c r="K8271" t="s">
        <v>19203</v>
      </c>
      <c r="L8271" t="s">
        <v>8891</v>
      </c>
      <c r="M8271" s="161" t="s">
        <v>19202</v>
      </c>
    </row>
    <row r="8272" spans="9:13" x14ac:dyDescent="0.25">
      <c r="I8272" t="s">
        <v>15922</v>
      </c>
      <c r="J8272" s="161" t="s">
        <v>19202</v>
      </c>
      <c r="K8272" t="s">
        <v>19203</v>
      </c>
      <c r="L8272" t="s">
        <v>15921</v>
      </c>
      <c r="M8272" s="161" t="s">
        <v>19202</v>
      </c>
    </row>
    <row r="8273" spans="9:13" x14ac:dyDescent="0.25">
      <c r="I8273" t="s">
        <v>517</v>
      </c>
      <c r="J8273" s="161" t="s">
        <v>19202</v>
      </c>
      <c r="K8273" t="s">
        <v>19203</v>
      </c>
      <c r="L8273" t="s">
        <v>516</v>
      </c>
      <c r="M8273" s="161" t="s">
        <v>19202</v>
      </c>
    </row>
    <row r="8274" spans="9:13" x14ac:dyDescent="0.25">
      <c r="I8274" t="s">
        <v>2226</v>
      </c>
      <c r="J8274" s="161" t="s">
        <v>19202</v>
      </c>
      <c r="K8274" t="s">
        <v>19203</v>
      </c>
      <c r="L8274" t="s">
        <v>2225</v>
      </c>
      <c r="M8274" s="161" t="s">
        <v>19202</v>
      </c>
    </row>
    <row r="8275" spans="9:13" x14ac:dyDescent="0.25">
      <c r="I8275" t="s">
        <v>20446</v>
      </c>
      <c r="J8275" s="161" t="s">
        <v>19202</v>
      </c>
      <c r="K8275" t="s">
        <v>19203</v>
      </c>
      <c r="L8275" t="s">
        <v>121</v>
      </c>
      <c r="M8275" s="161" t="s">
        <v>19202</v>
      </c>
    </row>
    <row r="8276" spans="9:13" x14ac:dyDescent="0.25">
      <c r="I8276" t="s">
        <v>912</v>
      </c>
      <c r="J8276" s="161" t="s">
        <v>19202</v>
      </c>
      <c r="K8276" t="s">
        <v>19203</v>
      </c>
      <c r="L8276" t="s">
        <v>911</v>
      </c>
      <c r="M8276" s="161" t="s">
        <v>19202</v>
      </c>
    </row>
    <row r="8277" spans="9:13" x14ac:dyDescent="0.25">
      <c r="I8277" t="s">
        <v>8700</v>
      </c>
      <c r="J8277" s="161" t="s">
        <v>19202</v>
      </c>
      <c r="K8277" t="s">
        <v>19203</v>
      </c>
      <c r="L8277" t="s">
        <v>8699</v>
      </c>
      <c r="M8277" s="161" t="s">
        <v>19202</v>
      </c>
    </row>
    <row r="8278" spans="9:13" x14ac:dyDescent="0.25">
      <c r="I8278" t="s">
        <v>13470</v>
      </c>
      <c r="J8278" s="167" t="s">
        <v>19994</v>
      </c>
      <c r="K8278" t="s">
        <v>19203</v>
      </c>
      <c r="L8278" t="s">
        <v>13469</v>
      </c>
      <c r="M8278" s="167" t="s">
        <v>19994</v>
      </c>
    </row>
    <row r="8279" spans="9:13" x14ac:dyDescent="0.25">
      <c r="I8279" t="s">
        <v>20447</v>
      </c>
      <c r="J8279" s="161" t="s">
        <v>19202</v>
      </c>
      <c r="K8279" t="s">
        <v>19203</v>
      </c>
      <c r="L8279" t="s">
        <v>20448</v>
      </c>
      <c r="M8279" s="161" t="s">
        <v>19202</v>
      </c>
    </row>
    <row r="8280" spans="9:13" x14ac:dyDescent="0.25">
      <c r="I8280" t="s">
        <v>856</v>
      </c>
      <c r="J8280" s="161" t="s">
        <v>19202</v>
      </c>
      <c r="K8280" t="s">
        <v>19203</v>
      </c>
      <c r="L8280" t="s">
        <v>855</v>
      </c>
      <c r="M8280" s="161" t="s">
        <v>19202</v>
      </c>
    </row>
    <row r="8281" spans="9:13" x14ac:dyDescent="0.25">
      <c r="I8281" t="s">
        <v>4217</v>
      </c>
      <c r="J8281" s="161" t="s">
        <v>19202</v>
      </c>
      <c r="K8281" t="s">
        <v>19203</v>
      </c>
      <c r="L8281" t="s">
        <v>4216</v>
      </c>
      <c r="M8281" s="161" t="s">
        <v>19202</v>
      </c>
    </row>
    <row r="8282" spans="9:13" x14ac:dyDescent="0.25">
      <c r="I8282" t="s">
        <v>10348</v>
      </c>
      <c r="J8282" s="161" t="s">
        <v>19202</v>
      </c>
      <c r="K8282" t="s">
        <v>19203</v>
      </c>
      <c r="L8282" t="s">
        <v>10347</v>
      </c>
      <c r="M8282" s="161" t="s">
        <v>19202</v>
      </c>
    </row>
    <row r="8283" spans="9:13" x14ac:dyDescent="0.25">
      <c r="I8283" t="s">
        <v>20449</v>
      </c>
      <c r="J8283" s="161" t="s">
        <v>19202</v>
      </c>
      <c r="K8283" t="s">
        <v>19203</v>
      </c>
      <c r="L8283" t="s">
        <v>20450</v>
      </c>
      <c r="M8283" s="161" t="s">
        <v>19202</v>
      </c>
    </row>
    <row r="8284" spans="9:13" x14ac:dyDescent="0.25">
      <c r="I8284" t="s">
        <v>246</v>
      </c>
      <c r="J8284" s="161" t="s">
        <v>19202</v>
      </c>
      <c r="K8284" t="s">
        <v>19203</v>
      </c>
      <c r="L8284" t="s">
        <v>245</v>
      </c>
      <c r="M8284" s="161" t="s">
        <v>19202</v>
      </c>
    </row>
    <row r="8285" spans="9:13" x14ac:dyDescent="0.25">
      <c r="I8285" t="s">
        <v>9595</v>
      </c>
      <c r="J8285" s="161" t="s">
        <v>19202</v>
      </c>
      <c r="K8285" t="s">
        <v>19203</v>
      </c>
      <c r="L8285" t="s">
        <v>9594</v>
      </c>
      <c r="M8285" s="161" t="s">
        <v>19202</v>
      </c>
    </row>
    <row r="8286" spans="9:13" x14ac:dyDescent="0.25">
      <c r="I8286" t="s">
        <v>5141</v>
      </c>
      <c r="J8286" s="167" t="s">
        <v>19994</v>
      </c>
      <c r="K8286" t="s">
        <v>19203</v>
      </c>
      <c r="L8286" t="s">
        <v>5140</v>
      </c>
      <c r="M8286" s="167" t="s">
        <v>19994</v>
      </c>
    </row>
    <row r="8287" spans="9:13" x14ac:dyDescent="0.25">
      <c r="I8287" t="s">
        <v>20451</v>
      </c>
      <c r="J8287" s="161" t="s">
        <v>19202</v>
      </c>
      <c r="K8287" t="s">
        <v>19203</v>
      </c>
      <c r="L8287" t="s">
        <v>3524</v>
      </c>
      <c r="M8287" s="161" t="s">
        <v>19202</v>
      </c>
    </row>
    <row r="8288" spans="9:13" x14ac:dyDescent="0.25">
      <c r="I8288" t="s">
        <v>2192</v>
      </c>
      <c r="J8288" s="161" t="s">
        <v>19202</v>
      </c>
      <c r="K8288" t="s">
        <v>19203</v>
      </c>
      <c r="L8288" t="s">
        <v>2191</v>
      </c>
      <c r="M8288" s="161" t="s">
        <v>19202</v>
      </c>
    </row>
    <row r="8289" spans="9:13" x14ac:dyDescent="0.25">
      <c r="I8289" t="s">
        <v>20452</v>
      </c>
      <c r="J8289" s="161" t="s">
        <v>19202</v>
      </c>
      <c r="K8289" t="s">
        <v>19203</v>
      </c>
      <c r="L8289" t="s">
        <v>20453</v>
      </c>
      <c r="M8289" s="161" t="s">
        <v>19202</v>
      </c>
    </row>
    <row r="8290" spans="9:13" x14ac:dyDescent="0.25">
      <c r="I8290" t="s">
        <v>12900</v>
      </c>
      <c r="J8290" s="161" t="s">
        <v>19202</v>
      </c>
      <c r="K8290" t="s">
        <v>19203</v>
      </c>
      <c r="L8290" t="s">
        <v>12899</v>
      </c>
      <c r="M8290" s="161" t="s">
        <v>19202</v>
      </c>
    </row>
    <row r="8291" spans="9:13" x14ac:dyDescent="0.25">
      <c r="I8291" t="s">
        <v>11627</v>
      </c>
      <c r="J8291" s="161" t="s">
        <v>19202</v>
      </c>
      <c r="K8291" t="s">
        <v>19203</v>
      </c>
      <c r="L8291" t="s">
        <v>11626</v>
      </c>
      <c r="M8291" s="161" t="s">
        <v>19202</v>
      </c>
    </row>
    <row r="8292" spans="9:13" x14ac:dyDescent="0.25">
      <c r="I8292" t="s">
        <v>20454</v>
      </c>
      <c r="J8292" s="161" t="s">
        <v>19202</v>
      </c>
      <c r="K8292" t="s">
        <v>19203</v>
      </c>
      <c r="L8292" t="s">
        <v>20455</v>
      </c>
      <c r="M8292" s="161" t="s">
        <v>19202</v>
      </c>
    </row>
    <row r="8293" spans="9:13" x14ac:dyDescent="0.25">
      <c r="I8293" t="s">
        <v>11502</v>
      </c>
      <c r="J8293" s="161" t="s">
        <v>19202</v>
      </c>
      <c r="K8293" t="s">
        <v>19203</v>
      </c>
      <c r="L8293" t="s">
        <v>11501</v>
      </c>
      <c r="M8293" s="161" t="s">
        <v>19202</v>
      </c>
    </row>
    <row r="8294" spans="9:13" x14ac:dyDescent="0.25">
      <c r="I8294" t="s">
        <v>1026</v>
      </c>
      <c r="J8294" s="161" t="s">
        <v>19202</v>
      </c>
      <c r="K8294" t="s">
        <v>19203</v>
      </c>
      <c r="L8294" t="s">
        <v>1025</v>
      </c>
      <c r="M8294" s="161" t="s">
        <v>19202</v>
      </c>
    </row>
    <row r="8295" spans="9:13" x14ac:dyDescent="0.25">
      <c r="I8295" t="s">
        <v>1024</v>
      </c>
      <c r="J8295" s="161" t="s">
        <v>19202</v>
      </c>
      <c r="K8295" t="s">
        <v>19203</v>
      </c>
      <c r="L8295" t="s">
        <v>1023</v>
      </c>
      <c r="M8295" s="161" t="s">
        <v>19202</v>
      </c>
    </row>
    <row r="8296" spans="9:13" x14ac:dyDescent="0.25">
      <c r="I8296" t="s">
        <v>8698</v>
      </c>
      <c r="J8296" s="161" t="s">
        <v>19202</v>
      </c>
      <c r="K8296" t="s">
        <v>19203</v>
      </c>
      <c r="L8296" t="s">
        <v>8697</v>
      </c>
      <c r="M8296" s="161" t="s">
        <v>19202</v>
      </c>
    </row>
    <row r="8297" spans="9:13" x14ac:dyDescent="0.25">
      <c r="I8297" t="s">
        <v>11631</v>
      </c>
      <c r="J8297" s="167" t="s">
        <v>19994</v>
      </c>
      <c r="K8297" t="s">
        <v>19203</v>
      </c>
      <c r="L8297" t="s">
        <v>11630</v>
      </c>
      <c r="M8297" s="167" t="s">
        <v>19994</v>
      </c>
    </row>
    <row r="8298" spans="9:13" x14ac:dyDescent="0.25">
      <c r="I8298" t="s">
        <v>12473</v>
      </c>
      <c r="J8298" s="161" t="s">
        <v>19202</v>
      </c>
      <c r="K8298" t="s">
        <v>19203</v>
      </c>
      <c r="L8298" t="s">
        <v>12472</v>
      </c>
      <c r="M8298" s="161" t="s">
        <v>19202</v>
      </c>
    </row>
    <row r="8299" spans="9:13" x14ac:dyDescent="0.25">
      <c r="I8299" t="s">
        <v>8058</v>
      </c>
      <c r="J8299" s="161" t="s">
        <v>19202</v>
      </c>
      <c r="K8299" t="s">
        <v>19203</v>
      </c>
      <c r="L8299" t="s">
        <v>8057</v>
      </c>
      <c r="M8299" s="161" t="s">
        <v>19202</v>
      </c>
    </row>
    <row r="8300" spans="9:13" x14ac:dyDescent="0.25">
      <c r="I8300" t="s">
        <v>16135</v>
      </c>
      <c r="J8300" s="161" t="s">
        <v>19202</v>
      </c>
      <c r="K8300" t="s">
        <v>19203</v>
      </c>
      <c r="L8300" t="s">
        <v>16134</v>
      </c>
      <c r="M8300" s="161" t="s">
        <v>19202</v>
      </c>
    </row>
    <row r="8301" spans="9:13" x14ac:dyDescent="0.25">
      <c r="I8301" t="s">
        <v>15617</v>
      </c>
      <c r="J8301" s="161" t="s">
        <v>19202</v>
      </c>
      <c r="K8301" t="s">
        <v>19203</v>
      </c>
      <c r="L8301" t="s">
        <v>1541</v>
      </c>
      <c r="M8301" s="161" t="s">
        <v>19202</v>
      </c>
    </row>
    <row r="8302" spans="9:13" x14ac:dyDescent="0.25">
      <c r="I8302" t="s">
        <v>3965</v>
      </c>
      <c r="J8302" s="161" t="s">
        <v>19202</v>
      </c>
      <c r="K8302" t="s">
        <v>19203</v>
      </c>
      <c r="L8302" t="s">
        <v>3964</v>
      </c>
      <c r="M8302" s="161" t="s">
        <v>19202</v>
      </c>
    </row>
    <row r="8303" spans="9:13" x14ac:dyDescent="0.25">
      <c r="I8303" t="s">
        <v>20456</v>
      </c>
      <c r="J8303" s="161" t="s">
        <v>19202</v>
      </c>
      <c r="K8303" t="s">
        <v>19203</v>
      </c>
      <c r="L8303" t="s">
        <v>20457</v>
      </c>
      <c r="M8303" s="161" t="s">
        <v>19202</v>
      </c>
    </row>
    <row r="8304" spans="9:13" x14ac:dyDescent="0.25">
      <c r="I8304" t="s">
        <v>20458</v>
      </c>
      <c r="J8304" s="161" t="s">
        <v>19202</v>
      </c>
      <c r="K8304" t="s">
        <v>19203</v>
      </c>
      <c r="L8304" t="s">
        <v>20459</v>
      </c>
      <c r="M8304" s="161" t="s">
        <v>19202</v>
      </c>
    </row>
    <row r="8305" spans="9:13" x14ac:dyDescent="0.25">
      <c r="I8305" t="s">
        <v>13692</v>
      </c>
      <c r="J8305" s="161" t="s">
        <v>19202</v>
      </c>
      <c r="K8305" t="s">
        <v>19203</v>
      </c>
      <c r="L8305" t="s">
        <v>13691</v>
      </c>
      <c r="M8305" s="161" t="s">
        <v>19202</v>
      </c>
    </row>
    <row r="8306" spans="9:13" x14ac:dyDescent="0.25">
      <c r="I8306" t="s">
        <v>14796</v>
      </c>
      <c r="J8306" s="161" t="s">
        <v>19202</v>
      </c>
      <c r="K8306" t="s">
        <v>19203</v>
      </c>
      <c r="L8306" t="s">
        <v>14795</v>
      </c>
      <c r="M8306" s="161" t="s">
        <v>19202</v>
      </c>
    </row>
    <row r="8307" spans="9:13" x14ac:dyDescent="0.25">
      <c r="I8307" t="s">
        <v>9390</v>
      </c>
      <c r="J8307" s="161" t="s">
        <v>19202</v>
      </c>
      <c r="K8307" t="s">
        <v>19203</v>
      </c>
      <c r="L8307" t="s">
        <v>9389</v>
      </c>
      <c r="M8307" s="161" t="s">
        <v>19202</v>
      </c>
    </row>
    <row r="8308" spans="9:13" x14ac:dyDescent="0.25">
      <c r="I8308" t="s">
        <v>6089</v>
      </c>
      <c r="J8308" s="161" t="s">
        <v>19202</v>
      </c>
      <c r="K8308" t="s">
        <v>19203</v>
      </c>
      <c r="L8308" t="s">
        <v>6088</v>
      </c>
      <c r="M8308" s="161" t="s">
        <v>19202</v>
      </c>
    </row>
    <row r="8309" spans="9:13" x14ac:dyDescent="0.25">
      <c r="I8309" t="s">
        <v>16170</v>
      </c>
      <c r="J8309" s="161" t="s">
        <v>19202</v>
      </c>
      <c r="K8309" t="s">
        <v>19203</v>
      </c>
      <c r="L8309" t="s">
        <v>16169</v>
      </c>
      <c r="M8309" s="161" t="s">
        <v>19202</v>
      </c>
    </row>
    <row r="8310" spans="9:13" x14ac:dyDescent="0.25">
      <c r="I8310" t="s">
        <v>10297</v>
      </c>
      <c r="J8310" s="161" t="s">
        <v>19202</v>
      </c>
      <c r="K8310" t="s">
        <v>19203</v>
      </c>
      <c r="L8310" t="s">
        <v>10296</v>
      </c>
      <c r="M8310" s="161" t="s">
        <v>19202</v>
      </c>
    </row>
    <row r="8311" spans="9:13" x14ac:dyDescent="0.25">
      <c r="I8311" t="s">
        <v>9556</v>
      </c>
      <c r="J8311" s="161" t="s">
        <v>19202</v>
      </c>
      <c r="K8311" t="s">
        <v>19203</v>
      </c>
      <c r="L8311" t="s">
        <v>9555</v>
      </c>
      <c r="M8311" s="161" t="s">
        <v>19202</v>
      </c>
    </row>
    <row r="8312" spans="9:13" x14ac:dyDescent="0.25">
      <c r="I8312" t="s">
        <v>2216</v>
      </c>
      <c r="J8312" s="161" t="s">
        <v>19202</v>
      </c>
      <c r="K8312" t="s">
        <v>19203</v>
      </c>
      <c r="L8312" t="s">
        <v>2215</v>
      </c>
      <c r="M8312" s="161" t="s">
        <v>19202</v>
      </c>
    </row>
    <row r="8313" spans="9:13" x14ac:dyDescent="0.25">
      <c r="I8313" t="s">
        <v>6185</v>
      </c>
      <c r="J8313" s="161" t="s">
        <v>19994</v>
      </c>
      <c r="K8313" t="s">
        <v>19203</v>
      </c>
      <c r="L8313" t="s">
        <v>6184</v>
      </c>
      <c r="M8313" s="161" t="s">
        <v>19994</v>
      </c>
    </row>
    <row r="8314" spans="9:13" x14ac:dyDescent="0.25">
      <c r="I8314" t="s">
        <v>20460</v>
      </c>
      <c r="J8314" s="161" t="s">
        <v>19202</v>
      </c>
      <c r="K8314" t="s">
        <v>19203</v>
      </c>
      <c r="L8314" t="s">
        <v>20461</v>
      </c>
      <c r="M8314" s="161" t="s">
        <v>19202</v>
      </c>
    </row>
    <row r="8315" spans="9:13" x14ac:dyDescent="0.25">
      <c r="I8315" t="s">
        <v>2222</v>
      </c>
      <c r="J8315" s="161" t="s">
        <v>19202</v>
      </c>
      <c r="K8315" t="s">
        <v>19203</v>
      </c>
      <c r="L8315" t="s">
        <v>2221</v>
      </c>
      <c r="M8315" s="161" t="s">
        <v>19202</v>
      </c>
    </row>
    <row r="8316" spans="9:13" x14ac:dyDescent="0.25">
      <c r="I8316" t="s">
        <v>20462</v>
      </c>
      <c r="J8316" s="161" t="s">
        <v>19202</v>
      </c>
      <c r="K8316" t="s">
        <v>19203</v>
      </c>
      <c r="L8316" t="s">
        <v>20463</v>
      </c>
      <c r="M8316" s="161" t="s">
        <v>19202</v>
      </c>
    </row>
    <row r="8317" spans="9:13" x14ac:dyDescent="0.25">
      <c r="I8317" t="s">
        <v>14900</v>
      </c>
      <c r="J8317" s="161" t="s">
        <v>19202</v>
      </c>
      <c r="K8317" t="s">
        <v>19203</v>
      </c>
      <c r="L8317" t="s">
        <v>14899</v>
      </c>
      <c r="M8317" s="161" t="s">
        <v>19202</v>
      </c>
    </row>
    <row r="8318" spans="9:13" x14ac:dyDescent="0.25">
      <c r="I8318" t="s">
        <v>20464</v>
      </c>
      <c r="J8318" s="161" t="s">
        <v>19202</v>
      </c>
      <c r="K8318" t="s">
        <v>19203</v>
      </c>
      <c r="L8318" t="s">
        <v>20465</v>
      </c>
      <c r="M8318" s="161" t="s">
        <v>19202</v>
      </c>
    </row>
    <row r="8319" spans="9:13" x14ac:dyDescent="0.25">
      <c r="I8319" t="s">
        <v>20466</v>
      </c>
      <c r="J8319" s="161" t="s">
        <v>19202</v>
      </c>
      <c r="K8319" t="s">
        <v>19203</v>
      </c>
      <c r="L8319" t="s">
        <v>20467</v>
      </c>
      <c r="M8319" s="161" t="s">
        <v>19202</v>
      </c>
    </row>
    <row r="8320" spans="9:13" x14ac:dyDescent="0.25">
      <c r="I8320" t="s">
        <v>8942</v>
      </c>
      <c r="J8320" s="161" t="s">
        <v>19202</v>
      </c>
      <c r="K8320" t="s">
        <v>19203</v>
      </c>
      <c r="L8320" t="s">
        <v>8941</v>
      </c>
      <c r="M8320" s="161" t="s">
        <v>19202</v>
      </c>
    </row>
    <row r="8321" spans="9:13" x14ac:dyDescent="0.25">
      <c r="I8321" t="s">
        <v>11655</v>
      </c>
      <c r="J8321" s="161" t="s">
        <v>19202</v>
      </c>
      <c r="K8321" t="s">
        <v>19203</v>
      </c>
      <c r="L8321" t="s">
        <v>11654</v>
      </c>
      <c r="M8321" s="161" t="s">
        <v>19202</v>
      </c>
    </row>
    <row r="8322" spans="9:13" x14ac:dyDescent="0.25">
      <c r="I8322" t="s">
        <v>6512</v>
      </c>
      <c r="J8322" s="161" t="s">
        <v>19202</v>
      </c>
      <c r="K8322" t="s">
        <v>19203</v>
      </c>
      <c r="L8322" t="s">
        <v>6511</v>
      </c>
      <c r="M8322" s="161" t="s">
        <v>19202</v>
      </c>
    </row>
    <row r="8323" spans="9:13" x14ac:dyDescent="0.25">
      <c r="I8323" t="s">
        <v>5980</v>
      </c>
      <c r="J8323" s="161" t="s">
        <v>19202</v>
      </c>
      <c r="K8323" t="s">
        <v>19203</v>
      </c>
      <c r="L8323" t="s">
        <v>5979</v>
      </c>
      <c r="M8323" s="161" t="s">
        <v>19202</v>
      </c>
    </row>
    <row r="8324" spans="9:13" x14ac:dyDescent="0.25">
      <c r="I8324" t="s">
        <v>17638</v>
      </c>
      <c r="J8324" s="167" t="s">
        <v>19994</v>
      </c>
      <c r="K8324" t="s">
        <v>19203</v>
      </c>
      <c r="L8324" t="s">
        <v>17637</v>
      </c>
      <c r="M8324" s="167" t="s">
        <v>19994</v>
      </c>
    </row>
    <row r="8325" spans="9:13" x14ac:dyDescent="0.25">
      <c r="I8325" t="s">
        <v>20468</v>
      </c>
      <c r="J8325" s="161" t="s">
        <v>19202</v>
      </c>
      <c r="K8325" t="s">
        <v>19203</v>
      </c>
      <c r="L8325" t="s">
        <v>20469</v>
      </c>
      <c r="M8325" s="161" t="s">
        <v>19202</v>
      </c>
    </row>
    <row r="8326" spans="9:13" x14ac:dyDescent="0.25">
      <c r="I8326" t="s">
        <v>13605</v>
      </c>
      <c r="J8326" s="161" t="s">
        <v>19202</v>
      </c>
      <c r="K8326" t="s">
        <v>19203</v>
      </c>
      <c r="L8326" t="s">
        <v>13604</v>
      </c>
      <c r="M8326" s="161" t="s">
        <v>19202</v>
      </c>
    </row>
    <row r="8327" spans="9:13" x14ac:dyDescent="0.25">
      <c r="I8327" t="s">
        <v>20470</v>
      </c>
      <c r="J8327" s="161" t="s">
        <v>19202</v>
      </c>
      <c r="K8327" t="s">
        <v>19203</v>
      </c>
      <c r="L8327" t="s">
        <v>20471</v>
      </c>
      <c r="M8327" s="161" t="s">
        <v>19202</v>
      </c>
    </row>
    <row r="8328" spans="9:13" x14ac:dyDescent="0.25">
      <c r="I8328" t="s">
        <v>10293</v>
      </c>
      <c r="J8328" s="161" t="s">
        <v>19202</v>
      </c>
      <c r="K8328" t="s">
        <v>19203</v>
      </c>
      <c r="L8328" t="s">
        <v>10292</v>
      </c>
      <c r="M8328" s="161" t="s">
        <v>19202</v>
      </c>
    </row>
    <row r="8329" spans="9:13" x14ac:dyDescent="0.25">
      <c r="I8329" t="s">
        <v>778</v>
      </c>
      <c r="J8329" s="161" t="s">
        <v>19202</v>
      </c>
      <c r="K8329" t="s">
        <v>19203</v>
      </c>
      <c r="L8329" t="s">
        <v>777</v>
      </c>
      <c r="M8329" s="161" t="s">
        <v>19202</v>
      </c>
    </row>
    <row r="8330" spans="9:13" x14ac:dyDescent="0.25">
      <c r="I8330" t="s">
        <v>20472</v>
      </c>
      <c r="J8330" s="161" t="s">
        <v>19202</v>
      </c>
      <c r="K8330" t="s">
        <v>19203</v>
      </c>
      <c r="L8330" t="s">
        <v>20473</v>
      </c>
      <c r="M8330" s="161" t="s">
        <v>19202</v>
      </c>
    </row>
    <row r="8331" spans="9:13" x14ac:dyDescent="0.25">
      <c r="I8331" t="s">
        <v>20474</v>
      </c>
      <c r="J8331" s="161" t="s">
        <v>19202</v>
      </c>
      <c r="K8331" t="s">
        <v>19203</v>
      </c>
      <c r="L8331" t="s">
        <v>20475</v>
      </c>
      <c r="M8331" s="161" t="s">
        <v>19202</v>
      </c>
    </row>
    <row r="8332" spans="9:13" x14ac:dyDescent="0.25">
      <c r="I8332" t="s">
        <v>5669</v>
      </c>
      <c r="J8332" s="161" t="s">
        <v>19202</v>
      </c>
      <c r="K8332" t="s">
        <v>19203</v>
      </c>
      <c r="L8332" t="s">
        <v>5668</v>
      </c>
      <c r="M8332" s="161" t="s">
        <v>19202</v>
      </c>
    </row>
    <row r="8333" spans="9:13" x14ac:dyDescent="0.25">
      <c r="I8333" t="s">
        <v>10305</v>
      </c>
      <c r="J8333" s="161" t="s">
        <v>19202</v>
      </c>
      <c r="K8333" t="s">
        <v>19203</v>
      </c>
      <c r="L8333" t="s">
        <v>10304</v>
      </c>
      <c r="M8333" s="161" t="s">
        <v>19202</v>
      </c>
    </row>
    <row r="8334" spans="9:13" x14ac:dyDescent="0.25">
      <c r="I8334" t="s">
        <v>5590</v>
      </c>
      <c r="J8334" s="167" t="s">
        <v>19994</v>
      </c>
      <c r="K8334" t="s">
        <v>19203</v>
      </c>
      <c r="L8334" t="s">
        <v>5589</v>
      </c>
      <c r="M8334" s="167" t="s">
        <v>19994</v>
      </c>
    </row>
    <row r="8335" spans="9:13" x14ac:dyDescent="0.25">
      <c r="I8335" t="s">
        <v>6753</v>
      </c>
      <c r="J8335" s="161" t="s">
        <v>19202</v>
      </c>
      <c r="K8335" t="s">
        <v>19203</v>
      </c>
      <c r="L8335" t="s">
        <v>6752</v>
      </c>
      <c r="M8335" s="161" t="s">
        <v>19202</v>
      </c>
    </row>
    <row r="8336" spans="9:13" x14ac:dyDescent="0.25">
      <c r="I8336" t="s">
        <v>11559</v>
      </c>
      <c r="J8336" s="161" t="s">
        <v>19202</v>
      </c>
      <c r="K8336" t="s">
        <v>19203</v>
      </c>
      <c r="L8336" t="s">
        <v>11558</v>
      </c>
      <c r="M8336" s="161" t="s">
        <v>19202</v>
      </c>
    </row>
    <row r="8337" spans="9:13" x14ac:dyDescent="0.25">
      <c r="I8337" t="s">
        <v>15231</v>
      </c>
      <c r="J8337" s="161" t="s">
        <v>19202</v>
      </c>
      <c r="K8337" t="s">
        <v>19203</v>
      </c>
      <c r="L8337" t="s">
        <v>14873</v>
      </c>
      <c r="M8337" s="161" t="s">
        <v>19202</v>
      </c>
    </row>
    <row r="8338" spans="9:13" x14ac:dyDescent="0.25">
      <c r="I8338" t="s">
        <v>20476</v>
      </c>
      <c r="J8338" s="161" t="s">
        <v>19202</v>
      </c>
      <c r="K8338" t="s">
        <v>19203</v>
      </c>
      <c r="L8338" t="s">
        <v>13141</v>
      </c>
      <c r="M8338" s="161" t="s">
        <v>19202</v>
      </c>
    </row>
    <row r="8339" spans="9:13" x14ac:dyDescent="0.25">
      <c r="I8339" t="s">
        <v>20477</v>
      </c>
      <c r="J8339" s="161" t="s">
        <v>19202</v>
      </c>
      <c r="K8339" t="s">
        <v>19203</v>
      </c>
      <c r="L8339" t="s">
        <v>861</v>
      </c>
      <c r="M8339" s="161" t="s">
        <v>19202</v>
      </c>
    </row>
    <row r="8340" spans="9:13" x14ac:dyDescent="0.25">
      <c r="I8340" t="s">
        <v>20478</v>
      </c>
      <c r="J8340" s="161" t="s">
        <v>19202</v>
      </c>
      <c r="K8340" t="s">
        <v>19203</v>
      </c>
      <c r="L8340" t="s">
        <v>20479</v>
      </c>
      <c r="M8340" s="161" t="s">
        <v>19202</v>
      </c>
    </row>
    <row r="8341" spans="9:13" x14ac:dyDescent="0.25">
      <c r="I8341" t="s">
        <v>16619</v>
      </c>
      <c r="J8341" s="161" t="s">
        <v>19202</v>
      </c>
      <c r="K8341" t="s">
        <v>19203</v>
      </c>
      <c r="L8341" t="s">
        <v>6343</v>
      </c>
      <c r="M8341" s="161" t="s">
        <v>19202</v>
      </c>
    </row>
    <row r="8342" spans="9:13" x14ac:dyDescent="0.25">
      <c r="I8342" t="s">
        <v>7509</v>
      </c>
      <c r="J8342" s="161" t="s">
        <v>19202</v>
      </c>
      <c r="K8342" t="s">
        <v>19203</v>
      </c>
      <c r="L8342" t="s">
        <v>7508</v>
      </c>
      <c r="M8342" s="161" t="s">
        <v>19202</v>
      </c>
    </row>
    <row r="8343" spans="9:13" x14ac:dyDescent="0.25">
      <c r="I8343" t="s">
        <v>16094</v>
      </c>
      <c r="J8343" s="161" t="s">
        <v>19202</v>
      </c>
      <c r="K8343" t="s">
        <v>19203</v>
      </c>
      <c r="L8343" t="s">
        <v>16093</v>
      </c>
      <c r="M8343" s="161" t="s">
        <v>19202</v>
      </c>
    </row>
    <row r="8344" spans="9:13" x14ac:dyDescent="0.25">
      <c r="I8344" t="s">
        <v>5139</v>
      </c>
      <c r="J8344" s="167" t="s">
        <v>19994</v>
      </c>
      <c r="K8344" t="s">
        <v>19203</v>
      </c>
      <c r="L8344" t="s">
        <v>5138</v>
      </c>
      <c r="M8344" s="167" t="s">
        <v>19994</v>
      </c>
    </row>
    <row r="8345" spans="9:13" x14ac:dyDescent="0.25">
      <c r="I8345" t="s">
        <v>6649</v>
      </c>
      <c r="J8345" s="161" t="s">
        <v>19994</v>
      </c>
      <c r="K8345" t="s">
        <v>19203</v>
      </c>
      <c r="L8345" t="s">
        <v>6024</v>
      </c>
      <c r="M8345" s="161" t="s">
        <v>19994</v>
      </c>
    </row>
    <row r="8346" spans="9:13" x14ac:dyDescent="0.25">
      <c r="I8346" t="s">
        <v>3496</v>
      </c>
      <c r="J8346" s="161" t="s">
        <v>19202</v>
      </c>
      <c r="K8346" t="s">
        <v>19203</v>
      </c>
      <c r="L8346" t="s">
        <v>3495</v>
      </c>
      <c r="M8346" s="161" t="s">
        <v>19202</v>
      </c>
    </row>
    <row r="8347" spans="9:13" x14ac:dyDescent="0.25">
      <c r="I8347" t="s">
        <v>10238</v>
      </c>
      <c r="J8347" s="161" t="s">
        <v>19202</v>
      </c>
      <c r="K8347" t="s">
        <v>19203</v>
      </c>
      <c r="L8347" t="s">
        <v>10237</v>
      </c>
      <c r="M8347" s="161" t="s">
        <v>19202</v>
      </c>
    </row>
    <row r="8348" spans="9:13" x14ac:dyDescent="0.25">
      <c r="I8348" t="s">
        <v>9234</v>
      </c>
      <c r="J8348" s="161" t="s">
        <v>19202</v>
      </c>
      <c r="K8348" t="s">
        <v>19203</v>
      </c>
      <c r="L8348" t="s">
        <v>9233</v>
      </c>
      <c r="M8348" s="161" t="s">
        <v>19202</v>
      </c>
    </row>
    <row r="8349" spans="9:13" x14ac:dyDescent="0.25">
      <c r="I8349" t="s">
        <v>3649</v>
      </c>
      <c r="J8349" s="161" t="s">
        <v>19202</v>
      </c>
      <c r="K8349" t="s">
        <v>19203</v>
      </c>
      <c r="L8349" t="s">
        <v>3648</v>
      </c>
      <c r="M8349" s="161" t="s">
        <v>19202</v>
      </c>
    </row>
    <row r="8350" spans="9:13" x14ac:dyDescent="0.25">
      <c r="I8350" t="s">
        <v>10254</v>
      </c>
      <c r="J8350" s="161" t="s">
        <v>19202</v>
      </c>
      <c r="K8350" t="s">
        <v>19203</v>
      </c>
      <c r="L8350" t="s">
        <v>10253</v>
      </c>
      <c r="M8350" s="161" t="s">
        <v>19202</v>
      </c>
    </row>
    <row r="8351" spans="9:13" x14ac:dyDescent="0.25">
      <c r="I8351" t="s">
        <v>6195</v>
      </c>
      <c r="J8351" s="161" t="s">
        <v>19202</v>
      </c>
      <c r="K8351" t="s">
        <v>19203</v>
      </c>
      <c r="L8351" t="s">
        <v>6194</v>
      </c>
      <c r="M8351" s="161" t="s">
        <v>19202</v>
      </c>
    </row>
    <row r="8352" spans="9:13" x14ac:dyDescent="0.25">
      <c r="I8352" t="s">
        <v>11119</v>
      </c>
      <c r="J8352" s="161" t="s">
        <v>19202</v>
      </c>
      <c r="K8352" t="s">
        <v>19203</v>
      </c>
      <c r="L8352" t="s">
        <v>11118</v>
      </c>
      <c r="M8352" s="161" t="s">
        <v>19202</v>
      </c>
    </row>
    <row r="8353" spans="9:13" x14ac:dyDescent="0.25">
      <c r="I8353" t="s">
        <v>10158</v>
      </c>
      <c r="J8353" s="161" t="s">
        <v>19202</v>
      </c>
      <c r="K8353" t="s">
        <v>19203</v>
      </c>
      <c r="L8353" t="s">
        <v>10157</v>
      </c>
      <c r="M8353" s="161" t="s">
        <v>19202</v>
      </c>
    </row>
    <row r="8354" spans="9:13" x14ac:dyDescent="0.25">
      <c r="I8354" t="s">
        <v>20480</v>
      </c>
      <c r="J8354" s="161" t="s">
        <v>19202</v>
      </c>
      <c r="K8354" t="s">
        <v>19203</v>
      </c>
      <c r="L8354" t="s">
        <v>20481</v>
      </c>
      <c r="M8354" s="161" t="s">
        <v>19202</v>
      </c>
    </row>
    <row r="8355" spans="9:13" x14ac:dyDescent="0.25">
      <c r="I8355" t="s">
        <v>20482</v>
      </c>
      <c r="J8355" s="161" t="s">
        <v>19202</v>
      </c>
      <c r="K8355" t="s">
        <v>19203</v>
      </c>
      <c r="L8355" t="s">
        <v>20483</v>
      </c>
      <c r="M8355" s="161" t="s">
        <v>19202</v>
      </c>
    </row>
    <row r="8356" spans="9:13" x14ac:dyDescent="0.25">
      <c r="I8356" t="s">
        <v>1022</v>
      </c>
      <c r="J8356" s="161" t="s">
        <v>19202</v>
      </c>
      <c r="K8356" t="s">
        <v>19203</v>
      </c>
      <c r="L8356" t="s">
        <v>1021</v>
      </c>
      <c r="M8356" s="161" t="s">
        <v>19202</v>
      </c>
    </row>
    <row r="8357" spans="9:13" x14ac:dyDescent="0.25">
      <c r="I8357" t="s">
        <v>20484</v>
      </c>
      <c r="J8357" s="161" t="s">
        <v>19202</v>
      </c>
      <c r="K8357" t="s">
        <v>19203</v>
      </c>
      <c r="L8357" t="s">
        <v>20485</v>
      </c>
      <c r="M8357" s="161" t="s">
        <v>19202</v>
      </c>
    </row>
    <row r="8358" spans="9:13" x14ac:dyDescent="0.25">
      <c r="I8358" t="s">
        <v>13822</v>
      </c>
      <c r="J8358" s="167" t="s">
        <v>19994</v>
      </c>
      <c r="K8358" t="s">
        <v>19203</v>
      </c>
      <c r="L8358" t="s">
        <v>13821</v>
      </c>
      <c r="M8358" s="167" t="s">
        <v>19994</v>
      </c>
    </row>
    <row r="8359" spans="9:13" x14ac:dyDescent="0.25">
      <c r="I8359" t="s">
        <v>14950</v>
      </c>
      <c r="J8359" s="161" t="s">
        <v>19202</v>
      </c>
      <c r="K8359" t="s">
        <v>19203</v>
      </c>
      <c r="L8359" t="s">
        <v>14949</v>
      </c>
      <c r="M8359" s="161" t="s">
        <v>19202</v>
      </c>
    </row>
    <row r="8360" spans="9:13" x14ac:dyDescent="0.25">
      <c r="I8360" t="s">
        <v>5560</v>
      </c>
      <c r="J8360" s="161" t="s">
        <v>19994</v>
      </c>
      <c r="K8360" t="s">
        <v>19203</v>
      </c>
      <c r="L8360" t="s">
        <v>5559</v>
      </c>
      <c r="M8360" s="161" t="s">
        <v>19994</v>
      </c>
    </row>
    <row r="8361" spans="9:13" x14ac:dyDescent="0.25">
      <c r="I8361" t="s">
        <v>5596</v>
      </c>
      <c r="J8361" s="167" t="s">
        <v>19994</v>
      </c>
      <c r="K8361" t="s">
        <v>19203</v>
      </c>
      <c r="L8361" t="s">
        <v>5595</v>
      </c>
      <c r="M8361" s="167" t="s">
        <v>19994</v>
      </c>
    </row>
    <row r="8362" spans="9:13" x14ac:dyDescent="0.25">
      <c r="I8362" t="s">
        <v>8694</v>
      </c>
      <c r="J8362" s="161" t="s">
        <v>19202</v>
      </c>
      <c r="K8362" t="s">
        <v>19203</v>
      </c>
      <c r="L8362" t="s">
        <v>8693</v>
      </c>
      <c r="M8362" s="161" t="s">
        <v>19202</v>
      </c>
    </row>
    <row r="8363" spans="9:13" x14ac:dyDescent="0.25">
      <c r="I8363" t="s">
        <v>20486</v>
      </c>
      <c r="J8363" s="161" t="s">
        <v>19202</v>
      </c>
      <c r="K8363" t="s">
        <v>19203</v>
      </c>
      <c r="L8363" t="s">
        <v>20487</v>
      </c>
      <c r="M8363" s="161" t="s">
        <v>19202</v>
      </c>
    </row>
    <row r="8364" spans="9:13" x14ac:dyDescent="0.25">
      <c r="I8364" t="s">
        <v>7007</v>
      </c>
      <c r="J8364" s="161" t="s">
        <v>19202</v>
      </c>
      <c r="K8364" t="s">
        <v>19203</v>
      </c>
      <c r="L8364" t="s">
        <v>7006</v>
      </c>
      <c r="M8364" s="161" t="s">
        <v>19202</v>
      </c>
    </row>
    <row r="8365" spans="9:13" x14ac:dyDescent="0.25">
      <c r="I8365" t="s">
        <v>5902</v>
      </c>
      <c r="J8365" s="161" t="s">
        <v>19202</v>
      </c>
      <c r="K8365" t="s">
        <v>19203</v>
      </c>
      <c r="L8365" t="s">
        <v>5901</v>
      </c>
      <c r="M8365" s="161" t="s">
        <v>19202</v>
      </c>
    </row>
    <row r="8366" spans="9:13" x14ac:dyDescent="0.25">
      <c r="I8366" t="s">
        <v>3482</v>
      </c>
      <c r="J8366" s="161" t="s">
        <v>19994</v>
      </c>
      <c r="K8366" t="s">
        <v>19203</v>
      </c>
      <c r="L8366" t="s">
        <v>3481</v>
      </c>
      <c r="M8366" s="161" t="s">
        <v>19994</v>
      </c>
    </row>
    <row r="8367" spans="9:13" x14ac:dyDescent="0.25">
      <c r="I8367" t="s">
        <v>3488</v>
      </c>
      <c r="J8367" s="161" t="s">
        <v>19202</v>
      </c>
      <c r="K8367" t="s">
        <v>19203</v>
      </c>
      <c r="L8367" t="s">
        <v>3487</v>
      </c>
      <c r="M8367" s="161" t="s">
        <v>19202</v>
      </c>
    </row>
    <row r="8368" spans="9:13" x14ac:dyDescent="0.25">
      <c r="I8368" t="s">
        <v>236</v>
      </c>
      <c r="J8368" s="161" t="s">
        <v>19202</v>
      </c>
      <c r="K8368" t="s">
        <v>19203</v>
      </c>
      <c r="L8368" t="s">
        <v>235</v>
      </c>
      <c r="M8368" s="161" t="s">
        <v>19202</v>
      </c>
    </row>
    <row r="8369" spans="9:13" x14ac:dyDescent="0.25">
      <c r="I8369" t="s">
        <v>20488</v>
      </c>
      <c r="J8369" s="161" t="s">
        <v>19202</v>
      </c>
      <c r="K8369" t="s">
        <v>19203</v>
      </c>
      <c r="L8369" t="s">
        <v>20489</v>
      </c>
      <c r="M8369" s="161" t="s">
        <v>19202</v>
      </c>
    </row>
    <row r="8370" spans="9:13" x14ac:dyDescent="0.25">
      <c r="I8370" t="s">
        <v>11217</v>
      </c>
      <c r="J8370" s="161" t="s">
        <v>19202</v>
      </c>
      <c r="K8370" t="s">
        <v>19203</v>
      </c>
      <c r="L8370" t="s">
        <v>11216</v>
      </c>
      <c r="M8370" s="161" t="s">
        <v>19202</v>
      </c>
    </row>
    <row r="8371" spans="9:13" x14ac:dyDescent="0.25">
      <c r="I8371" t="s">
        <v>11215</v>
      </c>
      <c r="J8371" s="161" t="s">
        <v>19202</v>
      </c>
      <c r="K8371" t="s">
        <v>19203</v>
      </c>
      <c r="L8371" t="s">
        <v>11214</v>
      </c>
      <c r="M8371" s="161" t="s">
        <v>19202</v>
      </c>
    </row>
    <row r="8372" spans="9:13" x14ac:dyDescent="0.25">
      <c r="I8372" t="s">
        <v>4781</v>
      </c>
      <c r="J8372" s="161" t="s">
        <v>19202</v>
      </c>
      <c r="K8372" t="s">
        <v>19203</v>
      </c>
      <c r="L8372" t="s">
        <v>4780</v>
      </c>
      <c r="M8372" s="161" t="s">
        <v>19202</v>
      </c>
    </row>
    <row r="8373" spans="9:13" x14ac:dyDescent="0.25">
      <c r="I8373" t="s">
        <v>11259</v>
      </c>
      <c r="J8373" s="161" t="s">
        <v>19202</v>
      </c>
      <c r="K8373" t="s">
        <v>19203</v>
      </c>
      <c r="L8373" t="s">
        <v>11258</v>
      </c>
      <c r="M8373" s="161" t="s">
        <v>19202</v>
      </c>
    </row>
    <row r="8374" spans="9:13" x14ac:dyDescent="0.25">
      <c r="I8374" t="s">
        <v>9238</v>
      </c>
      <c r="J8374" s="161" t="s">
        <v>19202</v>
      </c>
      <c r="K8374" t="s">
        <v>19203</v>
      </c>
      <c r="L8374" t="s">
        <v>9237</v>
      </c>
      <c r="M8374" s="161" t="s">
        <v>19202</v>
      </c>
    </row>
    <row r="8375" spans="9:13" x14ac:dyDescent="0.25">
      <c r="I8375" t="s">
        <v>20490</v>
      </c>
      <c r="J8375" s="161" t="s">
        <v>19202</v>
      </c>
      <c r="K8375" t="s">
        <v>19203</v>
      </c>
      <c r="L8375" t="s">
        <v>20491</v>
      </c>
      <c r="M8375" s="161" t="s">
        <v>19202</v>
      </c>
    </row>
    <row r="8376" spans="9:13" x14ac:dyDescent="0.25">
      <c r="I8376" t="s">
        <v>20492</v>
      </c>
      <c r="J8376" s="161" t="s">
        <v>19202</v>
      </c>
      <c r="K8376" t="s">
        <v>19203</v>
      </c>
      <c r="L8376" t="s">
        <v>20493</v>
      </c>
      <c r="M8376" s="161" t="s">
        <v>19202</v>
      </c>
    </row>
    <row r="8377" spans="9:13" x14ac:dyDescent="0.25">
      <c r="I8377" t="s">
        <v>7849</v>
      </c>
      <c r="J8377" s="161" t="s">
        <v>19202</v>
      </c>
      <c r="K8377" t="s">
        <v>19203</v>
      </c>
      <c r="L8377" t="s">
        <v>7848</v>
      </c>
      <c r="M8377" s="161" t="s">
        <v>19202</v>
      </c>
    </row>
    <row r="8378" spans="9:13" x14ac:dyDescent="0.25">
      <c r="I8378" t="s">
        <v>16440</v>
      </c>
      <c r="J8378" s="161" t="s">
        <v>19202</v>
      </c>
      <c r="K8378" t="s">
        <v>19203</v>
      </c>
      <c r="L8378" t="s">
        <v>16439</v>
      </c>
      <c r="M8378" s="161" t="s">
        <v>19202</v>
      </c>
    </row>
    <row r="8379" spans="9:13" x14ac:dyDescent="0.25">
      <c r="I8379" t="s">
        <v>11527</v>
      </c>
      <c r="J8379" s="161" t="s">
        <v>19202</v>
      </c>
      <c r="K8379" t="s">
        <v>19203</v>
      </c>
      <c r="L8379" t="s">
        <v>11526</v>
      </c>
      <c r="M8379" s="161" t="s">
        <v>19202</v>
      </c>
    </row>
    <row r="8380" spans="9:13" x14ac:dyDescent="0.25">
      <c r="I8380" t="s">
        <v>5598</v>
      </c>
      <c r="J8380" s="167" t="s">
        <v>19994</v>
      </c>
      <c r="K8380" t="s">
        <v>19203</v>
      </c>
      <c r="L8380" t="s">
        <v>5597</v>
      </c>
      <c r="M8380" s="167" t="s">
        <v>19994</v>
      </c>
    </row>
    <row r="8381" spans="9:13" x14ac:dyDescent="0.25">
      <c r="I8381" t="s">
        <v>10160</v>
      </c>
      <c r="J8381" s="167" t="s">
        <v>19994</v>
      </c>
      <c r="K8381" t="s">
        <v>19203</v>
      </c>
      <c r="L8381" t="s">
        <v>10159</v>
      </c>
      <c r="M8381" s="167" t="s">
        <v>19994</v>
      </c>
    </row>
    <row r="8382" spans="9:13" x14ac:dyDescent="0.25">
      <c r="I8382" t="s">
        <v>9236</v>
      </c>
      <c r="J8382" s="161" t="s">
        <v>19202</v>
      </c>
      <c r="K8382" t="s">
        <v>19203</v>
      </c>
      <c r="L8382" t="s">
        <v>9235</v>
      </c>
      <c r="M8382" s="161" t="s">
        <v>19202</v>
      </c>
    </row>
    <row r="8383" spans="9:13" x14ac:dyDescent="0.25">
      <c r="I8383" t="s">
        <v>14401</v>
      </c>
      <c r="J8383" s="161" t="s">
        <v>19202</v>
      </c>
      <c r="K8383" t="s">
        <v>19203</v>
      </c>
      <c r="L8383" t="s">
        <v>14400</v>
      </c>
      <c r="M8383" s="161" t="s">
        <v>19202</v>
      </c>
    </row>
    <row r="8384" spans="9:13" x14ac:dyDescent="0.25">
      <c r="I8384" t="s">
        <v>10164</v>
      </c>
      <c r="J8384" s="167" t="s">
        <v>19994</v>
      </c>
      <c r="K8384" t="s">
        <v>19203</v>
      </c>
      <c r="L8384" t="s">
        <v>10163</v>
      </c>
      <c r="M8384" s="167" t="s">
        <v>19994</v>
      </c>
    </row>
    <row r="8385" spans="9:13" x14ac:dyDescent="0.25">
      <c r="I8385" t="s">
        <v>20494</v>
      </c>
      <c r="J8385" s="161" t="s">
        <v>19202</v>
      </c>
      <c r="K8385" t="s">
        <v>19203</v>
      </c>
      <c r="L8385" t="s">
        <v>20495</v>
      </c>
      <c r="M8385" s="161" t="s">
        <v>19202</v>
      </c>
    </row>
    <row r="8386" spans="9:13" x14ac:dyDescent="0.25">
      <c r="I8386" t="s">
        <v>5094</v>
      </c>
      <c r="J8386" s="167" t="s">
        <v>19994</v>
      </c>
      <c r="K8386" t="s">
        <v>19203</v>
      </c>
      <c r="L8386" t="s">
        <v>5093</v>
      </c>
      <c r="M8386" s="167" t="s">
        <v>19994</v>
      </c>
    </row>
    <row r="8387" spans="9:13" x14ac:dyDescent="0.25">
      <c r="I8387" t="s">
        <v>11472</v>
      </c>
      <c r="J8387" s="161" t="s">
        <v>19202</v>
      </c>
      <c r="K8387" t="s">
        <v>19203</v>
      </c>
      <c r="L8387" t="s">
        <v>11471</v>
      </c>
      <c r="M8387" s="161" t="s">
        <v>19202</v>
      </c>
    </row>
    <row r="8388" spans="9:13" x14ac:dyDescent="0.25">
      <c r="I8388" t="s">
        <v>20496</v>
      </c>
      <c r="J8388" s="161" t="s">
        <v>19994</v>
      </c>
      <c r="K8388" t="s">
        <v>19203</v>
      </c>
      <c r="L8388" t="s">
        <v>20497</v>
      </c>
      <c r="M8388" s="161" t="s">
        <v>19994</v>
      </c>
    </row>
    <row r="8389" spans="9:13" x14ac:dyDescent="0.25">
      <c r="I8389" t="s">
        <v>9528</v>
      </c>
      <c r="J8389" s="161" t="s">
        <v>19202</v>
      </c>
      <c r="K8389" t="s">
        <v>19203</v>
      </c>
      <c r="L8389" t="s">
        <v>9527</v>
      </c>
      <c r="M8389" s="161" t="s">
        <v>19202</v>
      </c>
    </row>
    <row r="8390" spans="9:13" x14ac:dyDescent="0.25">
      <c r="I8390" t="s">
        <v>4604</v>
      </c>
      <c r="J8390" s="161" t="s">
        <v>19202</v>
      </c>
      <c r="K8390" t="s">
        <v>19203</v>
      </c>
      <c r="L8390" t="s">
        <v>4603</v>
      </c>
      <c r="M8390" s="161" t="s">
        <v>19202</v>
      </c>
    </row>
    <row r="8391" spans="9:13" x14ac:dyDescent="0.25">
      <c r="I8391" t="s">
        <v>9184</v>
      </c>
      <c r="J8391" s="161" t="s">
        <v>19202</v>
      </c>
      <c r="K8391" t="s">
        <v>19203</v>
      </c>
      <c r="L8391" t="s">
        <v>9183</v>
      </c>
      <c r="M8391" s="161" t="s">
        <v>19202</v>
      </c>
    </row>
    <row r="8392" spans="9:13" x14ac:dyDescent="0.25">
      <c r="I8392" t="s">
        <v>11867</v>
      </c>
      <c r="J8392" s="161" t="s">
        <v>19202</v>
      </c>
      <c r="K8392" t="s">
        <v>19203</v>
      </c>
      <c r="L8392" t="s">
        <v>11866</v>
      </c>
      <c r="M8392" s="161" t="s">
        <v>19202</v>
      </c>
    </row>
    <row r="8393" spans="9:13" x14ac:dyDescent="0.25">
      <c r="I8393" t="s">
        <v>16995</v>
      </c>
      <c r="J8393" s="161" t="s">
        <v>19202</v>
      </c>
      <c r="K8393" t="s">
        <v>19203</v>
      </c>
      <c r="L8393" t="s">
        <v>16994</v>
      </c>
      <c r="M8393" s="161" t="s">
        <v>19202</v>
      </c>
    </row>
    <row r="8394" spans="9:13" x14ac:dyDescent="0.25">
      <c r="I8394" t="s">
        <v>14353</v>
      </c>
      <c r="J8394" s="167" t="s">
        <v>19994</v>
      </c>
      <c r="K8394" t="s">
        <v>19203</v>
      </c>
      <c r="L8394" t="s">
        <v>14352</v>
      </c>
      <c r="M8394" s="167" t="s">
        <v>19994</v>
      </c>
    </row>
    <row r="8395" spans="9:13" x14ac:dyDescent="0.25">
      <c r="I8395" t="s">
        <v>2196</v>
      </c>
      <c r="J8395" s="167" t="s">
        <v>19994</v>
      </c>
      <c r="K8395" t="s">
        <v>19203</v>
      </c>
      <c r="L8395" t="s">
        <v>2195</v>
      </c>
      <c r="M8395" s="167" t="s">
        <v>19994</v>
      </c>
    </row>
    <row r="8396" spans="9:13" x14ac:dyDescent="0.25">
      <c r="I8396" t="s">
        <v>9058</v>
      </c>
      <c r="J8396" s="161" t="s">
        <v>19202</v>
      </c>
      <c r="K8396" t="s">
        <v>19203</v>
      </c>
      <c r="L8396" t="s">
        <v>9057</v>
      </c>
      <c r="M8396" s="161" t="s">
        <v>19202</v>
      </c>
    </row>
    <row r="8397" spans="9:13" x14ac:dyDescent="0.25">
      <c r="I8397" t="s">
        <v>20498</v>
      </c>
      <c r="J8397" s="161" t="s">
        <v>19202</v>
      </c>
      <c r="K8397" t="s">
        <v>19203</v>
      </c>
      <c r="L8397" t="s">
        <v>20499</v>
      </c>
      <c r="M8397" s="161" t="s">
        <v>19202</v>
      </c>
    </row>
    <row r="8398" spans="9:13" x14ac:dyDescent="0.25">
      <c r="I8398" t="s">
        <v>9836</v>
      </c>
      <c r="J8398" s="161" t="s">
        <v>19202</v>
      </c>
      <c r="K8398" t="s">
        <v>19203</v>
      </c>
      <c r="L8398" t="s">
        <v>9189</v>
      </c>
      <c r="M8398" s="161" t="s">
        <v>19202</v>
      </c>
    </row>
    <row r="8399" spans="9:13" x14ac:dyDescent="0.25">
      <c r="I8399" t="s">
        <v>15124</v>
      </c>
      <c r="J8399" s="161" t="s">
        <v>19202</v>
      </c>
      <c r="K8399" t="s">
        <v>19203</v>
      </c>
      <c r="L8399" t="s">
        <v>14849</v>
      </c>
      <c r="M8399" s="161" t="s">
        <v>19202</v>
      </c>
    </row>
    <row r="8400" spans="9:13" x14ac:dyDescent="0.25">
      <c r="I8400" t="s">
        <v>8178</v>
      </c>
      <c r="J8400" s="161" t="s">
        <v>19202</v>
      </c>
      <c r="K8400" t="s">
        <v>19203</v>
      </c>
      <c r="L8400" t="s">
        <v>8177</v>
      </c>
      <c r="M8400" s="161" t="s">
        <v>19202</v>
      </c>
    </row>
    <row r="8401" spans="9:13" x14ac:dyDescent="0.25">
      <c r="I8401" t="s">
        <v>358</v>
      </c>
      <c r="J8401" s="161" t="s">
        <v>19202</v>
      </c>
      <c r="K8401" t="s">
        <v>19203</v>
      </c>
      <c r="L8401" t="s">
        <v>357</v>
      </c>
      <c r="M8401" s="161" t="s">
        <v>19202</v>
      </c>
    </row>
    <row r="8402" spans="9:13" x14ac:dyDescent="0.25">
      <c r="I8402" t="s">
        <v>4605</v>
      </c>
      <c r="J8402" s="161" t="s">
        <v>19202</v>
      </c>
      <c r="K8402" t="s">
        <v>19203</v>
      </c>
      <c r="L8402" t="s">
        <v>558</v>
      </c>
      <c r="M8402" s="161" t="s">
        <v>19202</v>
      </c>
    </row>
    <row r="8403" spans="9:13" x14ac:dyDescent="0.25">
      <c r="I8403" t="s">
        <v>15428</v>
      </c>
      <c r="J8403" s="161" t="s">
        <v>19202</v>
      </c>
      <c r="K8403" t="s">
        <v>19203</v>
      </c>
      <c r="L8403" t="s">
        <v>15427</v>
      </c>
      <c r="M8403" s="161" t="s">
        <v>19202</v>
      </c>
    </row>
    <row r="8404" spans="9:13" x14ac:dyDescent="0.25">
      <c r="I8404" t="s">
        <v>4992</v>
      </c>
      <c r="J8404" s="161" t="s">
        <v>19202</v>
      </c>
      <c r="K8404" t="s">
        <v>19203</v>
      </c>
      <c r="L8404" t="s">
        <v>4991</v>
      </c>
      <c r="M8404" s="161" t="s">
        <v>19202</v>
      </c>
    </row>
    <row r="8405" spans="9:13" x14ac:dyDescent="0.25">
      <c r="I8405" t="s">
        <v>11613</v>
      </c>
      <c r="J8405" s="161" t="s">
        <v>19202</v>
      </c>
      <c r="K8405" t="s">
        <v>19203</v>
      </c>
      <c r="L8405" t="s">
        <v>11612</v>
      </c>
      <c r="M8405" s="161" t="s">
        <v>19202</v>
      </c>
    </row>
    <row r="8406" spans="9:13" x14ac:dyDescent="0.25">
      <c r="I8406" t="s">
        <v>1020</v>
      </c>
      <c r="J8406" s="161" t="s">
        <v>19202</v>
      </c>
      <c r="K8406" t="s">
        <v>19203</v>
      </c>
      <c r="L8406" t="s">
        <v>1019</v>
      </c>
      <c r="M8406" s="161" t="s">
        <v>19202</v>
      </c>
    </row>
    <row r="8407" spans="9:13" x14ac:dyDescent="0.25">
      <c r="I8407" t="s">
        <v>827</v>
      </c>
      <c r="J8407" s="167" t="s">
        <v>19994</v>
      </c>
      <c r="K8407" t="s">
        <v>19203</v>
      </c>
      <c r="L8407" t="s">
        <v>826</v>
      </c>
      <c r="M8407" s="167" t="s">
        <v>19994</v>
      </c>
    </row>
    <row r="8408" spans="9:13" x14ac:dyDescent="0.25">
      <c r="I8408" t="s">
        <v>12095</v>
      </c>
      <c r="J8408" s="161" t="s">
        <v>19202</v>
      </c>
      <c r="K8408" t="s">
        <v>19203</v>
      </c>
      <c r="L8408" t="s">
        <v>12094</v>
      </c>
      <c r="M8408" s="161" t="s">
        <v>19202</v>
      </c>
    </row>
    <row r="8409" spans="9:13" x14ac:dyDescent="0.25">
      <c r="I8409" t="s">
        <v>20500</v>
      </c>
      <c r="J8409" s="161" t="s">
        <v>19202</v>
      </c>
      <c r="K8409" t="s">
        <v>19203</v>
      </c>
      <c r="L8409" t="s">
        <v>20501</v>
      </c>
      <c r="M8409" s="161" t="s">
        <v>19202</v>
      </c>
    </row>
    <row r="8410" spans="9:13" x14ac:dyDescent="0.25">
      <c r="I8410" t="s">
        <v>11563</v>
      </c>
      <c r="J8410" s="161" t="s">
        <v>19202</v>
      </c>
      <c r="K8410" t="s">
        <v>19203</v>
      </c>
      <c r="L8410" t="s">
        <v>11562</v>
      </c>
      <c r="M8410" s="161" t="s">
        <v>19202</v>
      </c>
    </row>
    <row r="8411" spans="9:13" x14ac:dyDescent="0.25">
      <c r="I8411" t="s">
        <v>12097</v>
      </c>
      <c r="J8411" s="161" t="s">
        <v>19202</v>
      </c>
      <c r="K8411" t="s">
        <v>19203</v>
      </c>
      <c r="L8411" t="s">
        <v>12096</v>
      </c>
      <c r="M8411" s="161" t="s">
        <v>19202</v>
      </c>
    </row>
    <row r="8412" spans="9:13" x14ac:dyDescent="0.25">
      <c r="I8412" t="s">
        <v>11740</v>
      </c>
      <c r="J8412" s="167" t="s">
        <v>19994</v>
      </c>
      <c r="K8412" t="s">
        <v>19203</v>
      </c>
      <c r="L8412" t="s">
        <v>11739</v>
      </c>
      <c r="M8412" s="167" t="s">
        <v>19994</v>
      </c>
    </row>
    <row r="8413" spans="9:13" x14ac:dyDescent="0.25">
      <c r="I8413" t="s">
        <v>324</v>
      </c>
      <c r="J8413" s="167" t="s">
        <v>19994</v>
      </c>
      <c r="K8413" t="s">
        <v>19203</v>
      </c>
      <c r="L8413" t="s">
        <v>323</v>
      </c>
      <c r="M8413" s="167" t="s">
        <v>19994</v>
      </c>
    </row>
    <row r="8414" spans="9:13" x14ac:dyDescent="0.25">
      <c r="I8414" t="s">
        <v>17142</v>
      </c>
      <c r="J8414" s="161" t="s">
        <v>19202</v>
      </c>
      <c r="K8414" t="s">
        <v>19203</v>
      </c>
      <c r="L8414" t="s">
        <v>17141</v>
      </c>
      <c r="M8414" s="161" t="s">
        <v>19202</v>
      </c>
    </row>
    <row r="8415" spans="9:13" x14ac:dyDescent="0.25">
      <c r="I8415" t="s">
        <v>20502</v>
      </c>
      <c r="J8415" s="161" t="s">
        <v>19202</v>
      </c>
      <c r="K8415" t="s">
        <v>19203</v>
      </c>
      <c r="L8415" t="s">
        <v>13814</v>
      </c>
      <c r="M8415" s="161" t="s">
        <v>19202</v>
      </c>
    </row>
    <row r="8416" spans="9:13" x14ac:dyDescent="0.25">
      <c r="I8416" t="s">
        <v>9232</v>
      </c>
      <c r="J8416" s="161" t="s">
        <v>19202</v>
      </c>
      <c r="K8416" t="s">
        <v>19203</v>
      </c>
      <c r="L8416" t="s">
        <v>9231</v>
      </c>
      <c r="M8416" s="161" t="s">
        <v>19202</v>
      </c>
    </row>
    <row r="8417" spans="9:13" x14ac:dyDescent="0.25">
      <c r="I8417" t="s">
        <v>15273</v>
      </c>
      <c r="J8417" s="161" t="s">
        <v>19202</v>
      </c>
      <c r="K8417" t="s">
        <v>19203</v>
      </c>
      <c r="L8417" t="s">
        <v>14187</v>
      </c>
      <c r="M8417" s="161" t="s">
        <v>19202</v>
      </c>
    </row>
    <row r="8418" spans="9:13" x14ac:dyDescent="0.25">
      <c r="I8418" t="s">
        <v>15422</v>
      </c>
      <c r="J8418" s="161" t="s">
        <v>19202</v>
      </c>
      <c r="K8418" t="s">
        <v>19203</v>
      </c>
      <c r="L8418" t="s">
        <v>15421</v>
      </c>
      <c r="M8418" s="161" t="s">
        <v>19202</v>
      </c>
    </row>
    <row r="8419" spans="9:13" x14ac:dyDescent="0.25">
      <c r="I8419" t="s">
        <v>5927</v>
      </c>
      <c r="J8419" s="161" t="s">
        <v>19202</v>
      </c>
      <c r="K8419" t="s">
        <v>19203</v>
      </c>
      <c r="L8419" t="s">
        <v>5926</v>
      </c>
      <c r="M8419" s="161" t="s">
        <v>19202</v>
      </c>
    </row>
    <row r="8420" spans="9:13" x14ac:dyDescent="0.25">
      <c r="I8420" t="s">
        <v>8776</v>
      </c>
      <c r="J8420" s="161" t="s">
        <v>19202</v>
      </c>
      <c r="K8420" t="s">
        <v>19203</v>
      </c>
      <c r="L8420" t="s">
        <v>8775</v>
      </c>
      <c r="M8420" s="161" t="s">
        <v>19202</v>
      </c>
    </row>
    <row r="8421" spans="9:13" x14ac:dyDescent="0.25">
      <c r="I8421" t="s">
        <v>20503</v>
      </c>
      <c r="J8421" s="161" t="s">
        <v>19202</v>
      </c>
      <c r="K8421" t="s">
        <v>19203</v>
      </c>
      <c r="L8421" t="s">
        <v>20504</v>
      </c>
      <c r="M8421" s="161" t="s">
        <v>19202</v>
      </c>
    </row>
    <row r="8422" spans="9:13" x14ac:dyDescent="0.25">
      <c r="I8422" t="s">
        <v>6342</v>
      </c>
      <c r="J8422" s="161" t="s">
        <v>19202</v>
      </c>
      <c r="K8422" t="s">
        <v>19203</v>
      </c>
      <c r="L8422" t="s">
        <v>6341</v>
      </c>
      <c r="M8422" s="161" t="s">
        <v>19202</v>
      </c>
    </row>
    <row r="8423" spans="9:13" x14ac:dyDescent="0.25">
      <c r="I8423" t="s">
        <v>11565</v>
      </c>
      <c r="J8423" s="161" t="s">
        <v>19202</v>
      </c>
      <c r="K8423" t="s">
        <v>19203</v>
      </c>
      <c r="L8423" t="s">
        <v>11564</v>
      </c>
      <c r="M8423" s="161" t="s">
        <v>19202</v>
      </c>
    </row>
    <row r="8424" spans="9:13" x14ac:dyDescent="0.25">
      <c r="I8424" t="s">
        <v>15920</v>
      </c>
      <c r="J8424" s="161" t="s">
        <v>19202</v>
      </c>
      <c r="K8424" t="s">
        <v>19203</v>
      </c>
      <c r="L8424" t="s">
        <v>15919</v>
      </c>
      <c r="M8424" s="161" t="s">
        <v>19202</v>
      </c>
    </row>
    <row r="8425" spans="9:13" x14ac:dyDescent="0.25">
      <c r="I8425" t="s">
        <v>16928</v>
      </c>
      <c r="J8425" s="161" t="s">
        <v>19202</v>
      </c>
      <c r="K8425" t="s">
        <v>19203</v>
      </c>
      <c r="L8425" t="s">
        <v>123</v>
      </c>
      <c r="M8425" s="161" t="s">
        <v>19202</v>
      </c>
    </row>
    <row r="8426" spans="9:13" x14ac:dyDescent="0.25">
      <c r="I8426" t="s">
        <v>3486</v>
      </c>
      <c r="J8426" s="161" t="s">
        <v>19202</v>
      </c>
      <c r="K8426" t="s">
        <v>19203</v>
      </c>
      <c r="L8426" t="s">
        <v>3485</v>
      </c>
      <c r="M8426" s="161" t="s">
        <v>19202</v>
      </c>
    </row>
    <row r="8427" spans="9:13" x14ac:dyDescent="0.25">
      <c r="I8427" t="s">
        <v>3500</v>
      </c>
      <c r="J8427" s="161" t="s">
        <v>19202</v>
      </c>
      <c r="K8427" t="s">
        <v>19203</v>
      </c>
      <c r="L8427" t="s">
        <v>3499</v>
      </c>
      <c r="M8427" s="161" t="s">
        <v>19202</v>
      </c>
    </row>
    <row r="8428" spans="9:13" x14ac:dyDescent="0.25">
      <c r="I8428" t="s">
        <v>17702</v>
      </c>
      <c r="J8428" s="161" t="s">
        <v>19202</v>
      </c>
      <c r="K8428" t="s">
        <v>19203</v>
      </c>
      <c r="L8428" t="s">
        <v>17701</v>
      </c>
      <c r="M8428" s="161" t="s">
        <v>19202</v>
      </c>
    </row>
    <row r="8429" spans="9:13" x14ac:dyDescent="0.25">
      <c r="I8429" t="s">
        <v>20505</v>
      </c>
      <c r="J8429" s="161" t="s">
        <v>19202</v>
      </c>
      <c r="K8429" t="s">
        <v>19203</v>
      </c>
      <c r="L8429" t="s">
        <v>20506</v>
      </c>
      <c r="M8429" s="161" t="s">
        <v>19202</v>
      </c>
    </row>
    <row r="8430" spans="9:13" x14ac:dyDescent="0.25">
      <c r="I8430" t="s">
        <v>20507</v>
      </c>
      <c r="J8430" s="161" t="s">
        <v>19202</v>
      </c>
      <c r="K8430" t="s">
        <v>19203</v>
      </c>
      <c r="L8430" t="s">
        <v>20508</v>
      </c>
      <c r="M8430" s="161" t="s">
        <v>19202</v>
      </c>
    </row>
    <row r="8431" spans="9:13" x14ac:dyDescent="0.25">
      <c r="I8431" t="s">
        <v>9862</v>
      </c>
      <c r="J8431" s="161" t="s">
        <v>19202</v>
      </c>
      <c r="K8431" t="s">
        <v>19203</v>
      </c>
      <c r="L8431" t="s">
        <v>9861</v>
      </c>
      <c r="M8431" s="161" t="s">
        <v>19202</v>
      </c>
    </row>
    <row r="8432" spans="9:13" x14ac:dyDescent="0.25">
      <c r="I8432" t="s">
        <v>14190</v>
      </c>
      <c r="J8432" s="167" t="s">
        <v>19994</v>
      </c>
      <c r="K8432" t="s">
        <v>19203</v>
      </c>
      <c r="L8432" t="s">
        <v>1060</v>
      </c>
      <c r="M8432" s="167" t="s">
        <v>19994</v>
      </c>
    </row>
    <row r="8433" spans="9:13" x14ac:dyDescent="0.25">
      <c r="I8433" t="s">
        <v>10418</v>
      </c>
      <c r="J8433" s="161" t="s">
        <v>19202</v>
      </c>
      <c r="K8433" t="s">
        <v>19203</v>
      </c>
      <c r="L8433" t="s">
        <v>10417</v>
      </c>
      <c r="M8433" s="161" t="s">
        <v>19202</v>
      </c>
    </row>
    <row r="8434" spans="9:13" x14ac:dyDescent="0.25">
      <c r="I8434" t="s">
        <v>20509</v>
      </c>
      <c r="J8434" s="161" t="s">
        <v>19202</v>
      </c>
      <c r="K8434" t="s">
        <v>19203</v>
      </c>
      <c r="L8434" t="s">
        <v>20510</v>
      </c>
      <c r="M8434" s="161" t="s">
        <v>19202</v>
      </c>
    </row>
    <row r="8435" spans="9:13" x14ac:dyDescent="0.25">
      <c r="I8435" t="s">
        <v>13702</v>
      </c>
      <c r="J8435" s="161" t="s">
        <v>19202</v>
      </c>
      <c r="K8435" t="s">
        <v>19203</v>
      </c>
      <c r="L8435" t="s">
        <v>13701</v>
      </c>
      <c r="M8435" s="161" t="s">
        <v>19202</v>
      </c>
    </row>
    <row r="8436" spans="9:13" x14ac:dyDescent="0.25">
      <c r="I8436" t="s">
        <v>15786</v>
      </c>
      <c r="J8436" s="161" t="s">
        <v>19202</v>
      </c>
      <c r="K8436" t="s">
        <v>19203</v>
      </c>
      <c r="L8436" t="s">
        <v>15785</v>
      </c>
      <c r="M8436" s="161" t="s">
        <v>19202</v>
      </c>
    </row>
    <row r="8437" spans="9:13" x14ac:dyDescent="0.25">
      <c r="I8437" t="s">
        <v>242</v>
      </c>
      <c r="J8437" s="161" t="s">
        <v>19202</v>
      </c>
      <c r="K8437" t="s">
        <v>19203</v>
      </c>
      <c r="L8437" t="s">
        <v>241</v>
      </c>
      <c r="M8437" s="161" t="s">
        <v>19202</v>
      </c>
    </row>
    <row r="8438" spans="9:13" x14ac:dyDescent="0.25">
      <c r="I8438" t="s">
        <v>3494</v>
      </c>
      <c r="J8438" s="161" t="s">
        <v>19202</v>
      </c>
      <c r="K8438" t="s">
        <v>19203</v>
      </c>
      <c r="L8438" t="s">
        <v>3493</v>
      </c>
      <c r="M8438" s="161" t="s">
        <v>19202</v>
      </c>
    </row>
    <row r="8439" spans="9:13" x14ac:dyDescent="0.25">
      <c r="I8439" t="s">
        <v>20511</v>
      </c>
      <c r="J8439" s="161" t="s">
        <v>19202</v>
      </c>
      <c r="K8439" t="s">
        <v>19203</v>
      </c>
      <c r="L8439" t="s">
        <v>20512</v>
      </c>
      <c r="M8439" s="161" t="s">
        <v>19202</v>
      </c>
    </row>
    <row r="8440" spans="9:13" x14ac:dyDescent="0.25">
      <c r="I8440" t="s">
        <v>8890</v>
      </c>
      <c r="J8440" s="161" t="s">
        <v>19202</v>
      </c>
      <c r="K8440" t="s">
        <v>19203</v>
      </c>
      <c r="L8440" t="s">
        <v>8889</v>
      </c>
      <c r="M8440" s="161" t="s">
        <v>19202</v>
      </c>
    </row>
    <row r="8441" spans="9:13" x14ac:dyDescent="0.25">
      <c r="I8441" t="s">
        <v>20513</v>
      </c>
      <c r="J8441" s="161" t="s">
        <v>19202</v>
      </c>
      <c r="K8441" t="s">
        <v>19203</v>
      </c>
      <c r="L8441" t="s">
        <v>20514</v>
      </c>
      <c r="M8441" s="161" t="s">
        <v>19202</v>
      </c>
    </row>
    <row r="8442" spans="9:13" x14ac:dyDescent="0.25">
      <c r="I8442" t="s">
        <v>3868</v>
      </c>
      <c r="J8442" s="161" t="s">
        <v>19202</v>
      </c>
      <c r="K8442" t="s">
        <v>19203</v>
      </c>
      <c r="L8442" t="s">
        <v>3867</v>
      </c>
      <c r="M8442" s="161" t="s">
        <v>19202</v>
      </c>
    </row>
    <row r="8443" spans="9:13" x14ac:dyDescent="0.25">
      <c r="I8443" t="s">
        <v>14650</v>
      </c>
      <c r="J8443" s="161" t="s">
        <v>19994</v>
      </c>
      <c r="K8443" t="s">
        <v>19203</v>
      </c>
      <c r="L8443" t="s">
        <v>6247</v>
      </c>
      <c r="M8443" s="161" t="s">
        <v>19994</v>
      </c>
    </row>
    <row r="8444" spans="9:13" x14ac:dyDescent="0.25">
      <c r="I8444" t="s">
        <v>12931</v>
      </c>
      <c r="J8444" s="161" t="s">
        <v>19202</v>
      </c>
      <c r="K8444" t="s">
        <v>19203</v>
      </c>
      <c r="L8444" t="s">
        <v>12930</v>
      </c>
      <c r="M8444" s="161" t="s">
        <v>19202</v>
      </c>
    </row>
    <row r="8445" spans="9:13" x14ac:dyDescent="0.25">
      <c r="I8445" t="s">
        <v>15035</v>
      </c>
      <c r="J8445" s="161" t="s">
        <v>19202</v>
      </c>
      <c r="K8445" t="s">
        <v>19203</v>
      </c>
      <c r="L8445" t="s">
        <v>15034</v>
      </c>
      <c r="M8445" s="161" t="s">
        <v>19202</v>
      </c>
    </row>
    <row r="8446" spans="9:13" x14ac:dyDescent="0.25">
      <c r="I8446" t="s">
        <v>9835</v>
      </c>
      <c r="J8446" s="161" t="s">
        <v>19202</v>
      </c>
      <c r="K8446" t="s">
        <v>19203</v>
      </c>
      <c r="L8446" t="s">
        <v>9834</v>
      </c>
      <c r="M8446" s="161" t="s">
        <v>19202</v>
      </c>
    </row>
    <row r="8447" spans="9:13" x14ac:dyDescent="0.25">
      <c r="I8447" t="s">
        <v>11734</v>
      </c>
      <c r="J8447" s="167" t="s">
        <v>19994</v>
      </c>
      <c r="K8447" t="s">
        <v>19203</v>
      </c>
      <c r="L8447" t="s">
        <v>11733</v>
      </c>
      <c r="M8447" s="167" t="s">
        <v>19994</v>
      </c>
    </row>
    <row r="8448" spans="9:13" x14ac:dyDescent="0.25">
      <c r="I8448" t="s">
        <v>4425</v>
      </c>
      <c r="J8448" s="161" t="s">
        <v>19202</v>
      </c>
      <c r="K8448" t="s">
        <v>19203</v>
      </c>
      <c r="L8448" t="s">
        <v>4424</v>
      </c>
      <c r="M8448" s="161" t="s">
        <v>19202</v>
      </c>
    </row>
    <row r="8449" spans="9:13" x14ac:dyDescent="0.25">
      <c r="I8449" t="s">
        <v>13188</v>
      </c>
      <c r="J8449" s="161" t="s">
        <v>19202</v>
      </c>
      <c r="K8449" t="s">
        <v>19203</v>
      </c>
      <c r="L8449" t="s">
        <v>758</v>
      </c>
      <c r="M8449" s="161" t="s">
        <v>19202</v>
      </c>
    </row>
    <row r="8450" spans="9:13" x14ac:dyDescent="0.25">
      <c r="I8450" t="s">
        <v>16993</v>
      </c>
      <c r="J8450" s="161" t="s">
        <v>19202</v>
      </c>
      <c r="K8450" t="s">
        <v>19203</v>
      </c>
      <c r="L8450" t="s">
        <v>16992</v>
      </c>
      <c r="M8450" s="161" t="s">
        <v>19202</v>
      </c>
    </row>
    <row r="8451" spans="9:13" x14ac:dyDescent="0.25">
      <c r="I8451" t="s">
        <v>4112</v>
      </c>
      <c r="J8451" s="167" t="s">
        <v>19994</v>
      </c>
      <c r="K8451" t="s">
        <v>19203</v>
      </c>
      <c r="L8451" t="s">
        <v>4111</v>
      </c>
      <c r="M8451" s="167" t="s">
        <v>19994</v>
      </c>
    </row>
    <row r="8452" spans="9:13" x14ac:dyDescent="0.25">
      <c r="I8452" t="s">
        <v>20515</v>
      </c>
      <c r="J8452" s="161" t="s">
        <v>19202</v>
      </c>
      <c r="K8452" t="s">
        <v>19203</v>
      </c>
      <c r="L8452" t="s">
        <v>4597</v>
      </c>
      <c r="M8452" s="161" t="s">
        <v>19202</v>
      </c>
    </row>
    <row r="8453" spans="9:13" x14ac:dyDescent="0.25">
      <c r="I8453" t="s">
        <v>20516</v>
      </c>
      <c r="J8453" s="161" t="s">
        <v>19202</v>
      </c>
      <c r="K8453" t="s">
        <v>19203</v>
      </c>
      <c r="L8453" t="s">
        <v>20517</v>
      </c>
      <c r="M8453" s="161" t="s">
        <v>19202</v>
      </c>
    </row>
    <row r="8454" spans="9:13" x14ac:dyDescent="0.25">
      <c r="I8454" t="s">
        <v>5394</v>
      </c>
      <c r="J8454" s="161" t="s">
        <v>19202</v>
      </c>
      <c r="K8454" t="s">
        <v>19203</v>
      </c>
      <c r="L8454" t="s">
        <v>5393</v>
      </c>
      <c r="M8454" s="161" t="s">
        <v>19202</v>
      </c>
    </row>
    <row r="8455" spans="9:13" x14ac:dyDescent="0.25">
      <c r="I8455" t="s">
        <v>6579</v>
      </c>
      <c r="J8455" s="161" t="s">
        <v>19202</v>
      </c>
      <c r="K8455" t="s">
        <v>19203</v>
      </c>
      <c r="L8455" t="s">
        <v>6024</v>
      </c>
      <c r="M8455" s="161" t="s">
        <v>19202</v>
      </c>
    </row>
    <row r="8456" spans="9:13" x14ac:dyDescent="0.25">
      <c r="I8456" t="s">
        <v>6701</v>
      </c>
      <c r="J8456" s="161" t="s">
        <v>19202</v>
      </c>
      <c r="K8456" t="s">
        <v>19203</v>
      </c>
      <c r="L8456" t="s">
        <v>6700</v>
      </c>
      <c r="M8456" s="161" t="s">
        <v>19202</v>
      </c>
    </row>
    <row r="8457" spans="9:13" x14ac:dyDescent="0.25">
      <c r="I8457" t="s">
        <v>4213</v>
      </c>
      <c r="J8457" s="161" t="s">
        <v>19202</v>
      </c>
      <c r="K8457" t="s">
        <v>19203</v>
      </c>
      <c r="L8457" t="s">
        <v>4212</v>
      </c>
      <c r="M8457" s="161" t="s">
        <v>19202</v>
      </c>
    </row>
    <row r="8458" spans="9:13" x14ac:dyDescent="0.25">
      <c r="I8458" t="s">
        <v>2628</v>
      </c>
      <c r="J8458" s="161" t="s">
        <v>19202</v>
      </c>
      <c r="K8458" t="s">
        <v>19203</v>
      </c>
      <c r="L8458" t="s">
        <v>2627</v>
      </c>
      <c r="M8458" s="161" t="s">
        <v>19202</v>
      </c>
    </row>
    <row r="8459" spans="9:13" x14ac:dyDescent="0.25">
      <c r="I8459" t="s">
        <v>17634</v>
      </c>
      <c r="J8459" s="161" t="s">
        <v>19994</v>
      </c>
      <c r="K8459" t="s">
        <v>19203</v>
      </c>
      <c r="L8459" t="s">
        <v>17633</v>
      </c>
      <c r="M8459" s="161" t="s">
        <v>19994</v>
      </c>
    </row>
    <row r="8460" spans="9:13" x14ac:dyDescent="0.25">
      <c r="I8460" t="s">
        <v>4602</v>
      </c>
      <c r="J8460" s="161" t="s">
        <v>19202</v>
      </c>
      <c r="K8460" t="s">
        <v>19203</v>
      </c>
      <c r="L8460" t="s">
        <v>4601</v>
      </c>
      <c r="M8460" s="161" t="s">
        <v>19202</v>
      </c>
    </row>
    <row r="8461" spans="9:13" x14ac:dyDescent="0.25">
      <c r="I8461" t="s">
        <v>20518</v>
      </c>
      <c r="J8461" s="167" t="s">
        <v>19994</v>
      </c>
      <c r="K8461" t="s">
        <v>19203</v>
      </c>
      <c r="L8461" t="s">
        <v>20519</v>
      </c>
      <c r="M8461" s="167" t="s">
        <v>19994</v>
      </c>
    </row>
    <row r="8462" spans="9:13" x14ac:dyDescent="0.25">
      <c r="I8462" t="s">
        <v>9182</v>
      </c>
      <c r="J8462" s="161" t="s">
        <v>19202</v>
      </c>
      <c r="K8462" t="s">
        <v>19203</v>
      </c>
      <c r="L8462" t="s">
        <v>9181</v>
      </c>
      <c r="M8462" s="161" t="s">
        <v>19202</v>
      </c>
    </row>
    <row r="8463" spans="9:13" x14ac:dyDescent="0.25">
      <c r="I8463" t="s">
        <v>11605</v>
      </c>
      <c r="J8463" s="161" t="s">
        <v>19202</v>
      </c>
      <c r="K8463" t="s">
        <v>19203</v>
      </c>
      <c r="L8463" t="s">
        <v>11604</v>
      </c>
      <c r="M8463" s="161" t="s">
        <v>19202</v>
      </c>
    </row>
    <row r="8464" spans="9:13" x14ac:dyDescent="0.25">
      <c r="I8464" t="s">
        <v>2885</v>
      </c>
      <c r="J8464" s="161" t="s">
        <v>19202</v>
      </c>
      <c r="K8464" t="s">
        <v>19203</v>
      </c>
      <c r="L8464" t="s">
        <v>2884</v>
      </c>
      <c r="M8464" s="161" t="s">
        <v>19202</v>
      </c>
    </row>
    <row r="8465" spans="9:13" x14ac:dyDescent="0.25">
      <c r="I8465" t="s">
        <v>343</v>
      </c>
      <c r="J8465" s="167" t="s">
        <v>19994</v>
      </c>
      <c r="K8465" t="s">
        <v>19203</v>
      </c>
      <c r="L8465" t="s">
        <v>126</v>
      </c>
      <c r="M8465" s="167" t="s">
        <v>19994</v>
      </c>
    </row>
    <row r="8466" spans="9:13" x14ac:dyDescent="0.25">
      <c r="I8466" t="s">
        <v>11593</v>
      </c>
      <c r="J8466" s="161" t="s">
        <v>19202</v>
      </c>
      <c r="K8466" t="s">
        <v>19203</v>
      </c>
      <c r="L8466" t="s">
        <v>11592</v>
      </c>
      <c r="M8466" s="161" t="s">
        <v>19202</v>
      </c>
    </row>
    <row r="8467" spans="9:13" x14ac:dyDescent="0.25">
      <c r="I8467" t="s">
        <v>238</v>
      </c>
      <c r="J8467" s="161" t="s">
        <v>19202</v>
      </c>
      <c r="K8467" t="s">
        <v>19203</v>
      </c>
      <c r="L8467" t="s">
        <v>237</v>
      </c>
      <c r="M8467" s="161" t="s">
        <v>19202</v>
      </c>
    </row>
    <row r="8468" spans="9:13" x14ac:dyDescent="0.25">
      <c r="I8468" t="s">
        <v>15033</v>
      </c>
      <c r="J8468" s="161" t="s">
        <v>19202</v>
      </c>
      <c r="K8468" t="s">
        <v>19203</v>
      </c>
      <c r="L8468" t="s">
        <v>824</v>
      </c>
      <c r="M8468" s="161" t="s">
        <v>19202</v>
      </c>
    </row>
    <row r="8469" spans="9:13" x14ac:dyDescent="0.25">
      <c r="I8469" t="s">
        <v>10168</v>
      </c>
      <c r="J8469" s="161" t="s">
        <v>19202</v>
      </c>
      <c r="K8469" t="s">
        <v>19203</v>
      </c>
      <c r="L8469" t="s">
        <v>10167</v>
      </c>
      <c r="M8469" s="161" t="s">
        <v>19202</v>
      </c>
    </row>
    <row r="8470" spans="9:13" x14ac:dyDescent="0.25">
      <c r="I8470" t="s">
        <v>16863</v>
      </c>
      <c r="J8470" s="161" t="s">
        <v>19202</v>
      </c>
      <c r="K8470" t="s">
        <v>19203</v>
      </c>
      <c r="L8470" t="s">
        <v>16862</v>
      </c>
      <c r="M8470" s="161" t="s">
        <v>19202</v>
      </c>
    </row>
    <row r="8471" spans="9:13" x14ac:dyDescent="0.25">
      <c r="I8471" t="s">
        <v>16861</v>
      </c>
      <c r="J8471" s="161" t="s">
        <v>19202</v>
      </c>
      <c r="K8471" t="s">
        <v>19203</v>
      </c>
      <c r="L8471" t="s">
        <v>15427</v>
      </c>
      <c r="M8471" s="161" t="s">
        <v>19202</v>
      </c>
    </row>
    <row r="8472" spans="9:13" x14ac:dyDescent="0.25">
      <c r="I8472" t="s">
        <v>20520</v>
      </c>
      <c r="J8472" s="161" t="s">
        <v>19202</v>
      </c>
      <c r="K8472" t="s">
        <v>19203</v>
      </c>
      <c r="L8472" t="s">
        <v>20521</v>
      </c>
      <c r="M8472" s="161" t="s">
        <v>19202</v>
      </c>
    </row>
    <row r="8473" spans="9:13" x14ac:dyDescent="0.25">
      <c r="I8473" t="s">
        <v>8330</v>
      </c>
      <c r="J8473" s="161" t="s">
        <v>19202</v>
      </c>
      <c r="K8473" t="s">
        <v>19203</v>
      </c>
      <c r="L8473" t="s">
        <v>8329</v>
      </c>
      <c r="M8473" s="161" t="s">
        <v>19202</v>
      </c>
    </row>
    <row r="8474" spans="9:13" x14ac:dyDescent="0.25">
      <c r="I8474" t="s">
        <v>11625</v>
      </c>
      <c r="J8474" s="161" t="s">
        <v>19202</v>
      </c>
      <c r="K8474" t="s">
        <v>19203</v>
      </c>
      <c r="L8474" t="s">
        <v>11624</v>
      </c>
      <c r="M8474" s="161" t="s">
        <v>19202</v>
      </c>
    </row>
    <row r="8475" spans="9:13" x14ac:dyDescent="0.25">
      <c r="I8475" t="s">
        <v>11623</v>
      </c>
      <c r="J8475" s="161" t="s">
        <v>19202</v>
      </c>
      <c r="K8475" t="s">
        <v>19203</v>
      </c>
      <c r="L8475" t="s">
        <v>11622</v>
      </c>
      <c r="M8475" s="161" t="s">
        <v>19202</v>
      </c>
    </row>
    <row r="8476" spans="9:13" x14ac:dyDescent="0.25">
      <c r="I8476" t="s">
        <v>11553</v>
      </c>
      <c r="J8476" s="161" t="s">
        <v>19202</v>
      </c>
      <c r="K8476" t="s">
        <v>19203</v>
      </c>
      <c r="L8476" t="s">
        <v>11552</v>
      </c>
      <c r="M8476" s="161" t="s">
        <v>19202</v>
      </c>
    </row>
    <row r="8477" spans="9:13" x14ac:dyDescent="0.25">
      <c r="I8477" t="s">
        <v>3018</v>
      </c>
      <c r="J8477" s="161" t="s">
        <v>19202</v>
      </c>
      <c r="K8477" t="s">
        <v>19203</v>
      </c>
      <c r="L8477" t="s">
        <v>3017</v>
      </c>
      <c r="M8477" s="161" t="s">
        <v>19202</v>
      </c>
    </row>
    <row r="8478" spans="9:13" x14ac:dyDescent="0.25">
      <c r="I8478" t="s">
        <v>20522</v>
      </c>
      <c r="J8478" s="161" t="s">
        <v>19202</v>
      </c>
      <c r="K8478" t="s">
        <v>19203</v>
      </c>
      <c r="L8478" t="s">
        <v>20523</v>
      </c>
      <c r="M8478" s="161" t="s">
        <v>19202</v>
      </c>
    </row>
    <row r="8479" spans="9:13" x14ac:dyDescent="0.25">
      <c r="I8479" t="s">
        <v>5592</v>
      </c>
      <c r="J8479" s="167" t="s">
        <v>19994</v>
      </c>
      <c r="K8479" t="s">
        <v>19203</v>
      </c>
      <c r="L8479" t="s">
        <v>5591</v>
      </c>
      <c r="M8479" s="167" t="s">
        <v>19994</v>
      </c>
    </row>
    <row r="8480" spans="9:13" x14ac:dyDescent="0.25">
      <c r="I8480" t="s">
        <v>858</v>
      </c>
      <c r="J8480" s="161" t="s">
        <v>19202</v>
      </c>
      <c r="K8480" t="s">
        <v>19203</v>
      </c>
      <c r="L8480" t="s">
        <v>857</v>
      </c>
      <c r="M8480" s="161" t="s">
        <v>19202</v>
      </c>
    </row>
    <row r="8481" spans="9:13" x14ac:dyDescent="0.25">
      <c r="I8481" t="s">
        <v>14889</v>
      </c>
      <c r="J8481" s="161" t="s">
        <v>19202</v>
      </c>
      <c r="K8481" t="s">
        <v>19203</v>
      </c>
      <c r="L8481" t="s">
        <v>14888</v>
      </c>
      <c r="M8481" s="161" t="s">
        <v>19202</v>
      </c>
    </row>
    <row r="8482" spans="9:13" x14ac:dyDescent="0.25">
      <c r="I8482" t="s">
        <v>3504</v>
      </c>
      <c r="J8482" s="161" t="s">
        <v>19202</v>
      </c>
      <c r="K8482" t="s">
        <v>19203</v>
      </c>
      <c r="L8482" t="s">
        <v>3503</v>
      </c>
      <c r="M8482" s="161" t="s">
        <v>19202</v>
      </c>
    </row>
    <row r="8483" spans="9:13" x14ac:dyDescent="0.25">
      <c r="I8483" t="s">
        <v>10846</v>
      </c>
      <c r="J8483" s="161" t="s">
        <v>19202</v>
      </c>
      <c r="K8483" t="s">
        <v>19203</v>
      </c>
      <c r="L8483" t="s">
        <v>10845</v>
      </c>
      <c r="M8483" s="161" t="s">
        <v>19202</v>
      </c>
    </row>
    <row r="8484" spans="9:13" x14ac:dyDescent="0.25">
      <c r="I8484" t="s">
        <v>11549</v>
      </c>
      <c r="J8484" s="161" t="s">
        <v>19202</v>
      </c>
      <c r="K8484" t="s">
        <v>19203</v>
      </c>
      <c r="L8484" t="s">
        <v>11548</v>
      </c>
      <c r="M8484" s="161" t="s">
        <v>19202</v>
      </c>
    </row>
    <row r="8485" spans="9:13" x14ac:dyDescent="0.25">
      <c r="I8485" t="s">
        <v>20524</v>
      </c>
      <c r="J8485" s="161" t="s">
        <v>19202</v>
      </c>
      <c r="K8485" t="s">
        <v>19203</v>
      </c>
      <c r="L8485" t="s">
        <v>20525</v>
      </c>
      <c r="M8485" s="161" t="s">
        <v>19202</v>
      </c>
    </row>
    <row r="8486" spans="9:13" x14ac:dyDescent="0.25">
      <c r="I8486" t="s">
        <v>20526</v>
      </c>
      <c r="J8486" s="167" t="s">
        <v>19994</v>
      </c>
      <c r="K8486" t="s">
        <v>19203</v>
      </c>
      <c r="L8486" t="s">
        <v>20527</v>
      </c>
      <c r="M8486" s="167" t="s">
        <v>19994</v>
      </c>
    </row>
    <row r="8487" spans="9:13" x14ac:dyDescent="0.25">
      <c r="I8487" t="s">
        <v>11738</v>
      </c>
      <c r="J8487" s="167" t="s">
        <v>19994</v>
      </c>
      <c r="K8487" t="s">
        <v>19203</v>
      </c>
      <c r="L8487" t="s">
        <v>11737</v>
      </c>
      <c r="M8487" s="167" t="s">
        <v>19994</v>
      </c>
    </row>
    <row r="8488" spans="9:13" x14ac:dyDescent="0.25">
      <c r="I8488" t="s">
        <v>11736</v>
      </c>
      <c r="J8488" s="167" t="s">
        <v>19994</v>
      </c>
      <c r="K8488" t="s">
        <v>19203</v>
      </c>
      <c r="L8488" t="s">
        <v>11735</v>
      </c>
      <c r="M8488" s="167" t="s">
        <v>19994</v>
      </c>
    </row>
    <row r="8489" spans="9:13" x14ac:dyDescent="0.25">
      <c r="I8489" t="s">
        <v>15699</v>
      </c>
      <c r="J8489" s="161" t="s">
        <v>19202</v>
      </c>
      <c r="K8489" t="s">
        <v>19203</v>
      </c>
      <c r="L8489" t="s">
        <v>14829</v>
      </c>
      <c r="M8489" s="161" t="s">
        <v>19202</v>
      </c>
    </row>
    <row r="8490" spans="9:13" x14ac:dyDescent="0.25">
      <c r="I8490" t="s">
        <v>9829</v>
      </c>
      <c r="J8490" s="161" t="s">
        <v>19202</v>
      </c>
      <c r="K8490" t="s">
        <v>19203</v>
      </c>
      <c r="L8490" t="s">
        <v>9828</v>
      </c>
      <c r="M8490" s="161" t="s">
        <v>19202</v>
      </c>
    </row>
    <row r="8491" spans="9:13" x14ac:dyDescent="0.25">
      <c r="I8491" t="s">
        <v>13801</v>
      </c>
      <c r="J8491" s="161" t="s">
        <v>19202</v>
      </c>
      <c r="K8491" t="s">
        <v>19203</v>
      </c>
      <c r="L8491" t="s">
        <v>13800</v>
      </c>
      <c r="M8491" s="161" t="s">
        <v>19202</v>
      </c>
    </row>
    <row r="8492" spans="9:13" x14ac:dyDescent="0.25">
      <c r="I8492" t="s">
        <v>15469</v>
      </c>
      <c r="J8492" s="161" t="s">
        <v>19202</v>
      </c>
      <c r="K8492" t="s">
        <v>19203</v>
      </c>
      <c r="L8492" t="s">
        <v>15468</v>
      </c>
      <c r="M8492" s="161" t="s">
        <v>19202</v>
      </c>
    </row>
    <row r="8493" spans="9:13" x14ac:dyDescent="0.25">
      <c r="I8493" t="s">
        <v>15583</v>
      </c>
      <c r="J8493" s="161" t="s">
        <v>19202</v>
      </c>
      <c r="K8493" t="s">
        <v>19203</v>
      </c>
      <c r="L8493" t="s">
        <v>14152</v>
      </c>
      <c r="M8493" s="161" t="s">
        <v>19202</v>
      </c>
    </row>
    <row r="8494" spans="9:13" x14ac:dyDescent="0.25">
      <c r="I8494" t="s">
        <v>20528</v>
      </c>
      <c r="J8494" s="161" t="s">
        <v>19202</v>
      </c>
      <c r="K8494" t="s">
        <v>19203</v>
      </c>
      <c r="L8494" t="s">
        <v>20529</v>
      </c>
      <c r="M8494" s="161" t="s">
        <v>19202</v>
      </c>
    </row>
    <row r="8495" spans="9:13" x14ac:dyDescent="0.25">
      <c r="I8495" t="s">
        <v>4271</v>
      </c>
      <c r="J8495" s="161" t="s">
        <v>19202</v>
      </c>
      <c r="K8495" t="s">
        <v>19203</v>
      </c>
      <c r="L8495" t="s">
        <v>4270</v>
      </c>
      <c r="M8495" s="161" t="s">
        <v>19202</v>
      </c>
    </row>
    <row r="8496" spans="9:13" x14ac:dyDescent="0.25">
      <c r="I8496" t="s">
        <v>3829</v>
      </c>
      <c r="J8496" s="161" t="s">
        <v>19202</v>
      </c>
      <c r="K8496" t="s">
        <v>19203</v>
      </c>
      <c r="L8496" t="s">
        <v>3828</v>
      </c>
      <c r="M8496" s="161" t="s">
        <v>19202</v>
      </c>
    </row>
    <row r="8497" spans="9:13" x14ac:dyDescent="0.25">
      <c r="I8497" t="s">
        <v>11603</v>
      </c>
      <c r="J8497" s="161" t="s">
        <v>19202</v>
      </c>
      <c r="K8497" t="s">
        <v>19203</v>
      </c>
      <c r="L8497" t="s">
        <v>11602</v>
      </c>
      <c r="M8497" s="161" t="s">
        <v>19202</v>
      </c>
    </row>
    <row r="8498" spans="9:13" x14ac:dyDescent="0.25">
      <c r="I8498" t="s">
        <v>13991</v>
      </c>
      <c r="J8498" s="161" t="s">
        <v>19202</v>
      </c>
      <c r="K8498" t="s">
        <v>19203</v>
      </c>
      <c r="L8498" t="s">
        <v>13990</v>
      </c>
      <c r="M8498" s="161" t="s">
        <v>19202</v>
      </c>
    </row>
    <row r="8499" spans="9:13" x14ac:dyDescent="0.25">
      <c r="I8499" t="s">
        <v>16991</v>
      </c>
      <c r="J8499" s="161" t="s">
        <v>19202</v>
      </c>
      <c r="K8499" t="s">
        <v>19203</v>
      </c>
      <c r="L8499" t="s">
        <v>440</v>
      </c>
      <c r="M8499" s="161" t="s">
        <v>19202</v>
      </c>
    </row>
    <row r="8500" spans="9:13" x14ac:dyDescent="0.25">
      <c r="I8500" t="s">
        <v>20530</v>
      </c>
      <c r="J8500" s="161" t="s">
        <v>19202</v>
      </c>
      <c r="K8500" t="s">
        <v>19203</v>
      </c>
      <c r="L8500" t="s">
        <v>20531</v>
      </c>
      <c r="M8500" s="161" t="s">
        <v>19202</v>
      </c>
    </row>
    <row r="8501" spans="9:13" x14ac:dyDescent="0.25">
      <c r="I8501" t="s">
        <v>10166</v>
      </c>
      <c r="J8501" s="167" t="s">
        <v>19994</v>
      </c>
      <c r="K8501" t="s">
        <v>19203</v>
      </c>
      <c r="L8501" t="s">
        <v>10165</v>
      </c>
      <c r="M8501" s="167" t="s">
        <v>19994</v>
      </c>
    </row>
    <row r="8502" spans="9:13" x14ac:dyDescent="0.25">
      <c r="I8502" t="s">
        <v>15123</v>
      </c>
      <c r="J8502" s="161" t="s">
        <v>19202</v>
      </c>
      <c r="K8502" t="s">
        <v>19203</v>
      </c>
      <c r="L8502" t="s">
        <v>15122</v>
      </c>
      <c r="M8502" s="161" t="s">
        <v>19202</v>
      </c>
    </row>
    <row r="8503" spans="9:13" x14ac:dyDescent="0.25">
      <c r="I8503" t="s">
        <v>11726</v>
      </c>
      <c r="J8503" s="161" t="s">
        <v>19202</v>
      </c>
      <c r="K8503" t="s">
        <v>19203</v>
      </c>
      <c r="L8503" t="s">
        <v>11725</v>
      </c>
      <c r="M8503" s="161" t="s">
        <v>19202</v>
      </c>
    </row>
    <row r="8504" spans="9:13" x14ac:dyDescent="0.25">
      <c r="I8504" t="s">
        <v>20532</v>
      </c>
      <c r="J8504" s="161" t="s">
        <v>19202</v>
      </c>
      <c r="K8504" t="s">
        <v>19203</v>
      </c>
      <c r="L8504" t="s">
        <v>20533</v>
      </c>
      <c r="M8504" s="161" t="s">
        <v>19202</v>
      </c>
    </row>
    <row r="8505" spans="9:13" x14ac:dyDescent="0.25">
      <c r="I8505" t="s">
        <v>5604</v>
      </c>
      <c r="J8505" s="167" t="s">
        <v>19994</v>
      </c>
      <c r="K8505" t="s">
        <v>19203</v>
      </c>
      <c r="L8505" t="s">
        <v>5603</v>
      </c>
      <c r="M8505" s="167" t="s">
        <v>19994</v>
      </c>
    </row>
    <row r="8506" spans="9:13" x14ac:dyDescent="0.25">
      <c r="I8506" t="s">
        <v>15701</v>
      </c>
      <c r="J8506" s="161" t="s">
        <v>19202</v>
      </c>
      <c r="K8506" t="s">
        <v>19203</v>
      </c>
      <c r="L8506" t="s">
        <v>15700</v>
      </c>
      <c r="M8506" s="161" t="s">
        <v>19202</v>
      </c>
    </row>
    <row r="8507" spans="9:13" x14ac:dyDescent="0.25">
      <c r="I8507" t="s">
        <v>2186</v>
      </c>
      <c r="J8507" s="161" t="s">
        <v>19202</v>
      </c>
      <c r="K8507" t="s">
        <v>19203</v>
      </c>
      <c r="L8507" t="s">
        <v>2185</v>
      </c>
      <c r="M8507" s="161" t="s">
        <v>19202</v>
      </c>
    </row>
    <row r="8508" spans="9:13" x14ac:dyDescent="0.25">
      <c r="I8508" t="s">
        <v>5978</v>
      </c>
      <c r="J8508" s="161" t="s">
        <v>19202</v>
      </c>
      <c r="K8508" t="s">
        <v>19203</v>
      </c>
      <c r="L8508" t="s">
        <v>5977</v>
      </c>
      <c r="M8508" s="161" t="s">
        <v>19202</v>
      </c>
    </row>
    <row r="8509" spans="9:13" x14ac:dyDescent="0.25">
      <c r="I8509" t="s">
        <v>13802</v>
      </c>
      <c r="J8509" s="161" t="s">
        <v>19202</v>
      </c>
      <c r="K8509" t="s">
        <v>19203</v>
      </c>
      <c r="L8509" t="s">
        <v>1694</v>
      </c>
      <c r="M8509" s="161" t="s">
        <v>19202</v>
      </c>
    </row>
    <row r="8510" spans="9:13" x14ac:dyDescent="0.25">
      <c r="I8510" t="s">
        <v>9691</v>
      </c>
      <c r="J8510" s="161" t="s">
        <v>19202</v>
      </c>
      <c r="K8510" t="s">
        <v>19203</v>
      </c>
      <c r="L8510" t="s">
        <v>9690</v>
      </c>
      <c r="M8510" s="161" t="s">
        <v>19202</v>
      </c>
    </row>
    <row r="8511" spans="9:13" x14ac:dyDescent="0.25">
      <c r="I8511" t="s">
        <v>2190</v>
      </c>
      <c r="J8511" s="167" t="s">
        <v>19994</v>
      </c>
      <c r="K8511" t="s">
        <v>19203</v>
      </c>
      <c r="L8511" t="s">
        <v>2189</v>
      </c>
      <c r="M8511" s="167" t="s">
        <v>19994</v>
      </c>
    </row>
    <row r="8512" spans="9:13" x14ac:dyDescent="0.25">
      <c r="I8512" t="s">
        <v>232</v>
      </c>
      <c r="J8512" s="161" t="s">
        <v>19202</v>
      </c>
      <c r="K8512" t="s">
        <v>19203</v>
      </c>
      <c r="L8512" t="s">
        <v>231</v>
      </c>
      <c r="M8512" s="161" t="s">
        <v>19202</v>
      </c>
    </row>
    <row r="8513" spans="9:13" x14ac:dyDescent="0.25">
      <c r="I8513" t="s">
        <v>10156</v>
      </c>
      <c r="J8513" s="161" t="s">
        <v>19202</v>
      </c>
      <c r="K8513" t="s">
        <v>19203</v>
      </c>
      <c r="L8513" t="s">
        <v>10155</v>
      </c>
      <c r="M8513" s="161" t="s">
        <v>19202</v>
      </c>
    </row>
    <row r="8514" spans="9:13" x14ac:dyDescent="0.25">
      <c r="I8514" t="s">
        <v>20534</v>
      </c>
      <c r="J8514" s="161" t="s">
        <v>19202</v>
      </c>
      <c r="K8514" t="s">
        <v>19203</v>
      </c>
      <c r="L8514" t="s">
        <v>20535</v>
      </c>
      <c r="M8514" s="161" t="s">
        <v>19202</v>
      </c>
    </row>
    <row r="8515" spans="9:13" x14ac:dyDescent="0.25">
      <c r="I8515" t="s">
        <v>20536</v>
      </c>
      <c r="J8515" s="161" t="s">
        <v>19202</v>
      </c>
      <c r="K8515" t="s">
        <v>19203</v>
      </c>
      <c r="L8515" t="s">
        <v>3512</v>
      </c>
      <c r="M8515" s="161" t="s">
        <v>19202</v>
      </c>
    </row>
    <row r="8516" spans="9:13" x14ac:dyDescent="0.25">
      <c r="I8516" t="s">
        <v>12160</v>
      </c>
      <c r="J8516" s="161" t="s">
        <v>19202</v>
      </c>
      <c r="K8516" t="s">
        <v>19203</v>
      </c>
      <c r="L8516" t="s">
        <v>12159</v>
      </c>
      <c r="M8516" s="161" t="s">
        <v>19202</v>
      </c>
    </row>
    <row r="8517" spans="9:13" x14ac:dyDescent="0.25">
      <c r="I8517" t="s">
        <v>15844</v>
      </c>
      <c r="J8517" s="161" t="s">
        <v>19202</v>
      </c>
      <c r="K8517" t="s">
        <v>19203</v>
      </c>
      <c r="L8517" t="s">
        <v>15843</v>
      </c>
      <c r="M8517" s="161" t="s">
        <v>19202</v>
      </c>
    </row>
    <row r="8518" spans="9:13" x14ac:dyDescent="0.25">
      <c r="I8518" t="s">
        <v>14027</v>
      </c>
      <c r="J8518" s="161" t="s">
        <v>19202</v>
      </c>
      <c r="K8518" t="s">
        <v>19203</v>
      </c>
      <c r="L8518" t="s">
        <v>14026</v>
      </c>
      <c r="M8518" s="161" t="s">
        <v>19202</v>
      </c>
    </row>
    <row r="8519" spans="9:13" x14ac:dyDescent="0.25">
      <c r="I8519" t="s">
        <v>10127</v>
      </c>
      <c r="J8519" s="161" t="s">
        <v>19994</v>
      </c>
      <c r="K8519" t="s">
        <v>19203</v>
      </c>
      <c r="L8519" t="s">
        <v>10126</v>
      </c>
      <c r="M8519" s="161" t="s">
        <v>19994</v>
      </c>
    </row>
    <row r="8520" spans="9:13" x14ac:dyDescent="0.25">
      <c r="I8520" t="s">
        <v>20537</v>
      </c>
      <c r="J8520" s="161" t="s">
        <v>19202</v>
      </c>
      <c r="K8520" t="s">
        <v>19203</v>
      </c>
      <c r="L8520" t="s">
        <v>20538</v>
      </c>
      <c r="M8520" s="161" t="s">
        <v>19202</v>
      </c>
    </row>
    <row r="8521" spans="9:13" x14ac:dyDescent="0.25">
      <c r="I8521" t="s">
        <v>16438</v>
      </c>
      <c r="J8521" s="161" t="s">
        <v>19202</v>
      </c>
      <c r="K8521" t="s">
        <v>19203</v>
      </c>
      <c r="L8521" t="s">
        <v>16437</v>
      </c>
      <c r="M8521" s="161" t="s">
        <v>19202</v>
      </c>
    </row>
    <row r="8522" spans="9:13" x14ac:dyDescent="0.25">
      <c r="I8522" t="s">
        <v>11609</v>
      </c>
      <c r="J8522" s="161" t="s">
        <v>19202</v>
      </c>
      <c r="K8522" t="s">
        <v>19203</v>
      </c>
      <c r="L8522" t="s">
        <v>11608</v>
      </c>
      <c r="M8522" s="161" t="s">
        <v>19202</v>
      </c>
    </row>
    <row r="8523" spans="9:13" x14ac:dyDescent="0.25">
      <c r="I8523" t="s">
        <v>11599</v>
      </c>
      <c r="J8523" s="161" t="s">
        <v>19202</v>
      </c>
      <c r="K8523" t="s">
        <v>19203</v>
      </c>
      <c r="L8523" t="s">
        <v>11598</v>
      </c>
      <c r="M8523" s="161" t="s">
        <v>19202</v>
      </c>
    </row>
    <row r="8524" spans="9:13" x14ac:dyDescent="0.25">
      <c r="I8524" t="s">
        <v>11587</v>
      </c>
      <c r="J8524" s="167" t="s">
        <v>19994</v>
      </c>
      <c r="K8524" t="s">
        <v>19203</v>
      </c>
      <c r="L8524" t="s">
        <v>11586</v>
      </c>
      <c r="M8524" s="167" t="s">
        <v>19994</v>
      </c>
    </row>
    <row r="8525" spans="9:13" x14ac:dyDescent="0.25">
      <c r="I8525" t="s">
        <v>20539</v>
      </c>
      <c r="J8525" s="161" t="s">
        <v>19202</v>
      </c>
      <c r="K8525" t="s">
        <v>19203</v>
      </c>
      <c r="L8525" t="s">
        <v>20540</v>
      </c>
      <c r="M8525" s="161" t="s">
        <v>19202</v>
      </c>
    </row>
    <row r="8526" spans="9:13" x14ac:dyDescent="0.25">
      <c r="I8526" t="s">
        <v>11597</v>
      </c>
      <c r="J8526" s="161" t="s">
        <v>19202</v>
      </c>
      <c r="K8526" t="s">
        <v>19203</v>
      </c>
      <c r="L8526" t="s">
        <v>11596</v>
      </c>
      <c r="M8526" s="161" t="s">
        <v>19202</v>
      </c>
    </row>
    <row r="8527" spans="9:13" x14ac:dyDescent="0.25">
      <c r="I8527" t="s">
        <v>20541</v>
      </c>
      <c r="J8527" s="161" t="s">
        <v>19202</v>
      </c>
      <c r="K8527" t="s">
        <v>19203</v>
      </c>
      <c r="L8527" t="s">
        <v>20542</v>
      </c>
      <c r="M8527" s="161" t="s">
        <v>19202</v>
      </c>
    </row>
    <row r="8528" spans="9:13" x14ac:dyDescent="0.25">
      <c r="I8528" t="s">
        <v>8778</v>
      </c>
      <c r="J8528" s="161" t="s">
        <v>19202</v>
      </c>
      <c r="K8528" t="s">
        <v>19203</v>
      </c>
      <c r="L8528" t="s">
        <v>8777</v>
      </c>
      <c r="M8528" s="161" t="s">
        <v>19202</v>
      </c>
    </row>
    <row r="8529" spans="9:13" x14ac:dyDescent="0.25">
      <c r="I8529" t="s">
        <v>15817</v>
      </c>
      <c r="J8529" s="167" t="s">
        <v>19994</v>
      </c>
      <c r="K8529" t="s">
        <v>19203</v>
      </c>
      <c r="L8529" t="s">
        <v>12566</v>
      </c>
      <c r="M8529" s="167" t="s">
        <v>19994</v>
      </c>
    </row>
    <row r="8530" spans="9:13" x14ac:dyDescent="0.25">
      <c r="I8530" t="s">
        <v>11700</v>
      </c>
      <c r="J8530" s="161" t="s">
        <v>19202</v>
      </c>
      <c r="K8530" t="s">
        <v>19203</v>
      </c>
      <c r="L8530" t="s">
        <v>11699</v>
      </c>
      <c r="M8530" s="161" t="s">
        <v>19202</v>
      </c>
    </row>
    <row r="8531" spans="9:13" x14ac:dyDescent="0.25">
      <c r="I8531" t="s">
        <v>11446</v>
      </c>
      <c r="J8531" s="161" t="s">
        <v>19202</v>
      </c>
      <c r="K8531" t="s">
        <v>19203</v>
      </c>
      <c r="L8531" t="s">
        <v>11445</v>
      </c>
      <c r="M8531" s="161" t="s">
        <v>19202</v>
      </c>
    </row>
    <row r="8532" spans="9:13" x14ac:dyDescent="0.25">
      <c r="I8532" t="s">
        <v>11342</v>
      </c>
      <c r="J8532" s="161" t="s">
        <v>19202</v>
      </c>
      <c r="K8532" t="s">
        <v>19203</v>
      </c>
      <c r="L8532" t="s">
        <v>11341</v>
      </c>
      <c r="M8532" s="161" t="s">
        <v>19202</v>
      </c>
    </row>
    <row r="8533" spans="9:13" x14ac:dyDescent="0.25">
      <c r="I8533" t="s">
        <v>13728</v>
      </c>
      <c r="J8533" s="167" t="s">
        <v>19994</v>
      </c>
      <c r="K8533" t="s">
        <v>19203</v>
      </c>
      <c r="L8533" t="s">
        <v>4363</v>
      </c>
      <c r="M8533" s="167" t="s">
        <v>19994</v>
      </c>
    </row>
    <row r="8534" spans="9:13" x14ac:dyDescent="0.25">
      <c r="I8534" t="s">
        <v>11533</v>
      </c>
      <c r="J8534" s="161" t="s">
        <v>19202</v>
      </c>
      <c r="K8534" t="s">
        <v>19203</v>
      </c>
      <c r="L8534" t="s">
        <v>11532</v>
      </c>
      <c r="M8534" s="161" t="s">
        <v>19202</v>
      </c>
    </row>
    <row r="8535" spans="9:13" x14ac:dyDescent="0.25">
      <c r="I8535" t="s">
        <v>11539</v>
      </c>
      <c r="J8535" s="161" t="s">
        <v>19202</v>
      </c>
      <c r="K8535" t="s">
        <v>19203</v>
      </c>
      <c r="L8535" t="s">
        <v>11538</v>
      </c>
      <c r="M8535" s="161" t="s">
        <v>19202</v>
      </c>
    </row>
    <row r="8536" spans="9:13" x14ac:dyDescent="0.25">
      <c r="I8536" t="s">
        <v>3161</v>
      </c>
      <c r="J8536" s="161" t="s">
        <v>19202</v>
      </c>
      <c r="K8536" t="s">
        <v>19203</v>
      </c>
      <c r="L8536" t="s">
        <v>3160</v>
      </c>
      <c r="M8536" s="161" t="s">
        <v>19202</v>
      </c>
    </row>
    <row r="8537" spans="9:13" x14ac:dyDescent="0.25">
      <c r="I8537" t="s">
        <v>2224</v>
      </c>
      <c r="J8537" s="161" t="s">
        <v>19202</v>
      </c>
      <c r="K8537" t="s">
        <v>19203</v>
      </c>
      <c r="L8537" t="s">
        <v>2223</v>
      </c>
      <c r="M8537" s="161" t="s">
        <v>19202</v>
      </c>
    </row>
    <row r="8538" spans="9:13" x14ac:dyDescent="0.25">
      <c r="I8538" t="s">
        <v>4600</v>
      </c>
      <c r="J8538" s="161" t="s">
        <v>19202</v>
      </c>
      <c r="K8538" t="s">
        <v>19203</v>
      </c>
      <c r="L8538" t="s">
        <v>4599</v>
      </c>
      <c r="M8538" s="161" t="s">
        <v>19202</v>
      </c>
    </row>
    <row r="8539" spans="9:13" x14ac:dyDescent="0.25">
      <c r="I8539" t="s">
        <v>5418</v>
      </c>
      <c r="J8539" s="161" t="s">
        <v>19202</v>
      </c>
      <c r="K8539" t="s">
        <v>19203</v>
      </c>
      <c r="L8539" t="s">
        <v>5417</v>
      </c>
      <c r="M8539" s="161" t="s">
        <v>19202</v>
      </c>
    </row>
    <row r="8540" spans="9:13" x14ac:dyDescent="0.25">
      <c r="I8540" t="s">
        <v>2188</v>
      </c>
      <c r="J8540" s="161" t="s">
        <v>19202</v>
      </c>
      <c r="K8540" t="s">
        <v>19203</v>
      </c>
      <c r="L8540" t="s">
        <v>2187</v>
      </c>
      <c r="M8540" s="161" t="s">
        <v>19202</v>
      </c>
    </row>
    <row r="8541" spans="9:13" x14ac:dyDescent="0.25">
      <c r="I8541" t="s">
        <v>8792</v>
      </c>
      <c r="J8541" s="161" t="s">
        <v>19202</v>
      </c>
      <c r="K8541" t="s">
        <v>19203</v>
      </c>
      <c r="L8541" t="s">
        <v>8791</v>
      </c>
      <c r="M8541" s="161" t="s">
        <v>19202</v>
      </c>
    </row>
    <row r="8542" spans="9:13" x14ac:dyDescent="0.25">
      <c r="I8542" t="s">
        <v>9010</v>
      </c>
      <c r="J8542" s="161" t="s">
        <v>19202</v>
      </c>
      <c r="K8542" t="s">
        <v>19203</v>
      </c>
      <c r="L8542" t="s">
        <v>9009</v>
      </c>
      <c r="M8542" s="161" t="s">
        <v>19202</v>
      </c>
    </row>
    <row r="8543" spans="9:13" x14ac:dyDescent="0.25">
      <c r="I8543" t="s">
        <v>17636</v>
      </c>
      <c r="J8543" s="161" t="s">
        <v>19994</v>
      </c>
      <c r="K8543" t="s">
        <v>19203</v>
      </c>
      <c r="L8543" t="s">
        <v>17635</v>
      </c>
      <c r="M8543" s="161" t="s">
        <v>19994</v>
      </c>
    </row>
    <row r="8544" spans="9:13" x14ac:dyDescent="0.25">
      <c r="I8544" t="s">
        <v>2662</v>
      </c>
      <c r="J8544" s="161" t="s">
        <v>19202</v>
      </c>
      <c r="K8544" t="s">
        <v>19203</v>
      </c>
      <c r="L8544" t="s">
        <v>2661</v>
      </c>
      <c r="M8544" s="161" t="s">
        <v>19202</v>
      </c>
    </row>
    <row r="8545" spans="9:13" x14ac:dyDescent="0.25">
      <c r="I8545" t="s">
        <v>2218</v>
      </c>
      <c r="J8545" s="161" t="s">
        <v>19202</v>
      </c>
      <c r="K8545" t="s">
        <v>19203</v>
      </c>
      <c r="L8545" t="s">
        <v>2217</v>
      </c>
      <c r="M8545" s="161" t="s">
        <v>19202</v>
      </c>
    </row>
    <row r="8546" spans="9:13" x14ac:dyDescent="0.25">
      <c r="I8546" t="s">
        <v>2172</v>
      </c>
      <c r="J8546" s="161" t="s">
        <v>19202</v>
      </c>
      <c r="K8546" t="s">
        <v>19203</v>
      </c>
      <c r="L8546" t="s">
        <v>2171</v>
      </c>
      <c r="M8546" s="161" t="s">
        <v>19202</v>
      </c>
    </row>
    <row r="8547" spans="9:13" x14ac:dyDescent="0.25">
      <c r="I8547" t="s">
        <v>302</v>
      </c>
      <c r="J8547" s="161" t="s">
        <v>19202</v>
      </c>
      <c r="K8547" t="s">
        <v>19203</v>
      </c>
      <c r="L8547" t="s">
        <v>301</v>
      </c>
      <c r="M8547" s="161" t="s">
        <v>19202</v>
      </c>
    </row>
    <row r="8548" spans="9:13" x14ac:dyDescent="0.25">
      <c r="I8548" t="s">
        <v>12898</v>
      </c>
      <c r="J8548" s="161" t="s">
        <v>19994</v>
      </c>
      <c r="K8548" t="s">
        <v>19203</v>
      </c>
      <c r="L8548" t="s">
        <v>12897</v>
      </c>
      <c r="M8548" s="161" t="s">
        <v>19994</v>
      </c>
    </row>
    <row r="8549" spans="9:13" x14ac:dyDescent="0.25">
      <c r="I8549" t="s">
        <v>6605</v>
      </c>
      <c r="J8549" s="161" t="s">
        <v>19202</v>
      </c>
      <c r="K8549" t="s">
        <v>19203</v>
      </c>
      <c r="L8549" t="s">
        <v>2111</v>
      </c>
      <c r="M8549" s="161" t="s">
        <v>19202</v>
      </c>
    </row>
    <row r="8550" spans="9:13" x14ac:dyDescent="0.25">
      <c r="I8550" t="s">
        <v>13468</v>
      </c>
      <c r="J8550" s="161" t="s">
        <v>19202</v>
      </c>
      <c r="K8550" t="s">
        <v>19203</v>
      </c>
      <c r="L8550" t="s">
        <v>13467</v>
      </c>
      <c r="M8550" s="161" t="s">
        <v>19202</v>
      </c>
    </row>
    <row r="8551" spans="9:13" x14ac:dyDescent="0.25">
      <c r="I8551" t="s">
        <v>13466</v>
      </c>
      <c r="J8551" s="167" t="s">
        <v>19994</v>
      </c>
      <c r="K8551" t="s">
        <v>19203</v>
      </c>
      <c r="L8551" t="s">
        <v>13465</v>
      </c>
      <c r="M8551" s="167" t="s">
        <v>19994</v>
      </c>
    </row>
    <row r="8552" spans="9:13" x14ac:dyDescent="0.25">
      <c r="I8552" t="s">
        <v>10248</v>
      </c>
      <c r="J8552" s="161" t="s">
        <v>19202</v>
      </c>
      <c r="K8552" t="s">
        <v>19203</v>
      </c>
      <c r="L8552" t="s">
        <v>10247</v>
      </c>
      <c r="M8552" s="161" t="s">
        <v>19202</v>
      </c>
    </row>
    <row r="8553" spans="9:13" x14ac:dyDescent="0.25">
      <c r="I8553" t="s">
        <v>15500</v>
      </c>
      <c r="J8553" s="161" t="s">
        <v>19202</v>
      </c>
      <c r="K8553" t="s">
        <v>19203</v>
      </c>
      <c r="L8553" t="s">
        <v>15499</v>
      </c>
      <c r="M8553" s="161" t="s">
        <v>19202</v>
      </c>
    </row>
    <row r="8554" spans="9:13" x14ac:dyDescent="0.25">
      <c r="I8554" t="s">
        <v>9228</v>
      </c>
      <c r="J8554" s="161" t="s">
        <v>19202</v>
      </c>
      <c r="K8554" t="s">
        <v>19203</v>
      </c>
      <c r="L8554" t="s">
        <v>9227</v>
      </c>
      <c r="M8554" s="161" t="s">
        <v>19202</v>
      </c>
    </row>
    <row r="8555" spans="9:13" x14ac:dyDescent="0.25">
      <c r="I8555" t="s">
        <v>6545</v>
      </c>
      <c r="J8555" s="161" t="s">
        <v>19202</v>
      </c>
      <c r="K8555" t="s">
        <v>19203</v>
      </c>
      <c r="L8555" t="s">
        <v>6544</v>
      </c>
      <c r="M8555" s="161" t="s">
        <v>19202</v>
      </c>
    </row>
    <row r="8556" spans="9:13" x14ac:dyDescent="0.25">
      <c r="I8556" t="s">
        <v>2717</v>
      </c>
      <c r="J8556" s="161" t="s">
        <v>19994</v>
      </c>
      <c r="K8556" t="s">
        <v>19203</v>
      </c>
      <c r="L8556" t="s">
        <v>2716</v>
      </c>
      <c r="M8556" s="161" t="s">
        <v>19994</v>
      </c>
    </row>
    <row r="8557" spans="9:13" x14ac:dyDescent="0.25">
      <c r="I8557" t="s">
        <v>11742</v>
      </c>
      <c r="J8557" s="167" t="s">
        <v>19994</v>
      </c>
      <c r="K8557" t="s">
        <v>19203</v>
      </c>
      <c r="L8557" t="s">
        <v>11741</v>
      </c>
      <c r="M8557" s="167" t="s">
        <v>19994</v>
      </c>
    </row>
    <row r="8558" spans="9:13" x14ac:dyDescent="0.25">
      <c r="I8558" t="s">
        <v>6853</v>
      </c>
      <c r="J8558" s="161" t="s">
        <v>19202</v>
      </c>
      <c r="K8558" t="s">
        <v>19203</v>
      </c>
      <c r="L8558" t="s">
        <v>6852</v>
      </c>
      <c r="M8558" s="161" t="s">
        <v>19202</v>
      </c>
    </row>
    <row r="8559" spans="9:13" x14ac:dyDescent="0.25">
      <c r="I8559" t="s">
        <v>9438</v>
      </c>
      <c r="J8559" s="161" t="s">
        <v>19202</v>
      </c>
      <c r="K8559" t="s">
        <v>19203</v>
      </c>
      <c r="L8559" t="s">
        <v>9437</v>
      </c>
      <c r="M8559" s="161" t="s">
        <v>19202</v>
      </c>
    </row>
    <row r="8560" spans="9:13" x14ac:dyDescent="0.25">
      <c r="I8560" t="s">
        <v>9436</v>
      </c>
      <c r="J8560" s="161" t="s">
        <v>19202</v>
      </c>
      <c r="K8560" t="s">
        <v>19203</v>
      </c>
      <c r="L8560" t="s">
        <v>9435</v>
      </c>
      <c r="M8560" s="161" t="s">
        <v>19202</v>
      </c>
    </row>
    <row r="8561" spans="9:13" x14ac:dyDescent="0.25">
      <c r="I8561" t="s">
        <v>11611</v>
      </c>
      <c r="J8561" s="161" t="s">
        <v>19202</v>
      </c>
      <c r="K8561" t="s">
        <v>19203</v>
      </c>
      <c r="L8561" t="s">
        <v>11610</v>
      </c>
      <c r="M8561" s="161" t="s">
        <v>19202</v>
      </c>
    </row>
    <row r="8562" spans="9:13" x14ac:dyDescent="0.25">
      <c r="I8562" t="s">
        <v>11589</v>
      </c>
      <c r="J8562" s="161" t="s">
        <v>19202</v>
      </c>
      <c r="K8562" t="s">
        <v>19203</v>
      </c>
      <c r="L8562" t="s">
        <v>11588</v>
      </c>
      <c r="M8562" s="161" t="s">
        <v>19202</v>
      </c>
    </row>
    <row r="8563" spans="9:13" x14ac:dyDescent="0.25">
      <c r="I8563" t="s">
        <v>11551</v>
      </c>
      <c r="J8563" s="161" t="s">
        <v>19202</v>
      </c>
      <c r="K8563" t="s">
        <v>19203</v>
      </c>
      <c r="L8563" t="s">
        <v>11550</v>
      </c>
      <c r="M8563" s="161" t="s">
        <v>19202</v>
      </c>
    </row>
    <row r="8564" spans="9:13" x14ac:dyDescent="0.25">
      <c r="I8564" t="s">
        <v>11615</v>
      </c>
      <c r="J8564" s="161" t="s">
        <v>19202</v>
      </c>
      <c r="K8564" t="s">
        <v>19203</v>
      </c>
      <c r="L8564" t="s">
        <v>11614</v>
      </c>
      <c r="M8564" s="161" t="s">
        <v>19202</v>
      </c>
    </row>
    <row r="8565" spans="9:13" x14ac:dyDescent="0.25">
      <c r="I8565" t="s">
        <v>11595</v>
      </c>
      <c r="J8565" s="161" t="s">
        <v>19202</v>
      </c>
      <c r="K8565" t="s">
        <v>19203</v>
      </c>
      <c r="L8565" t="s">
        <v>11594</v>
      </c>
      <c r="M8565" s="161" t="s">
        <v>19202</v>
      </c>
    </row>
    <row r="8566" spans="9:13" x14ac:dyDescent="0.25">
      <c r="I8566" t="s">
        <v>20543</v>
      </c>
      <c r="J8566" s="161" t="s">
        <v>19202</v>
      </c>
      <c r="K8566" t="s">
        <v>19203</v>
      </c>
      <c r="L8566" t="s">
        <v>1031</v>
      </c>
      <c r="M8566" s="161" t="s">
        <v>19202</v>
      </c>
    </row>
    <row r="8567" spans="9:13" x14ac:dyDescent="0.25">
      <c r="I8567" t="s">
        <v>182</v>
      </c>
      <c r="J8567" s="161" t="s">
        <v>19202</v>
      </c>
      <c r="K8567" t="s">
        <v>19203</v>
      </c>
      <c r="L8567" t="s">
        <v>181</v>
      </c>
      <c r="M8567" s="161" t="s">
        <v>19202</v>
      </c>
    </row>
    <row r="8568" spans="9:13" x14ac:dyDescent="0.25">
      <c r="I8568" t="s">
        <v>4977</v>
      </c>
      <c r="J8568" s="161" t="s">
        <v>19202</v>
      </c>
      <c r="K8568" t="s">
        <v>19203</v>
      </c>
      <c r="L8568" t="s">
        <v>4976</v>
      </c>
      <c r="M8568" s="161" t="s">
        <v>19202</v>
      </c>
    </row>
    <row r="8569" spans="9:13" x14ac:dyDescent="0.25">
      <c r="I8569" t="s">
        <v>9224</v>
      </c>
      <c r="J8569" s="161" t="s">
        <v>19202</v>
      </c>
      <c r="K8569" t="s">
        <v>19203</v>
      </c>
      <c r="L8569" t="s">
        <v>9223</v>
      </c>
      <c r="M8569" s="161" t="s">
        <v>19202</v>
      </c>
    </row>
    <row r="8570" spans="9:13" x14ac:dyDescent="0.25">
      <c r="I8570" t="s">
        <v>10295</v>
      </c>
      <c r="J8570" s="167" t="s">
        <v>19994</v>
      </c>
      <c r="K8570" t="s">
        <v>19203</v>
      </c>
      <c r="L8570" t="s">
        <v>10294</v>
      </c>
      <c r="M8570" s="167" t="s">
        <v>19994</v>
      </c>
    </row>
    <row r="8571" spans="9:13" x14ac:dyDescent="0.25">
      <c r="I8571" t="s">
        <v>5600</v>
      </c>
      <c r="J8571" s="167" t="s">
        <v>19994</v>
      </c>
      <c r="K8571" t="s">
        <v>19203</v>
      </c>
      <c r="L8571" t="s">
        <v>5599</v>
      </c>
      <c r="M8571" s="167" t="s">
        <v>19994</v>
      </c>
    </row>
    <row r="8572" spans="9:13" x14ac:dyDescent="0.25">
      <c r="I8572" t="s">
        <v>10246</v>
      </c>
      <c r="J8572" s="161" t="s">
        <v>19202</v>
      </c>
      <c r="K8572" t="s">
        <v>19203</v>
      </c>
      <c r="L8572" t="s">
        <v>10245</v>
      </c>
      <c r="M8572" s="161" t="s">
        <v>19202</v>
      </c>
    </row>
    <row r="8573" spans="9:13" x14ac:dyDescent="0.25">
      <c r="I8573" t="s">
        <v>7847</v>
      </c>
      <c r="J8573" s="161" t="s">
        <v>19202</v>
      </c>
      <c r="K8573" t="s">
        <v>19203</v>
      </c>
      <c r="L8573" t="s">
        <v>7846</v>
      </c>
      <c r="M8573" s="161" t="s">
        <v>19202</v>
      </c>
    </row>
    <row r="8574" spans="9:13" x14ac:dyDescent="0.25">
      <c r="I8574" t="s">
        <v>20544</v>
      </c>
      <c r="J8574" s="161" t="s">
        <v>19202</v>
      </c>
      <c r="K8574" t="s">
        <v>19203</v>
      </c>
      <c r="L8574" t="s">
        <v>20545</v>
      </c>
      <c r="M8574" s="161" t="s">
        <v>19202</v>
      </c>
    </row>
    <row r="8575" spans="9:13" x14ac:dyDescent="0.25">
      <c r="I8575" t="s">
        <v>4269</v>
      </c>
      <c r="J8575" s="161" t="s">
        <v>19202</v>
      </c>
      <c r="K8575" t="s">
        <v>19203</v>
      </c>
      <c r="L8575" t="s">
        <v>4268</v>
      </c>
      <c r="M8575" s="161" t="s">
        <v>19202</v>
      </c>
    </row>
    <row r="8576" spans="9:13" x14ac:dyDescent="0.25">
      <c r="I8576" t="s">
        <v>9230</v>
      </c>
      <c r="J8576" s="161" t="s">
        <v>19202</v>
      </c>
      <c r="K8576" t="s">
        <v>19203</v>
      </c>
      <c r="L8576" t="s">
        <v>9229</v>
      </c>
      <c r="M8576" s="161" t="s">
        <v>19202</v>
      </c>
    </row>
    <row r="8577" spans="9:13" x14ac:dyDescent="0.25">
      <c r="I8577" t="s">
        <v>313</v>
      </c>
      <c r="J8577" s="161" t="s">
        <v>19202</v>
      </c>
      <c r="K8577" t="s">
        <v>19203</v>
      </c>
      <c r="L8577" t="s">
        <v>312</v>
      </c>
      <c r="M8577" s="161" t="s">
        <v>19202</v>
      </c>
    </row>
    <row r="8578" spans="9:13" x14ac:dyDescent="0.25">
      <c r="I8578" t="s">
        <v>20546</v>
      </c>
      <c r="J8578" s="161" t="s">
        <v>19202</v>
      </c>
      <c r="K8578" t="s">
        <v>19203</v>
      </c>
      <c r="L8578" t="s">
        <v>20547</v>
      </c>
      <c r="M8578" s="161" t="s">
        <v>19202</v>
      </c>
    </row>
    <row r="8579" spans="9:13" x14ac:dyDescent="0.25">
      <c r="I8579" t="s">
        <v>6851</v>
      </c>
      <c r="J8579" s="161" t="s">
        <v>19202</v>
      </c>
      <c r="K8579" t="s">
        <v>19203</v>
      </c>
      <c r="L8579" t="s">
        <v>6850</v>
      </c>
      <c r="M8579" s="161" t="s">
        <v>19202</v>
      </c>
    </row>
    <row r="8580" spans="9:13" x14ac:dyDescent="0.25">
      <c r="I8580" t="s">
        <v>2168</v>
      </c>
      <c r="J8580" s="161" t="s">
        <v>19202</v>
      </c>
      <c r="K8580" t="s">
        <v>19203</v>
      </c>
      <c r="L8580" t="s">
        <v>2167</v>
      </c>
      <c r="M8580" s="161" t="s">
        <v>19202</v>
      </c>
    </row>
    <row r="8581" spans="9:13" x14ac:dyDescent="0.25">
      <c r="I8581" t="s">
        <v>2176</v>
      </c>
      <c r="J8581" s="161" t="s">
        <v>19202</v>
      </c>
      <c r="K8581" t="s">
        <v>19203</v>
      </c>
      <c r="L8581" t="s">
        <v>2175</v>
      </c>
      <c r="M8581" s="161" t="s">
        <v>19202</v>
      </c>
    </row>
    <row r="8582" spans="9:13" x14ac:dyDescent="0.25">
      <c r="I8582" t="s">
        <v>244</v>
      </c>
      <c r="J8582" s="161" t="s">
        <v>19202</v>
      </c>
      <c r="K8582" t="s">
        <v>19203</v>
      </c>
      <c r="L8582" t="s">
        <v>243</v>
      </c>
      <c r="M8582" s="161" t="s">
        <v>19202</v>
      </c>
    </row>
    <row r="8583" spans="9:13" x14ac:dyDescent="0.25">
      <c r="I8583" t="s">
        <v>9833</v>
      </c>
      <c r="J8583" s="161" t="s">
        <v>19202</v>
      </c>
      <c r="K8583" t="s">
        <v>19203</v>
      </c>
      <c r="L8583" t="s">
        <v>9832</v>
      </c>
      <c r="M8583" s="161" t="s">
        <v>19202</v>
      </c>
    </row>
    <row r="8584" spans="9:13" x14ac:dyDescent="0.25">
      <c r="I8584" t="s">
        <v>20548</v>
      </c>
      <c r="J8584" s="161" t="s">
        <v>19202</v>
      </c>
      <c r="K8584" t="s">
        <v>19203</v>
      </c>
      <c r="L8584" t="s">
        <v>20549</v>
      </c>
      <c r="M8584" s="161" t="s">
        <v>19202</v>
      </c>
    </row>
    <row r="8585" spans="9:13" x14ac:dyDescent="0.25">
      <c r="I8585" t="s">
        <v>13727</v>
      </c>
      <c r="J8585" s="161" t="s">
        <v>19202</v>
      </c>
      <c r="K8585" t="s">
        <v>19203</v>
      </c>
      <c r="L8585" t="s">
        <v>3476</v>
      </c>
      <c r="M8585" s="161" t="s">
        <v>19202</v>
      </c>
    </row>
    <row r="8586" spans="9:13" x14ac:dyDescent="0.25">
      <c r="I8586" t="s">
        <v>5881</v>
      </c>
      <c r="J8586" s="161" t="s">
        <v>19202</v>
      </c>
      <c r="K8586" t="s">
        <v>19203</v>
      </c>
      <c r="L8586" t="s">
        <v>5880</v>
      </c>
      <c r="M8586" s="161" t="s">
        <v>19202</v>
      </c>
    </row>
    <row r="8587" spans="9:13" x14ac:dyDescent="0.25">
      <c r="I8587" t="s">
        <v>11547</v>
      </c>
      <c r="J8587" s="161" t="s">
        <v>19202</v>
      </c>
      <c r="K8587" t="s">
        <v>19203</v>
      </c>
      <c r="L8587" t="s">
        <v>11546</v>
      </c>
      <c r="M8587" s="161" t="s">
        <v>19202</v>
      </c>
    </row>
    <row r="8588" spans="9:13" x14ac:dyDescent="0.25">
      <c r="I8588" t="s">
        <v>20550</v>
      </c>
      <c r="J8588" s="161" t="s">
        <v>19202</v>
      </c>
      <c r="K8588" t="s">
        <v>19203</v>
      </c>
      <c r="L8588" t="s">
        <v>20551</v>
      </c>
      <c r="M8588" s="161" t="s">
        <v>19202</v>
      </c>
    </row>
    <row r="8589" spans="9:13" x14ac:dyDescent="0.25">
      <c r="I8589" t="s">
        <v>11537</v>
      </c>
      <c r="J8589" s="161" t="s">
        <v>19202</v>
      </c>
      <c r="K8589" t="s">
        <v>19203</v>
      </c>
      <c r="L8589" t="s">
        <v>11536</v>
      </c>
      <c r="M8589" s="161" t="s">
        <v>19202</v>
      </c>
    </row>
    <row r="8590" spans="9:13" x14ac:dyDescent="0.25">
      <c r="I8590" t="s">
        <v>13603</v>
      </c>
      <c r="J8590" s="161" t="s">
        <v>19202</v>
      </c>
      <c r="K8590" t="s">
        <v>19203</v>
      </c>
      <c r="L8590" t="s">
        <v>6385</v>
      </c>
      <c r="M8590" s="161" t="s">
        <v>19202</v>
      </c>
    </row>
    <row r="8591" spans="9:13" x14ac:dyDescent="0.25">
      <c r="I8591" t="s">
        <v>11531</v>
      </c>
      <c r="J8591" s="161" t="s">
        <v>19202</v>
      </c>
      <c r="K8591" t="s">
        <v>19203</v>
      </c>
      <c r="L8591" t="s">
        <v>11530</v>
      </c>
      <c r="M8591" s="161" t="s">
        <v>19202</v>
      </c>
    </row>
    <row r="8592" spans="9:13" x14ac:dyDescent="0.25">
      <c r="I8592" t="s">
        <v>20552</v>
      </c>
      <c r="J8592" s="161" t="s">
        <v>19202</v>
      </c>
      <c r="K8592" t="s">
        <v>19203</v>
      </c>
      <c r="L8592" t="s">
        <v>20553</v>
      </c>
      <c r="M8592" s="161" t="s">
        <v>19202</v>
      </c>
    </row>
    <row r="8593" spans="9:13" x14ac:dyDescent="0.25">
      <c r="I8593" t="s">
        <v>9296</v>
      </c>
      <c r="J8593" s="161" t="s">
        <v>19202</v>
      </c>
      <c r="K8593" t="s">
        <v>19203</v>
      </c>
      <c r="L8593" t="s">
        <v>9295</v>
      </c>
      <c r="M8593" s="161" t="s">
        <v>19202</v>
      </c>
    </row>
    <row r="8594" spans="9:13" x14ac:dyDescent="0.25">
      <c r="I8594" t="s">
        <v>11585</v>
      </c>
      <c r="J8594" s="161" t="s">
        <v>19202</v>
      </c>
      <c r="K8594" t="s">
        <v>19203</v>
      </c>
      <c r="L8594" t="s">
        <v>11584</v>
      </c>
      <c r="M8594" s="161" t="s">
        <v>19202</v>
      </c>
    </row>
    <row r="8595" spans="9:13" x14ac:dyDescent="0.25">
      <c r="I8595" t="s">
        <v>11617</v>
      </c>
      <c r="J8595" s="167" t="s">
        <v>19994</v>
      </c>
      <c r="K8595" t="s">
        <v>19203</v>
      </c>
      <c r="L8595" t="s">
        <v>11616</v>
      </c>
      <c r="M8595" s="167" t="s">
        <v>19994</v>
      </c>
    </row>
    <row r="8596" spans="9:13" x14ac:dyDescent="0.25">
      <c r="I8596" t="s">
        <v>5976</v>
      </c>
      <c r="J8596" s="161" t="s">
        <v>19202</v>
      </c>
      <c r="K8596" t="s">
        <v>19203</v>
      </c>
      <c r="L8596" t="s">
        <v>5975</v>
      </c>
      <c r="M8596" s="161" t="s">
        <v>19202</v>
      </c>
    </row>
    <row r="8597" spans="9:13" x14ac:dyDescent="0.25">
      <c r="I8597" t="s">
        <v>8766</v>
      </c>
      <c r="J8597" s="161" t="s">
        <v>19202</v>
      </c>
      <c r="K8597" t="s">
        <v>19203</v>
      </c>
      <c r="L8597" t="s">
        <v>8765</v>
      </c>
      <c r="M8597" s="161" t="s">
        <v>19202</v>
      </c>
    </row>
    <row r="8598" spans="9:13" x14ac:dyDescent="0.25">
      <c r="I8598" t="s">
        <v>8764</v>
      </c>
      <c r="J8598" s="161" t="s">
        <v>19202</v>
      </c>
      <c r="K8598" t="s">
        <v>19203</v>
      </c>
      <c r="L8598" t="s">
        <v>8763</v>
      </c>
      <c r="M8598" s="161" t="s">
        <v>19202</v>
      </c>
    </row>
    <row r="8599" spans="9:13" x14ac:dyDescent="0.25">
      <c r="I8599" t="s">
        <v>20554</v>
      </c>
      <c r="J8599" s="167" t="s">
        <v>19994</v>
      </c>
      <c r="K8599" t="s">
        <v>19203</v>
      </c>
      <c r="L8599" t="s">
        <v>20555</v>
      </c>
      <c r="M8599" s="167" t="s">
        <v>19994</v>
      </c>
    </row>
    <row r="8600" spans="9:13" x14ac:dyDescent="0.25">
      <c r="I8600" t="s">
        <v>9100</v>
      </c>
      <c r="J8600" s="161" t="s">
        <v>19202</v>
      </c>
      <c r="K8600" t="s">
        <v>19203</v>
      </c>
      <c r="L8600" t="s">
        <v>9099</v>
      </c>
      <c r="M8600" s="161" t="s">
        <v>19202</v>
      </c>
    </row>
    <row r="8601" spans="9:13" x14ac:dyDescent="0.25">
      <c r="I8601" t="s">
        <v>11541</v>
      </c>
      <c r="J8601" s="161" t="s">
        <v>19202</v>
      </c>
      <c r="K8601" t="s">
        <v>19203</v>
      </c>
      <c r="L8601" t="s">
        <v>11540</v>
      </c>
      <c r="M8601" s="161" t="s">
        <v>19202</v>
      </c>
    </row>
    <row r="8602" spans="9:13" x14ac:dyDescent="0.25">
      <c r="I8602" t="s">
        <v>20556</v>
      </c>
      <c r="J8602" s="161" t="s">
        <v>19202</v>
      </c>
      <c r="K8602" t="s">
        <v>19203</v>
      </c>
      <c r="L8602" t="s">
        <v>20557</v>
      </c>
      <c r="M8602" s="161" t="s">
        <v>19202</v>
      </c>
    </row>
    <row r="8603" spans="9:13" x14ac:dyDescent="0.25">
      <c r="I8603" t="s">
        <v>6987</v>
      </c>
      <c r="J8603" s="161" t="s">
        <v>19202</v>
      </c>
      <c r="K8603" t="s">
        <v>19203</v>
      </c>
      <c r="L8603" t="s">
        <v>6986</v>
      </c>
      <c r="M8603" s="161" t="s">
        <v>19202</v>
      </c>
    </row>
    <row r="8604" spans="9:13" x14ac:dyDescent="0.25">
      <c r="I8604" t="s">
        <v>20558</v>
      </c>
      <c r="J8604" s="161" t="s">
        <v>19202</v>
      </c>
      <c r="K8604" t="s">
        <v>19203</v>
      </c>
      <c r="L8604" t="s">
        <v>20559</v>
      </c>
      <c r="M8604" s="161" t="s">
        <v>19202</v>
      </c>
    </row>
    <row r="8605" spans="9:13" x14ac:dyDescent="0.25">
      <c r="I8605" t="s">
        <v>15036</v>
      </c>
      <c r="J8605" s="161" t="s">
        <v>19202</v>
      </c>
      <c r="K8605" t="s">
        <v>19203</v>
      </c>
      <c r="L8605" t="s">
        <v>12730</v>
      </c>
      <c r="M8605" s="161" t="s">
        <v>19202</v>
      </c>
    </row>
    <row r="8606" spans="9:13" x14ac:dyDescent="0.25">
      <c r="I8606" t="s">
        <v>2194</v>
      </c>
      <c r="J8606" s="167" t="s">
        <v>19994</v>
      </c>
      <c r="K8606" t="s">
        <v>19203</v>
      </c>
      <c r="L8606" t="s">
        <v>2193</v>
      </c>
      <c r="M8606" s="167" t="s">
        <v>19994</v>
      </c>
    </row>
    <row r="8607" spans="9:13" x14ac:dyDescent="0.25">
      <c r="I8607" t="s">
        <v>223</v>
      </c>
      <c r="J8607" s="161" t="s">
        <v>19202</v>
      </c>
      <c r="K8607" t="s">
        <v>19203</v>
      </c>
      <c r="L8607" t="s">
        <v>222</v>
      </c>
      <c r="M8607" s="161" t="s">
        <v>19202</v>
      </c>
    </row>
    <row r="8608" spans="9:13" x14ac:dyDescent="0.25">
      <c r="I8608" t="s">
        <v>8852</v>
      </c>
      <c r="J8608" s="161" t="s">
        <v>19202</v>
      </c>
      <c r="K8608" t="s">
        <v>19203</v>
      </c>
      <c r="L8608" t="s">
        <v>8851</v>
      </c>
      <c r="M8608" s="161" t="s">
        <v>19202</v>
      </c>
    </row>
    <row r="8609" spans="9:13" x14ac:dyDescent="0.25">
      <c r="I8609" t="s">
        <v>7067</v>
      </c>
      <c r="J8609" s="161" t="s">
        <v>19202</v>
      </c>
      <c r="K8609" t="s">
        <v>19203</v>
      </c>
      <c r="L8609" t="s">
        <v>7066</v>
      </c>
      <c r="M8609" s="161" t="s">
        <v>19202</v>
      </c>
    </row>
    <row r="8610" spans="9:13" x14ac:dyDescent="0.25">
      <c r="I8610" t="s">
        <v>3572</v>
      </c>
      <c r="J8610" s="161" t="s">
        <v>19202</v>
      </c>
      <c r="K8610" t="s">
        <v>19203</v>
      </c>
      <c r="L8610" t="s">
        <v>3571</v>
      </c>
      <c r="M8610" s="161" t="s">
        <v>19202</v>
      </c>
    </row>
    <row r="8611" spans="9:13" x14ac:dyDescent="0.25">
      <c r="I8611" t="s">
        <v>3762</v>
      </c>
      <c r="J8611" s="161" t="s">
        <v>19202</v>
      </c>
      <c r="K8611" t="s">
        <v>19203</v>
      </c>
      <c r="L8611" t="s">
        <v>3761</v>
      </c>
      <c r="M8611" s="161" t="s">
        <v>19202</v>
      </c>
    </row>
    <row r="8612" spans="9:13" x14ac:dyDescent="0.25">
      <c r="I8612" t="s">
        <v>9222</v>
      </c>
      <c r="J8612" s="161" t="s">
        <v>19202</v>
      </c>
      <c r="K8612" t="s">
        <v>19203</v>
      </c>
      <c r="L8612" t="s">
        <v>9221</v>
      </c>
      <c r="M8612" s="161" t="s">
        <v>19202</v>
      </c>
    </row>
    <row r="8613" spans="9:13" x14ac:dyDescent="0.25">
      <c r="I8613" t="s">
        <v>454</v>
      </c>
      <c r="J8613" s="161" t="s">
        <v>19202</v>
      </c>
      <c r="K8613" t="s">
        <v>19203</v>
      </c>
      <c r="L8613" t="s">
        <v>222</v>
      </c>
      <c r="M8613" s="161" t="s">
        <v>19202</v>
      </c>
    </row>
    <row r="8614" spans="9:13" x14ac:dyDescent="0.25">
      <c r="I8614" t="s">
        <v>3484</v>
      </c>
      <c r="J8614" s="161" t="s">
        <v>19202</v>
      </c>
      <c r="K8614" t="s">
        <v>19203</v>
      </c>
      <c r="L8614" t="s">
        <v>3483</v>
      </c>
      <c r="M8614" s="161" t="s">
        <v>19202</v>
      </c>
    </row>
    <row r="8615" spans="9:13" x14ac:dyDescent="0.25">
      <c r="I8615" t="s">
        <v>2745</v>
      </c>
      <c r="J8615" s="161" t="s">
        <v>19994</v>
      </c>
      <c r="K8615" t="s">
        <v>19203</v>
      </c>
      <c r="L8615" t="s">
        <v>2744</v>
      </c>
      <c r="M8615" s="161" t="s">
        <v>19994</v>
      </c>
    </row>
    <row r="8616" spans="9:13" x14ac:dyDescent="0.25">
      <c r="I8616" t="s">
        <v>9262</v>
      </c>
      <c r="J8616" s="161" t="s">
        <v>19202</v>
      </c>
      <c r="K8616" t="s">
        <v>19203</v>
      </c>
      <c r="L8616" t="s">
        <v>9261</v>
      </c>
      <c r="M8616" s="161" t="s">
        <v>19202</v>
      </c>
    </row>
    <row r="8617" spans="9:13" x14ac:dyDescent="0.25">
      <c r="I8617" t="s">
        <v>20560</v>
      </c>
      <c r="J8617" s="161" t="s">
        <v>19202</v>
      </c>
      <c r="K8617" t="s">
        <v>19203</v>
      </c>
      <c r="L8617" t="s">
        <v>20561</v>
      </c>
      <c r="M8617" s="161" t="s">
        <v>19202</v>
      </c>
    </row>
    <row r="8618" spans="9:13" x14ac:dyDescent="0.25">
      <c r="I8618" t="s">
        <v>14694</v>
      </c>
      <c r="J8618" s="161" t="s">
        <v>19202</v>
      </c>
      <c r="K8618" t="s">
        <v>19203</v>
      </c>
      <c r="L8618" t="s">
        <v>14693</v>
      </c>
      <c r="M8618" s="161" t="s">
        <v>19202</v>
      </c>
    </row>
    <row r="8619" spans="9:13" x14ac:dyDescent="0.25">
      <c r="I8619" t="s">
        <v>20562</v>
      </c>
      <c r="J8619" s="167" t="s">
        <v>19994</v>
      </c>
      <c r="K8619" t="s">
        <v>19203</v>
      </c>
      <c r="L8619" t="s">
        <v>2499</v>
      </c>
      <c r="M8619" s="167" t="s">
        <v>19994</v>
      </c>
    </row>
    <row r="8620" spans="9:13" x14ac:dyDescent="0.25">
      <c r="I8620" t="s">
        <v>11535</v>
      </c>
      <c r="J8620" s="161" t="s">
        <v>19202</v>
      </c>
      <c r="K8620" t="s">
        <v>19203</v>
      </c>
      <c r="L8620" t="s">
        <v>11534</v>
      </c>
      <c r="M8620" s="161" t="s">
        <v>19202</v>
      </c>
    </row>
    <row r="8621" spans="9:13" x14ac:dyDescent="0.25">
      <c r="I8621" t="s">
        <v>11931</v>
      </c>
      <c r="J8621" s="161" t="s">
        <v>19202</v>
      </c>
      <c r="K8621" t="s">
        <v>19203</v>
      </c>
      <c r="L8621" t="s">
        <v>11930</v>
      </c>
      <c r="M8621" s="161" t="s">
        <v>19202</v>
      </c>
    </row>
    <row r="8622" spans="9:13" x14ac:dyDescent="0.25">
      <c r="I8622" t="s">
        <v>20563</v>
      </c>
      <c r="J8622" s="161" t="s">
        <v>19202</v>
      </c>
      <c r="K8622" t="s">
        <v>19203</v>
      </c>
      <c r="L8622" t="s">
        <v>20564</v>
      </c>
      <c r="M8622" s="161" t="s">
        <v>19202</v>
      </c>
    </row>
    <row r="8623" spans="9:13" x14ac:dyDescent="0.25">
      <c r="I8623" t="s">
        <v>10240</v>
      </c>
      <c r="J8623" s="161" t="s">
        <v>19202</v>
      </c>
      <c r="K8623" t="s">
        <v>19203</v>
      </c>
      <c r="L8623" t="s">
        <v>10239</v>
      </c>
      <c r="M8623" s="161" t="s">
        <v>19202</v>
      </c>
    </row>
    <row r="8624" spans="9:13" x14ac:dyDescent="0.25">
      <c r="I8624" t="s">
        <v>322</v>
      </c>
      <c r="J8624" s="167" t="s">
        <v>19994</v>
      </c>
      <c r="K8624" t="s">
        <v>19203</v>
      </c>
      <c r="L8624" t="s">
        <v>321</v>
      </c>
      <c r="M8624" s="167" t="s">
        <v>19994</v>
      </c>
    </row>
    <row r="8625" spans="9:13" x14ac:dyDescent="0.25">
      <c r="I8625" t="s">
        <v>11730</v>
      </c>
      <c r="J8625" s="161" t="s">
        <v>19202</v>
      </c>
      <c r="K8625" t="s">
        <v>19203</v>
      </c>
      <c r="L8625" t="s">
        <v>11729</v>
      </c>
      <c r="M8625" s="161" t="s">
        <v>19202</v>
      </c>
    </row>
    <row r="8626" spans="9:13" x14ac:dyDescent="0.25">
      <c r="I8626" t="s">
        <v>20565</v>
      </c>
      <c r="J8626" s="161" t="s">
        <v>19202</v>
      </c>
      <c r="K8626" t="s">
        <v>19203</v>
      </c>
      <c r="L8626" t="s">
        <v>20566</v>
      </c>
      <c r="M8626" s="161" t="s">
        <v>19202</v>
      </c>
    </row>
    <row r="8627" spans="9:13" x14ac:dyDescent="0.25">
      <c r="I8627" t="s">
        <v>20567</v>
      </c>
      <c r="J8627" s="161" t="s">
        <v>19202</v>
      </c>
      <c r="K8627" t="s">
        <v>19203</v>
      </c>
      <c r="L8627" t="s">
        <v>20568</v>
      </c>
      <c r="M8627" s="161" t="s">
        <v>19202</v>
      </c>
    </row>
    <row r="8628" spans="9:13" x14ac:dyDescent="0.25">
      <c r="I8628" t="s">
        <v>14463</v>
      </c>
      <c r="J8628" s="161" t="s">
        <v>19202</v>
      </c>
      <c r="K8628" t="s">
        <v>19203</v>
      </c>
      <c r="L8628" t="s">
        <v>14462</v>
      </c>
      <c r="M8628" s="161" t="s">
        <v>19202</v>
      </c>
    </row>
    <row r="8629" spans="9:13" x14ac:dyDescent="0.25">
      <c r="I8629" t="s">
        <v>4318</v>
      </c>
      <c r="J8629" s="161" t="s">
        <v>19202</v>
      </c>
      <c r="K8629" t="s">
        <v>19203</v>
      </c>
      <c r="L8629" t="s">
        <v>4317</v>
      </c>
      <c r="M8629" s="161" t="s">
        <v>19202</v>
      </c>
    </row>
    <row r="8630" spans="9:13" x14ac:dyDescent="0.25">
      <c r="I8630" t="s">
        <v>319</v>
      </c>
      <c r="J8630" s="167" t="s">
        <v>19994</v>
      </c>
      <c r="K8630" t="s">
        <v>19203</v>
      </c>
      <c r="L8630" t="s">
        <v>318</v>
      </c>
      <c r="M8630" s="167" t="s">
        <v>19994</v>
      </c>
    </row>
    <row r="8631" spans="9:13" x14ac:dyDescent="0.25">
      <c r="I8631" t="s">
        <v>20569</v>
      </c>
      <c r="J8631" s="161" t="s">
        <v>19202</v>
      </c>
      <c r="K8631" t="s">
        <v>19203</v>
      </c>
      <c r="L8631" t="s">
        <v>20570</v>
      </c>
      <c r="M8631" s="161" t="s">
        <v>19202</v>
      </c>
    </row>
    <row r="8632" spans="9:13" x14ac:dyDescent="0.25">
      <c r="I8632" t="s">
        <v>274</v>
      </c>
      <c r="J8632" s="161" t="s">
        <v>19202</v>
      </c>
      <c r="K8632" t="s">
        <v>19203</v>
      </c>
      <c r="L8632" t="s">
        <v>273</v>
      </c>
      <c r="M8632" s="161" t="s">
        <v>19202</v>
      </c>
    </row>
    <row r="8633" spans="9:13" x14ac:dyDescent="0.25">
      <c r="I8633" t="s">
        <v>170</v>
      </c>
      <c r="J8633" s="161" t="s">
        <v>19202</v>
      </c>
      <c r="K8633" t="s">
        <v>19203</v>
      </c>
      <c r="L8633" t="s">
        <v>169</v>
      </c>
      <c r="M8633" s="161" t="s">
        <v>19202</v>
      </c>
    </row>
    <row r="8634" spans="9:13" x14ac:dyDescent="0.25">
      <c r="I8634" t="s">
        <v>168</v>
      </c>
      <c r="J8634" s="161" t="s">
        <v>19202</v>
      </c>
      <c r="K8634" t="s">
        <v>19203</v>
      </c>
      <c r="L8634" t="s">
        <v>167</v>
      </c>
      <c r="M8634" s="161" t="s">
        <v>19202</v>
      </c>
    </row>
    <row r="8635" spans="9:13" x14ac:dyDescent="0.25">
      <c r="I8635" t="s">
        <v>11557</v>
      </c>
      <c r="J8635" s="161" t="s">
        <v>19202</v>
      </c>
      <c r="K8635" t="s">
        <v>19203</v>
      </c>
      <c r="L8635" t="s">
        <v>11556</v>
      </c>
      <c r="M8635" s="161" t="s">
        <v>19202</v>
      </c>
    </row>
    <row r="8636" spans="9:13" x14ac:dyDescent="0.25">
      <c r="I8636" t="s">
        <v>9148</v>
      </c>
      <c r="J8636" s="161" t="s">
        <v>19202</v>
      </c>
      <c r="K8636" t="s">
        <v>19203</v>
      </c>
      <c r="L8636" t="s">
        <v>9147</v>
      </c>
      <c r="M8636" s="161" t="s">
        <v>19202</v>
      </c>
    </row>
    <row r="8637" spans="9:13" x14ac:dyDescent="0.25">
      <c r="I8637" t="s">
        <v>9831</v>
      </c>
      <c r="J8637" s="161" t="s">
        <v>19202</v>
      </c>
      <c r="K8637" t="s">
        <v>19203</v>
      </c>
      <c r="L8637" t="s">
        <v>9830</v>
      </c>
      <c r="M8637" s="161" t="s">
        <v>19202</v>
      </c>
    </row>
    <row r="8638" spans="9:13" x14ac:dyDescent="0.25">
      <c r="I8638" t="s">
        <v>3804</v>
      </c>
      <c r="J8638" s="167" t="s">
        <v>19994</v>
      </c>
      <c r="K8638" t="s">
        <v>19203</v>
      </c>
      <c r="L8638" t="s">
        <v>3803</v>
      </c>
      <c r="M8638" s="167" t="s">
        <v>19994</v>
      </c>
    </row>
    <row r="8639" spans="9:13" x14ac:dyDescent="0.25">
      <c r="I8639" t="s">
        <v>20571</v>
      </c>
      <c r="J8639" s="161" t="s">
        <v>19202</v>
      </c>
      <c r="K8639" t="s">
        <v>19203</v>
      </c>
      <c r="L8639" t="s">
        <v>20572</v>
      </c>
      <c r="M8639" s="161" t="s">
        <v>19202</v>
      </c>
    </row>
    <row r="8640" spans="9:13" x14ac:dyDescent="0.25">
      <c r="I8640" t="s">
        <v>11661</v>
      </c>
      <c r="J8640" s="161" t="s">
        <v>19202</v>
      </c>
      <c r="K8640" t="s">
        <v>19203</v>
      </c>
      <c r="L8640" t="s">
        <v>11660</v>
      </c>
      <c r="M8640" s="161" t="s">
        <v>19202</v>
      </c>
    </row>
    <row r="8641" spans="9:13" x14ac:dyDescent="0.25">
      <c r="I8641" t="s">
        <v>20573</v>
      </c>
      <c r="J8641" s="161" t="s">
        <v>19202</v>
      </c>
      <c r="K8641" t="s">
        <v>19203</v>
      </c>
      <c r="L8641" t="s">
        <v>20574</v>
      </c>
      <c r="M8641" s="161" t="s">
        <v>19202</v>
      </c>
    </row>
    <row r="8642" spans="9:13" x14ac:dyDescent="0.25">
      <c r="I8642" t="s">
        <v>20575</v>
      </c>
      <c r="J8642" s="161" t="s">
        <v>19202</v>
      </c>
      <c r="K8642" t="s">
        <v>19203</v>
      </c>
      <c r="L8642" t="s">
        <v>20576</v>
      </c>
      <c r="M8642" s="161" t="s">
        <v>19202</v>
      </c>
    </row>
    <row r="8643" spans="9:13" x14ac:dyDescent="0.25">
      <c r="I8643" t="s">
        <v>14239</v>
      </c>
      <c r="J8643" s="161" t="s">
        <v>19202</v>
      </c>
      <c r="K8643" t="s">
        <v>19203</v>
      </c>
      <c r="L8643" t="s">
        <v>6024</v>
      </c>
      <c r="M8643" s="161" t="s">
        <v>19202</v>
      </c>
    </row>
    <row r="8644" spans="9:13" x14ac:dyDescent="0.25">
      <c r="I8644" t="s">
        <v>230</v>
      </c>
      <c r="J8644" s="161" t="s">
        <v>19202</v>
      </c>
      <c r="K8644" t="s">
        <v>19203</v>
      </c>
      <c r="L8644" t="s">
        <v>229</v>
      </c>
      <c r="M8644" s="161" t="s">
        <v>19202</v>
      </c>
    </row>
    <row r="8645" spans="9:13" x14ac:dyDescent="0.25">
      <c r="I8645" t="s">
        <v>7648</v>
      </c>
      <c r="J8645" s="161" t="s">
        <v>19202</v>
      </c>
      <c r="K8645" t="s">
        <v>19203</v>
      </c>
      <c r="L8645" t="s">
        <v>7647</v>
      </c>
      <c r="M8645" s="161" t="s">
        <v>19202</v>
      </c>
    </row>
    <row r="8646" spans="9:13" x14ac:dyDescent="0.25">
      <c r="I8646" t="s">
        <v>5632</v>
      </c>
      <c r="J8646" s="161" t="s">
        <v>19202</v>
      </c>
      <c r="K8646" t="s">
        <v>19203</v>
      </c>
      <c r="L8646" t="s">
        <v>5631</v>
      </c>
      <c r="M8646" s="161" t="s">
        <v>19202</v>
      </c>
    </row>
    <row r="8647" spans="9:13" x14ac:dyDescent="0.25">
      <c r="I8647" t="s">
        <v>17102</v>
      </c>
      <c r="J8647" s="161" t="s">
        <v>19202</v>
      </c>
      <c r="K8647" t="s">
        <v>19203</v>
      </c>
      <c r="L8647" t="s">
        <v>17101</v>
      </c>
      <c r="M8647" s="161" t="s">
        <v>19202</v>
      </c>
    </row>
    <row r="8648" spans="9:13" x14ac:dyDescent="0.25">
      <c r="I8648" t="s">
        <v>4724</v>
      </c>
      <c r="J8648" s="161" t="s">
        <v>19202</v>
      </c>
      <c r="K8648" t="s">
        <v>19203</v>
      </c>
      <c r="L8648" t="s">
        <v>4723</v>
      </c>
      <c r="M8648" s="161" t="s">
        <v>19202</v>
      </c>
    </row>
    <row r="8649" spans="9:13" x14ac:dyDescent="0.25">
      <c r="I8649" t="s">
        <v>320</v>
      </c>
      <c r="J8649" s="167" t="s">
        <v>19994</v>
      </c>
      <c r="K8649" t="s">
        <v>19203</v>
      </c>
      <c r="L8649" t="s">
        <v>126</v>
      </c>
      <c r="M8649" s="167" t="s">
        <v>19994</v>
      </c>
    </row>
    <row r="8650" spans="9:13" x14ac:dyDescent="0.25">
      <c r="I8650" t="s">
        <v>10060</v>
      </c>
      <c r="J8650" s="161" t="s">
        <v>19202</v>
      </c>
      <c r="K8650" t="s">
        <v>19203</v>
      </c>
      <c r="L8650" t="s">
        <v>10059</v>
      </c>
      <c r="M8650" s="161" t="s">
        <v>19202</v>
      </c>
    </row>
    <row r="8651" spans="9:13" x14ac:dyDescent="0.25">
      <c r="I8651" t="s">
        <v>227</v>
      </c>
      <c r="J8651" s="161" t="s">
        <v>19202</v>
      </c>
      <c r="K8651" t="s">
        <v>19203</v>
      </c>
      <c r="L8651" t="s">
        <v>226</v>
      </c>
      <c r="M8651" s="161" t="s">
        <v>19202</v>
      </c>
    </row>
    <row r="8652" spans="9:13" x14ac:dyDescent="0.25">
      <c r="I8652" t="s">
        <v>221</v>
      </c>
      <c r="J8652" s="161" t="s">
        <v>19202</v>
      </c>
      <c r="K8652" t="s">
        <v>19203</v>
      </c>
      <c r="L8652" t="s">
        <v>220</v>
      </c>
      <c r="M8652" s="161" t="s">
        <v>19202</v>
      </c>
    </row>
    <row r="8653" spans="9:13" x14ac:dyDescent="0.25">
      <c r="I8653" t="s">
        <v>5673</v>
      </c>
      <c r="J8653" s="161" t="s">
        <v>19202</v>
      </c>
      <c r="K8653" t="s">
        <v>19203</v>
      </c>
      <c r="L8653" t="s">
        <v>5672</v>
      </c>
      <c r="M8653" s="161" t="s">
        <v>19202</v>
      </c>
    </row>
    <row r="8654" spans="9:13" x14ac:dyDescent="0.25">
      <c r="I8654" t="s">
        <v>20577</v>
      </c>
      <c r="J8654" s="161" t="s">
        <v>19202</v>
      </c>
      <c r="K8654" t="s">
        <v>19203</v>
      </c>
      <c r="L8654" t="s">
        <v>20578</v>
      </c>
      <c r="M8654" s="161" t="s">
        <v>19202</v>
      </c>
    </row>
    <row r="8655" spans="9:13" x14ac:dyDescent="0.25">
      <c r="I8655" t="s">
        <v>6616</v>
      </c>
      <c r="J8655" s="161" t="s">
        <v>19202</v>
      </c>
      <c r="K8655" t="s">
        <v>19203</v>
      </c>
      <c r="L8655" t="s">
        <v>6615</v>
      </c>
      <c r="M8655" s="161" t="s">
        <v>19202</v>
      </c>
    </row>
    <row r="8656" spans="9:13" x14ac:dyDescent="0.25">
      <c r="I8656" t="s">
        <v>6340</v>
      </c>
      <c r="J8656" s="161" t="s">
        <v>19202</v>
      </c>
      <c r="K8656" t="s">
        <v>19203</v>
      </c>
      <c r="L8656" t="s">
        <v>6339</v>
      </c>
      <c r="M8656" s="161" t="s">
        <v>19202</v>
      </c>
    </row>
    <row r="8657" spans="9:13" x14ac:dyDescent="0.25">
      <c r="I8657" t="s">
        <v>6334</v>
      </c>
      <c r="J8657" s="161" t="s">
        <v>19202</v>
      </c>
      <c r="K8657" t="s">
        <v>19203</v>
      </c>
      <c r="L8657" t="s">
        <v>6333</v>
      </c>
      <c r="M8657" s="161" t="s">
        <v>19202</v>
      </c>
    </row>
    <row r="8658" spans="9:13" x14ac:dyDescent="0.25">
      <c r="I8658" t="s">
        <v>20579</v>
      </c>
      <c r="J8658" s="161" t="s">
        <v>19202</v>
      </c>
      <c r="K8658" t="s">
        <v>19203</v>
      </c>
      <c r="L8658" t="s">
        <v>20580</v>
      </c>
      <c r="M8658" s="161" t="s">
        <v>19202</v>
      </c>
    </row>
    <row r="8659" spans="9:13" x14ac:dyDescent="0.25">
      <c r="I8659" t="s">
        <v>14189</v>
      </c>
      <c r="J8659" s="161" t="s">
        <v>19202</v>
      </c>
      <c r="K8659" t="s">
        <v>19203</v>
      </c>
      <c r="L8659" t="s">
        <v>13814</v>
      </c>
      <c r="M8659" s="161" t="s">
        <v>19202</v>
      </c>
    </row>
    <row r="8660" spans="9:13" x14ac:dyDescent="0.25">
      <c r="I8660" t="s">
        <v>20581</v>
      </c>
      <c r="J8660" s="161" t="s">
        <v>19202</v>
      </c>
      <c r="K8660" t="s">
        <v>19203</v>
      </c>
      <c r="L8660" t="s">
        <v>20582</v>
      </c>
      <c r="M8660" s="161" t="s">
        <v>19202</v>
      </c>
    </row>
    <row r="8661" spans="9:13" x14ac:dyDescent="0.25">
      <c r="I8661" t="s">
        <v>20583</v>
      </c>
      <c r="J8661" s="161" t="s">
        <v>19202</v>
      </c>
      <c r="K8661" t="s">
        <v>19203</v>
      </c>
      <c r="L8661" t="s">
        <v>20584</v>
      </c>
      <c r="M8661" s="161" t="s">
        <v>19202</v>
      </c>
    </row>
    <row r="8662" spans="9:13" x14ac:dyDescent="0.25">
      <c r="I8662" t="s">
        <v>20585</v>
      </c>
      <c r="J8662" s="161" t="s">
        <v>19202</v>
      </c>
      <c r="K8662" t="s">
        <v>19203</v>
      </c>
      <c r="L8662" t="s">
        <v>20586</v>
      </c>
      <c r="M8662" s="161" t="s">
        <v>19202</v>
      </c>
    </row>
    <row r="8663" spans="9:13" x14ac:dyDescent="0.25">
      <c r="I8663" t="s">
        <v>20587</v>
      </c>
      <c r="J8663" s="161" t="s">
        <v>19202</v>
      </c>
      <c r="K8663" t="s">
        <v>19203</v>
      </c>
      <c r="L8663" t="s">
        <v>20588</v>
      </c>
      <c r="M8663" s="161" t="s">
        <v>19202</v>
      </c>
    </row>
    <row r="8664" spans="9:13" x14ac:dyDescent="0.25">
      <c r="I8664" t="s">
        <v>10690</v>
      </c>
      <c r="J8664" s="161" t="s">
        <v>19202</v>
      </c>
      <c r="K8664" t="s">
        <v>19203</v>
      </c>
      <c r="L8664" t="s">
        <v>1084</v>
      </c>
      <c r="M8664" s="161" t="s">
        <v>19202</v>
      </c>
    </row>
    <row r="8665" spans="9:13" x14ac:dyDescent="0.25">
      <c r="I8665" t="s">
        <v>10244</v>
      </c>
      <c r="J8665" s="161" t="s">
        <v>19202</v>
      </c>
      <c r="K8665" t="s">
        <v>19203</v>
      </c>
      <c r="L8665" t="s">
        <v>10243</v>
      </c>
      <c r="M8665" s="161" t="s">
        <v>19202</v>
      </c>
    </row>
    <row r="8666" spans="9:13" x14ac:dyDescent="0.25">
      <c r="I8666" t="s">
        <v>2180</v>
      </c>
      <c r="J8666" s="161" t="s">
        <v>19202</v>
      </c>
      <c r="K8666" t="s">
        <v>19203</v>
      </c>
      <c r="L8666" t="s">
        <v>2179</v>
      </c>
      <c r="M8666" s="161" t="s">
        <v>19202</v>
      </c>
    </row>
    <row r="8667" spans="9:13" x14ac:dyDescent="0.25">
      <c r="I8667" t="s">
        <v>6276</v>
      </c>
      <c r="J8667" s="161" t="s">
        <v>19202</v>
      </c>
      <c r="K8667" t="s">
        <v>19203</v>
      </c>
      <c r="L8667" t="s">
        <v>6275</v>
      </c>
      <c r="M8667" s="161" t="s">
        <v>19202</v>
      </c>
    </row>
    <row r="8668" spans="9:13" x14ac:dyDescent="0.25">
      <c r="I8668" t="s">
        <v>2302</v>
      </c>
      <c r="J8668" s="161" t="s">
        <v>19202</v>
      </c>
      <c r="K8668" t="s">
        <v>19203</v>
      </c>
      <c r="L8668" t="s">
        <v>2301</v>
      </c>
      <c r="M8668" s="161" t="s">
        <v>19202</v>
      </c>
    </row>
    <row r="8669" spans="9:13" x14ac:dyDescent="0.25">
      <c r="I8669" t="s">
        <v>2166</v>
      </c>
      <c r="J8669" s="161" t="s">
        <v>19202</v>
      </c>
      <c r="K8669" t="s">
        <v>19203</v>
      </c>
      <c r="L8669" t="s">
        <v>2165</v>
      </c>
      <c r="M8669" s="161" t="s">
        <v>19202</v>
      </c>
    </row>
    <row r="8670" spans="9:13" x14ac:dyDescent="0.25">
      <c r="I8670" t="s">
        <v>4348</v>
      </c>
      <c r="J8670" s="161" t="s">
        <v>19202</v>
      </c>
      <c r="K8670" t="s">
        <v>19203</v>
      </c>
      <c r="L8670" t="s">
        <v>4347</v>
      </c>
      <c r="M8670" s="161" t="s">
        <v>19202</v>
      </c>
    </row>
    <row r="8671" spans="9:13" x14ac:dyDescent="0.25">
      <c r="I8671" t="s">
        <v>16327</v>
      </c>
      <c r="J8671" s="161" t="s">
        <v>19202</v>
      </c>
      <c r="K8671" t="s">
        <v>19203</v>
      </c>
      <c r="L8671" t="s">
        <v>16326</v>
      </c>
      <c r="M8671" s="161" t="s">
        <v>19202</v>
      </c>
    </row>
    <row r="8672" spans="9:13" x14ac:dyDescent="0.25">
      <c r="I8672" t="s">
        <v>51</v>
      </c>
      <c r="J8672" s="161" t="s">
        <v>19202</v>
      </c>
      <c r="K8672" t="s">
        <v>19203</v>
      </c>
      <c r="L8672" t="s">
        <v>50</v>
      </c>
      <c r="M8672" s="161" t="s">
        <v>19202</v>
      </c>
    </row>
    <row r="8673" spans="9:13" x14ac:dyDescent="0.25">
      <c r="I8673" t="s">
        <v>9732</v>
      </c>
      <c r="J8673" s="161" t="s">
        <v>19202</v>
      </c>
      <c r="K8673" t="s">
        <v>19203</v>
      </c>
      <c r="L8673" t="s">
        <v>9731</v>
      </c>
      <c r="M8673" s="161" t="s">
        <v>19202</v>
      </c>
    </row>
    <row r="8674" spans="9:13" x14ac:dyDescent="0.25">
      <c r="I8674" t="s">
        <v>16206</v>
      </c>
      <c r="J8674" s="167" t="s">
        <v>19994</v>
      </c>
      <c r="K8674" t="s">
        <v>19203</v>
      </c>
      <c r="L8674" t="s">
        <v>12141</v>
      </c>
      <c r="M8674" s="167" t="s">
        <v>19994</v>
      </c>
    </row>
    <row r="8675" spans="9:13" x14ac:dyDescent="0.25">
      <c r="I8675" t="s">
        <v>288</v>
      </c>
      <c r="J8675" s="161" t="s">
        <v>19202</v>
      </c>
      <c r="K8675" t="s">
        <v>19203</v>
      </c>
      <c r="L8675" t="s">
        <v>287</v>
      </c>
      <c r="M8675" s="161" t="s">
        <v>19202</v>
      </c>
    </row>
    <row r="8676" spans="9:13" x14ac:dyDescent="0.25">
      <c r="I8676" t="s">
        <v>10242</v>
      </c>
      <c r="J8676" s="161" t="s">
        <v>19202</v>
      </c>
      <c r="K8676" t="s">
        <v>19203</v>
      </c>
      <c r="L8676" t="s">
        <v>10241</v>
      </c>
      <c r="M8676" s="161" t="s">
        <v>19202</v>
      </c>
    </row>
    <row r="8677" spans="9:13" x14ac:dyDescent="0.25">
      <c r="I8677" t="s">
        <v>10973</v>
      </c>
      <c r="J8677" s="161" t="s">
        <v>19202</v>
      </c>
      <c r="K8677" t="s">
        <v>19203</v>
      </c>
      <c r="L8677" t="s">
        <v>22</v>
      </c>
      <c r="M8677" s="161" t="s">
        <v>19202</v>
      </c>
    </row>
    <row r="8678" spans="9:13" x14ac:dyDescent="0.25">
      <c r="I8678" t="s">
        <v>20589</v>
      </c>
      <c r="J8678" s="161" t="s">
        <v>19202</v>
      </c>
      <c r="K8678" t="s">
        <v>19203</v>
      </c>
      <c r="L8678" t="s">
        <v>1605</v>
      </c>
      <c r="M8678" s="161" t="s">
        <v>19202</v>
      </c>
    </row>
    <row r="8679" spans="9:13" x14ac:dyDescent="0.25">
      <c r="I8679" t="s">
        <v>11718</v>
      </c>
      <c r="J8679" s="161" t="s">
        <v>19994</v>
      </c>
      <c r="K8679" t="s">
        <v>19203</v>
      </c>
      <c r="L8679" t="s">
        <v>11717</v>
      </c>
      <c r="M8679" s="161" t="s">
        <v>19994</v>
      </c>
    </row>
    <row r="8680" spans="9:13" x14ac:dyDescent="0.25">
      <c r="I8680" t="s">
        <v>211</v>
      </c>
      <c r="J8680" s="161" t="s">
        <v>19994</v>
      </c>
      <c r="K8680" t="s">
        <v>19203</v>
      </c>
      <c r="L8680" t="s">
        <v>210</v>
      </c>
      <c r="M8680" s="161" t="s">
        <v>19994</v>
      </c>
    </row>
    <row r="8681" spans="9:13" x14ac:dyDescent="0.25">
      <c r="I8681" t="s">
        <v>6332</v>
      </c>
      <c r="J8681" s="161" t="s">
        <v>19202</v>
      </c>
      <c r="K8681" t="s">
        <v>19203</v>
      </c>
      <c r="L8681" t="s">
        <v>122</v>
      </c>
      <c r="M8681" s="161" t="s">
        <v>19202</v>
      </c>
    </row>
    <row r="8682" spans="9:13" x14ac:dyDescent="0.25">
      <c r="I8682" t="s">
        <v>4346</v>
      </c>
      <c r="J8682" s="161" t="s">
        <v>19202</v>
      </c>
      <c r="K8682" t="s">
        <v>19203</v>
      </c>
      <c r="L8682" t="s">
        <v>4345</v>
      </c>
      <c r="M8682" s="161" t="s">
        <v>19202</v>
      </c>
    </row>
    <row r="8683" spans="9:13" x14ac:dyDescent="0.25">
      <c r="I8683" t="s">
        <v>166</v>
      </c>
      <c r="J8683" s="161" t="s">
        <v>19202</v>
      </c>
      <c r="K8683" t="s">
        <v>19203</v>
      </c>
      <c r="L8683" t="s">
        <v>165</v>
      </c>
      <c r="M8683" s="161" t="s">
        <v>19202</v>
      </c>
    </row>
    <row r="8684" spans="9:13" x14ac:dyDescent="0.25">
      <c r="I8684" t="s">
        <v>6338</v>
      </c>
      <c r="J8684" s="161" t="s">
        <v>19202</v>
      </c>
      <c r="K8684" t="s">
        <v>19203</v>
      </c>
      <c r="L8684" t="s">
        <v>6337</v>
      </c>
      <c r="M8684" s="161" t="s">
        <v>19202</v>
      </c>
    </row>
    <row r="8685" spans="9:13" x14ac:dyDescent="0.25">
      <c r="I8685" t="s">
        <v>6035</v>
      </c>
      <c r="J8685" s="161" t="s">
        <v>19202</v>
      </c>
      <c r="K8685" t="s">
        <v>19203</v>
      </c>
      <c r="L8685" t="s">
        <v>6034</v>
      </c>
      <c r="M8685" s="161" t="s">
        <v>19202</v>
      </c>
    </row>
    <row r="8686" spans="9:13" x14ac:dyDescent="0.25">
      <c r="I8686" t="s">
        <v>20590</v>
      </c>
      <c r="J8686" s="161" t="s">
        <v>19202</v>
      </c>
      <c r="K8686" t="s">
        <v>19203</v>
      </c>
      <c r="L8686" t="s">
        <v>20591</v>
      </c>
      <c r="M8686" s="161" t="s">
        <v>19202</v>
      </c>
    </row>
    <row r="8687" spans="9:13" x14ac:dyDescent="0.25">
      <c r="I8687" t="s">
        <v>20592</v>
      </c>
      <c r="J8687" s="161" t="s">
        <v>19202</v>
      </c>
      <c r="K8687" t="s">
        <v>19203</v>
      </c>
      <c r="L8687" t="s">
        <v>20593</v>
      </c>
      <c r="M8687" s="161" t="s">
        <v>19202</v>
      </c>
    </row>
    <row r="8688" spans="9:13" x14ac:dyDescent="0.25">
      <c r="I8688" t="s">
        <v>9734</v>
      </c>
      <c r="J8688" s="161" t="s">
        <v>19202</v>
      </c>
      <c r="K8688" t="s">
        <v>19203</v>
      </c>
      <c r="L8688" t="s">
        <v>9733</v>
      </c>
      <c r="M8688" s="161" t="s">
        <v>19202</v>
      </c>
    </row>
    <row r="8689" spans="9:13" x14ac:dyDescent="0.25">
      <c r="I8689" t="s">
        <v>20594</v>
      </c>
      <c r="J8689" s="161" t="s">
        <v>19202</v>
      </c>
      <c r="K8689" t="s">
        <v>19203</v>
      </c>
      <c r="L8689" t="s">
        <v>20595</v>
      </c>
      <c r="M8689" s="161" t="s">
        <v>19202</v>
      </c>
    </row>
    <row r="8690" spans="9:13" x14ac:dyDescent="0.25">
      <c r="I8690" t="s">
        <v>3450</v>
      </c>
      <c r="J8690" s="161" t="s">
        <v>19202</v>
      </c>
      <c r="K8690" t="s">
        <v>19203</v>
      </c>
      <c r="L8690" t="s">
        <v>3449</v>
      </c>
      <c r="M8690" s="161" t="s">
        <v>19202</v>
      </c>
    </row>
    <row r="8691" spans="9:13" x14ac:dyDescent="0.25">
      <c r="I8691" t="s">
        <v>10291</v>
      </c>
      <c r="J8691" s="161" t="s">
        <v>19202</v>
      </c>
      <c r="K8691" t="s">
        <v>19203</v>
      </c>
      <c r="L8691" t="s">
        <v>10290</v>
      </c>
      <c r="M8691" s="161" t="s">
        <v>19202</v>
      </c>
    </row>
    <row r="8692" spans="9:13" x14ac:dyDescent="0.25">
      <c r="I8692" t="s">
        <v>406</v>
      </c>
      <c r="J8692" s="161" t="s">
        <v>19202</v>
      </c>
      <c r="K8692" t="s">
        <v>19203</v>
      </c>
      <c r="L8692" t="s">
        <v>405</v>
      </c>
      <c r="M8692" s="161" t="s">
        <v>19202</v>
      </c>
    </row>
    <row r="8693" spans="9:13" x14ac:dyDescent="0.25">
      <c r="I8693" t="s">
        <v>11545</v>
      </c>
      <c r="J8693" s="161" t="s">
        <v>19202</v>
      </c>
      <c r="K8693" t="s">
        <v>19203</v>
      </c>
      <c r="L8693" t="s">
        <v>11544</v>
      </c>
      <c r="M8693" s="161" t="s">
        <v>19202</v>
      </c>
    </row>
    <row r="8694" spans="9:13" x14ac:dyDescent="0.25">
      <c r="I8694" t="s">
        <v>16990</v>
      </c>
      <c r="J8694" s="167" t="s">
        <v>19994</v>
      </c>
      <c r="K8694" t="s">
        <v>19203</v>
      </c>
      <c r="L8694" t="s">
        <v>4637</v>
      </c>
      <c r="M8694" s="167" t="s">
        <v>19994</v>
      </c>
    </row>
    <row r="8695" spans="9:13" x14ac:dyDescent="0.25">
      <c r="I8695" t="s">
        <v>11933</v>
      </c>
      <c r="J8695" s="167" t="s">
        <v>19994</v>
      </c>
      <c r="K8695" t="s">
        <v>19203</v>
      </c>
      <c r="L8695" t="s">
        <v>11932</v>
      </c>
      <c r="M8695" s="167" t="s">
        <v>19994</v>
      </c>
    </row>
    <row r="8696" spans="9:13" x14ac:dyDescent="0.25">
      <c r="I8696" t="s">
        <v>3798</v>
      </c>
      <c r="J8696" s="161" t="s">
        <v>19994</v>
      </c>
      <c r="K8696" t="s">
        <v>19203</v>
      </c>
      <c r="L8696" t="s">
        <v>3797</v>
      </c>
      <c r="M8696" s="161" t="s">
        <v>19994</v>
      </c>
    </row>
    <row r="8697" spans="9:13" x14ac:dyDescent="0.25">
      <c r="I8697" t="s">
        <v>9338</v>
      </c>
      <c r="J8697" s="161" t="s">
        <v>19202</v>
      </c>
      <c r="K8697" t="s">
        <v>19203</v>
      </c>
      <c r="L8697" t="s">
        <v>9337</v>
      </c>
      <c r="M8697" s="161" t="s">
        <v>19202</v>
      </c>
    </row>
    <row r="8698" spans="9:13" x14ac:dyDescent="0.25">
      <c r="I8698" t="s">
        <v>20596</v>
      </c>
      <c r="J8698" s="161" t="s">
        <v>19202</v>
      </c>
      <c r="K8698" t="s">
        <v>19203</v>
      </c>
      <c r="L8698" t="s">
        <v>20597</v>
      </c>
      <c r="M8698" s="161" t="s">
        <v>19202</v>
      </c>
    </row>
    <row r="8699" spans="9:13" x14ac:dyDescent="0.25">
      <c r="I8699" t="s">
        <v>5602</v>
      </c>
      <c r="J8699" s="167" t="s">
        <v>19994</v>
      </c>
      <c r="K8699" t="s">
        <v>19203</v>
      </c>
      <c r="L8699" t="s">
        <v>5601</v>
      </c>
      <c r="M8699" s="167" t="s">
        <v>19994</v>
      </c>
    </row>
    <row r="8700" spans="9:13" x14ac:dyDescent="0.25">
      <c r="I8700" t="s">
        <v>20598</v>
      </c>
      <c r="J8700" s="161" t="s">
        <v>19202</v>
      </c>
      <c r="K8700" t="s">
        <v>19203</v>
      </c>
      <c r="L8700" t="s">
        <v>20599</v>
      </c>
      <c r="M8700" s="161" t="s">
        <v>19202</v>
      </c>
    </row>
    <row r="8701" spans="9:13" x14ac:dyDescent="0.25">
      <c r="I8701" t="s">
        <v>12576</v>
      </c>
      <c r="J8701" s="167" t="s">
        <v>19994</v>
      </c>
      <c r="K8701" t="s">
        <v>19203</v>
      </c>
      <c r="L8701" t="s">
        <v>12575</v>
      </c>
      <c r="M8701" s="167" t="s">
        <v>19994</v>
      </c>
    </row>
    <row r="8702" spans="9:13" x14ac:dyDescent="0.25">
      <c r="I8702" t="s">
        <v>10139</v>
      </c>
      <c r="J8702" s="161" t="s">
        <v>19994</v>
      </c>
      <c r="K8702" t="s">
        <v>19203</v>
      </c>
      <c r="L8702" t="s">
        <v>10138</v>
      </c>
      <c r="M8702" s="161" t="s">
        <v>19994</v>
      </c>
    </row>
    <row r="8703" spans="9:13" x14ac:dyDescent="0.25">
      <c r="I8703" t="s">
        <v>13989</v>
      </c>
      <c r="J8703" s="161" t="s">
        <v>19202</v>
      </c>
      <c r="K8703" t="s">
        <v>19203</v>
      </c>
      <c r="L8703" t="s">
        <v>13988</v>
      </c>
      <c r="M8703" s="161" t="s">
        <v>19202</v>
      </c>
    </row>
    <row r="8704" spans="9:13" x14ac:dyDescent="0.25">
      <c r="I8704" t="s">
        <v>551</v>
      </c>
      <c r="J8704" s="161" t="s">
        <v>19202</v>
      </c>
      <c r="K8704" t="s">
        <v>19203</v>
      </c>
      <c r="L8704" t="s">
        <v>550</v>
      </c>
      <c r="M8704" s="161" t="s">
        <v>19202</v>
      </c>
    </row>
    <row r="8705" spans="9:13" x14ac:dyDescent="0.25">
      <c r="I8705" t="s">
        <v>14944</v>
      </c>
      <c r="J8705" s="161" t="s">
        <v>19202</v>
      </c>
      <c r="K8705" t="s">
        <v>19203</v>
      </c>
      <c r="L8705" t="s">
        <v>14943</v>
      </c>
      <c r="M8705" s="161" t="s">
        <v>19202</v>
      </c>
    </row>
    <row r="8706" spans="9:13" x14ac:dyDescent="0.25">
      <c r="I8706" t="s">
        <v>14942</v>
      </c>
      <c r="J8706" s="161" t="s">
        <v>19202</v>
      </c>
      <c r="K8706" t="s">
        <v>19203</v>
      </c>
      <c r="L8706" t="s">
        <v>6263</v>
      </c>
      <c r="M8706" s="161" t="s">
        <v>19202</v>
      </c>
    </row>
    <row r="8707" spans="9:13" x14ac:dyDescent="0.25">
      <c r="I8707" t="s">
        <v>3448</v>
      </c>
      <c r="J8707" s="161" t="s">
        <v>19202</v>
      </c>
      <c r="K8707" t="s">
        <v>19203</v>
      </c>
      <c r="L8707" t="s">
        <v>3447</v>
      </c>
      <c r="M8707" s="161" t="s">
        <v>19202</v>
      </c>
    </row>
    <row r="8708" spans="9:13" x14ac:dyDescent="0.25">
      <c r="I8708" t="s">
        <v>20600</v>
      </c>
      <c r="J8708" s="167" t="s">
        <v>19994</v>
      </c>
      <c r="K8708" t="s">
        <v>19203</v>
      </c>
      <c r="L8708" t="s">
        <v>301</v>
      </c>
      <c r="M8708" s="167" t="s">
        <v>19994</v>
      </c>
    </row>
    <row r="8709" spans="9:13" x14ac:dyDescent="0.25">
      <c r="I8709" t="s">
        <v>6259</v>
      </c>
      <c r="J8709" s="161" t="s">
        <v>19202</v>
      </c>
      <c r="K8709" t="s">
        <v>19203</v>
      </c>
      <c r="L8709" t="s">
        <v>6258</v>
      </c>
      <c r="M8709" s="161" t="s">
        <v>19202</v>
      </c>
    </row>
    <row r="8710" spans="9:13" x14ac:dyDescent="0.25">
      <c r="I8710" t="s">
        <v>10267</v>
      </c>
      <c r="J8710" s="161" t="s">
        <v>19202</v>
      </c>
      <c r="K8710" t="s">
        <v>19203</v>
      </c>
      <c r="L8710" t="s">
        <v>10266</v>
      </c>
      <c r="M8710" s="161" t="s">
        <v>19202</v>
      </c>
    </row>
    <row r="8711" spans="9:13" x14ac:dyDescent="0.25">
      <c r="I8711" t="s">
        <v>17180</v>
      </c>
      <c r="J8711" s="161" t="s">
        <v>19202</v>
      </c>
      <c r="K8711" t="s">
        <v>19203</v>
      </c>
      <c r="L8711" t="s">
        <v>17179</v>
      </c>
      <c r="M8711" s="161" t="s">
        <v>19202</v>
      </c>
    </row>
    <row r="8712" spans="9:13" x14ac:dyDescent="0.25">
      <c r="I8712" t="s">
        <v>20601</v>
      </c>
      <c r="J8712" s="161" t="s">
        <v>19202</v>
      </c>
      <c r="K8712" t="s">
        <v>19203</v>
      </c>
      <c r="L8712" t="s">
        <v>20602</v>
      </c>
      <c r="M8712" s="161" t="s">
        <v>19202</v>
      </c>
    </row>
    <row r="8713" spans="9:13" x14ac:dyDescent="0.25">
      <c r="I8713" t="s">
        <v>15420</v>
      </c>
      <c r="J8713" s="161" t="s">
        <v>19202</v>
      </c>
      <c r="K8713" t="s">
        <v>19203</v>
      </c>
      <c r="L8713" t="s">
        <v>1295</v>
      </c>
      <c r="M8713" s="161" t="s">
        <v>19202</v>
      </c>
    </row>
    <row r="8714" spans="9:13" x14ac:dyDescent="0.25">
      <c r="I8714" t="s">
        <v>240</v>
      </c>
      <c r="J8714" s="161" t="s">
        <v>19202</v>
      </c>
      <c r="K8714" t="s">
        <v>19203</v>
      </c>
      <c r="L8714" t="s">
        <v>239</v>
      </c>
      <c r="M8714" s="161" t="s">
        <v>19202</v>
      </c>
    </row>
    <row r="8715" spans="9:13" x14ac:dyDescent="0.25">
      <c r="I8715" t="s">
        <v>3533</v>
      </c>
      <c r="J8715" s="161" t="s">
        <v>19202</v>
      </c>
      <c r="K8715" t="s">
        <v>19203</v>
      </c>
      <c r="L8715" t="s">
        <v>3532</v>
      </c>
      <c r="M8715" s="161" t="s">
        <v>19202</v>
      </c>
    </row>
    <row r="8716" spans="9:13" x14ac:dyDescent="0.25">
      <c r="I8716" t="s">
        <v>13083</v>
      </c>
      <c r="J8716" s="161" t="s">
        <v>19202</v>
      </c>
      <c r="K8716" t="s">
        <v>19203</v>
      </c>
      <c r="L8716" t="s">
        <v>13082</v>
      </c>
      <c r="M8716" s="161" t="s">
        <v>19202</v>
      </c>
    </row>
    <row r="8717" spans="9:13" x14ac:dyDescent="0.25">
      <c r="I8717" t="s">
        <v>6336</v>
      </c>
      <c r="J8717" s="161" t="s">
        <v>19202</v>
      </c>
      <c r="K8717" t="s">
        <v>19203</v>
      </c>
      <c r="L8717" t="s">
        <v>6335</v>
      </c>
      <c r="M8717" s="161" t="s">
        <v>19202</v>
      </c>
    </row>
    <row r="8718" spans="9:13" x14ac:dyDescent="0.25">
      <c r="I8718" t="s">
        <v>311</v>
      </c>
      <c r="J8718" s="161" t="s">
        <v>19202</v>
      </c>
      <c r="K8718" t="s">
        <v>19203</v>
      </c>
      <c r="L8718" t="s">
        <v>310</v>
      </c>
      <c r="M8718" s="161" t="s">
        <v>19202</v>
      </c>
    </row>
    <row r="8719" spans="9:13" x14ac:dyDescent="0.25">
      <c r="I8719" t="s">
        <v>3963</v>
      </c>
      <c r="J8719" s="161" t="s">
        <v>19202</v>
      </c>
      <c r="K8719" t="s">
        <v>19203</v>
      </c>
      <c r="L8719" t="s">
        <v>3962</v>
      </c>
      <c r="M8719" s="161" t="s">
        <v>19202</v>
      </c>
    </row>
    <row r="8720" spans="9:13" x14ac:dyDescent="0.25">
      <c r="I8720" t="s">
        <v>20603</v>
      </c>
      <c r="J8720" s="161" t="s">
        <v>19202</v>
      </c>
      <c r="K8720" t="s">
        <v>19203</v>
      </c>
      <c r="L8720" t="s">
        <v>20604</v>
      </c>
      <c r="M8720" s="161" t="s">
        <v>19202</v>
      </c>
    </row>
    <row r="8721" spans="9:13" x14ac:dyDescent="0.25">
      <c r="I8721" t="s">
        <v>20605</v>
      </c>
      <c r="J8721" s="161" t="s">
        <v>19202</v>
      </c>
      <c r="K8721" t="s">
        <v>19203</v>
      </c>
      <c r="L8721" t="s">
        <v>20606</v>
      </c>
      <c r="M8721" s="161" t="s">
        <v>19202</v>
      </c>
    </row>
    <row r="8722" spans="9:13" x14ac:dyDescent="0.25">
      <c r="I8722" t="s">
        <v>11793</v>
      </c>
      <c r="J8722" s="161" t="s">
        <v>19202</v>
      </c>
      <c r="K8722" t="s">
        <v>19203</v>
      </c>
      <c r="L8722" t="s">
        <v>11792</v>
      </c>
      <c r="M8722" s="161" t="s">
        <v>19202</v>
      </c>
    </row>
    <row r="8723" spans="9:13" x14ac:dyDescent="0.25">
      <c r="I8723" t="s">
        <v>11257</v>
      </c>
      <c r="J8723" s="161" t="s">
        <v>19202</v>
      </c>
      <c r="K8723" t="s">
        <v>19203</v>
      </c>
      <c r="L8723" t="s">
        <v>11256</v>
      </c>
      <c r="M8723" s="161" t="s">
        <v>19202</v>
      </c>
    </row>
    <row r="8724" spans="9:13" x14ac:dyDescent="0.25">
      <c r="I8724" t="s">
        <v>20607</v>
      </c>
      <c r="J8724" s="161" t="s">
        <v>19202</v>
      </c>
      <c r="K8724" t="s">
        <v>19203</v>
      </c>
      <c r="L8724" t="s">
        <v>20608</v>
      </c>
      <c r="M8724" s="161" t="s">
        <v>19202</v>
      </c>
    </row>
    <row r="8725" spans="9:13" x14ac:dyDescent="0.25">
      <c r="I8725" t="s">
        <v>13987</v>
      </c>
      <c r="J8725" s="161" t="s">
        <v>19202</v>
      </c>
      <c r="K8725" t="s">
        <v>19203</v>
      </c>
      <c r="L8725" t="s">
        <v>13986</v>
      </c>
      <c r="M8725" s="161" t="s">
        <v>19202</v>
      </c>
    </row>
    <row r="8726" spans="9:13" x14ac:dyDescent="0.25">
      <c r="I8726" t="s">
        <v>20609</v>
      </c>
      <c r="J8726" s="161" t="s">
        <v>19202</v>
      </c>
      <c r="K8726" t="s">
        <v>19203</v>
      </c>
      <c r="L8726" t="s">
        <v>20610</v>
      </c>
      <c r="M8726" s="161" t="s">
        <v>19202</v>
      </c>
    </row>
    <row r="8727" spans="9:13" x14ac:dyDescent="0.25">
      <c r="I8727" t="s">
        <v>4351</v>
      </c>
      <c r="J8727" s="161" t="s">
        <v>19202</v>
      </c>
      <c r="K8727" t="s">
        <v>19203</v>
      </c>
      <c r="L8727" t="s">
        <v>4350</v>
      </c>
      <c r="M8727" s="161" t="s">
        <v>19202</v>
      </c>
    </row>
    <row r="8728" spans="9:13" x14ac:dyDescent="0.25">
      <c r="I8728" t="s">
        <v>13464</v>
      </c>
      <c r="J8728" s="161" t="s">
        <v>19202</v>
      </c>
      <c r="K8728" t="s">
        <v>19203</v>
      </c>
      <c r="L8728" t="s">
        <v>13463</v>
      </c>
      <c r="M8728" s="161" t="s">
        <v>19202</v>
      </c>
    </row>
    <row r="8729" spans="9:13" x14ac:dyDescent="0.25">
      <c r="I8729" t="s">
        <v>184</v>
      </c>
      <c r="J8729" s="161" t="s">
        <v>19994</v>
      </c>
      <c r="K8729" t="s">
        <v>19203</v>
      </c>
      <c r="L8729" t="s">
        <v>183</v>
      </c>
      <c r="M8729" s="161" t="s">
        <v>19994</v>
      </c>
    </row>
    <row r="8730" spans="9:13" x14ac:dyDescent="0.25">
      <c r="I8730" t="s">
        <v>2182</v>
      </c>
      <c r="J8730" s="161" t="s">
        <v>19202</v>
      </c>
      <c r="K8730" t="s">
        <v>19203</v>
      </c>
      <c r="L8730" t="s">
        <v>2181</v>
      </c>
      <c r="M8730" s="161" t="s">
        <v>19202</v>
      </c>
    </row>
    <row r="8731" spans="9:13" x14ac:dyDescent="0.25">
      <c r="I8731" t="s">
        <v>225</v>
      </c>
      <c r="J8731" s="161" t="s">
        <v>19202</v>
      </c>
      <c r="K8731" t="s">
        <v>19203</v>
      </c>
      <c r="L8731" t="s">
        <v>224</v>
      </c>
      <c r="M8731" s="161" t="s">
        <v>19202</v>
      </c>
    </row>
    <row r="8732" spans="9:13" x14ac:dyDescent="0.25">
      <c r="I8732" t="s">
        <v>2164</v>
      </c>
      <c r="J8732" s="161" t="s">
        <v>19202</v>
      </c>
      <c r="K8732" t="s">
        <v>19203</v>
      </c>
      <c r="L8732" t="s">
        <v>2163</v>
      </c>
      <c r="M8732" s="161" t="s">
        <v>19202</v>
      </c>
    </row>
    <row r="8733" spans="9:13" x14ac:dyDescent="0.25">
      <c r="I8733" t="s">
        <v>9180</v>
      </c>
      <c r="J8733" s="161" t="s">
        <v>19202</v>
      </c>
      <c r="K8733" t="s">
        <v>19203</v>
      </c>
      <c r="L8733" t="s">
        <v>9179</v>
      </c>
      <c r="M8733" s="161" t="s">
        <v>19202</v>
      </c>
    </row>
    <row r="8734" spans="9:13" x14ac:dyDescent="0.25">
      <c r="I8734" t="s">
        <v>6614</v>
      </c>
      <c r="J8734" s="161" t="s">
        <v>19202</v>
      </c>
      <c r="K8734" t="s">
        <v>19203</v>
      </c>
      <c r="L8734" t="s">
        <v>6613</v>
      </c>
      <c r="M8734" s="161" t="s">
        <v>19202</v>
      </c>
    </row>
    <row r="8735" spans="9:13" x14ac:dyDescent="0.25">
      <c r="I8735" t="s">
        <v>6943</v>
      </c>
      <c r="J8735" s="161" t="s">
        <v>19202</v>
      </c>
      <c r="K8735" t="s">
        <v>19203</v>
      </c>
      <c r="L8735" t="s">
        <v>6942</v>
      </c>
      <c r="M8735" s="161" t="s">
        <v>19202</v>
      </c>
    </row>
    <row r="8736" spans="9:13" x14ac:dyDescent="0.25">
      <c r="I8736" t="s">
        <v>20611</v>
      </c>
      <c r="J8736" s="161" t="s">
        <v>19202</v>
      </c>
      <c r="K8736" t="s">
        <v>19203</v>
      </c>
      <c r="L8736" t="s">
        <v>123</v>
      </c>
      <c r="M8736" s="161" t="s">
        <v>19202</v>
      </c>
    </row>
    <row r="8737" spans="9:13" x14ac:dyDescent="0.25">
      <c r="I8737" t="s">
        <v>276</v>
      </c>
      <c r="J8737" s="161" t="s">
        <v>19202</v>
      </c>
      <c r="K8737" t="s">
        <v>19203</v>
      </c>
      <c r="L8737" t="s">
        <v>275</v>
      </c>
      <c r="M8737" s="161" t="s">
        <v>19202</v>
      </c>
    </row>
    <row r="8738" spans="9:13" x14ac:dyDescent="0.25">
      <c r="I8738" t="s">
        <v>12200</v>
      </c>
      <c r="J8738" s="161" t="s">
        <v>19202</v>
      </c>
      <c r="K8738" t="s">
        <v>19203</v>
      </c>
      <c r="L8738" t="s">
        <v>12199</v>
      </c>
      <c r="M8738" s="161" t="s">
        <v>19202</v>
      </c>
    </row>
    <row r="8739" spans="9:13" x14ac:dyDescent="0.25">
      <c r="I8739" t="s">
        <v>20612</v>
      </c>
      <c r="J8739" s="161" t="s">
        <v>19202</v>
      </c>
      <c r="K8739" t="s">
        <v>19203</v>
      </c>
      <c r="L8739" t="s">
        <v>20613</v>
      </c>
      <c r="M8739" s="161" t="s">
        <v>19202</v>
      </c>
    </row>
    <row r="8740" spans="9:13" x14ac:dyDescent="0.25">
      <c r="I8740" t="s">
        <v>7646</v>
      </c>
      <c r="J8740" s="161" t="s">
        <v>19202</v>
      </c>
      <c r="K8740" t="s">
        <v>19203</v>
      </c>
      <c r="L8740" t="s">
        <v>7645</v>
      </c>
      <c r="M8740" s="161" t="s">
        <v>19202</v>
      </c>
    </row>
    <row r="8741" spans="9:13" x14ac:dyDescent="0.25">
      <c r="I8741" t="s">
        <v>7003</v>
      </c>
      <c r="J8741" s="161" t="s">
        <v>19202</v>
      </c>
      <c r="K8741" t="s">
        <v>19203</v>
      </c>
      <c r="L8741" t="s">
        <v>7002</v>
      </c>
      <c r="M8741" s="161" t="s">
        <v>19202</v>
      </c>
    </row>
    <row r="8742" spans="9:13" x14ac:dyDescent="0.25">
      <c r="I8742" t="s">
        <v>286</v>
      </c>
      <c r="J8742" s="161" t="s">
        <v>19202</v>
      </c>
      <c r="K8742" t="s">
        <v>19203</v>
      </c>
      <c r="L8742" t="s">
        <v>285</v>
      </c>
      <c r="M8742" s="161" t="s">
        <v>19202</v>
      </c>
    </row>
    <row r="8743" spans="9:13" x14ac:dyDescent="0.25">
      <c r="I8743" t="s">
        <v>278</v>
      </c>
      <c r="J8743" s="161" t="s">
        <v>19202</v>
      </c>
      <c r="K8743" t="s">
        <v>19203</v>
      </c>
      <c r="L8743" t="s">
        <v>277</v>
      </c>
      <c r="M8743" s="161" t="s">
        <v>19202</v>
      </c>
    </row>
    <row r="8744" spans="9:13" x14ac:dyDescent="0.25">
      <c r="I8744" t="s">
        <v>3961</v>
      </c>
      <c r="J8744" s="161" t="s">
        <v>19202</v>
      </c>
      <c r="K8744" t="s">
        <v>19203</v>
      </c>
      <c r="L8744" t="s">
        <v>3960</v>
      </c>
      <c r="M8744" s="161" t="s">
        <v>19202</v>
      </c>
    </row>
    <row r="8745" spans="9:13" x14ac:dyDescent="0.25">
      <c r="I8745" t="s">
        <v>5630</v>
      </c>
      <c r="J8745" s="161" t="s">
        <v>19202</v>
      </c>
      <c r="K8745" t="s">
        <v>19203</v>
      </c>
      <c r="L8745" t="s">
        <v>5629</v>
      </c>
      <c r="M8745" s="161" t="s">
        <v>19202</v>
      </c>
    </row>
    <row r="8746" spans="9:13" x14ac:dyDescent="0.25">
      <c r="I8746" t="s">
        <v>10062</v>
      </c>
      <c r="J8746" s="161" t="s">
        <v>19202</v>
      </c>
      <c r="K8746" t="s">
        <v>19203</v>
      </c>
      <c r="L8746" t="s">
        <v>10061</v>
      </c>
      <c r="M8746" s="161" t="s">
        <v>19202</v>
      </c>
    </row>
    <row r="8747" spans="9:13" x14ac:dyDescent="0.25">
      <c r="I8747" t="s">
        <v>15090</v>
      </c>
      <c r="J8747" s="161" t="s">
        <v>19202</v>
      </c>
      <c r="K8747" t="s">
        <v>19203</v>
      </c>
      <c r="L8747" t="s">
        <v>15089</v>
      </c>
      <c r="M8747" s="161" t="s">
        <v>19202</v>
      </c>
    </row>
    <row r="8748" spans="9:13" x14ac:dyDescent="0.25">
      <c r="I8748" t="s">
        <v>15088</v>
      </c>
      <c r="J8748" s="161" t="s">
        <v>19202</v>
      </c>
      <c r="K8748" t="s">
        <v>19203</v>
      </c>
      <c r="L8748" t="s">
        <v>14932</v>
      </c>
      <c r="M8748" s="161" t="s">
        <v>19202</v>
      </c>
    </row>
    <row r="8749" spans="9:13" x14ac:dyDescent="0.25">
      <c r="I8749" t="s">
        <v>10345</v>
      </c>
      <c r="J8749" s="161" t="s">
        <v>19202</v>
      </c>
      <c r="K8749" t="s">
        <v>19203</v>
      </c>
      <c r="L8749" t="s">
        <v>10344</v>
      </c>
      <c r="M8749" s="161" t="s">
        <v>19202</v>
      </c>
    </row>
    <row r="8750" spans="9:13" x14ac:dyDescent="0.25">
      <c r="I8750" t="s">
        <v>6087</v>
      </c>
      <c r="J8750" s="161" t="s">
        <v>19202</v>
      </c>
      <c r="K8750" t="s">
        <v>19203</v>
      </c>
      <c r="L8750" t="s">
        <v>6086</v>
      </c>
      <c r="M8750" s="161" t="s">
        <v>19202</v>
      </c>
    </row>
    <row r="8751" spans="9:13" x14ac:dyDescent="0.25">
      <c r="I8751" t="s">
        <v>6298</v>
      </c>
      <c r="J8751" s="161" t="s">
        <v>19202</v>
      </c>
      <c r="K8751" t="s">
        <v>19203</v>
      </c>
      <c r="L8751" t="s">
        <v>6297</v>
      </c>
      <c r="M8751" s="161" t="s">
        <v>19202</v>
      </c>
    </row>
    <row r="8752" spans="9:13" x14ac:dyDescent="0.25">
      <c r="I8752" t="s">
        <v>17852</v>
      </c>
      <c r="J8752" s="161" t="s">
        <v>19994</v>
      </c>
      <c r="K8752" t="s">
        <v>19203</v>
      </c>
      <c r="L8752" t="s">
        <v>17851</v>
      </c>
      <c r="M8752" s="161" t="s">
        <v>19994</v>
      </c>
    </row>
    <row r="8753" spans="9:13" x14ac:dyDescent="0.25">
      <c r="I8753" t="s">
        <v>17182</v>
      </c>
      <c r="J8753" s="161" t="s">
        <v>19202</v>
      </c>
      <c r="K8753" t="s">
        <v>19203</v>
      </c>
      <c r="L8753" t="s">
        <v>17181</v>
      </c>
      <c r="M8753" s="161" t="s">
        <v>19202</v>
      </c>
    </row>
    <row r="8754" spans="9:13" x14ac:dyDescent="0.25">
      <c r="I8754" t="s">
        <v>5392</v>
      </c>
      <c r="J8754" s="161" t="s">
        <v>19202</v>
      </c>
      <c r="K8754" t="s">
        <v>19203</v>
      </c>
      <c r="L8754" t="s">
        <v>5391</v>
      </c>
      <c r="M8754" s="161" t="s">
        <v>19202</v>
      </c>
    </row>
    <row r="8755" spans="9:13" x14ac:dyDescent="0.25">
      <c r="I8755" t="s">
        <v>20614</v>
      </c>
      <c r="J8755" s="161" t="s">
        <v>19202</v>
      </c>
      <c r="K8755" t="s">
        <v>19203</v>
      </c>
      <c r="L8755" t="s">
        <v>20615</v>
      </c>
      <c r="M8755" s="161" t="s">
        <v>19202</v>
      </c>
    </row>
    <row r="8756" spans="9:13" x14ac:dyDescent="0.25">
      <c r="I8756" t="s">
        <v>15342</v>
      </c>
      <c r="J8756" s="161" t="s">
        <v>19202</v>
      </c>
      <c r="K8756" t="s">
        <v>19203</v>
      </c>
      <c r="L8756" t="s">
        <v>15341</v>
      </c>
      <c r="M8756" s="161" t="s">
        <v>19202</v>
      </c>
    </row>
    <row r="8757" spans="9:13" x14ac:dyDescent="0.25">
      <c r="I8757" t="s">
        <v>340</v>
      </c>
      <c r="J8757" s="161" t="s">
        <v>19202</v>
      </c>
      <c r="K8757" t="s">
        <v>19203</v>
      </c>
      <c r="L8757" t="s">
        <v>339</v>
      </c>
      <c r="M8757" s="161" t="s">
        <v>19202</v>
      </c>
    </row>
    <row r="8758" spans="9:13" x14ac:dyDescent="0.25">
      <c r="I8758" t="s">
        <v>11213</v>
      </c>
      <c r="J8758" s="161" t="s">
        <v>19202</v>
      </c>
      <c r="K8758" t="s">
        <v>19203</v>
      </c>
      <c r="L8758" t="s">
        <v>11212</v>
      </c>
      <c r="M8758" s="161" t="s">
        <v>19202</v>
      </c>
    </row>
    <row r="8759" spans="9:13" x14ac:dyDescent="0.25">
      <c r="I8759" t="s">
        <v>11561</v>
      </c>
      <c r="J8759" s="161" t="s">
        <v>19202</v>
      </c>
      <c r="K8759" t="s">
        <v>19203</v>
      </c>
      <c r="L8759" t="s">
        <v>11560</v>
      </c>
      <c r="M8759" s="161" t="s">
        <v>19202</v>
      </c>
    </row>
    <row r="8760" spans="9:13" x14ac:dyDescent="0.25">
      <c r="I8760" t="s">
        <v>4352</v>
      </c>
      <c r="J8760" s="161" t="s">
        <v>19202</v>
      </c>
      <c r="K8760" t="s">
        <v>19203</v>
      </c>
      <c r="L8760" t="s">
        <v>1208</v>
      </c>
      <c r="M8760" s="161" t="s">
        <v>19202</v>
      </c>
    </row>
    <row r="8761" spans="9:13" x14ac:dyDescent="0.25">
      <c r="I8761" t="s">
        <v>6947</v>
      </c>
      <c r="J8761" s="161" t="s">
        <v>19202</v>
      </c>
      <c r="K8761" t="s">
        <v>19203</v>
      </c>
      <c r="L8761" t="s">
        <v>6946</v>
      </c>
      <c r="M8761" s="161" t="s">
        <v>19202</v>
      </c>
    </row>
    <row r="8762" spans="9:13" x14ac:dyDescent="0.25">
      <c r="I8762" t="s">
        <v>20616</v>
      </c>
      <c r="J8762" s="161" t="s">
        <v>19202</v>
      </c>
      <c r="K8762" t="s">
        <v>19203</v>
      </c>
      <c r="L8762" t="s">
        <v>20617</v>
      </c>
      <c r="M8762" s="161" t="s">
        <v>19202</v>
      </c>
    </row>
    <row r="8763" spans="9:13" x14ac:dyDescent="0.25">
      <c r="I8763" t="s">
        <v>4349</v>
      </c>
      <c r="J8763" s="161" t="s">
        <v>19202</v>
      </c>
      <c r="K8763" t="s">
        <v>19203</v>
      </c>
      <c r="L8763" t="s">
        <v>1306</v>
      </c>
      <c r="M8763" s="161" t="s">
        <v>19202</v>
      </c>
    </row>
    <row r="8764" spans="9:13" x14ac:dyDescent="0.25">
      <c r="I8764" t="s">
        <v>5090</v>
      </c>
      <c r="J8764" s="161" t="s">
        <v>19202</v>
      </c>
      <c r="K8764" t="s">
        <v>19203</v>
      </c>
      <c r="L8764" t="s">
        <v>5089</v>
      </c>
      <c r="M8764" s="161" t="s">
        <v>19202</v>
      </c>
    </row>
    <row r="8765" spans="9:13" x14ac:dyDescent="0.25">
      <c r="I8765" t="s">
        <v>18126</v>
      </c>
      <c r="J8765" s="167" t="s">
        <v>19994</v>
      </c>
      <c r="K8765" t="s">
        <v>19203</v>
      </c>
      <c r="L8765" t="s">
        <v>18125</v>
      </c>
      <c r="M8765" s="167" t="s">
        <v>19994</v>
      </c>
    </row>
    <row r="8766" spans="9:13" x14ac:dyDescent="0.25">
      <c r="I8766" t="s">
        <v>15230</v>
      </c>
      <c r="J8766" s="161" t="s">
        <v>19202</v>
      </c>
      <c r="K8766" t="s">
        <v>19203</v>
      </c>
      <c r="L8766" t="s">
        <v>15229</v>
      </c>
      <c r="M8766" s="161" t="s">
        <v>19202</v>
      </c>
    </row>
    <row r="8767" spans="9:13" x14ac:dyDescent="0.25">
      <c r="I8767" t="s">
        <v>5580</v>
      </c>
      <c r="J8767" s="161" t="s">
        <v>19994</v>
      </c>
      <c r="K8767" t="s">
        <v>19203</v>
      </c>
      <c r="L8767" t="s">
        <v>5579</v>
      </c>
      <c r="M8767" s="161" t="s">
        <v>19994</v>
      </c>
    </row>
    <row r="8768" spans="9:13" x14ac:dyDescent="0.25">
      <c r="I8768" t="s">
        <v>6999</v>
      </c>
      <c r="J8768" s="161" t="s">
        <v>19202</v>
      </c>
      <c r="K8768" t="s">
        <v>19203</v>
      </c>
      <c r="L8768" t="s">
        <v>6998</v>
      </c>
      <c r="M8768" s="161" t="s">
        <v>19202</v>
      </c>
    </row>
    <row r="8769" spans="9:13" x14ac:dyDescent="0.25">
      <c r="I8769" t="s">
        <v>6997</v>
      </c>
      <c r="J8769" s="161" t="s">
        <v>19202</v>
      </c>
      <c r="K8769" t="s">
        <v>19203</v>
      </c>
      <c r="L8769" t="s">
        <v>6996</v>
      </c>
      <c r="M8769" s="161" t="s">
        <v>19202</v>
      </c>
    </row>
    <row r="8770" spans="9:13" x14ac:dyDescent="0.25">
      <c r="I8770" t="s">
        <v>292</v>
      </c>
      <c r="J8770" s="161" t="s">
        <v>19202</v>
      </c>
      <c r="K8770" t="s">
        <v>19203</v>
      </c>
      <c r="L8770" t="s">
        <v>291</v>
      </c>
      <c r="M8770" s="161" t="s">
        <v>19202</v>
      </c>
    </row>
    <row r="8771" spans="9:13" x14ac:dyDescent="0.25">
      <c r="I8771" t="s">
        <v>315</v>
      </c>
      <c r="J8771" s="167" t="s">
        <v>19994</v>
      </c>
      <c r="K8771" t="s">
        <v>19203</v>
      </c>
      <c r="L8771" t="s">
        <v>314</v>
      </c>
      <c r="M8771" s="167" t="s">
        <v>19994</v>
      </c>
    </row>
    <row r="8772" spans="9:13" x14ac:dyDescent="0.25">
      <c r="I8772" t="s">
        <v>5667</v>
      </c>
      <c r="J8772" s="161" t="s">
        <v>19202</v>
      </c>
      <c r="K8772" t="s">
        <v>19203</v>
      </c>
      <c r="L8772" t="s">
        <v>5666</v>
      </c>
      <c r="M8772" s="161" t="s">
        <v>19202</v>
      </c>
    </row>
    <row r="8773" spans="9:13" x14ac:dyDescent="0.25">
      <c r="I8773" t="s">
        <v>2160</v>
      </c>
      <c r="J8773" s="161" t="s">
        <v>19202</v>
      </c>
      <c r="K8773" t="s">
        <v>19203</v>
      </c>
      <c r="L8773" t="s">
        <v>2159</v>
      </c>
      <c r="M8773" s="161" t="s">
        <v>19202</v>
      </c>
    </row>
    <row r="8774" spans="9:13" x14ac:dyDescent="0.25">
      <c r="I8774" t="s">
        <v>338</v>
      </c>
      <c r="J8774" s="161" t="s">
        <v>19202</v>
      </c>
      <c r="K8774" t="s">
        <v>19203</v>
      </c>
      <c r="L8774" t="s">
        <v>337</v>
      </c>
      <c r="M8774" s="161" t="s">
        <v>19202</v>
      </c>
    </row>
    <row r="8775" spans="9:13" x14ac:dyDescent="0.25">
      <c r="I8775" t="s">
        <v>10692</v>
      </c>
      <c r="J8775" s="161" t="s">
        <v>19202</v>
      </c>
      <c r="K8775" t="s">
        <v>19203</v>
      </c>
      <c r="L8775" t="s">
        <v>10691</v>
      </c>
      <c r="M8775" s="161" t="s">
        <v>19202</v>
      </c>
    </row>
    <row r="8776" spans="9:13" x14ac:dyDescent="0.25">
      <c r="I8776" t="s">
        <v>11583</v>
      </c>
      <c r="J8776" s="161" t="s">
        <v>19202</v>
      </c>
      <c r="K8776" t="s">
        <v>19203</v>
      </c>
      <c r="L8776" t="s">
        <v>11582</v>
      </c>
      <c r="M8776" s="161" t="s">
        <v>19202</v>
      </c>
    </row>
    <row r="8777" spans="9:13" x14ac:dyDescent="0.25">
      <c r="I8777" t="s">
        <v>8568</v>
      </c>
      <c r="J8777" s="161" t="s">
        <v>19202</v>
      </c>
      <c r="K8777" t="s">
        <v>19203</v>
      </c>
      <c r="L8777" t="s">
        <v>8567</v>
      </c>
      <c r="M8777" s="161" t="s">
        <v>19202</v>
      </c>
    </row>
    <row r="8778" spans="9:13" x14ac:dyDescent="0.25">
      <c r="I8778" t="s">
        <v>6953</v>
      </c>
      <c r="J8778" s="161" t="s">
        <v>19202</v>
      </c>
      <c r="K8778" t="s">
        <v>19203</v>
      </c>
      <c r="L8778" t="s">
        <v>6952</v>
      </c>
      <c r="M8778" s="161" t="s">
        <v>19202</v>
      </c>
    </row>
    <row r="8779" spans="9:13" x14ac:dyDescent="0.25">
      <c r="I8779" t="s">
        <v>6951</v>
      </c>
      <c r="J8779" s="161" t="s">
        <v>19202</v>
      </c>
      <c r="K8779" t="s">
        <v>19203</v>
      </c>
      <c r="L8779" t="s">
        <v>6950</v>
      </c>
      <c r="M8779" s="161" t="s">
        <v>19202</v>
      </c>
    </row>
    <row r="8780" spans="9:13" x14ac:dyDescent="0.25">
      <c r="I8780" t="s">
        <v>6939</v>
      </c>
      <c r="J8780" s="161" t="s">
        <v>19202</v>
      </c>
      <c r="K8780" t="s">
        <v>19203</v>
      </c>
      <c r="L8780" t="s">
        <v>6938</v>
      </c>
      <c r="M8780" s="161" t="s">
        <v>19202</v>
      </c>
    </row>
    <row r="8781" spans="9:13" x14ac:dyDescent="0.25">
      <c r="I8781" t="s">
        <v>20618</v>
      </c>
      <c r="J8781" s="161" t="s">
        <v>19202</v>
      </c>
      <c r="K8781" t="s">
        <v>19203</v>
      </c>
      <c r="L8781" t="s">
        <v>20619</v>
      </c>
      <c r="M8781" s="161" t="s">
        <v>19202</v>
      </c>
    </row>
    <row r="8782" spans="9:13" x14ac:dyDescent="0.25">
      <c r="I8782" t="s">
        <v>8788</v>
      </c>
      <c r="J8782" s="167" t="s">
        <v>19994</v>
      </c>
      <c r="K8782" t="s">
        <v>19203</v>
      </c>
      <c r="L8782" t="s">
        <v>8787</v>
      </c>
      <c r="M8782" s="167" t="s">
        <v>19994</v>
      </c>
    </row>
    <row r="8783" spans="9:13" x14ac:dyDescent="0.25">
      <c r="I8783" t="s">
        <v>8780</v>
      </c>
      <c r="J8783" s="167" t="s">
        <v>19994</v>
      </c>
      <c r="K8783" t="s">
        <v>19203</v>
      </c>
      <c r="L8783" t="s">
        <v>8779</v>
      </c>
      <c r="M8783" s="167" t="s">
        <v>19994</v>
      </c>
    </row>
    <row r="8784" spans="9:13" x14ac:dyDescent="0.25">
      <c r="I8784" t="s">
        <v>8768</v>
      </c>
      <c r="J8784" s="167" t="s">
        <v>19994</v>
      </c>
      <c r="K8784" t="s">
        <v>19203</v>
      </c>
      <c r="L8784" t="s">
        <v>8767</v>
      </c>
      <c r="M8784" s="167" t="s">
        <v>19994</v>
      </c>
    </row>
    <row r="8785" spans="9:13" x14ac:dyDescent="0.25">
      <c r="I8785" t="s">
        <v>3241</v>
      </c>
      <c r="J8785" s="161" t="s">
        <v>19202</v>
      </c>
      <c r="K8785" t="s">
        <v>19203</v>
      </c>
      <c r="L8785" t="s">
        <v>3240</v>
      </c>
      <c r="M8785" s="161" t="s">
        <v>19202</v>
      </c>
    </row>
    <row r="8786" spans="9:13" x14ac:dyDescent="0.25">
      <c r="I8786" t="s">
        <v>5256</v>
      </c>
      <c r="J8786" s="161" t="s">
        <v>19202</v>
      </c>
      <c r="K8786" t="s">
        <v>19203</v>
      </c>
      <c r="L8786" t="s">
        <v>5255</v>
      </c>
      <c r="M8786" s="161" t="s">
        <v>19202</v>
      </c>
    </row>
    <row r="8787" spans="9:13" x14ac:dyDescent="0.25">
      <c r="I8787" t="s">
        <v>15030</v>
      </c>
      <c r="J8787" s="161" t="s">
        <v>19202</v>
      </c>
      <c r="K8787" t="s">
        <v>19203</v>
      </c>
      <c r="L8787" t="s">
        <v>15029</v>
      </c>
      <c r="M8787" s="161" t="s">
        <v>19202</v>
      </c>
    </row>
    <row r="8788" spans="9:13" x14ac:dyDescent="0.25">
      <c r="I8788" t="s">
        <v>20620</v>
      </c>
      <c r="J8788" s="161" t="s">
        <v>19202</v>
      </c>
      <c r="K8788" t="s">
        <v>19203</v>
      </c>
      <c r="L8788" t="s">
        <v>20621</v>
      </c>
      <c r="M8788" s="161" t="s">
        <v>19202</v>
      </c>
    </row>
    <row r="8789" spans="9:13" x14ac:dyDescent="0.25">
      <c r="I8789" t="s">
        <v>10228</v>
      </c>
      <c r="J8789" s="161" t="s">
        <v>19202</v>
      </c>
      <c r="K8789" t="s">
        <v>19203</v>
      </c>
      <c r="L8789" t="s">
        <v>10227</v>
      </c>
      <c r="M8789" s="161" t="s">
        <v>19202</v>
      </c>
    </row>
    <row r="8790" spans="9:13" x14ac:dyDescent="0.25">
      <c r="I8790" t="s">
        <v>10343</v>
      </c>
      <c r="J8790" s="161" t="s">
        <v>19202</v>
      </c>
      <c r="K8790" t="s">
        <v>19203</v>
      </c>
      <c r="L8790" t="s">
        <v>832</v>
      </c>
      <c r="M8790" s="161" t="s">
        <v>19202</v>
      </c>
    </row>
    <row r="8791" spans="9:13" x14ac:dyDescent="0.25">
      <c r="I8791" t="s">
        <v>10232</v>
      </c>
      <c r="J8791" s="161" t="s">
        <v>19202</v>
      </c>
      <c r="K8791" t="s">
        <v>19203</v>
      </c>
      <c r="L8791" t="s">
        <v>10231</v>
      </c>
      <c r="M8791" s="161" t="s">
        <v>19202</v>
      </c>
    </row>
    <row r="8792" spans="9:13" x14ac:dyDescent="0.25">
      <c r="I8792" t="s">
        <v>11619</v>
      </c>
      <c r="J8792" s="161" t="s">
        <v>19202</v>
      </c>
      <c r="K8792" t="s">
        <v>19203</v>
      </c>
      <c r="L8792" t="s">
        <v>11618</v>
      </c>
      <c r="M8792" s="161" t="s">
        <v>19202</v>
      </c>
    </row>
    <row r="8793" spans="9:13" x14ac:dyDescent="0.25">
      <c r="I8793" t="s">
        <v>7845</v>
      </c>
      <c r="J8793" s="161" t="s">
        <v>19202</v>
      </c>
      <c r="K8793" t="s">
        <v>19203</v>
      </c>
      <c r="L8793" t="s">
        <v>7844</v>
      </c>
      <c r="M8793" s="161" t="s">
        <v>19202</v>
      </c>
    </row>
    <row r="8794" spans="9:13" x14ac:dyDescent="0.25">
      <c r="I8794" t="s">
        <v>172</v>
      </c>
      <c r="J8794" s="161" t="s">
        <v>19202</v>
      </c>
      <c r="K8794" t="s">
        <v>19203</v>
      </c>
      <c r="L8794" t="s">
        <v>171</v>
      </c>
      <c r="M8794" s="161" t="s">
        <v>19202</v>
      </c>
    </row>
    <row r="8795" spans="9:13" x14ac:dyDescent="0.25">
      <c r="I8795" t="s">
        <v>20622</v>
      </c>
      <c r="J8795" s="161" t="s">
        <v>19202</v>
      </c>
      <c r="K8795" t="s">
        <v>19203</v>
      </c>
      <c r="L8795" t="s">
        <v>20623</v>
      </c>
      <c r="M8795" s="161" t="s">
        <v>19202</v>
      </c>
    </row>
    <row r="8796" spans="9:13" x14ac:dyDescent="0.25">
      <c r="I8796" t="s">
        <v>13985</v>
      </c>
      <c r="J8796" s="161" t="s">
        <v>19202</v>
      </c>
      <c r="K8796" t="s">
        <v>19203</v>
      </c>
      <c r="L8796" t="s">
        <v>13984</v>
      </c>
      <c r="M8796" s="161" t="s">
        <v>19202</v>
      </c>
    </row>
    <row r="8797" spans="9:13" x14ac:dyDescent="0.25">
      <c r="I8797" t="s">
        <v>20624</v>
      </c>
      <c r="J8797" s="167" t="s">
        <v>19994</v>
      </c>
      <c r="K8797" t="s">
        <v>19203</v>
      </c>
      <c r="L8797" t="s">
        <v>20625</v>
      </c>
      <c r="M8797" s="167" t="s">
        <v>19994</v>
      </c>
    </row>
    <row r="8798" spans="9:13" x14ac:dyDescent="0.25">
      <c r="I8798" t="s">
        <v>663</v>
      </c>
      <c r="J8798" s="161" t="s">
        <v>19202</v>
      </c>
      <c r="K8798" t="s">
        <v>19203</v>
      </c>
      <c r="L8798" t="s">
        <v>662</v>
      </c>
      <c r="M8798" s="161" t="s">
        <v>19202</v>
      </c>
    </row>
    <row r="8799" spans="9:13" x14ac:dyDescent="0.25">
      <c r="I8799" t="s">
        <v>11829</v>
      </c>
      <c r="J8799" s="161" t="s">
        <v>19202</v>
      </c>
      <c r="K8799" t="s">
        <v>19203</v>
      </c>
      <c r="L8799" t="s">
        <v>11828</v>
      </c>
      <c r="M8799" s="161" t="s">
        <v>19202</v>
      </c>
    </row>
    <row r="8800" spans="9:13" x14ac:dyDescent="0.25">
      <c r="I8800" t="s">
        <v>6995</v>
      </c>
      <c r="J8800" s="161" t="s">
        <v>19202</v>
      </c>
      <c r="K8800" t="s">
        <v>19203</v>
      </c>
      <c r="L8800" t="s">
        <v>6994</v>
      </c>
      <c r="M8800" s="161" t="s">
        <v>19202</v>
      </c>
    </row>
    <row r="8801" spans="9:13" x14ac:dyDescent="0.25">
      <c r="I8801" t="s">
        <v>20626</v>
      </c>
      <c r="J8801" s="161" t="s">
        <v>19202</v>
      </c>
      <c r="K8801" t="s">
        <v>19203</v>
      </c>
      <c r="L8801" t="s">
        <v>20627</v>
      </c>
      <c r="M8801" s="161" t="s">
        <v>19202</v>
      </c>
    </row>
    <row r="8802" spans="9:13" x14ac:dyDescent="0.25">
      <c r="I8802" t="s">
        <v>5045</v>
      </c>
      <c r="J8802" s="161" t="s">
        <v>19202</v>
      </c>
      <c r="K8802" t="s">
        <v>19203</v>
      </c>
      <c r="L8802" t="s">
        <v>5044</v>
      </c>
      <c r="M8802" s="161" t="s">
        <v>19202</v>
      </c>
    </row>
    <row r="8803" spans="9:13" x14ac:dyDescent="0.25">
      <c r="I8803" t="s">
        <v>15996</v>
      </c>
      <c r="J8803" s="161" t="s">
        <v>19202</v>
      </c>
      <c r="K8803" t="s">
        <v>19203</v>
      </c>
      <c r="L8803" t="s">
        <v>12600</v>
      </c>
      <c r="M8803" s="161" t="s">
        <v>19202</v>
      </c>
    </row>
    <row r="8804" spans="9:13" x14ac:dyDescent="0.25">
      <c r="I8804" t="s">
        <v>13409</v>
      </c>
      <c r="J8804" s="161" t="s">
        <v>19202</v>
      </c>
      <c r="K8804" t="s">
        <v>19203</v>
      </c>
      <c r="L8804" t="s">
        <v>13408</v>
      </c>
      <c r="M8804" s="161" t="s">
        <v>19202</v>
      </c>
    </row>
    <row r="8805" spans="9:13" x14ac:dyDescent="0.25">
      <c r="I8805" t="s">
        <v>6191</v>
      </c>
      <c r="J8805" s="161" t="s">
        <v>19202</v>
      </c>
      <c r="K8805" t="s">
        <v>19203</v>
      </c>
      <c r="L8805" t="s">
        <v>6190</v>
      </c>
      <c r="M8805" s="161" t="s">
        <v>19202</v>
      </c>
    </row>
    <row r="8806" spans="9:13" x14ac:dyDescent="0.25">
      <c r="I8806" t="s">
        <v>3725</v>
      </c>
      <c r="J8806" s="161" t="s">
        <v>19202</v>
      </c>
      <c r="K8806" t="s">
        <v>19203</v>
      </c>
      <c r="L8806" t="s">
        <v>3724</v>
      </c>
      <c r="M8806" s="161" t="s">
        <v>19202</v>
      </c>
    </row>
    <row r="8807" spans="9:13" x14ac:dyDescent="0.25">
      <c r="I8807" t="s">
        <v>11375</v>
      </c>
      <c r="J8807" s="161" t="s">
        <v>19202</v>
      </c>
      <c r="K8807" t="s">
        <v>19203</v>
      </c>
      <c r="L8807" t="s">
        <v>11374</v>
      </c>
      <c r="M8807" s="161" t="s">
        <v>19202</v>
      </c>
    </row>
    <row r="8808" spans="9:13" x14ac:dyDescent="0.25">
      <c r="I8808" t="s">
        <v>9254</v>
      </c>
      <c r="J8808" s="161" t="s">
        <v>19994</v>
      </c>
      <c r="K8808" t="s">
        <v>19203</v>
      </c>
      <c r="L8808" t="s">
        <v>9253</v>
      </c>
      <c r="M8808" s="161" t="s">
        <v>19994</v>
      </c>
    </row>
    <row r="8809" spans="9:13" x14ac:dyDescent="0.25">
      <c r="I8809" t="s">
        <v>14716</v>
      </c>
      <c r="J8809" s="161" t="s">
        <v>19202</v>
      </c>
      <c r="K8809" t="s">
        <v>19203</v>
      </c>
      <c r="L8809" t="s">
        <v>14715</v>
      </c>
      <c r="M8809" s="161" t="s">
        <v>19202</v>
      </c>
    </row>
    <row r="8810" spans="9:13" x14ac:dyDescent="0.25">
      <c r="I8810" t="s">
        <v>5665</v>
      </c>
      <c r="J8810" s="161" t="s">
        <v>19202</v>
      </c>
      <c r="K8810" t="s">
        <v>19203</v>
      </c>
      <c r="L8810" t="s">
        <v>5664</v>
      </c>
      <c r="M8810" s="161" t="s">
        <v>19202</v>
      </c>
    </row>
    <row r="8811" spans="9:13" x14ac:dyDescent="0.25">
      <c r="I8811" t="s">
        <v>8786</v>
      </c>
      <c r="J8811" s="167" t="s">
        <v>19994</v>
      </c>
      <c r="K8811" t="s">
        <v>19203</v>
      </c>
      <c r="L8811" t="s">
        <v>8785</v>
      </c>
      <c r="M8811" s="167" t="s">
        <v>19994</v>
      </c>
    </row>
    <row r="8812" spans="9:13" x14ac:dyDescent="0.25">
      <c r="I8812" t="s">
        <v>8774</v>
      </c>
      <c r="J8812" s="167" t="s">
        <v>19994</v>
      </c>
      <c r="K8812" t="s">
        <v>19203</v>
      </c>
      <c r="L8812" t="s">
        <v>8773</v>
      </c>
      <c r="M8812" s="167" t="s">
        <v>19994</v>
      </c>
    </row>
    <row r="8813" spans="9:13" x14ac:dyDescent="0.25">
      <c r="I8813" t="s">
        <v>8772</v>
      </c>
      <c r="J8813" s="167" t="s">
        <v>19994</v>
      </c>
      <c r="K8813" t="s">
        <v>19203</v>
      </c>
      <c r="L8813" t="s">
        <v>8771</v>
      </c>
      <c r="M8813" s="167" t="s">
        <v>19994</v>
      </c>
    </row>
    <row r="8814" spans="9:13" x14ac:dyDescent="0.25">
      <c r="I8814" t="s">
        <v>8762</v>
      </c>
      <c r="J8814" s="167" t="s">
        <v>19994</v>
      </c>
      <c r="K8814" t="s">
        <v>19203</v>
      </c>
      <c r="L8814" t="s">
        <v>8761</v>
      </c>
      <c r="M8814" s="167" t="s">
        <v>19994</v>
      </c>
    </row>
    <row r="8815" spans="9:13" x14ac:dyDescent="0.25">
      <c r="I8815" t="s">
        <v>8756</v>
      </c>
      <c r="J8815" s="167" t="s">
        <v>19994</v>
      </c>
      <c r="K8815" t="s">
        <v>19203</v>
      </c>
      <c r="L8815" t="s">
        <v>8755</v>
      </c>
      <c r="M8815" s="167" t="s">
        <v>19994</v>
      </c>
    </row>
    <row r="8816" spans="9:13" x14ac:dyDescent="0.25">
      <c r="I8816" t="s">
        <v>10301</v>
      </c>
      <c r="J8816" s="167" t="s">
        <v>19994</v>
      </c>
      <c r="K8816" t="s">
        <v>19203</v>
      </c>
      <c r="L8816" t="s">
        <v>10300</v>
      </c>
      <c r="M8816" s="167" t="s">
        <v>19994</v>
      </c>
    </row>
    <row r="8817" spans="9:13" x14ac:dyDescent="0.25">
      <c r="I8817" t="s">
        <v>280</v>
      </c>
      <c r="J8817" s="161" t="s">
        <v>19202</v>
      </c>
      <c r="K8817" t="s">
        <v>19203</v>
      </c>
      <c r="L8817" t="s">
        <v>279</v>
      </c>
      <c r="M8817" s="161" t="s">
        <v>19202</v>
      </c>
    </row>
    <row r="8818" spans="9:13" x14ac:dyDescent="0.25">
      <c r="I8818" t="s">
        <v>8090</v>
      </c>
      <c r="J8818" s="161" t="s">
        <v>19202</v>
      </c>
      <c r="K8818" t="s">
        <v>19203</v>
      </c>
      <c r="L8818" t="s">
        <v>8089</v>
      </c>
      <c r="M8818" s="161" t="s">
        <v>19202</v>
      </c>
    </row>
    <row r="8819" spans="9:13" x14ac:dyDescent="0.25">
      <c r="I8819" t="s">
        <v>11555</v>
      </c>
      <c r="J8819" s="161" t="s">
        <v>19202</v>
      </c>
      <c r="K8819" t="s">
        <v>19203</v>
      </c>
      <c r="L8819" t="s">
        <v>11554</v>
      </c>
      <c r="M8819" s="161" t="s">
        <v>19202</v>
      </c>
    </row>
    <row r="8820" spans="9:13" x14ac:dyDescent="0.25">
      <c r="I8820" t="s">
        <v>20628</v>
      </c>
      <c r="J8820" s="161" t="s">
        <v>19202</v>
      </c>
      <c r="K8820" t="s">
        <v>19203</v>
      </c>
      <c r="L8820" t="s">
        <v>20629</v>
      </c>
      <c r="M8820" s="161" t="s">
        <v>19202</v>
      </c>
    </row>
    <row r="8821" spans="9:13" x14ac:dyDescent="0.25">
      <c r="I8821" t="s">
        <v>11935</v>
      </c>
      <c r="J8821" s="161" t="s">
        <v>19202</v>
      </c>
      <c r="K8821" t="s">
        <v>19203</v>
      </c>
      <c r="L8821" t="s">
        <v>11934</v>
      </c>
      <c r="M8821" s="161" t="s">
        <v>19202</v>
      </c>
    </row>
    <row r="8822" spans="9:13" x14ac:dyDescent="0.25">
      <c r="I8822" t="s">
        <v>20630</v>
      </c>
      <c r="J8822" s="161" t="s">
        <v>19202</v>
      </c>
      <c r="K8822" t="s">
        <v>19203</v>
      </c>
      <c r="L8822" t="s">
        <v>20631</v>
      </c>
      <c r="M8822" s="161" t="s">
        <v>19202</v>
      </c>
    </row>
    <row r="8823" spans="9:13" x14ac:dyDescent="0.25">
      <c r="I8823" t="s">
        <v>14947</v>
      </c>
      <c r="J8823" s="161" t="s">
        <v>19202</v>
      </c>
      <c r="K8823" t="s">
        <v>19203</v>
      </c>
      <c r="L8823" t="s">
        <v>14946</v>
      </c>
      <c r="M8823" s="161" t="s">
        <v>19202</v>
      </c>
    </row>
    <row r="8824" spans="9:13" x14ac:dyDescent="0.25">
      <c r="I8824" t="s">
        <v>20632</v>
      </c>
      <c r="J8824" s="161" t="s">
        <v>19202</v>
      </c>
      <c r="K8824" t="s">
        <v>19203</v>
      </c>
      <c r="L8824" t="s">
        <v>20633</v>
      </c>
      <c r="M8824" s="161" t="s">
        <v>19202</v>
      </c>
    </row>
    <row r="8825" spans="9:13" x14ac:dyDescent="0.25">
      <c r="I8825" t="s">
        <v>284</v>
      </c>
      <c r="J8825" s="161" t="s">
        <v>19202</v>
      </c>
      <c r="K8825" t="s">
        <v>19203</v>
      </c>
      <c r="L8825" t="s">
        <v>283</v>
      </c>
      <c r="M8825" s="161" t="s">
        <v>19202</v>
      </c>
    </row>
    <row r="8826" spans="9:13" x14ac:dyDescent="0.25">
      <c r="I8826" t="s">
        <v>5254</v>
      </c>
      <c r="J8826" s="161" t="s">
        <v>19202</v>
      </c>
      <c r="K8826" t="s">
        <v>19203</v>
      </c>
      <c r="L8826" t="s">
        <v>5253</v>
      </c>
      <c r="M8826" s="161" t="s">
        <v>19202</v>
      </c>
    </row>
    <row r="8827" spans="9:13" x14ac:dyDescent="0.25">
      <c r="I8827" t="s">
        <v>6543</v>
      </c>
      <c r="J8827" s="161" t="s">
        <v>19202</v>
      </c>
      <c r="K8827" t="s">
        <v>19203</v>
      </c>
      <c r="L8827" t="s">
        <v>6542</v>
      </c>
      <c r="M8827" s="161" t="s">
        <v>19202</v>
      </c>
    </row>
    <row r="8828" spans="9:13" x14ac:dyDescent="0.25">
      <c r="I8828" t="s">
        <v>20634</v>
      </c>
      <c r="J8828" s="161" t="s">
        <v>19202</v>
      </c>
      <c r="K8828" t="s">
        <v>19203</v>
      </c>
      <c r="L8828" t="s">
        <v>20635</v>
      </c>
      <c r="M8828" s="161" t="s">
        <v>19202</v>
      </c>
    </row>
    <row r="8829" spans="9:13" x14ac:dyDescent="0.25">
      <c r="I8829" t="s">
        <v>10689</v>
      </c>
      <c r="J8829" s="161" t="s">
        <v>19202</v>
      </c>
      <c r="K8829" t="s">
        <v>19203</v>
      </c>
      <c r="L8829" t="s">
        <v>10688</v>
      </c>
      <c r="M8829" s="161" t="s">
        <v>19202</v>
      </c>
    </row>
    <row r="8830" spans="9:13" x14ac:dyDescent="0.25">
      <c r="I8830" t="s">
        <v>164</v>
      </c>
      <c r="J8830" s="161" t="s">
        <v>19202</v>
      </c>
      <c r="K8830" t="s">
        <v>19203</v>
      </c>
      <c r="L8830" t="s">
        <v>163</v>
      </c>
      <c r="M8830" s="161" t="s">
        <v>19202</v>
      </c>
    </row>
    <row r="8831" spans="9:13" x14ac:dyDescent="0.25">
      <c r="I8831" t="s">
        <v>6193</v>
      </c>
      <c r="J8831" s="161" t="s">
        <v>19202</v>
      </c>
      <c r="K8831" t="s">
        <v>19203</v>
      </c>
      <c r="L8831" t="s">
        <v>6192</v>
      </c>
      <c r="M8831" s="161" t="s">
        <v>19202</v>
      </c>
    </row>
    <row r="8832" spans="9:13" x14ac:dyDescent="0.25">
      <c r="I8832" t="s">
        <v>8450</v>
      </c>
      <c r="J8832" s="161" t="s">
        <v>19202</v>
      </c>
      <c r="K8832" t="s">
        <v>19203</v>
      </c>
      <c r="L8832" t="s">
        <v>8449</v>
      </c>
      <c r="M8832" s="161" t="s">
        <v>19202</v>
      </c>
    </row>
    <row r="8833" spans="9:13" x14ac:dyDescent="0.25">
      <c r="I8833" t="s">
        <v>15085</v>
      </c>
      <c r="J8833" s="161" t="s">
        <v>19202</v>
      </c>
      <c r="K8833" t="s">
        <v>19203</v>
      </c>
      <c r="L8833" t="s">
        <v>15084</v>
      </c>
      <c r="M8833" s="161" t="s">
        <v>19202</v>
      </c>
    </row>
    <row r="8834" spans="9:13" x14ac:dyDescent="0.25">
      <c r="I8834" t="s">
        <v>9260</v>
      </c>
      <c r="J8834" s="167" t="s">
        <v>19994</v>
      </c>
      <c r="K8834" t="s">
        <v>19203</v>
      </c>
      <c r="L8834" t="s">
        <v>9259</v>
      </c>
      <c r="M8834" s="167" t="s">
        <v>19994</v>
      </c>
    </row>
    <row r="8835" spans="9:13" x14ac:dyDescent="0.25">
      <c r="I8835" t="s">
        <v>10114</v>
      </c>
      <c r="J8835" s="161" t="s">
        <v>19202</v>
      </c>
      <c r="K8835" t="s">
        <v>19203</v>
      </c>
      <c r="L8835" t="s">
        <v>10113</v>
      </c>
      <c r="M8835" s="161" t="s">
        <v>19202</v>
      </c>
    </row>
    <row r="8836" spans="9:13" x14ac:dyDescent="0.25">
      <c r="I8836" t="s">
        <v>290</v>
      </c>
      <c r="J8836" s="161" t="s">
        <v>19202</v>
      </c>
      <c r="K8836" t="s">
        <v>19203</v>
      </c>
      <c r="L8836" t="s">
        <v>289</v>
      </c>
      <c r="M8836" s="161" t="s">
        <v>19202</v>
      </c>
    </row>
    <row r="8837" spans="9:13" x14ac:dyDescent="0.25">
      <c r="I8837" t="s">
        <v>6293</v>
      </c>
      <c r="J8837" s="167" t="s">
        <v>19994</v>
      </c>
      <c r="K8837" t="s">
        <v>19203</v>
      </c>
      <c r="L8837" t="s">
        <v>6292</v>
      </c>
      <c r="M8837" s="167" t="s">
        <v>19994</v>
      </c>
    </row>
    <row r="8838" spans="9:13" x14ac:dyDescent="0.25">
      <c r="I8838" t="s">
        <v>2170</v>
      </c>
      <c r="J8838" s="161" t="s">
        <v>19202</v>
      </c>
      <c r="K8838" t="s">
        <v>19203</v>
      </c>
      <c r="L8838" t="s">
        <v>2169</v>
      </c>
      <c r="M8838" s="161" t="s">
        <v>19202</v>
      </c>
    </row>
    <row r="8839" spans="9:13" x14ac:dyDescent="0.25">
      <c r="I8839" t="s">
        <v>8784</v>
      </c>
      <c r="J8839" s="167" t="s">
        <v>19994</v>
      </c>
      <c r="K8839" t="s">
        <v>19203</v>
      </c>
      <c r="L8839" t="s">
        <v>8783</v>
      </c>
      <c r="M8839" s="167" t="s">
        <v>19994</v>
      </c>
    </row>
    <row r="8840" spans="9:13" x14ac:dyDescent="0.25">
      <c r="I8840" t="s">
        <v>9827</v>
      </c>
      <c r="J8840" s="161" t="s">
        <v>19202</v>
      </c>
      <c r="K8840" t="s">
        <v>19203</v>
      </c>
      <c r="L8840" t="s">
        <v>9826</v>
      </c>
      <c r="M8840" s="161" t="s">
        <v>19202</v>
      </c>
    </row>
    <row r="8841" spans="9:13" x14ac:dyDescent="0.25">
      <c r="I8841" t="s">
        <v>14712</v>
      </c>
      <c r="J8841" s="161" t="s">
        <v>19202</v>
      </c>
      <c r="K8841" t="s">
        <v>19203</v>
      </c>
      <c r="L8841" t="s">
        <v>14711</v>
      </c>
      <c r="M8841" s="161" t="s">
        <v>19202</v>
      </c>
    </row>
    <row r="8842" spans="9:13" x14ac:dyDescent="0.25">
      <c r="I8842" t="s">
        <v>12721</v>
      </c>
      <c r="J8842" s="161" t="s">
        <v>19202</v>
      </c>
      <c r="K8842" t="s">
        <v>19203</v>
      </c>
      <c r="L8842" t="s">
        <v>12720</v>
      </c>
      <c r="M8842" s="161" t="s">
        <v>19202</v>
      </c>
    </row>
    <row r="8843" spans="9:13" x14ac:dyDescent="0.25">
      <c r="I8843" t="s">
        <v>8790</v>
      </c>
      <c r="J8843" s="167" t="s">
        <v>19994</v>
      </c>
      <c r="K8843" t="s">
        <v>19203</v>
      </c>
      <c r="L8843" t="s">
        <v>8789</v>
      </c>
      <c r="M8843" s="167" t="s">
        <v>19994</v>
      </c>
    </row>
    <row r="8844" spans="9:13" x14ac:dyDescent="0.25">
      <c r="I8844" t="s">
        <v>5663</v>
      </c>
      <c r="J8844" s="161" t="s">
        <v>19202</v>
      </c>
      <c r="K8844" t="s">
        <v>19203</v>
      </c>
      <c r="L8844" t="s">
        <v>5662</v>
      </c>
      <c r="M8844" s="161" t="s">
        <v>19202</v>
      </c>
    </row>
    <row r="8845" spans="9:13" x14ac:dyDescent="0.25">
      <c r="I8845" t="s">
        <v>12572</v>
      </c>
      <c r="J8845" s="161" t="s">
        <v>19202</v>
      </c>
      <c r="K8845" t="s">
        <v>19203</v>
      </c>
      <c r="L8845" t="s">
        <v>12571</v>
      </c>
      <c r="M8845" s="161" t="s">
        <v>19202</v>
      </c>
    </row>
    <row r="8846" spans="9:13" x14ac:dyDescent="0.25">
      <c r="I8846" t="s">
        <v>16478</v>
      </c>
      <c r="J8846" s="161" t="s">
        <v>19994</v>
      </c>
      <c r="K8846" t="s">
        <v>19203</v>
      </c>
      <c r="L8846" t="s">
        <v>16477</v>
      </c>
      <c r="M8846" s="161" t="s">
        <v>19994</v>
      </c>
    </row>
    <row r="8847" spans="9:13" x14ac:dyDescent="0.25">
      <c r="I8847" t="s">
        <v>661</v>
      </c>
      <c r="J8847" s="161" t="s">
        <v>19202</v>
      </c>
      <c r="K8847" t="s">
        <v>19203</v>
      </c>
      <c r="L8847" t="s">
        <v>660</v>
      </c>
      <c r="M8847" s="161" t="s">
        <v>19202</v>
      </c>
    </row>
    <row r="8848" spans="9:13" x14ac:dyDescent="0.25">
      <c r="I8848" t="s">
        <v>10234</v>
      </c>
      <c r="J8848" s="161" t="s">
        <v>19202</v>
      </c>
      <c r="K8848" t="s">
        <v>19203</v>
      </c>
      <c r="L8848" t="s">
        <v>10233</v>
      </c>
      <c r="M8848" s="161" t="s">
        <v>19202</v>
      </c>
    </row>
    <row r="8849" spans="9:13" x14ac:dyDescent="0.25">
      <c r="I8849" t="s">
        <v>10226</v>
      </c>
      <c r="J8849" s="161" t="s">
        <v>19202</v>
      </c>
      <c r="K8849" t="s">
        <v>19203</v>
      </c>
      <c r="L8849" t="s">
        <v>10225</v>
      </c>
      <c r="M8849" s="161" t="s">
        <v>19202</v>
      </c>
    </row>
    <row r="8850" spans="9:13" x14ac:dyDescent="0.25">
      <c r="I8850" t="s">
        <v>17663</v>
      </c>
      <c r="J8850" s="161" t="s">
        <v>19994</v>
      </c>
      <c r="K8850" t="s">
        <v>19203</v>
      </c>
      <c r="L8850" t="s">
        <v>17662</v>
      </c>
      <c r="M8850" s="161" t="s">
        <v>19994</v>
      </c>
    </row>
    <row r="8851" spans="9:13" x14ac:dyDescent="0.25">
      <c r="I8851" t="s">
        <v>10972</v>
      </c>
      <c r="J8851" s="161" t="s">
        <v>19202</v>
      </c>
      <c r="K8851" t="s">
        <v>19203</v>
      </c>
      <c r="L8851" t="s">
        <v>10971</v>
      </c>
      <c r="M8851" s="161" t="s">
        <v>19202</v>
      </c>
    </row>
    <row r="8852" spans="9:13" x14ac:dyDescent="0.25">
      <c r="I8852" t="s">
        <v>304</v>
      </c>
      <c r="J8852" s="161" t="s">
        <v>19202</v>
      </c>
      <c r="K8852" t="s">
        <v>19203</v>
      </c>
      <c r="L8852" t="s">
        <v>303</v>
      </c>
      <c r="M8852" s="161" t="s">
        <v>19202</v>
      </c>
    </row>
    <row r="8853" spans="9:13" x14ac:dyDescent="0.25">
      <c r="I8853" t="s">
        <v>20636</v>
      </c>
      <c r="J8853" s="161" t="s">
        <v>19202</v>
      </c>
      <c r="K8853" t="s">
        <v>19203</v>
      </c>
      <c r="L8853" t="s">
        <v>20637</v>
      </c>
      <c r="M8853" s="161" t="s">
        <v>19202</v>
      </c>
    </row>
    <row r="8854" spans="9:13" x14ac:dyDescent="0.25">
      <c r="I8854" t="s">
        <v>8846</v>
      </c>
      <c r="J8854" s="161" t="s">
        <v>19202</v>
      </c>
      <c r="K8854" t="s">
        <v>19203</v>
      </c>
      <c r="L8854" t="s">
        <v>8845</v>
      </c>
      <c r="M8854" s="161" t="s">
        <v>19202</v>
      </c>
    </row>
    <row r="8855" spans="9:13" x14ac:dyDescent="0.25">
      <c r="I8855" t="s">
        <v>8820</v>
      </c>
      <c r="J8855" s="161" t="s">
        <v>19202</v>
      </c>
      <c r="K8855" t="s">
        <v>19203</v>
      </c>
      <c r="L8855" t="s">
        <v>8819</v>
      </c>
      <c r="M8855" s="161" t="s">
        <v>19202</v>
      </c>
    </row>
    <row r="8856" spans="9:13" x14ac:dyDescent="0.25">
      <c r="I8856" t="s">
        <v>20638</v>
      </c>
      <c r="J8856" s="161" t="s">
        <v>19202</v>
      </c>
      <c r="K8856" t="s">
        <v>19203</v>
      </c>
      <c r="L8856" t="s">
        <v>15339</v>
      </c>
      <c r="M8856" s="161" t="s">
        <v>19202</v>
      </c>
    </row>
    <row r="8857" spans="9:13" x14ac:dyDescent="0.25">
      <c r="I8857" t="s">
        <v>6572</v>
      </c>
      <c r="J8857" s="167" t="s">
        <v>19994</v>
      </c>
      <c r="K8857" t="s">
        <v>19203</v>
      </c>
      <c r="L8857" t="s">
        <v>3512</v>
      </c>
      <c r="M8857" s="167" t="s">
        <v>19994</v>
      </c>
    </row>
    <row r="8858" spans="9:13" x14ac:dyDescent="0.25">
      <c r="I8858" t="s">
        <v>6270</v>
      </c>
      <c r="J8858" s="161" t="s">
        <v>19202</v>
      </c>
      <c r="K8858" t="s">
        <v>19203</v>
      </c>
      <c r="L8858" t="s">
        <v>6269</v>
      </c>
      <c r="M8858" s="161" t="s">
        <v>19202</v>
      </c>
    </row>
    <row r="8859" spans="9:13" x14ac:dyDescent="0.25">
      <c r="I8859" t="s">
        <v>16725</v>
      </c>
      <c r="J8859" s="161" t="s">
        <v>19202</v>
      </c>
      <c r="K8859" t="s">
        <v>19203</v>
      </c>
      <c r="L8859" t="s">
        <v>16155</v>
      </c>
      <c r="M8859" s="161" t="s">
        <v>19202</v>
      </c>
    </row>
    <row r="8860" spans="9:13" x14ac:dyDescent="0.25">
      <c r="I8860" t="s">
        <v>15087</v>
      </c>
      <c r="J8860" s="161" t="s">
        <v>19202</v>
      </c>
      <c r="K8860" t="s">
        <v>19203</v>
      </c>
      <c r="L8860" t="s">
        <v>3512</v>
      </c>
      <c r="M8860" s="161" t="s">
        <v>19202</v>
      </c>
    </row>
    <row r="8861" spans="9:13" x14ac:dyDescent="0.25">
      <c r="I8861" t="s">
        <v>6949</v>
      </c>
      <c r="J8861" s="161" t="s">
        <v>19202</v>
      </c>
      <c r="K8861" t="s">
        <v>19203</v>
      </c>
      <c r="L8861" t="s">
        <v>6948</v>
      </c>
      <c r="M8861" s="161" t="s">
        <v>19202</v>
      </c>
    </row>
    <row r="8862" spans="9:13" x14ac:dyDescent="0.25">
      <c r="I8862" t="s">
        <v>6941</v>
      </c>
      <c r="J8862" s="161" t="s">
        <v>19202</v>
      </c>
      <c r="K8862" t="s">
        <v>19203</v>
      </c>
      <c r="L8862" t="s">
        <v>6940</v>
      </c>
      <c r="M8862" s="161" t="s">
        <v>19202</v>
      </c>
    </row>
    <row r="8863" spans="9:13" x14ac:dyDescent="0.25">
      <c r="I8863" t="s">
        <v>160</v>
      </c>
      <c r="J8863" s="161" t="s">
        <v>19202</v>
      </c>
      <c r="K8863" t="s">
        <v>19203</v>
      </c>
      <c r="L8863" t="s">
        <v>159</v>
      </c>
      <c r="M8863" s="161" t="s">
        <v>19202</v>
      </c>
    </row>
    <row r="8864" spans="9:13" x14ac:dyDescent="0.25">
      <c r="I8864" t="s">
        <v>11720</v>
      </c>
      <c r="J8864" s="161" t="s">
        <v>19202</v>
      </c>
      <c r="K8864" t="s">
        <v>19203</v>
      </c>
      <c r="L8864" t="s">
        <v>11719</v>
      </c>
      <c r="M8864" s="161" t="s">
        <v>19202</v>
      </c>
    </row>
    <row r="8865" spans="9:13" x14ac:dyDescent="0.25">
      <c r="I8865" t="s">
        <v>269</v>
      </c>
      <c r="J8865" s="161" t="s">
        <v>19202</v>
      </c>
      <c r="K8865" t="s">
        <v>19203</v>
      </c>
      <c r="L8865" t="s">
        <v>268</v>
      </c>
      <c r="M8865" s="161" t="s">
        <v>19202</v>
      </c>
    </row>
    <row r="8866" spans="9:13" x14ac:dyDescent="0.25">
      <c r="I8866" t="s">
        <v>8770</v>
      </c>
      <c r="J8866" s="167" t="s">
        <v>19994</v>
      </c>
      <c r="K8866" t="s">
        <v>19203</v>
      </c>
      <c r="L8866" t="s">
        <v>8769</v>
      </c>
      <c r="M8866" s="167" t="s">
        <v>19994</v>
      </c>
    </row>
    <row r="8867" spans="9:13" x14ac:dyDescent="0.25">
      <c r="I8867" t="s">
        <v>20639</v>
      </c>
      <c r="J8867" s="161" t="s">
        <v>19202</v>
      </c>
      <c r="K8867" t="s">
        <v>19203</v>
      </c>
      <c r="L8867" t="s">
        <v>20640</v>
      </c>
      <c r="M8867" s="161" t="s">
        <v>19202</v>
      </c>
    </row>
    <row r="8868" spans="9:13" x14ac:dyDescent="0.25">
      <c r="I8868" t="s">
        <v>20641</v>
      </c>
      <c r="J8868" s="161" t="s">
        <v>19202</v>
      </c>
      <c r="K8868" t="s">
        <v>19203</v>
      </c>
      <c r="L8868" t="s">
        <v>20642</v>
      </c>
      <c r="M8868" s="161" t="s">
        <v>19202</v>
      </c>
    </row>
    <row r="8869" spans="9:13" x14ac:dyDescent="0.25">
      <c r="I8869" t="s">
        <v>20643</v>
      </c>
      <c r="J8869" s="161" t="s">
        <v>19202</v>
      </c>
      <c r="K8869" t="s">
        <v>19203</v>
      </c>
      <c r="L8869" t="s">
        <v>1350</v>
      </c>
      <c r="M8869" s="161" t="s">
        <v>19202</v>
      </c>
    </row>
    <row r="8870" spans="9:13" x14ac:dyDescent="0.25">
      <c r="I8870" t="s">
        <v>6849</v>
      </c>
      <c r="J8870" s="161" t="s">
        <v>19202</v>
      </c>
      <c r="K8870" t="s">
        <v>19203</v>
      </c>
      <c r="L8870" t="s">
        <v>6848</v>
      </c>
      <c r="M8870" s="161" t="s">
        <v>19202</v>
      </c>
    </row>
    <row r="8871" spans="9:13" x14ac:dyDescent="0.25">
      <c r="I8871" t="s">
        <v>219</v>
      </c>
      <c r="J8871" s="161" t="s">
        <v>19202</v>
      </c>
      <c r="K8871" t="s">
        <v>19203</v>
      </c>
      <c r="L8871" t="s">
        <v>218</v>
      </c>
      <c r="M8871" s="161" t="s">
        <v>19202</v>
      </c>
    </row>
    <row r="8872" spans="9:13" x14ac:dyDescent="0.25">
      <c r="I8872" t="s">
        <v>158</v>
      </c>
      <c r="J8872" s="161" t="s">
        <v>19202</v>
      </c>
      <c r="K8872" t="s">
        <v>19203</v>
      </c>
      <c r="L8872" t="s">
        <v>157</v>
      </c>
      <c r="M8872" s="161" t="s">
        <v>19202</v>
      </c>
    </row>
    <row r="8873" spans="9:13" x14ac:dyDescent="0.25">
      <c r="I8873" t="s">
        <v>4777</v>
      </c>
      <c r="J8873" s="161" t="s">
        <v>19202</v>
      </c>
      <c r="K8873" t="s">
        <v>19203</v>
      </c>
      <c r="L8873" t="s">
        <v>4776</v>
      </c>
      <c r="M8873" s="161" t="s">
        <v>19202</v>
      </c>
    </row>
    <row r="8874" spans="9:13" x14ac:dyDescent="0.25">
      <c r="I8874" t="s">
        <v>20644</v>
      </c>
      <c r="J8874" s="161" t="s">
        <v>19202</v>
      </c>
      <c r="K8874" t="s">
        <v>19203</v>
      </c>
      <c r="L8874" t="s">
        <v>20645</v>
      </c>
      <c r="M8874" s="161" t="s">
        <v>19202</v>
      </c>
    </row>
    <row r="8875" spans="9:13" x14ac:dyDescent="0.25">
      <c r="I8875" t="s">
        <v>20646</v>
      </c>
      <c r="J8875" s="161" t="s">
        <v>19202</v>
      </c>
      <c r="K8875" t="s">
        <v>19203</v>
      </c>
      <c r="L8875" t="s">
        <v>20647</v>
      </c>
      <c r="M8875" s="161" t="s">
        <v>19202</v>
      </c>
    </row>
    <row r="8876" spans="9:13" x14ac:dyDescent="0.25">
      <c r="I8876" t="s">
        <v>3535</v>
      </c>
      <c r="J8876" s="161" t="s">
        <v>19202</v>
      </c>
      <c r="K8876" t="s">
        <v>19203</v>
      </c>
      <c r="L8876" t="s">
        <v>3534</v>
      </c>
      <c r="M8876" s="161" t="s">
        <v>19202</v>
      </c>
    </row>
    <row r="8877" spans="9:13" x14ac:dyDescent="0.25">
      <c r="I8877" t="s">
        <v>13638</v>
      </c>
      <c r="J8877" s="161" t="s">
        <v>19202</v>
      </c>
      <c r="K8877" t="s">
        <v>19203</v>
      </c>
      <c r="L8877" t="s">
        <v>13637</v>
      </c>
      <c r="M8877" s="161" t="s">
        <v>19202</v>
      </c>
    </row>
    <row r="8878" spans="9:13" x14ac:dyDescent="0.25">
      <c r="I8878" t="s">
        <v>8886</v>
      </c>
      <c r="J8878" s="161" t="s">
        <v>19202</v>
      </c>
      <c r="K8878" t="s">
        <v>19203</v>
      </c>
      <c r="L8878" t="s">
        <v>8885</v>
      </c>
      <c r="M8878" s="161" t="s">
        <v>19202</v>
      </c>
    </row>
    <row r="8879" spans="9:13" x14ac:dyDescent="0.25">
      <c r="I8879" t="s">
        <v>6268</v>
      </c>
      <c r="J8879" s="161" t="s">
        <v>19202</v>
      </c>
      <c r="K8879" t="s">
        <v>19203</v>
      </c>
      <c r="L8879" t="s">
        <v>6267</v>
      </c>
      <c r="M8879" s="161" t="s">
        <v>19202</v>
      </c>
    </row>
    <row r="8880" spans="9:13" x14ac:dyDescent="0.25">
      <c r="I8880" t="s">
        <v>16092</v>
      </c>
      <c r="J8880" s="161" t="s">
        <v>19202</v>
      </c>
      <c r="K8880" t="s">
        <v>19203</v>
      </c>
      <c r="L8880" t="s">
        <v>16091</v>
      </c>
      <c r="M8880" s="161" t="s">
        <v>19202</v>
      </c>
    </row>
    <row r="8881" spans="9:13" x14ac:dyDescent="0.25">
      <c r="I8881" t="s">
        <v>15086</v>
      </c>
      <c r="J8881" s="161" t="s">
        <v>19202</v>
      </c>
      <c r="K8881" t="s">
        <v>19203</v>
      </c>
      <c r="L8881" t="s">
        <v>15027</v>
      </c>
      <c r="M8881" s="161" t="s">
        <v>19202</v>
      </c>
    </row>
    <row r="8882" spans="9:13" x14ac:dyDescent="0.25">
      <c r="I8882" t="s">
        <v>12340</v>
      </c>
      <c r="J8882" s="161" t="s">
        <v>19202</v>
      </c>
      <c r="K8882" t="s">
        <v>19203</v>
      </c>
      <c r="L8882" t="s">
        <v>12339</v>
      </c>
      <c r="M8882" s="161" t="s">
        <v>19202</v>
      </c>
    </row>
    <row r="8883" spans="9:13" x14ac:dyDescent="0.25">
      <c r="I8883" t="s">
        <v>2252</v>
      </c>
      <c r="J8883" s="161" t="s">
        <v>19202</v>
      </c>
      <c r="K8883" t="s">
        <v>19203</v>
      </c>
      <c r="L8883" t="s">
        <v>2251</v>
      </c>
      <c r="M8883" s="161" t="s">
        <v>19202</v>
      </c>
    </row>
    <row r="8884" spans="9:13" x14ac:dyDescent="0.25">
      <c r="I8884" t="s">
        <v>5574</v>
      </c>
      <c r="J8884" s="161" t="s">
        <v>19202</v>
      </c>
      <c r="K8884" t="s">
        <v>19203</v>
      </c>
      <c r="L8884" t="s">
        <v>5573</v>
      </c>
      <c r="M8884" s="161" t="s">
        <v>19202</v>
      </c>
    </row>
    <row r="8885" spans="9:13" x14ac:dyDescent="0.25">
      <c r="I8885" t="s">
        <v>15811</v>
      </c>
      <c r="J8885" s="161" t="s">
        <v>19202</v>
      </c>
      <c r="K8885" t="s">
        <v>19203</v>
      </c>
      <c r="L8885" t="s">
        <v>15810</v>
      </c>
      <c r="M8885" s="161" t="s">
        <v>19202</v>
      </c>
    </row>
    <row r="8886" spans="9:13" x14ac:dyDescent="0.25">
      <c r="I8886" t="s">
        <v>13793</v>
      </c>
      <c r="J8886" s="161" t="s">
        <v>20648</v>
      </c>
      <c r="K8886" t="s">
        <v>19203</v>
      </c>
      <c r="L8886" t="s">
        <v>20649</v>
      </c>
      <c r="M8886" s="161" t="s">
        <v>20648</v>
      </c>
    </row>
    <row r="8887" spans="9:13" x14ac:dyDescent="0.25">
      <c r="I8887" t="s">
        <v>4267</v>
      </c>
      <c r="J8887" s="161" t="s">
        <v>19202</v>
      </c>
      <c r="K8887" t="s">
        <v>19203</v>
      </c>
      <c r="L8887" t="s">
        <v>4266</v>
      </c>
      <c r="M8887" s="161" t="s">
        <v>19202</v>
      </c>
    </row>
    <row r="8888" spans="9:13" x14ac:dyDescent="0.25">
      <c r="I8888" t="s">
        <v>15501</v>
      </c>
      <c r="J8888" s="167" t="s">
        <v>19994</v>
      </c>
      <c r="K8888" t="s">
        <v>19203</v>
      </c>
      <c r="L8888" t="s">
        <v>13686</v>
      </c>
      <c r="M8888" s="167" t="s">
        <v>19994</v>
      </c>
    </row>
    <row r="8889" spans="9:13" x14ac:dyDescent="0.25">
      <c r="I8889" t="s">
        <v>7417</v>
      </c>
      <c r="J8889" s="161" t="s">
        <v>19202</v>
      </c>
      <c r="K8889" t="s">
        <v>19203</v>
      </c>
      <c r="L8889" t="s">
        <v>7416</v>
      </c>
      <c r="M8889" s="161" t="s">
        <v>19202</v>
      </c>
    </row>
    <row r="8890" spans="9:13" x14ac:dyDescent="0.25">
      <c r="I8890" t="s">
        <v>6401</v>
      </c>
      <c r="J8890" s="161" t="s">
        <v>19202</v>
      </c>
      <c r="K8890" t="s">
        <v>19203</v>
      </c>
      <c r="L8890" t="s">
        <v>5382</v>
      </c>
      <c r="M8890" s="161" t="s">
        <v>19202</v>
      </c>
    </row>
    <row r="8891" spans="9:13" x14ac:dyDescent="0.25">
      <c r="I8891" t="s">
        <v>11581</v>
      </c>
      <c r="J8891" s="161" t="s">
        <v>19202</v>
      </c>
      <c r="K8891" t="s">
        <v>19203</v>
      </c>
      <c r="L8891" t="s">
        <v>11580</v>
      </c>
      <c r="M8891" s="161" t="s">
        <v>19202</v>
      </c>
    </row>
    <row r="8892" spans="9:13" x14ac:dyDescent="0.25">
      <c r="I8892" t="s">
        <v>3239</v>
      </c>
      <c r="J8892" s="161" t="s">
        <v>19202</v>
      </c>
      <c r="K8892" t="s">
        <v>19203</v>
      </c>
      <c r="L8892" t="s">
        <v>3238</v>
      </c>
      <c r="M8892" s="161" t="s">
        <v>19202</v>
      </c>
    </row>
    <row r="8893" spans="9:13" x14ac:dyDescent="0.25">
      <c r="I8893" t="s">
        <v>11117</v>
      </c>
      <c r="J8893" s="161" t="s">
        <v>19202</v>
      </c>
      <c r="K8893" t="s">
        <v>19203</v>
      </c>
      <c r="L8893" t="s">
        <v>11116</v>
      </c>
      <c r="M8893" s="161" t="s">
        <v>19202</v>
      </c>
    </row>
    <row r="8894" spans="9:13" x14ac:dyDescent="0.25">
      <c r="I8894" t="s">
        <v>3390</v>
      </c>
      <c r="J8894" s="161" t="s">
        <v>19202</v>
      </c>
      <c r="K8894" t="s">
        <v>19203</v>
      </c>
      <c r="L8894" t="s">
        <v>3389</v>
      </c>
      <c r="M8894" s="161" t="s">
        <v>19202</v>
      </c>
    </row>
    <row r="8895" spans="9:13" x14ac:dyDescent="0.25">
      <c r="I8895" t="s">
        <v>8094</v>
      </c>
      <c r="J8895" s="161" t="s">
        <v>19202</v>
      </c>
      <c r="K8895" t="s">
        <v>19203</v>
      </c>
      <c r="L8895" t="s">
        <v>8093</v>
      </c>
      <c r="M8895" s="161" t="s">
        <v>19202</v>
      </c>
    </row>
    <row r="8896" spans="9:13" x14ac:dyDescent="0.25">
      <c r="I8896" t="s">
        <v>20650</v>
      </c>
      <c r="J8896" s="161" t="s">
        <v>19202</v>
      </c>
      <c r="K8896" t="s">
        <v>19203</v>
      </c>
      <c r="L8896" t="s">
        <v>20651</v>
      </c>
      <c r="M8896" s="161" t="s">
        <v>19202</v>
      </c>
    </row>
    <row r="8897" spans="9:13" x14ac:dyDescent="0.25">
      <c r="I8897" t="s">
        <v>6923</v>
      </c>
      <c r="J8897" s="161" t="s">
        <v>19994</v>
      </c>
      <c r="K8897" t="s">
        <v>19203</v>
      </c>
      <c r="L8897" t="s">
        <v>6922</v>
      </c>
      <c r="M8897" s="161" t="s">
        <v>19994</v>
      </c>
    </row>
    <row r="8898" spans="9:13" x14ac:dyDescent="0.25">
      <c r="I8898" t="s">
        <v>12342</v>
      </c>
      <c r="J8898" s="161" t="s">
        <v>19202</v>
      </c>
      <c r="K8898" t="s">
        <v>19203</v>
      </c>
      <c r="L8898" t="s">
        <v>12341</v>
      </c>
      <c r="M8898" s="161" t="s">
        <v>19202</v>
      </c>
    </row>
    <row r="8899" spans="9:13" x14ac:dyDescent="0.25">
      <c r="I8899" t="s">
        <v>11621</v>
      </c>
      <c r="J8899" s="161" t="s">
        <v>19202</v>
      </c>
      <c r="K8899" t="s">
        <v>19203</v>
      </c>
      <c r="L8899" t="s">
        <v>11620</v>
      </c>
      <c r="M8899" s="161" t="s">
        <v>19202</v>
      </c>
    </row>
    <row r="8900" spans="9:13" x14ac:dyDescent="0.25">
      <c r="I8900" t="s">
        <v>13815</v>
      </c>
      <c r="J8900" s="161" t="s">
        <v>19202</v>
      </c>
      <c r="K8900" t="s">
        <v>19203</v>
      </c>
      <c r="L8900" t="s">
        <v>13814</v>
      </c>
      <c r="M8900" s="161" t="s">
        <v>19202</v>
      </c>
    </row>
    <row r="8901" spans="9:13" x14ac:dyDescent="0.25">
      <c r="I8901" t="s">
        <v>13813</v>
      </c>
      <c r="J8901" s="161" t="s">
        <v>19202</v>
      </c>
      <c r="K8901" t="s">
        <v>19203</v>
      </c>
      <c r="L8901" t="s">
        <v>13812</v>
      </c>
      <c r="M8901" s="161" t="s">
        <v>19202</v>
      </c>
    </row>
    <row r="8902" spans="9:13" x14ac:dyDescent="0.25">
      <c r="I8902" t="s">
        <v>10939</v>
      </c>
      <c r="J8902" s="161" t="s">
        <v>19202</v>
      </c>
      <c r="K8902" t="s">
        <v>19203</v>
      </c>
      <c r="L8902" t="s">
        <v>10938</v>
      </c>
      <c r="M8902" s="161" t="s">
        <v>19202</v>
      </c>
    </row>
    <row r="8903" spans="9:13" x14ac:dyDescent="0.25">
      <c r="I8903" t="s">
        <v>11716</v>
      </c>
      <c r="J8903" s="161" t="s">
        <v>19202</v>
      </c>
      <c r="K8903" t="s">
        <v>19203</v>
      </c>
      <c r="L8903" t="s">
        <v>11715</v>
      </c>
      <c r="M8903" s="161" t="s">
        <v>19202</v>
      </c>
    </row>
    <row r="8904" spans="9:13" x14ac:dyDescent="0.25">
      <c r="I8904" t="s">
        <v>20652</v>
      </c>
      <c r="J8904" s="161" t="s">
        <v>19202</v>
      </c>
      <c r="K8904" t="s">
        <v>19203</v>
      </c>
      <c r="L8904" t="s">
        <v>20653</v>
      </c>
      <c r="M8904" s="161" t="s">
        <v>19202</v>
      </c>
    </row>
    <row r="8905" spans="9:13" x14ac:dyDescent="0.25">
      <c r="I8905" t="s">
        <v>8692</v>
      </c>
      <c r="J8905" s="161" t="s">
        <v>19202</v>
      </c>
      <c r="K8905" t="s">
        <v>19203</v>
      </c>
      <c r="L8905" t="s">
        <v>8691</v>
      </c>
      <c r="M8905" s="161" t="s">
        <v>19202</v>
      </c>
    </row>
    <row r="8906" spans="9:13" x14ac:dyDescent="0.25">
      <c r="I8906" t="s">
        <v>20654</v>
      </c>
      <c r="J8906" s="161" t="s">
        <v>19202</v>
      </c>
      <c r="K8906" t="s">
        <v>19203</v>
      </c>
      <c r="L8906" t="s">
        <v>20655</v>
      </c>
      <c r="M8906" s="161" t="s">
        <v>19202</v>
      </c>
    </row>
    <row r="8907" spans="9:13" x14ac:dyDescent="0.25">
      <c r="I8907" t="s">
        <v>12306</v>
      </c>
      <c r="J8907" s="161" t="s">
        <v>19202</v>
      </c>
      <c r="K8907" t="s">
        <v>19203</v>
      </c>
      <c r="L8907" t="s">
        <v>12305</v>
      </c>
      <c r="M8907" s="161" t="s">
        <v>19202</v>
      </c>
    </row>
    <row r="8908" spans="9:13" x14ac:dyDescent="0.25">
      <c r="I8908" t="s">
        <v>10141</v>
      </c>
      <c r="J8908" s="161" t="s">
        <v>19202</v>
      </c>
      <c r="K8908" t="s">
        <v>19203</v>
      </c>
      <c r="L8908" t="s">
        <v>10140</v>
      </c>
      <c r="M8908" s="161" t="s">
        <v>19202</v>
      </c>
    </row>
    <row r="8909" spans="9:13" x14ac:dyDescent="0.25">
      <c r="I8909" t="s">
        <v>10118</v>
      </c>
      <c r="J8909" s="161" t="s">
        <v>19202</v>
      </c>
      <c r="K8909" t="s">
        <v>19203</v>
      </c>
      <c r="L8909" t="s">
        <v>10117</v>
      </c>
      <c r="M8909" s="161" t="s">
        <v>19202</v>
      </c>
    </row>
    <row r="8910" spans="9:13" x14ac:dyDescent="0.25">
      <c r="I8910" t="s">
        <v>20656</v>
      </c>
      <c r="J8910" s="161" t="s">
        <v>19202</v>
      </c>
      <c r="K8910" t="s">
        <v>19203</v>
      </c>
      <c r="L8910" t="s">
        <v>20657</v>
      </c>
      <c r="M8910" s="161" t="s">
        <v>19202</v>
      </c>
    </row>
    <row r="8911" spans="9:13" x14ac:dyDescent="0.25">
      <c r="I8911" t="s">
        <v>15121</v>
      </c>
      <c r="J8911" s="161" t="s">
        <v>19202</v>
      </c>
      <c r="K8911" t="s">
        <v>19203</v>
      </c>
      <c r="L8911" t="s">
        <v>15120</v>
      </c>
      <c r="M8911" s="161" t="s">
        <v>19202</v>
      </c>
    </row>
    <row r="8912" spans="9:13" x14ac:dyDescent="0.25">
      <c r="I8912" t="s">
        <v>20658</v>
      </c>
      <c r="J8912" s="161" t="s">
        <v>19202</v>
      </c>
      <c r="K8912" t="s">
        <v>19203</v>
      </c>
      <c r="L8912" t="s">
        <v>16376</v>
      </c>
      <c r="M8912" s="161" t="s">
        <v>19202</v>
      </c>
    </row>
    <row r="8913" spans="9:13" x14ac:dyDescent="0.25">
      <c r="I8913" t="s">
        <v>4108</v>
      </c>
      <c r="J8913" s="161" t="s">
        <v>19202</v>
      </c>
      <c r="K8913" t="s">
        <v>19203</v>
      </c>
      <c r="L8913" t="s">
        <v>4107</v>
      </c>
      <c r="M8913" s="161" t="s">
        <v>19202</v>
      </c>
    </row>
    <row r="8914" spans="9:13" x14ac:dyDescent="0.25">
      <c r="I8914" t="s">
        <v>12471</v>
      </c>
      <c r="J8914" s="161" t="s">
        <v>19202</v>
      </c>
      <c r="K8914" t="s">
        <v>19203</v>
      </c>
      <c r="L8914" t="s">
        <v>12470</v>
      </c>
      <c r="M8914" s="161" t="s">
        <v>19202</v>
      </c>
    </row>
    <row r="8915" spans="9:13" x14ac:dyDescent="0.25">
      <c r="I8915" t="s">
        <v>12410</v>
      </c>
      <c r="J8915" s="161" t="s">
        <v>19202</v>
      </c>
      <c r="K8915" t="s">
        <v>19203</v>
      </c>
      <c r="L8915" t="s">
        <v>198</v>
      </c>
      <c r="M8915" s="161" t="s">
        <v>19202</v>
      </c>
    </row>
    <row r="8916" spans="9:13" x14ac:dyDescent="0.25">
      <c r="I8916" t="s">
        <v>3531</v>
      </c>
      <c r="J8916" s="167" t="s">
        <v>19994</v>
      </c>
      <c r="K8916" t="s">
        <v>19203</v>
      </c>
      <c r="L8916" t="s">
        <v>3530</v>
      </c>
      <c r="M8916" s="167" t="s">
        <v>19994</v>
      </c>
    </row>
    <row r="8917" spans="9:13" x14ac:dyDescent="0.25">
      <c r="I8917" t="s">
        <v>7292</v>
      </c>
      <c r="J8917" s="161" t="s">
        <v>19202</v>
      </c>
      <c r="K8917" t="s">
        <v>19203</v>
      </c>
      <c r="L8917" t="s">
        <v>7291</v>
      </c>
      <c r="M8917" s="161" t="s">
        <v>19202</v>
      </c>
    </row>
    <row r="8918" spans="9:13" x14ac:dyDescent="0.25">
      <c r="I8918" t="s">
        <v>8690</v>
      </c>
      <c r="J8918" s="161" t="s">
        <v>19202</v>
      </c>
      <c r="K8918" t="s">
        <v>19203</v>
      </c>
      <c r="L8918" t="s">
        <v>8689</v>
      </c>
      <c r="M8918" s="161" t="s">
        <v>19202</v>
      </c>
    </row>
    <row r="8919" spans="9:13" x14ac:dyDescent="0.25">
      <c r="I8919" t="s">
        <v>4640</v>
      </c>
      <c r="J8919" s="161" t="s">
        <v>19202</v>
      </c>
      <c r="K8919" t="s">
        <v>19203</v>
      </c>
      <c r="L8919" t="s">
        <v>4639</v>
      </c>
      <c r="M8919" s="161" t="s">
        <v>19202</v>
      </c>
    </row>
    <row r="8920" spans="9:13" x14ac:dyDescent="0.25">
      <c r="I8920" t="s">
        <v>306</v>
      </c>
      <c r="J8920" s="161" t="s">
        <v>19202</v>
      </c>
      <c r="K8920" t="s">
        <v>19203</v>
      </c>
      <c r="L8920" t="s">
        <v>305</v>
      </c>
      <c r="M8920" s="161" t="s">
        <v>19202</v>
      </c>
    </row>
    <row r="8921" spans="9:13" x14ac:dyDescent="0.25">
      <c r="I8921" t="s">
        <v>152</v>
      </c>
      <c r="J8921" s="161" t="s">
        <v>19202</v>
      </c>
      <c r="K8921" t="s">
        <v>19203</v>
      </c>
      <c r="L8921" t="s">
        <v>151</v>
      </c>
      <c r="M8921" s="161" t="s">
        <v>19202</v>
      </c>
    </row>
    <row r="8922" spans="9:13" x14ac:dyDescent="0.25">
      <c r="I8922" t="s">
        <v>20659</v>
      </c>
      <c r="J8922" s="161" t="s">
        <v>19994</v>
      </c>
      <c r="K8922" t="s">
        <v>19203</v>
      </c>
      <c r="L8922" t="s">
        <v>20660</v>
      </c>
      <c r="M8922" s="161" t="s">
        <v>19994</v>
      </c>
    </row>
    <row r="8923" spans="9:13" x14ac:dyDescent="0.25">
      <c r="I8923" t="s">
        <v>3606</v>
      </c>
      <c r="J8923" s="161" t="s">
        <v>19994</v>
      </c>
      <c r="K8923" t="s">
        <v>19203</v>
      </c>
      <c r="L8923" t="s">
        <v>3605</v>
      </c>
      <c r="M8923" s="161" t="s">
        <v>19994</v>
      </c>
    </row>
    <row r="8924" spans="9:13" x14ac:dyDescent="0.25">
      <c r="I8924" t="s">
        <v>20661</v>
      </c>
      <c r="J8924" s="161" t="s">
        <v>19994</v>
      </c>
      <c r="K8924" t="s">
        <v>19203</v>
      </c>
      <c r="L8924" t="s">
        <v>20662</v>
      </c>
      <c r="M8924" s="161" t="s">
        <v>19994</v>
      </c>
    </row>
    <row r="8925" spans="9:13" x14ac:dyDescent="0.25">
      <c r="I8925" t="s">
        <v>15081</v>
      </c>
      <c r="J8925" s="161" t="s">
        <v>19202</v>
      </c>
      <c r="K8925" t="s">
        <v>19203</v>
      </c>
      <c r="L8925" t="s">
        <v>405</v>
      </c>
      <c r="M8925" s="161" t="s">
        <v>19202</v>
      </c>
    </row>
    <row r="8926" spans="9:13" x14ac:dyDescent="0.25">
      <c r="I8926" t="s">
        <v>154</v>
      </c>
      <c r="J8926" s="161" t="s">
        <v>19202</v>
      </c>
      <c r="K8926" t="s">
        <v>19203</v>
      </c>
      <c r="L8926" t="s">
        <v>153</v>
      </c>
      <c r="M8926" s="161" t="s">
        <v>19202</v>
      </c>
    </row>
    <row r="8927" spans="9:13" x14ac:dyDescent="0.25">
      <c r="I8927" t="s">
        <v>8092</v>
      </c>
      <c r="J8927" s="161" t="s">
        <v>19202</v>
      </c>
      <c r="K8927" t="s">
        <v>19203</v>
      </c>
      <c r="L8927" t="s">
        <v>8091</v>
      </c>
      <c r="M8927" s="161" t="s">
        <v>19202</v>
      </c>
    </row>
    <row r="8928" spans="9:13" x14ac:dyDescent="0.25">
      <c r="I8928" t="s">
        <v>14868</v>
      </c>
      <c r="J8928" s="161" t="s">
        <v>19202</v>
      </c>
      <c r="K8928" t="s">
        <v>19203</v>
      </c>
      <c r="L8928" t="s">
        <v>14867</v>
      </c>
      <c r="M8928" s="161" t="s">
        <v>19202</v>
      </c>
    </row>
    <row r="8929" spans="9:13" x14ac:dyDescent="0.25">
      <c r="I8929" t="s">
        <v>6991</v>
      </c>
      <c r="J8929" s="161" t="s">
        <v>19202</v>
      </c>
      <c r="K8929" t="s">
        <v>19203</v>
      </c>
      <c r="L8929" t="s">
        <v>6990</v>
      </c>
      <c r="M8929" s="161" t="s">
        <v>19202</v>
      </c>
    </row>
    <row r="8930" spans="9:13" x14ac:dyDescent="0.25">
      <c r="I8930" t="s">
        <v>6945</v>
      </c>
      <c r="J8930" s="161" t="s">
        <v>19202</v>
      </c>
      <c r="K8930" t="s">
        <v>19203</v>
      </c>
      <c r="L8930" t="s">
        <v>6944</v>
      </c>
      <c r="M8930" s="161" t="s">
        <v>19202</v>
      </c>
    </row>
    <row r="8931" spans="9:13" x14ac:dyDescent="0.25">
      <c r="I8931" t="s">
        <v>2162</v>
      </c>
      <c r="J8931" s="161" t="s">
        <v>19202</v>
      </c>
      <c r="K8931" t="s">
        <v>19203</v>
      </c>
      <c r="L8931" t="s">
        <v>2161</v>
      </c>
      <c r="M8931" s="161" t="s">
        <v>19202</v>
      </c>
    </row>
    <row r="8932" spans="9:13" x14ac:dyDescent="0.25">
      <c r="I8932" t="s">
        <v>20663</v>
      </c>
      <c r="J8932" s="161" t="s">
        <v>19202</v>
      </c>
      <c r="K8932" t="s">
        <v>19203</v>
      </c>
      <c r="L8932" t="s">
        <v>20664</v>
      </c>
      <c r="M8932" s="161" t="s">
        <v>19202</v>
      </c>
    </row>
    <row r="8933" spans="9:13" x14ac:dyDescent="0.25">
      <c r="I8933" t="s">
        <v>20665</v>
      </c>
      <c r="J8933" s="161" t="s">
        <v>19202</v>
      </c>
      <c r="K8933" t="s">
        <v>19203</v>
      </c>
      <c r="L8933" t="s">
        <v>20666</v>
      </c>
      <c r="M8933" s="161" t="s">
        <v>19202</v>
      </c>
    </row>
    <row r="8934" spans="9:13" x14ac:dyDescent="0.25">
      <c r="I8934" t="s">
        <v>20667</v>
      </c>
      <c r="J8934" s="161" t="s">
        <v>19202</v>
      </c>
      <c r="K8934" t="s">
        <v>19203</v>
      </c>
      <c r="L8934" t="s">
        <v>20668</v>
      </c>
      <c r="M8934" s="161" t="s">
        <v>19202</v>
      </c>
    </row>
    <row r="8935" spans="9:13" x14ac:dyDescent="0.25">
      <c r="I8935" t="s">
        <v>10236</v>
      </c>
      <c r="J8935" s="161" t="s">
        <v>19202</v>
      </c>
      <c r="K8935" t="s">
        <v>19203</v>
      </c>
      <c r="L8935" t="s">
        <v>10235</v>
      </c>
      <c r="M8935" s="161" t="s">
        <v>19202</v>
      </c>
    </row>
    <row r="8936" spans="9:13" x14ac:dyDescent="0.25">
      <c r="I8936" t="s">
        <v>15080</v>
      </c>
      <c r="J8936" s="161" t="s">
        <v>19202</v>
      </c>
      <c r="K8936" t="s">
        <v>19203</v>
      </c>
      <c r="L8936" t="s">
        <v>15079</v>
      </c>
      <c r="M8936" s="161" t="s">
        <v>19202</v>
      </c>
    </row>
    <row r="8937" spans="9:13" x14ac:dyDescent="0.25">
      <c r="I8937" t="s">
        <v>10769</v>
      </c>
      <c r="J8937" s="161" t="s">
        <v>19202</v>
      </c>
      <c r="K8937" t="s">
        <v>19203</v>
      </c>
      <c r="L8937" t="s">
        <v>10768</v>
      </c>
      <c r="M8937" s="161" t="s">
        <v>19202</v>
      </c>
    </row>
    <row r="8938" spans="9:13" x14ac:dyDescent="0.25">
      <c r="I8938" t="s">
        <v>15813</v>
      </c>
      <c r="J8938" s="161" t="s">
        <v>19202</v>
      </c>
      <c r="K8938" t="s">
        <v>19203</v>
      </c>
      <c r="L8938" t="s">
        <v>3949</v>
      </c>
      <c r="M8938" s="161" t="s">
        <v>19202</v>
      </c>
    </row>
    <row r="8939" spans="9:13" x14ac:dyDescent="0.25">
      <c r="I8939" t="s">
        <v>15812</v>
      </c>
      <c r="J8939" s="161" t="s">
        <v>19202</v>
      </c>
      <c r="K8939" t="s">
        <v>19203</v>
      </c>
      <c r="L8939" t="s">
        <v>15611</v>
      </c>
      <c r="M8939" s="161" t="s">
        <v>19202</v>
      </c>
    </row>
    <row r="8940" spans="9:13" x14ac:dyDescent="0.25">
      <c r="I8940" t="s">
        <v>6937</v>
      </c>
      <c r="J8940" s="161" t="s">
        <v>19202</v>
      </c>
      <c r="K8940" t="s">
        <v>19203</v>
      </c>
      <c r="L8940" t="s">
        <v>6936</v>
      </c>
      <c r="M8940" s="161" t="s">
        <v>19202</v>
      </c>
    </row>
    <row r="8941" spans="9:13" x14ac:dyDescent="0.25">
      <c r="I8941" t="s">
        <v>13411</v>
      </c>
      <c r="J8941" s="161" t="s">
        <v>19202</v>
      </c>
      <c r="K8941" t="s">
        <v>19203</v>
      </c>
      <c r="L8941" t="s">
        <v>13410</v>
      </c>
      <c r="M8941" s="161" t="s">
        <v>19202</v>
      </c>
    </row>
    <row r="8942" spans="9:13" x14ac:dyDescent="0.25">
      <c r="I8942" t="s">
        <v>282</v>
      </c>
      <c r="J8942" s="161" t="s">
        <v>19202</v>
      </c>
      <c r="K8942" t="s">
        <v>19203</v>
      </c>
      <c r="L8942" t="s">
        <v>281</v>
      </c>
      <c r="M8942" s="161" t="s">
        <v>19202</v>
      </c>
    </row>
    <row r="8943" spans="9:13" x14ac:dyDescent="0.25">
      <c r="I8943" t="s">
        <v>20669</v>
      </c>
      <c r="J8943" s="161" t="s">
        <v>19202</v>
      </c>
      <c r="K8943" t="s">
        <v>19203</v>
      </c>
      <c r="L8943" t="s">
        <v>20670</v>
      </c>
      <c r="M8943" s="161" t="s">
        <v>19202</v>
      </c>
    </row>
    <row r="8944" spans="9:13" x14ac:dyDescent="0.25">
      <c r="I8944" t="s">
        <v>16133</v>
      </c>
      <c r="J8944" s="161" t="s">
        <v>19202</v>
      </c>
      <c r="K8944" t="s">
        <v>19203</v>
      </c>
      <c r="L8944" t="s">
        <v>1387</v>
      </c>
      <c r="M8944" s="161" t="s">
        <v>19202</v>
      </c>
    </row>
    <row r="8945" spans="9:13" x14ac:dyDescent="0.25">
      <c r="I8945" t="s">
        <v>4674</v>
      </c>
      <c r="J8945" s="167" t="s">
        <v>19994</v>
      </c>
      <c r="K8945" t="s">
        <v>19203</v>
      </c>
      <c r="L8945" t="s">
        <v>4673</v>
      </c>
      <c r="M8945" s="167" t="s">
        <v>19994</v>
      </c>
    </row>
    <row r="8946" spans="9:13" x14ac:dyDescent="0.25">
      <c r="I8946" t="s">
        <v>55</v>
      </c>
      <c r="J8946" s="161" t="s">
        <v>19202</v>
      </c>
      <c r="K8946" t="s">
        <v>19203</v>
      </c>
      <c r="L8946" t="s">
        <v>54</v>
      </c>
      <c r="M8946" s="161" t="s">
        <v>19202</v>
      </c>
    </row>
    <row r="8947" spans="9:13" x14ac:dyDescent="0.25">
      <c r="I8947" t="s">
        <v>10230</v>
      </c>
      <c r="J8947" s="161" t="s">
        <v>19202</v>
      </c>
      <c r="K8947" t="s">
        <v>19203</v>
      </c>
      <c r="L8947" t="s">
        <v>10229</v>
      </c>
      <c r="M8947" s="161" t="s">
        <v>19202</v>
      </c>
    </row>
    <row r="8948" spans="9:13" x14ac:dyDescent="0.25">
      <c r="I8948" t="s">
        <v>326</v>
      </c>
      <c r="J8948" s="167" t="s">
        <v>19994</v>
      </c>
      <c r="K8948" t="s">
        <v>19203</v>
      </c>
      <c r="L8948" t="s">
        <v>325</v>
      </c>
      <c r="M8948" s="167" t="s">
        <v>19994</v>
      </c>
    </row>
    <row r="8949" spans="9:13" x14ac:dyDescent="0.25">
      <c r="I8949" t="s">
        <v>8782</v>
      </c>
      <c r="J8949" s="167" t="s">
        <v>19994</v>
      </c>
      <c r="K8949" t="s">
        <v>19203</v>
      </c>
      <c r="L8949" t="s">
        <v>8781</v>
      </c>
      <c r="M8949" s="167" t="s">
        <v>19994</v>
      </c>
    </row>
    <row r="8950" spans="9:13" x14ac:dyDescent="0.25">
      <c r="I8950" t="s">
        <v>8758</v>
      </c>
      <c r="J8950" s="167" t="s">
        <v>19994</v>
      </c>
      <c r="K8950" t="s">
        <v>19203</v>
      </c>
      <c r="L8950" t="s">
        <v>8757</v>
      </c>
      <c r="M8950" s="167" t="s">
        <v>19994</v>
      </c>
    </row>
    <row r="8951" spans="9:13" x14ac:dyDescent="0.25">
      <c r="I8951" t="s">
        <v>13933</v>
      </c>
      <c r="J8951" s="161" t="s">
        <v>19202</v>
      </c>
      <c r="K8951" t="s">
        <v>19203</v>
      </c>
      <c r="L8951" t="s">
        <v>13932</v>
      </c>
      <c r="M8951" s="161" t="s">
        <v>19202</v>
      </c>
    </row>
    <row r="8952" spans="9:13" x14ac:dyDescent="0.25">
      <c r="I8952" t="s">
        <v>20671</v>
      </c>
      <c r="J8952" s="161" t="s">
        <v>19202</v>
      </c>
      <c r="K8952" t="s">
        <v>19203</v>
      </c>
      <c r="L8952" t="s">
        <v>14634</v>
      </c>
      <c r="M8952" s="161" t="s">
        <v>19202</v>
      </c>
    </row>
    <row r="8953" spans="9:13" x14ac:dyDescent="0.25">
      <c r="I8953" t="s">
        <v>11115</v>
      </c>
      <c r="J8953" s="161" t="s">
        <v>19202</v>
      </c>
      <c r="K8953" t="s">
        <v>19203</v>
      </c>
      <c r="L8953" t="s">
        <v>11114</v>
      </c>
      <c r="M8953" s="161" t="s">
        <v>19202</v>
      </c>
    </row>
    <row r="8954" spans="9:13" x14ac:dyDescent="0.25">
      <c r="I8954" t="s">
        <v>14688</v>
      </c>
      <c r="J8954" s="161" t="s">
        <v>19202</v>
      </c>
      <c r="K8954" t="s">
        <v>19203</v>
      </c>
      <c r="L8954" t="s">
        <v>14687</v>
      </c>
      <c r="M8954" s="161" t="s">
        <v>19202</v>
      </c>
    </row>
    <row r="8955" spans="9:13" x14ac:dyDescent="0.25">
      <c r="I8955" t="s">
        <v>6993</v>
      </c>
      <c r="J8955" s="161" t="s">
        <v>19202</v>
      </c>
      <c r="K8955" t="s">
        <v>19203</v>
      </c>
      <c r="L8955" t="s">
        <v>6992</v>
      </c>
      <c r="M8955" s="161" t="s">
        <v>19202</v>
      </c>
    </row>
    <row r="8956" spans="9:13" x14ac:dyDescent="0.25">
      <c r="I8956" t="s">
        <v>6989</v>
      </c>
      <c r="J8956" s="161" t="s">
        <v>19202</v>
      </c>
      <c r="K8956" t="s">
        <v>19203</v>
      </c>
      <c r="L8956" t="s">
        <v>6988</v>
      </c>
      <c r="M8956" s="161" t="s">
        <v>19202</v>
      </c>
    </row>
    <row r="8957" spans="9:13" x14ac:dyDescent="0.25">
      <c r="I8957" t="s">
        <v>28</v>
      </c>
      <c r="J8957" s="161" t="s">
        <v>19202</v>
      </c>
      <c r="K8957" t="s">
        <v>19203</v>
      </c>
      <c r="L8957" t="s">
        <v>27</v>
      </c>
      <c r="M8957" s="161" t="s">
        <v>19202</v>
      </c>
    </row>
    <row r="8958" spans="9:13" x14ac:dyDescent="0.25">
      <c r="I8958" t="s">
        <v>8888</v>
      </c>
      <c r="J8958" s="161" t="s">
        <v>19202</v>
      </c>
      <c r="K8958" t="s">
        <v>19203</v>
      </c>
      <c r="L8958" t="s">
        <v>8887</v>
      </c>
      <c r="M8958" s="161" t="s">
        <v>19202</v>
      </c>
    </row>
    <row r="8959" spans="9:13" x14ac:dyDescent="0.25">
      <c r="I8959" t="s">
        <v>2375</v>
      </c>
      <c r="J8959" s="161" t="s">
        <v>19202</v>
      </c>
      <c r="K8959" t="s">
        <v>19203</v>
      </c>
      <c r="L8959" t="s">
        <v>2374</v>
      </c>
      <c r="M8959" s="161" t="s">
        <v>19202</v>
      </c>
    </row>
    <row r="8960" spans="9:13" x14ac:dyDescent="0.25">
      <c r="I8960" t="s">
        <v>20672</v>
      </c>
      <c r="J8960" s="161" t="s">
        <v>19202</v>
      </c>
      <c r="K8960" t="s">
        <v>19203</v>
      </c>
      <c r="L8960" t="s">
        <v>20673</v>
      </c>
      <c r="M8960" s="161" t="s">
        <v>19202</v>
      </c>
    </row>
    <row r="8961" spans="9:13" x14ac:dyDescent="0.25">
      <c r="I8961" t="s">
        <v>15503</v>
      </c>
      <c r="J8961" s="161" t="s">
        <v>19202</v>
      </c>
      <c r="K8961" t="s">
        <v>19203</v>
      </c>
      <c r="L8961" t="s">
        <v>15502</v>
      </c>
      <c r="M8961" s="161" t="s">
        <v>19202</v>
      </c>
    </row>
    <row r="8962" spans="9:13" x14ac:dyDescent="0.25">
      <c r="I8962" t="s">
        <v>11391</v>
      </c>
      <c r="J8962" s="161" t="s">
        <v>19994</v>
      </c>
      <c r="K8962" t="s">
        <v>19203</v>
      </c>
      <c r="L8962" t="s">
        <v>11390</v>
      </c>
      <c r="M8962" s="161" t="s">
        <v>19994</v>
      </c>
    </row>
    <row r="8963" spans="9:13" x14ac:dyDescent="0.25">
      <c r="I8963" t="s">
        <v>20674</v>
      </c>
      <c r="J8963" s="161" t="s">
        <v>19202</v>
      </c>
      <c r="K8963" t="s">
        <v>19203</v>
      </c>
      <c r="L8963" t="s">
        <v>20675</v>
      </c>
      <c r="M8963" s="161" t="s">
        <v>19202</v>
      </c>
    </row>
    <row r="8964" spans="9:13" x14ac:dyDescent="0.25">
      <c r="I8964" t="s">
        <v>254</v>
      </c>
      <c r="J8964" s="161" t="s">
        <v>19202</v>
      </c>
      <c r="K8964" t="s">
        <v>19203</v>
      </c>
      <c r="L8964" t="s">
        <v>253</v>
      </c>
      <c r="M8964" s="161" t="s">
        <v>19202</v>
      </c>
    </row>
    <row r="8965" spans="9:13" x14ac:dyDescent="0.25">
      <c r="I8965" t="s">
        <v>20676</v>
      </c>
      <c r="J8965" s="161" t="s">
        <v>19202</v>
      </c>
      <c r="K8965" t="s">
        <v>19203</v>
      </c>
      <c r="L8965" t="s">
        <v>20677</v>
      </c>
      <c r="M8965" s="161" t="s">
        <v>19202</v>
      </c>
    </row>
    <row r="8966" spans="9:13" x14ac:dyDescent="0.25">
      <c r="I8966" t="s">
        <v>20678</v>
      </c>
      <c r="J8966" s="161" t="s">
        <v>19202</v>
      </c>
      <c r="K8966" t="s">
        <v>19203</v>
      </c>
      <c r="L8966" t="s">
        <v>20679</v>
      </c>
      <c r="M8966" s="161" t="s">
        <v>19202</v>
      </c>
    </row>
    <row r="8967" spans="9:13" x14ac:dyDescent="0.25">
      <c r="I8967" t="s">
        <v>2156</v>
      </c>
      <c r="J8967" s="161" t="s">
        <v>19202</v>
      </c>
      <c r="K8967" t="s">
        <v>19203</v>
      </c>
      <c r="L8967" t="s">
        <v>2155</v>
      </c>
      <c r="M8967" s="161" t="s">
        <v>19202</v>
      </c>
    </row>
    <row r="8968" spans="9:13" x14ac:dyDescent="0.25">
      <c r="I8968" t="s">
        <v>6610</v>
      </c>
      <c r="J8968" s="161" t="s">
        <v>19202</v>
      </c>
      <c r="K8968" t="s">
        <v>19203</v>
      </c>
      <c r="L8968" t="s">
        <v>6609</v>
      </c>
      <c r="M8968" s="161" t="s">
        <v>19202</v>
      </c>
    </row>
    <row r="8969" spans="9:13" x14ac:dyDescent="0.25">
      <c r="I8969" t="s">
        <v>15585</v>
      </c>
      <c r="J8969" s="161" t="s">
        <v>19202</v>
      </c>
      <c r="K8969" t="s">
        <v>19203</v>
      </c>
      <c r="L8969" t="s">
        <v>15584</v>
      </c>
      <c r="M8969" s="161" t="s">
        <v>19202</v>
      </c>
    </row>
    <row r="8970" spans="9:13" x14ac:dyDescent="0.25">
      <c r="I8970" t="s">
        <v>8818</v>
      </c>
      <c r="J8970" s="161" t="s">
        <v>19202</v>
      </c>
      <c r="K8970" t="s">
        <v>19203</v>
      </c>
      <c r="L8970" t="s">
        <v>8817</v>
      </c>
      <c r="M8970" s="161" t="s">
        <v>19202</v>
      </c>
    </row>
    <row r="8971" spans="9:13" x14ac:dyDescent="0.25">
      <c r="I8971" t="s">
        <v>8814</v>
      </c>
      <c r="J8971" s="161" t="s">
        <v>19202</v>
      </c>
      <c r="K8971" t="s">
        <v>19203</v>
      </c>
      <c r="L8971" t="s">
        <v>8813</v>
      </c>
      <c r="M8971" s="161" t="s">
        <v>19202</v>
      </c>
    </row>
    <row r="8972" spans="9:13" x14ac:dyDescent="0.25">
      <c r="I8972" t="s">
        <v>20680</v>
      </c>
      <c r="J8972" s="161" t="s">
        <v>19202</v>
      </c>
      <c r="K8972" t="s">
        <v>19203</v>
      </c>
      <c r="L8972" t="s">
        <v>20681</v>
      </c>
      <c r="M8972" s="161" t="s">
        <v>19202</v>
      </c>
    </row>
    <row r="8973" spans="9:13" x14ac:dyDescent="0.25">
      <c r="I8973" t="s">
        <v>156</v>
      </c>
      <c r="J8973" s="161" t="s">
        <v>19202</v>
      </c>
      <c r="K8973" t="s">
        <v>19203</v>
      </c>
      <c r="L8973" t="s">
        <v>155</v>
      </c>
      <c r="M8973" s="161" t="s">
        <v>19202</v>
      </c>
    </row>
    <row r="8974" spans="9:13" x14ac:dyDescent="0.25">
      <c r="I8974" t="s">
        <v>300</v>
      </c>
      <c r="J8974" s="161" t="s">
        <v>19202</v>
      </c>
      <c r="K8974" t="s">
        <v>19203</v>
      </c>
      <c r="L8974" t="s">
        <v>299</v>
      </c>
      <c r="M8974" s="161" t="s">
        <v>19202</v>
      </c>
    </row>
    <row r="8975" spans="9:13" x14ac:dyDescent="0.25">
      <c r="I8975" t="s">
        <v>149</v>
      </c>
      <c r="J8975" s="161" t="s">
        <v>19202</v>
      </c>
      <c r="K8975" t="s">
        <v>19203</v>
      </c>
      <c r="L8975" t="s">
        <v>148</v>
      </c>
      <c r="M8975" s="161" t="s">
        <v>19202</v>
      </c>
    </row>
    <row r="8976" spans="9:13" x14ac:dyDescent="0.25">
      <c r="I8976" t="s">
        <v>404</v>
      </c>
      <c r="J8976" s="161" t="s">
        <v>19202</v>
      </c>
      <c r="K8976" t="s">
        <v>19203</v>
      </c>
      <c r="L8976" t="s">
        <v>403</v>
      </c>
      <c r="M8976" s="161" t="s">
        <v>19202</v>
      </c>
    </row>
    <row r="8977" spans="9:13" x14ac:dyDescent="0.25">
      <c r="I8977" t="s">
        <v>57</v>
      </c>
      <c r="J8977" s="161" t="s">
        <v>19202</v>
      </c>
      <c r="K8977" t="s">
        <v>19203</v>
      </c>
      <c r="L8977" t="s">
        <v>56</v>
      </c>
      <c r="M8977" s="161" t="s">
        <v>19202</v>
      </c>
    </row>
    <row r="8978" spans="9:13" x14ac:dyDescent="0.25">
      <c r="I8978" t="s">
        <v>11579</v>
      </c>
      <c r="J8978" s="161" t="s">
        <v>19202</v>
      </c>
      <c r="K8978" t="s">
        <v>19203</v>
      </c>
      <c r="L8978" t="s">
        <v>11578</v>
      </c>
      <c r="M8978" s="161" t="s">
        <v>19202</v>
      </c>
    </row>
    <row r="8979" spans="9:13" x14ac:dyDescent="0.25">
      <c r="I8979" t="s">
        <v>5628</v>
      </c>
      <c r="J8979" s="161" t="s">
        <v>19202</v>
      </c>
      <c r="K8979" t="s">
        <v>19203</v>
      </c>
      <c r="L8979" t="s">
        <v>5627</v>
      </c>
      <c r="M8979" s="161" t="s">
        <v>19202</v>
      </c>
    </row>
    <row r="8980" spans="9:13" x14ac:dyDescent="0.25">
      <c r="I8980" t="s">
        <v>13726</v>
      </c>
      <c r="J8980" s="161" t="s">
        <v>19994</v>
      </c>
      <c r="K8980" t="s">
        <v>19203</v>
      </c>
      <c r="L8980" t="s">
        <v>13725</v>
      </c>
      <c r="M8980" s="161" t="s">
        <v>19994</v>
      </c>
    </row>
    <row r="8981" spans="9:13" x14ac:dyDescent="0.25">
      <c r="I8981" t="s">
        <v>20682</v>
      </c>
      <c r="J8981" s="161" t="s">
        <v>19202</v>
      </c>
      <c r="K8981" t="s">
        <v>19203</v>
      </c>
      <c r="L8981" t="s">
        <v>20683</v>
      </c>
      <c r="M8981" s="161" t="s">
        <v>19202</v>
      </c>
    </row>
    <row r="8982" spans="9:13" x14ac:dyDescent="0.25">
      <c r="I8982" t="s">
        <v>7843</v>
      </c>
      <c r="J8982" s="161" t="s">
        <v>19202</v>
      </c>
      <c r="K8982" t="s">
        <v>19203</v>
      </c>
      <c r="L8982" t="s">
        <v>7842</v>
      </c>
      <c r="M8982" s="161" t="s">
        <v>19202</v>
      </c>
    </row>
    <row r="8983" spans="9:13" x14ac:dyDescent="0.25">
      <c r="I8983" t="s">
        <v>6981</v>
      </c>
      <c r="J8983" s="161" t="s">
        <v>19202</v>
      </c>
      <c r="K8983" t="s">
        <v>19203</v>
      </c>
      <c r="L8983" t="s">
        <v>6980</v>
      </c>
      <c r="M8983" s="161" t="s">
        <v>19202</v>
      </c>
    </row>
    <row r="8984" spans="9:13" x14ac:dyDescent="0.25">
      <c r="I8984" t="s">
        <v>10380</v>
      </c>
      <c r="J8984" s="161" t="s">
        <v>19202</v>
      </c>
      <c r="K8984" t="s">
        <v>19203</v>
      </c>
      <c r="L8984" t="s">
        <v>10379</v>
      </c>
      <c r="M8984" s="161" t="s">
        <v>19202</v>
      </c>
    </row>
    <row r="8985" spans="9:13" x14ac:dyDescent="0.25">
      <c r="I8985" t="s">
        <v>20684</v>
      </c>
      <c r="J8985" s="161" t="s">
        <v>19202</v>
      </c>
      <c r="K8985" t="s">
        <v>19203</v>
      </c>
      <c r="L8985" t="s">
        <v>20685</v>
      </c>
      <c r="M8985" s="161" t="s">
        <v>19202</v>
      </c>
    </row>
    <row r="8986" spans="9:13" x14ac:dyDescent="0.25">
      <c r="I8986" t="s">
        <v>11863</v>
      </c>
      <c r="J8986" s="161" t="s">
        <v>19202</v>
      </c>
      <c r="K8986" t="s">
        <v>19203</v>
      </c>
      <c r="L8986" t="s">
        <v>11862</v>
      </c>
      <c r="M8986" s="161" t="s">
        <v>19202</v>
      </c>
    </row>
    <row r="8987" spans="9:13" x14ac:dyDescent="0.25">
      <c r="I8987" t="s">
        <v>15419</v>
      </c>
      <c r="J8987" s="161" t="s">
        <v>19202</v>
      </c>
      <c r="K8987" t="s">
        <v>19203</v>
      </c>
      <c r="L8987" t="s">
        <v>13220</v>
      </c>
      <c r="M8987" s="161" t="s">
        <v>19202</v>
      </c>
    </row>
    <row r="8988" spans="9:13" x14ac:dyDescent="0.25">
      <c r="I8988" t="s">
        <v>20686</v>
      </c>
      <c r="J8988" s="161" t="s">
        <v>19202</v>
      </c>
      <c r="K8988" t="s">
        <v>19203</v>
      </c>
      <c r="L8988" t="s">
        <v>20687</v>
      </c>
      <c r="M8988" s="161" t="s">
        <v>19202</v>
      </c>
    </row>
    <row r="8989" spans="9:13" x14ac:dyDescent="0.25">
      <c r="I8989" t="s">
        <v>15119</v>
      </c>
      <c r="J8989" s="161" t="s">
        <v>19202</v>
      </c>
      <c r="K8989" t="s">
        <v>19203</v>
      </c>
      <c r="L8989" t="s">
        <v>3641</v>
      </c>
      <c r="M8989" s="161" t="s">
        <v>19202</v>
      </c>
    </row>
    <row r="8990" spans="9:13" x14ac:dyDescent="0.25">
      <c r="I8990" t="s">
        <v>20688</v>
      </c>
      <c r="J8990" s="161" t="s">
        <v>19202</v>
      </c>
      <c r="K8990" t="s">
        <v>19203</v>
      </c>
      <c r="L8990" t="s">
        <v>20689</v>
      </c>
      <c r="M8990" s="161" t="s">
        <v>19202</v>
      </c>
    </row>
    <row r="8991" spans="9:13" x14ac:dyDescent="0.25">
      <c r="I8991" t="s">
        <v>53</v>
      </c>
      <c r="J8991" s="161" t="s">
        <v>19202</v>
      </c>
      <c r="K8991" t="s">
        <v>19203</v>
      </c>
      <c r="L8991" t="s">
        <v>52</v>
      </c>
      <c r="M8991" s="161" t="s">
        <v>19202</v>
      </c>
    </row>
    <row r="8992" spans="9:13" x14ac:dyDescent="0.25">
      <c r="I8992" t="s">
        <v>5526</v>
      </c>
      <c r="J8992" s="161" t="s">
        <v>19202</v>
      </c>
      <c r="K8992" t="s">
        <v>19203</v>
      </c>
      <c r="L8992" t="s">
        <v>5525</v>
      </c>
      <c r="M8992" s="161" t="s">
        <v>19202</v>
      </c>
    </row>
    <row r="8993" spans="9:13" x14ac:dyDescent="0.25">
      <c r="I8993" t="s">
        <v>20690</v>
      </c>
      <c r="J8993" s="161" t="s">
        <v>19202</v>
      </c>
      <c r="K8993" t="s">
        <v>19203</v>
      </c>
      <c r="L8993" t="s">
        <v>13197</v>
      </c>
      <c r="M8993" s="161" t="s">
        <v>19202</v>
      </c>
    </row>
    <row r="8994" spans="9:13" x14ac:dyDescent="0.25">
      <c r="I8994" t="s">
        <v>7591</v>
      </c>
      <c r="J8994" s="161" t="s">
        <v>19202</v>
      </c>
      <c r="K8994" t="s">
        <v>19203</v>
      </c>
      <c r="L8994" t="s">
        <v>7590</v>
      </c>
      <c r="M8994" s="161" t="s">
        <v>19202</v>
      </c>
    </row>
    <row r="8995" spans="9:13" x14ac:dyDescent="0.25">
      <c r="I8995" t="s">
        <v>20691</v>
      </c>
      <c r="J8995" s="161" t="s">
        <v>19202</v>
      </c>
      <c r="K8995" t="s">
        <v>19203</v>
      </c>
      <c r="L8995" t="s">
        <v>20692</v>
      </c>
      <c r="M8995" s="161" t="s">
        <v>19202</v>
      </c>
    </row>
    <row r="8996" spans="9:13" x14ac:dyDescent="0.25">
      <c r="I8996" t="s">
        <v>14941</v>
      </c>
      <c r="J8996" s="161" t="s">
        <v>19202</v>
      </c>
      <c r="K8996" t="s">
        <v>19203</v>
      </c>
      <c r="L8996" t="s">
        <v>14940</v>
      </c>
      <c r="M8996" s="161" t="s">
        <v>19202</v>
      </c>
    </row>
    <row r="8997" spans="9:13" x14ac:dyDescent="0.25">
      <c r="I8997" t="s">
        <v>20693</v>
      </c>
      <c r="J8997" s="161" t="s">
        <v>19202</v>
      </c>
      <c r="K8997" t="s">
        <v>19203</v>
      </c>
      <c r="L8997" t="s">
        <v>20694</v>
      </c>
      <c r="M8997" s="161" t="s">
        <v>19202</v>
      </c>
    </row>
    <row r="8998" spans="9:13" x14ac:dyDescent="0.25">
      <c r="I8998" t="s">
        <v>4549</v>
      </c>
      <c r="J8998" s="167" t="s">
        <v>19994</v>
      </c>
      <c r="K8998" t="s">
        <v>19203</v>
      </c>
      <c r="L8998" t="s">
        <v>4548</v>
      </c>
      <c r="M8998" s="167" t="s">
        <v>19994</v>
      </c>
    </row>
    <row r="8999" spans="9:13" x14ac:dyDescent="0.25">
      <c r="I8999" t="s">
        <v>8020</v>
      </c>
      <c r="J8999" s="161" t="s">
        <v>19202</v>
      </c>
      <c r="K8999" t="s">
        <v>19203</v>
      </c>
      <c r="L8999" t="s">
        <v>8019</v>
      </c>
      <c r="M8999" s="161" t="s">
        <v>19202</v>
      </c>
    </row>
    <row r="9000" spans="9:13" x14ac:dyDescent="0.25">
      <c r="I9000" t="s">
        <v>20695</v>
      </c>
      <c r="J9000" s="161" t="s">
        <v>19994</v>
      </c>
      <c r="K9000" t="s">
        <v>19203</v>
      </c>
      <c r="L9000" t="s">
        <v>20696</v>
      </c>
      <c r="M9000" s="161" t="s">
        <v>19994</v>
      </c>
    </row>
    <row r="9001" spans="9:13" x14ac:dyDescent="0.25">
      <c r="I9001" t="s">
        <v>6252</v>
      </c>
      <c r="J9001" s="161" t="s">
        <v>19994</v>
      </c>
      <c r="K9001" t="s">
        <v>19203</v>
      </c>
      <c r="L9001" t="s">
        <v>6251</v>
      </c>
      <c r="M9001" s="161" t="s">
        <v>19994</v>
      </c>
    </row>
    <row r="9002" spans="9:13" x14ac:dyDescent="0.25">
      <c r="I9002" t="s">
        <v>1528</v>
      </c>
      <c r="J9002" s="161" t="s">
        <v>19994</v>
      </c>
      <c r="K9002" t="s">
        <v>19203</v>
      </c>
      <c r="L9002" t="s">
        <v>1527</v>
      </c>
      <c r="M9002" s="161" t="s">
        <v>19994</v>
      </c>
    </row>
    <row r="9003" spans="9:13" x14ac:dyDescent="0.25">
      <c r="I9003" t="s">
        <v>3802</v>
      </c>
      <c r="J9003" s="161" t="s">
        <v>19202</v>
      </c>
      <c r="K9003" t="s">
        <v>19203</v>
      </c>
      <c r="L9003" t="s">
        <v>3801</v>
      </c>
      <c r="M9003" s="161" t="s">
        <v>19202</v>
      </c>
    </row>
    <row r="9004" spans="9:13" x14ac:dyDescent="0.25">
      <c r="I9004" t="s">
        <v>3800</v>
      </c>
      <c r="J9004" s="161" t="s">
        <v>19202</v>
      </c>
      <c r="K9004" t="s">
        <v>19203</v>
      </c>
      <c r="L9004" t="s">
        <v>3799</v>
      </c>
      <c r="M9004" s="161" t="s">
        <v>19202</v>
      </c>
    </row>
    <row r="9005" spans="9:13" x14ac:dyDescent="0.25">
      <c r="I9005" t="s">
        <v>10383</v>
      </c>
      <c r="J9005" s="161" t="s">
        <v>19202</v>
      </c>
      <c r="K9005" t="s">
        <v>19203</v>
      </c>
      <c r="L9005" t="s">
        <v>10382</v>
      </c>
      <c r="M9005" s="161" t="s">
        <v>19202</v>
      </c>
    </row>
    <row r="9006" spans="9:13" x14ac:dyDescent="0.25">
      <c r="I9006" t="s">
        <v>11543</v>
      </c>
      <c r="J9006" s="161" t="s">
        <v>19202</v>
      </c>
      <c r="K9006" t="s">
        <v>19203</v>
      </c>
      <c r="L9006" t="s">
        <v>11542</v>
      </c>
      <c r="M9006" s="161" t="s">
        <v>19202</v>
      </c>
    </row>
    <row r="9007" spans="9:13" x14ac:dyDescent="0.25">
      <c r="I9007" t="s">
        <v>59</v>
      </c>
      <c r="J9007" s="161" t="s">
        <v>19202</v>
      </c>
      <c r="K9007" t="s">
        <v>19203</v>
      </c>
      <c r="L9007" t="s">
        <v>58</v>
      </c>
      <c r="M9007" s="161" t="s">
        <v>19202</v>
      </c>
    </row>
    <row r="9008" spans="9:13" x14ac:dyDescent="0.25">
      <c r="I9008" t="s">
        <v>10658</v>
      </c>
      <c r="J9008" s="161" t="s">
        <v>19202</v>
      </c>
      <c r="K9008" t="s">
        <v>19203</v>
      </c>
      <c r="L9008" t="s">
        <v>10657</v>
      </c>
      <c r="M9008" s="161" t="s">
        <v>19202</v>
      </c>
    </row>
    <row r="9009" spans="9:13" x14ac:dyDescent="0.25">
      <c r="I9009" t="s">
        <v>8850</v>
      </c>
      <c r="J9009" s="167" t="s">
        <v>19994</v>
      </c>
      <c r="K9009" t="s">
        <v>19203</v>
      </c>
      <c r="L9009" t="s">
        <v>8849</v>
      </c>
      <c r="M9009" s="167" t="s">
        <v>19994</v>
      </c>
    </row>
    <row r="9010" spans="9:13" x14ac:dyDescent="0.25">
      <c r="I9010" t="s">
        <v>8812</v>
      </c>
      <c r="J9010" s="161" t="s">
        <v>19202</v>
      </c>
      <c r="K9010" t="s">
        <v>19203</v>
      </c>
      <c r="L9010" t="s">
        <v>8811</v>
      </c>
      <c r="M9010" s="161" t="s">
        <v>19202</v>
      </c>
    </row>
    <row r="9011" spans="9:13" x14ac:dyDescent="0.25">
      <c r="I9011" t="s">
        <v>13811</v>
      </c>
      <c r="J9011" s="161" t="s">
        <v>19202</v>
      </c>
      <c r="K9011" t="s">
        <v>19203</v>
      </c>
      <c r="L9011" t="s">
        <v>5138</v>
      </c>
      <c r="M9011" s="161" t="s">
        <v>19202</v>
      </c>
    </row>
    <row r="9012" spans="9:13" x14ac:dyDescent="0.25">
      <c r="I9012" t="s">
        <v>20697</v>
      </c>
      <c r="J9012" s="161" t="s">
        <v>19202</v>
      </c>
      <c r="K9012" t="s">
        <v>19203</v>
      </c>
      <c r="L9012" t="s">
        <v>20698</v>
      </c>
      <c r="M9012" s="161" t="s">
        <v>19202</v>
      </c>
    </row>
    <row r="9013" spans="9:13" x14ac:dyDescent="0.25">
      <c r="I9013" t="s">
        <v>16129</v>
      </c>
      <c r="J9013" s="161" t="s">
        <v>19994</v>
      </c>
      <c r="K9013" t="s">
        <v>19203</v>
      </c>
      <c r="L9013" t="s">
        <v>855</v>
      </c>
      <c r="M9013" s="161" t="s">
        <v>19994</v>
      </c>
    </row>
    <row r="9014" spans="9:13" x14ac:dyDescent="0.25">
      <c r="I9014" t="s">
        <v>2487</v>
      </c>
      <c r="J9014" s="161" t="s">
        <v>19202</v>
      </c>
      <c r="K9014" t="s">
        <v>19203</v>
      </c>
      <c r="L9014" t="s">
        <v>2486</v>
      </c>
      <c r="M9014" s="161" t="s">
        <v>19202</v>
      </c>
    </row>
    <row r="9015" spans="9:13" x14ac:dyDescent="0.25">
      <c r="I9015" t="s">
        <v>5588</v>
      </c>
      <c r="J9015" s="161" t="s">
        <v>19202</v>
      </c>
      <c r="K9015" t="s">
        <v>19203</v>
      </c>
      <c r="L9015" t="s">
        <v>5587</v>
      </c>
      <c r="M9015" s="161" t="s">
        <v>19202</v>
      </c>
    </row>
    <row r="9016" spans="9:13" x14ac:dyDescent="0.25">
      <c r="I9016" t="s">
        <v>5586</v>
      </c>
      <c r="J9016" s="161" t="s">
        <v>19202</v>
      </c>
      <c r="K9016" t="s">
        <v>19203</v>
      </c>
      <c r="L9016" t="s">
        <v>5585</v>
      </c>
      <c r="M9016" s="161" t="s">
        <v>19202</v>
      </c>
    </row>
    <row r="9017" spans="9:13" x14ac:dyDescent="0.25">
      <c r="I9017" t="s">
        <v>11750</v>
      </c>
      <c r="J9017" s="161" t="s">
        <v>19994</v>
      </c>
      <c r="K9017" t="s">
        <v>19203</v>
      </c>
      <c r="L9017" t="s">
        <v>11749</v>
      </c>
      <c r="M9017" s="161" t="s">
        <v>19994</v>
      </c>
    </row>
    <row r="9018" spans="9:13" x14ac:dyDescent="0.25">
      <c r="I9018" t="s">
        <v>5972</v>
      </c>
      <c r="J9018" s="161" t="s">
        <v>19202</v>
      </c>
      <c r="K9018" t="s">
        <v>19203</v>
      </c>
      <c r="L9018" t="s">
        <v>5971</v>
      </c>
      <c r="M9018" s="161" t="s">
        <v>19202</v>
      </c>
    </row>
    <row r="9019" spans="9:13" x14ac:dyDescent="0.25">
      <c r="I9019" t="s">
        <v>6117</v>
      </c>
      <c r="J9019" s="161" t="s">
        <v>19202</v>
      </c>
      <c r="K9019" t="s">
        <v>19203</v>
      </c>
      <c r="L9019" t="s">
        <v>6116</v>
      </c>
      <c r="M9019" s="161" t="s">
        <v>19202</v>
      </c>
    </row>
    <row r="9020" spans="9:13" x14ac:dyDescent="0.25">
      <c r="I9020" t="s">
        <v>20699</v>
      </c>
      <c r="J9020" s="161" t="s">
        <v>19202</v>
      </c>
      <c r="K9020" t="s">
        <v>19203</v>
      </c>
      <c r="L9020" t="s">
        <v>20700</v>
      </c>
      <c r="M9020" s="161" t="s">
        <v>19202</v>
      </c>
    </row>
    <row r="9021" spans="9:13" x14ac:dyDescent="0.25">
      <c r="I9021" t="s">
        <v>342</v>
      </c>
      <c r="J9021" s="161" t="s">
        <v>19202</v>
      </c>
      <c r="K9021" t="s">
        <v>19203</v>
      </c>
      <c r="L9021" t="s">
        <v>341</v>
      </c>
      <c r="M9021" s="161" t="s">
        <v>19202</v>
      </c>
    </row>
    <row r="9022" spans="9:13" x14ac:dyDescent="0.25">
      <c r="I9022" t="s">
        <v>8448</v>
      </c>
      <c r="J9022" s="161" t="s">
        <v>19202</v>
      </c>
      <c r="K9022" t="s">
        <v>19203</v>
      </c>
      <c r="L9022" t="s">
        <v>8447</v>
      </c>
      <c r="M9022" s="161" t="s">
        <v>19202</v>
      </c>
    </row>
    <row r="9023" spans="9:13" x14ac:dyDescent="0.25">
      <c r="I9023" t="s">
        <v>6983</v>
      </c>
      <c r="J9023" s="161" t="s">
        <v>19202</v>
      </c>
      <c r="K9023" t="s">
        <v>19203</v>
      </c>
      <c r="L9023" t="s">
        <v>6982</v>
      </c>
      <c r="M9023" s="161" t="s">
        <v>19202</v>
      </c>
    </row>
    <row r="9024" spans="9:13" x14ac:dyDescent="0.25">
      <c r="I9024" t="s">
        <v>12570</v>
      </c>
      <c r="J9024" s="161" t="s">
        <v>19202</v>
      </c>
      <c r="K9024" t="s">
        <v>19203</v>
      </c>
      <c r="L9024" t="s">
        <v>12569</v>
      </c>
      <c r="M9024" s="161" t="s">
        <v>19202</v>
      </c>
    </row>
    <row r="9025" spans="9:13" x14ac:dyDescent="0.25">
      <c r="I9025" t="s">
        <v>20701</v>
      </c>
      <c r="J9025" s="161" t="s">
        <v>19202</v>
      </c>
      <c r="K9025" t="s">
        <v>19203</v>
      </c>
      <c r="L9025" t="s">
        <v>11396</v>
      </c>
      <c r="M9025" s="161" t="s">
        <v>19202</v>
      </c>
    </row>
    <row r="9026" spans="9:13" x14ac:dyDescent="0.25">
      <c r="I9026" t="s">
        <v>11371</v>
      </c>
      <c r="J9026" s="161" t="s">
        <v>19202</v>
      </c>
      <c r="K9026" t="s">
        <v>19203</v>
      </c>
      <c r="L9026" t="s">
        <v>11370</v>
      </c>
      <c r="M9026" s="161" t="s">
        <v>19202</v>
      </c>
    </row>
    <row r="9027" spans="9:13" x14ac:dyDescent="0.25">
      <c r="I9027" t="s">
        <v>20702</v>
      </c>
      <c r="J9027" s="161" t="s">
        <v>19202</v>
      </c>
      <c r="K9027" t="s">
        <v>19203</v>
      </c>
      <c r="L9027" t="s">
        <v>20703</v>
      </c>
      <c r="M9027" s="161" t="s">
        <v>19202</v>
      </c>
    </row>
    <row r="9028" spans="9:13" x14ac:dyDescent="0.25">
      <c r="I9028" t="s">
        <v>14670</v>
      </c>
      <c r="J9028" s="161" t="s">
        <v>19994</v>
      </c>
      <c r="K9028" t="s">
        <v>19203</v>
      </c>
      <c r="L9028" t="s">
        <v>14669</v>
      </c>
      <c r="M9028" s="161" t="s">
        <v>19994</v>
      </c>
    </row>
    <row r="9029" spans="9:13" x14ac:dyDescent="0.25">
      <c r="I9029" t="s">
        <v>8750</v>
      </c>
      <c r="J9029" s="161" t="s">
        <v>19202</v>
      </c>
      <c r="K9029" t="s">
        <v>19203</v>
      </c>
      <c r="L9029" t="s">
        <v>8749</v>
      </c>
      <c r="M9029" s="161" t="s">
        <v>19202</v>
      </c>
    </row>
    <row r="9030" spans="9:13" x14ac:dyDescent="0.25">
      <c r="I9030" t="s">
        <v>20704</v>
      </c>
      <c r="J9030" s="161" t="s">
        <v>19202</v>
      </c>
      <c r="K9030" t="s">
        <v>19203</v>
      </c>
      <c r="L9030" t="s">
        <v>20705</v>
      </c>
      <c r="M9030" s="161" t="s">
        <v>19202</v>
      </c>
    </row>
    <row r="9031" spans="9:13" x14ac:dyDescent="0.25">
      <c r="I9031" t="s">
        <v>10771</v>
      </c>
      <c r="J9031" s="161" t="s">
        <v>19202</v>
      </c>
      <c r="K9031" t="s">
        <v>19203</v>
      </c>
      <c r="L9031" t="s">
        <v>10770</v>
      </c>
      <c r="M9031" s="161" t="s">
        <v>19202</v>
      </c>
    </row>
    <row r="9032" spans="9:13" x14ac:dyDescent="0.25">
      <c r="I9032" t="s">
        <v>20706</v>
      </c>
      <c r="J9032" s="161" t="s">
        <v>19202</v>
      </c>
      <c r="K9032" t="s">
        <v>19203</v>
      </c>
      <c r="L9032" t="s">
        <v>20707</v>
      </c>
      <c r="M9032" s="161" t="s">
        <v>19202</v>
      </c>
    </row>
    <row r="9033" spans="9:13" x14ac:dyDescent="0.25">
      <c r="I9033" t="s">
        <v>5747</v>
      </c>
      <c r="J9033" s="161" t="s">
        <v>19202</v>
      </c>
      <c r="K9033" t="s">
        <v>19203</v>
      </c>
      <c r="L9033" t="s">
        <v>5746</v>
      </c>
      <c r="M9033" s="161" t="s">
        <v>19202</v>
      </c>
    </row>
    <row r="9034" spans="9:13" x14ac:dyDescent="0.25">
      <c r="I9034" t="s">
        <v>9008</v>
      </c>
      <c r="J9034" s="161" t="s">
        <v>19202</v>
      </c>
      <c r="K9034" t="s">
        <v>19203</v>
      </c>
      <c r="L9034" t="s">
        <v>9007</v>
      </c>
      <c r="M9034" s="161" t="s">
        <v>19202</v>
      </c>
    </row>
    <row r="9035" spans="9:13" x14ac:dyDescent="0.25">
      <c r="I9035" t="s">
        <v>15696</v>
      </c>
      <c r="J9035" s="161" t="s">
        <v>19202</v>
      </c>
      <c r="K9035" t="s">
        <v>19203</v>
      </c>
      <c r="L9035" t="s">
        <v>1374</v>
      </c>
      <c r="M9035" s="161" t="s">
        <v>19202</v>
      </c>
    </row>
    <row r="9036" spans="9:13" x14ac:dyDescent="0.25">
      <c r="I9036" t="s">
        <v>3444</v>
      </c>
      <c r="J9036" s="161" t="s">
        <v>19202</v>
      </c>
      <c r="K9036" t="s">
        <v>19203</v>
      </c>
      <c r="L9036" t="s">
        <v>3443</v>
      </c>
      <c r="M9036" s="161" t="s">
        <v>19202</v>
      </c>
    </row>
    <row r="9037" spans="9:13" x14ac:dyDescent="0.25">
      <c r="I9037" t="s">
        <v>3016</v>
      </c>
      <c r="J9037" s="161" t="s">
        <v>19202</v>
      </c>
      <c r="K9037" t="s">
        <v>19203</v>
      </c>
      <c r="L9037" t="s">
        <v>3015</v>
      </c>
      <c r="M9037" s="161" t="s">
        <v>19202</v>
      </c>
    </row>
    <row r="9038" spans="9:13" x14ac:dyDescent="0.25">
      <c r="I9038" t="s">
        <v>296</v>
      </c>
      <c r="J9038" s="161" t="s">
        <v>19202</v>
      </c>
      <c r="K9038" t="s">
        <v>19203</v>
      </c>
      <c r="L9038" t="s">
        <v>295</v>
      </c>
      <c r="M9038" s="161" t="s">
        <v>19202</v>
      </c>
    </row>
    <row r="9039" spans="9:13" x14ac:dyDescent="0.25">
      <c r="I9039" t="s">
        <v>6612</v>
      </c>
      <c r="J9039" s="161" t="s">
        <v>19202</v>
      </c>
      <c r="K9039" t="s">
        <v>19203</v>
      </c>
      <c r="L9039" t="s">
        <v>6611</v>
      </c>
      <c r="M9039" s="161" t="s">
        <v>19202</v>
      </c>
    </row>
    <row r="9040" spans="9:13" x14ac:dyDescent="0.25">
      <c r="I9040" t="s">
        <v>6608</v>
      </c>
      <c r="J9040" s="161" t="s">
        <v>19202</v>
      </c>
      <c r="K9040" t="s">
        <v>19203</v>
      </c>
      <c r="L9040" t="s">
        <v>6607</v>
      </c>
      <c r="M9040" s="161" t="s">
        <v>19202</v>
      </c>
    </row>
    <row r="9041" spans="9:13" x14ac:dyDescent="0.25">
      <c r="I9041" t="s">
        <v>6931</v>
      </c>
      <c r="J9041" s="161" t="s">
        <v>19202</v>
      </c>
      <c r="K9041" t="s">
        <v>19203</v>
      </c>
      <c r="L9041" t="s">
        <v>6930</v>
      </c>
      <c r="M9041" s="161" t="s">
        <v>19202</v>
      </c>
    </row>
    <row r="9042" spans="9:13" x14ac:dyDescent="0.25">
      <c r="I9042" t="s">
        <v>11901</v>
      </c>
      <c r="J9042" s="161" t="s">
        <v>19994</v>
      </c>
      <c r="K9042" t="s">
        <v>19203</v>
      </c>
      <c r="L9042" t="s">
        <v>11900</v>
      </c>
      <c r="M9042" s="161" t="s">
        <v>19994</v>
      </c>
    </row>
    <row r="9043" spans="9:13" x14ac:dyDescent="0.25">
      <c r="I9043" t="s">
        <v>6933</v>
      </c>
      <c r="J9043" s="161" t="s">
        <v>19202</v>
      </c>
      <c r="K9043" t="s">
        <v>19203</v>
      </c>
      <c r="L9043" t="s">
        <v>6932</v>
      </c>
      <c r="M9043" s="161" t="s">
        <v>19202</v>
      </c>
    </row>
    <row r="9044" spans="9:13" x14ac:dyDescent="0.25">
      <c r="I9044" t="s">
        <v>6005</v>
      </c>
      <c r="J9044" s="161" t="s">
        <v>19202</v>
      </c>
      <c r="K9044" t="s">
        <v>19203</v>
      </c>
      <c r="L9044" t="s">
        <v>5234</v>
      </c>
      <c r="M9044" s="161" t="s">
        <v>19202</v>
      </c>
    </row>
    <row r="9045" spans="9:13" x14ac:dyDescent="0.25">
      <c r="I9045" t="s">
        <v>8816</v>
      </c>
      <c r="J9045" s="161" t="s">
        <v>19202</v>
      </c>
      <c r="K9045" t="s">
        <v>19203</v>
      </c>
      <c r="L9045" t="s">
        <v>8815</v>
      </c>
      <c r="M9045" s="161" t="s">
        <v>19202</v>
      </c>
    </row>
    <row r="9046" spans="9:13" x14ac:dyDescent="0.25">
      <c r="I9046" t="s">
        <v>20708</v>
      </c>
      <c r="J9046" s="161" t="s">
        <v>19202</v>
      </c>
      <c r="K9046" t="s">
        <v>19203</v>
      </c>
      <c r="L9046" t="s">
        <v>20709</v>
      </c>
      <c r="M9046" s="161" t="s">
        <v>19202</v>
      </c>
    </row>
    <row r="9047" spans="9:13" x14ac:dyDescent="0.25">
      <c r="I9047" t="s">
        <v>6085</v>
      </c>
      <c r="J9047" s="161" t="s">
        <v>19202</v>
      </c>
      <c r="K9047" t="s">
        <v>19203</v>
      </c>
      <c r="L9047" t="s">
        <v>6084</v>
      </c>
      <c r="M9047" s="161" t="s">
        <v>19202</v>
      </c>
    </row>
    <row r="9048" spans="9:13" x14ac:dyDescent="0.25">
      <c r="I9048" t="s">
        <v>14089</v>
      </c>
      <c r="J9048" s="161" t="s">
        <v>19994</v>
      </c>
      <c r="K9048" t="s">
        <v>19203</v>
      </c>
      <c r="L9048" t="s">
        <v>200</v>
      </c>
      <c r="M9048" s="161" t="s">
        <v>19994</v>
      </c>
    </row>
    <row r="9049" spans="9:13" x14ac:dyDescent="0.25">
      <c r="I9049" t="s">
        <v>3446</v>
      </c>
      <c r="J9049" s="161" t="s">
        <v>19202</v>
      </c>
      <c r="K9049" t="s">
        <v>19203</v>
      </c>
      <c r="L9049" t="s">
        <v>3445</v>
      </c>
      <c r="M9049" s="161" t="s">
        <v>19202</v>
      </c>
    </row>
    <row r="9050" spans="9:13" x14ac:dyDescent="0.25">
      <c r="I9050" t="s">
        <v>215</v>
      </c>
      <c r="J9050" s="161" t="s">
        <v>19202</v>
      </c>
      <c r="K9050" t="s">
        <v>19203</v>
      </c>
      <c r="L9050" t="s">
        <v>214</v>
      </c>
      <c r="M9050" s="161" t="s">
        <v>19202</v>
      </c>
    </row>
    <row r="9051" spans="9:13" x14ac:dyDescent="0.25">
      <c r="I9051" t="s">
        <v>298</v>
      </c>
      <c r="J9051" s="161" t="s">
        <v>19202</v>
      </c>
      <c r="K9051" t="s">
        <v>19203</v>
      </c>
      <c r="L9051" t="s">
        <v>297</v>
      </c>
      <c r="M9051" s="161" t="s">
        <v>19202</v>
      </c>
    </row>
    <row r="9052" spans="9:13" x14ac:dyDescent="0.25">
      <c r="I9052" t="s">
        <v>8754</v>
      </c>
      <c r="J9052" s="167" t="s">
        <v>19994</v>
      </c>
      <c r="K9052" t="s">
        <v>19203</v>
      </c>
      <c r="L9052" t="s">
        <v>8753</v>
      </c>
      <c r="M9052" s="167" t="s">
        <v>19994</v>
      </c>
    </row>
    <row r="9053" spans="9:13" x14ac:dyDescent="0.25">
      <c r="I9053" t="s">
        <v>8566</v>
      </c>
      <c r="J9053" s="161" t="s">
        <v>19202</v>
      </c>
      <c r="K9053" t="s">
        <v>19203</v>
      </c>
      <c r="L9053" t="s">
        <v>8565</v>
      </c>
      <c r="M9053" s="161" t="s">
        <v>19202</v>
      </c>
    </row>
    <row r="9054" spans="9:13" x14ac:dyDescent="0.25">
      <c r="I9054" t="s">
        <v>6975</v>
      </c>
      <c r="J9054" s="161" t="s">
        <v>19202</v>
      </c>
      <c r="K9054" t="s">
        <v>19203</v>
      </c>
      <c r="L9054" t="s">
        <v>6974</v>
      </c>
      <c r="M9054" s="161" t="s">
        <v>19202</v>
      </c>
    </row>
    <row r="9055" spans="9:13" x14ac:dyDescent="0.25">
      <c r="I9055" t="s">
        <v>5970</v>
      </c>
      <c r="J9055" s="161" t="s">
        <v>19202</v>
      </c>
      <c r="K9055" t="s">
        <v>19203</v>
      </c>
      <c r="L9055" t="s">
        <v>5969</v>
      </c>
      <c r="M9055" s="161" t="s">
        <v>19202</v>
      </c>
    </row>
    <row r="9056" spans="9:13" x14ac:dyDescent="0.25">
      <c r="I9056" t="s">
        <v>11462</v>
      </c>
      <c r="J9056" s="161" t="s">
        <v>19202</v>
      </c>
      <c r="K9056" t="s">
        <v>19203</v>
      </c>
      <c r="L9056" t="s">
        <v>11461</v>
      </c>
      <c r="M9056" s="161" t="s">
        <v>19202</v>
      </c>
    </row>
    <row r="9057" spans="9:13" x14ac:dyDescent="0.25">
      <c r="I9057" t="s">
        <v>20710</v>
      </c>
      <c r="J9057" s="161" t="s">
        <v>19202</v>
      </c>
      <c r="K9057" t="s">
        <v>19203</v>
      </c>
      <c r="L9057" t="s">
        <v>20711</v>
      </c>
      <c r="M9057" s="161" t="s">
        <v>19202</v>
      </c>
    </row>
    <row r="9058" spans="9:13" x14ac:dyDescent="0.25">
      <c r="I9058" t="s">
        <v>10056</v>
      </c>
      <c r="J9058" s="161" t="s">
        <v>19994</v>
      </c>
      <c r="K9058" t="s">
        <v>19203</v>
      </c>
      <c r="L9058" t="s">
        <v>10055</v>
      </c>
      <c r="M9058" s="161" t="s">
        <v>19994</v>
      </c>
    </row>
    <row r="9059" spans="9:13" x14ac:dyDescent="0.25">
      <c r="I9059" t="s">
        <v>309</v>
      </c>
      <c r="J9059" s="161" t="s">
        <v>19202</v>
      </c>
      <c r="K9059" t="s">
        <v>19203</v>
      </c>
      <c r="L9059" t="s">
        <v>308</v>
      </c>
      <c r="M9059" s="161" t="s">
        <v>19202</v>
      </c>
    </row>
    <row r="9060" spans="9:13" x14ac:dyDescent="0.25">
      <c r="I9060" t="s">
        <v>1454</v>
      </c>
      <c r="J9060" s="161" t="s">
        <v>19994</v>
      </c>
      <c r="K9060" t="s">
        <v>19203</v>
      </c>
      <c r="L9060" t="s">
        <v>1453</v>
      </c>
      <c r="M9060" s="161" t="s">
        <v>19994</v>
      </c>
    </row>
    <row r="9061" spans="9:13" x14ac:dyDescent="0.25">
      <c r="I9061" t="s">
        <v>20712</v>
      </c>
      <c r="J9061" s="167" t="s">
        <v>19994</v>
      </c>
      <c r="K9061" t="s">
        <v>19203</v>
      </c>
      <c r="L9061" t="s">
        <v>376</v>
      </c>
      <c r="M9061" s="167" t="s">
        <v>19994</v>
      </c>
    </row>
    <row r="9062" spans="9:13" x14ac:dyDescent="0.25">
      <c r="I9062" t="s">
        <v>147</v>
      </c>
      <c r="J9062" s="161" t="s">
        <v>19202</v>
      </c>
      <c r="K9062" t="s">
        <v>19203</v>
      </c>
      <c r="L9062" t="s">
        <v>146</v>
      </c>
      <c r="M9062" s="161" t="s">
        <v>19202</v>
      </c>
    </row>
    <row r="9063" spans="9:13" x14ac:dyDescent="0.25">
      <c r="I9063" t="s">
        <v>13792</v>
      </c>
      <c r="J9063" s="161" t="s">
        <v>19994</v>
      </c>
      <c r="K9063" t="s">
        <v>19203</v>
      </c>
      <c r="L9063" t="s">
        <v>13791</v>
      </c>
      <c r="M9063" s="161" t="s">
        <v>19994</v>
      </c>
    </row>
    <row r="9064" spans="9:13" x14ac:dyDescent="0.25">
      <c r="I9064" t="s">
        <v>20713</v>
      </c>
      <c r="J9064" s="161" t="s">
        <v>19994</v>
      </c>
      <c r="K9064" t="s">
        <v>19203</v>
      </c>
      <c r="L9064" t="s">
        <v>5147</v>
      </c>
      <c r="M9064" s="161" t="s">
        <v>19994</v>
      </c>
    </row>
    <row r="9065" spans="9:13" x14ac:dyDescent="0.25">
      <c r="I9065" t="s">
        <v>213</v>
      </c>
      <c r="J9065" s="161" t="s">
        <v>19202</v>
      </c>
      <c r="K9065" t="s">
        <v>19203</v>
      </c>
      <c r="L9065" t="s">
        <v>212</v>
      </c>
      <c r="M9065" s="161" t="s">
        <v>19202</v>
      </c>
    </row>
    <row r="9066" spans="9:13" x14ac:dyDescent="0.25">
      <c r="I9066" t="s">
        <v>5925</v>
      </c>
      <c r="J9066" s="161" t="s">
        <v>19994</v>
      </c>
      <c r="K9066" t="s">
        <v>19203</v>
      </c>
      <c r="L9066" t="s">
        <v>5924</v>
      </c>
      <c r="M9066" s="161" t="s">
        <v>19994</v>
      </c>
    </row>
    <row r="9067" spans="9:13" x14ac:dyDescent="0.25">
      <c r="I9067" t="s">
        <v>20714</v>
      </c>
      <c r="J9067" s="161" t="s">
        <v>19202</v>
      </c>
      <c r="K9067" t="s">
        <v>19203</v>
      </c>
      <c r="L9067" t="s">
        <v>859</v>
      </c>
      <c r="M9067" s="161" t="s">
        <v>19202</v>
      </c>
    </row>
    <row r="9068" spans="9:13" x14ac:dyDescent="0.25">
      <c r="I9068" t="s">
        <v>20715</v>
      </c>
      <c r="J9068" s="161" t="s">
        <v>19202</v>
      </c>
      <c r="K9068" t="s">
        <v>19203</v>
      </c>
      <c r="L9068" t="s">
        <v>20716</v>
      </c>
      <c r="M9068" s="161" t="s">
        <v>19202</v>
      </c>
    </row>
    <row r="9069" spans="9:13" x14ac:dyDescent="0.25">
      <c r="I9069" t="s">
        <v>20717</v>
      </c>
      <c r="J9069" s="161" t="s">
        <v>19994</v>
      </c>
      <c r="K9069" t="s">
        <v>19203</v>
      </c>
      <c r="L9069" t="s">
        <v>20718</v>
      </c>
      <c r="M9069" s="161" t="s">
        <v>19994</v>
      </c>
    </row>
    <row r="9070" spans="9:13" x14ac:dyDescent="0.25">
      <c r="I9070" t="s">
        <v>5974</v>
      </c>
      <c r="J9070" s="161" t="s">
        <v>19202</v>
      </c>
      <c r="K9070" t="s">
        <v>19203</v>
      </c>
      <c r="L9070" t="s">
        <v>5973</v>
      </c>
      <c r="M9070" s="161" t="s">
        <v>19202</v>
      </c>
    </row>
    <row r="9071" spans="9:13" x14ac:dyDescent="0.25">
      <c r="I9071" t="s">
        <v>15789</v>
      </c>
      <c r="J9071" s="161" t="s">
        <v>19202</v>
      </c>
      <c r="K9071" t="s">
        <v>19203</v>
      </c>
      <c r="L9071" t="s">
        <v>15788</v>
      </c>
      <c r="M9071" s="161" t="s">
        <v>19202</v>
      </c>
    </row>
    <row r="9072" spans="9:13" x14ac:dyDescent="0.25">
      <c r="I9072" t="s">
        <v>14714</v>
      </c>
      <c r="J9072" s="161" t="s">
        <v>19202</v>
      </c>
      <c r="K9072" t="s">
        <v>19203</v>
      </c>
      <c r="L9072" t="s">
        <v>14713</v>
      </c>
      <c r="M9072" s="161" t="s">
        <v>19202</v>
      </c>
    </row>
    <row r="9073" spans="9:13" x14ac:dyDescent="0.25">
      <c r="I9073" t="s">
        <v>20719</v>
      </c>
      <c r="J9073" s="161" t="s">
        <v>19202</v>
      </c>
      <c r="K9073" t="s">
        <v>19203</v>
      </c>
      <c r="L9073" t="s">
        <v>20720</v>
      </c>
      <c r="M9073" s="161" t="s">
        <v>19202</v>
      </c>
    </row>
    <row r="9074" spans="9:13" x14ac:dyDescent="0.25">
      <c r="I9074" t="s">
        <v>11415</v>
      </c>
      <c r="J9074" s="161" t="s">
        <v>19994</v>
      </c>
      <c r="K9074" t="s">
        <v>19203</v>
      </c>
      <c r="L9074" t="s">
        <v>11414</v>
      </c>
      <c r="M9074" s="161" t="s">
        <v>19994</v>
      </c>
    </row>
    <row r="9075" spans="9:13" x14ac:dyDescent="0.25">
      <c r="I9075" t="s">
        <v>11714</v>
      </c>
      <c r="J9075" s="161" t="s">
        <v>19994</v>
      </c>
      <c r="K9075" t="s">
        <v>19203</v>
      </c>
      <c r="L9075" t="s">
        <v>11713</v>
      </c>
      <c r="M9075" s="161" t="s">
        <v>19994</v>
      </c>
    </row>
    <row r="9076" spans="9:13" x14ac:dyDescent="0.25">
      <c r="I9076" t="s">
        <v>16090</v>
      </c>
      <c r="J9076" s="161" t="s">
        <v>19202</v>
      </c>
      <c r="K9076" t="s">
        <v>19203</v>
      </c>
      <c r="L9076" t="s">
        <v>6263</v>
      </c>
      <c r="M9076" s="161" t="s">
        <v>19202</v>
      </c>
    </row>
    <row r="9077" spans="9:13" x14ac:dyDescent="0.25">
      <c r="I9077" t="s">
        <v>217</v>
      </c>
      <c r="J9077" s="161" t="s">
        <v>19202</v>
      </c>
      <c r="K9077" t="s">
        <v>19203</v>
      </c>
      <c r="L9077" t="s">
        <v>216</v>
      </c>
      <c r="M9077" s="161" t="s">
        <v>19202</v>
      </c>
    </row>
    <row r="9078" spans="9:13" x14ac:dyDescent="0.25">
      <c r="I9078" t="s">
        <v>11113</v>
      </c>
      <c r="J9078" s="167" t="s">
        <v>19994</v>
      </c>
      <c r="K9078" t="s">
        <v>19203</v>
      </c>
      <c r="L9078" t="s">
        <v>11112</v>
      </c>
      <c r="M9078" s="167" t="s">
        <v>19994</v>
      </c>
    </row>
    <row r="9079" spans="9:13" x14ac:dyDescent="0.25">
      <c r="I9079" t="s">
        <v>20721</v>
      </c>
      <c r="J9079" s="161" t="s">
        <v>19202</v>
      </c>
      <c r="K9079" t="s">
        <v>19203</v>
      </c>
      <c r="L9079" t="s">
        <v>20722</v>
      </c>
      <c r="M9079" s="161" t="s">
        <v>19202</v>
      </c>
    </row>
    <row r="9080" spans="9:13" x14ac:dyDescent="0.25">
      <c r="I9080" t="s">
        <v>7248</v>
      </c>
      <c r="J9080" s="161" t="s">
        <v>19202</v>
      </c>
      <c r="K9080" t="s">
        <v>19203</v>
      </c>
      <c r="L9080" t="s">
        <v>7247</v>
      </c>
      <c r="M9080" s="161" t="s">
        <v>19202</v>
      </c>
    </row>
    <row r="9081" spans="9:13" x14ac:dyDescent="0.25">
      <c r="I9081" t="s">
        <v>6256</v>
      </c>
      <c r="J9081" s="161" t="s">
        <v>19202</v>
      </c>
      <c r="K9081" t="s">
        <v>19203</v>
      </c>
      <c r="L9081" t="s">
        <v>6255</v>
      </c>
      <c r="M9081" s="161" t="s">
        <v>19202</v>
      </c>
    </row>
    <row r="9082" spans="9:13" x14ac:dyDescent="0.25">
      <c r="I9082" t="s">
        <v>12666</v>
      </c>
      <c r="J9082" s="161" t="s">
        <v>19202</v>
      </c>
      <c r="K9082" t="s">
        <v>19203</v>
      </c>
      <c r="L9082" t="s">
        <v>3507</v>
      </c>
      <c r="M9082" s="161" t="s">
        <v>19202</v>
      </c>
    </row>
    <row r="9083" spans="9:13" x14ac:dyDescent="0.25">
      <c r="I9083" t="s">
        <v>11712</v>
      </c>
      <c r="J9083" s="161" t="s">
        <v>19994</v>
      </c>
      <c r="K9083" t="s">
        <v>19203</v>
      </c>
      <c r="L9083" t="s">
        <v>11711</v>
      </c>
      <c r="M9083" s="161" t="s">
        <v>19994</v>
      </c>
    </row>
    <row r="9084" spans="9:13" x14ac:dyDescent="0.25">
      <c r="I9084" t="s">
        <v>4316</v>
      </c>
      <c r="J9084" s="161" t="s">
        <v>19202</v>
      </c>
      <c r="K9084" t="s">
        <v>19203</v>
      </c>
      <c r="L9084" t="s">
        <v>2096</v>
      </c>
      <c r="M9084" s="161" t="s">
        <v>19202</v>
      </c>
    </row>
    <row r="9085" spans="9:13" x14ac:dyDescent="0.25">
      <c r="I9085" t="s">
        <v>272</v>
      </c>
      <c r="J9085" s="161" t="s">
        <v>19202</v>
      </c>
      <c r="K9085" t="s">
        <v>19203</v>
      </c>
      <c r="L9085" t="s">
        <v>271</v>
      </c>
      <c r="M9085" s="161" t="s">
        <v>19202</v>
      </c>
    </row>
    <row r="9086" spans="9:13" x14ac:dyDescent="0.25">
      <c r="I9086" t="s">
        <v>43</v>
      </c>
      <c r="J9086" s="161" t="s">
        <v>19202</v>
      </c>
      <c r="K9086" t="s">
        <v>19203</v>
      </c>
      <c r="L9086" t="s">
        <v>42</v>
      </c>
      <c r="M9086" s="161" t="s">
        <v>19202</v>
      </c>
    </row>
    <row r="9087" spans="9:13" x14ac:dyDescent="0.25">
      <c r="I9087" t="s">
        <v>39</v>
      </c>
      <c r="J9087" s="161" t="s">
        <v>19202</v>
      </c>
      <c r="K9087" t="s">
        <v>19203</v>
      </c>
      <c r="L9087" t="s">
        <v>38</v>
      </c>
      <c r="M9087" s="161" t="s">
        <v>19202</v>
      </c>
    </row>
    <row r="9088" spans="9:13" x14ac:dyDescent="0.25">
      <c r="I9088" t="s">
        <v>30</v>
      </c>
      <c r="J9088" s="161" t="s">
        <v>19202</v>
      </c>
      <c r="K9088" t="s">
        <v>19203</v>
      </c>
      <c r="L9088" t="s">
        <v>29</v>
      </c>
      <c r="M9088" s="161" t="s">
        <v>19202</v>
      </c>
    </row>
    <row r="9089" spans="9:13" x14ac:dyDescent="0.25">
      <c r="I9089" t="s">
        <v>6925</v>
      </c>
      <c r="J9089" s="161" t="s">
        <v>19994</v>
      </c>
      <c r="K9089" t="s">
        <v>19203</v>
      </c>
      <c r="L9089" t="s">
        <v>6924</v>
      </c>
      <c r="M9089" s="161" t="s">
        <v>19994</v>
      </c>
    </row>
    <row r="9090" spans="9:13" x14ac:dyDescent="0.25">
      <c r="I9090" t="s">
        <v>20723</v>
      </c>
      <c r="J9090" s="161" t="s">
        <v>19202</v>
      </c>
      <c r="K9090" t="s">
        <v>19203</v>
      </c>
      <c r="L9090" t="s">
        <v>20724</v>
      </c>
      <c r="M9090" s="161" t="s">
        <v>19202</v>
      </c>
    </row>
    <row r="9091" spans="9:13" x14ac:dyDescent="0.25">
      <c r="I9091" t="s">
        <v>47</v>
      </c>
      <c r="J9091" s="161" t="s">
        <v>19202</v>
      </c>
      <c r="K9091" t="s">
        <v>19203</v>
      </c>
      <c r="L9091" t="s">
        <v>46</v>
      </c>
      <c r="M9091" s="161" t="s">
        <v>19202</v>
      </c>
    </row>
    <row r="9092" spans="9:13" x14ac:dyDescent="0.25">
      <c r="I9092" t="s">
        <v>20725</v>
      </c>
      <c r="J9092" s="161" t="s">
        <v>19202</v>
      </c>
      <c r="K9092" t="s">
        <v>19203</v>
      </c>
      <c r="L9092" t="s">
        <v>20726</v>
      </c>
      <c r="M9092" s="161" t="s">
        <v>19202</v>
      </c>
    </row>
    <row r="9093" spans="9:13" x14ac:dyDescent="0.25">
      <c r="I9093" t="s">
        <v>3442</v>
      </c>
      <c r="J9093" s="161" t="s">
        <v>19202</v>
      </c>
      <c r="K9093" t="s">
        <v>19203</v>
      </c>
      <c r="L9093" t="s">
        <v>3441</v>
      </c>
      <c r="M9093" s="161" t="s">
        <v>19202</v>
      </c>
    </row>
    <row r="9094" spans="9:13" x14ac:dyDescent="0.25">
      <c r="I9094" t="s">
        <v>20727</v>
      </c>
      <c r="J9094" s="161" t="s">
        <v>19202</v>
      </c>
      <c r="K9094" t="s">
        <v>19203</v>
      </c>
      <c r="L9094" t="s">
        <v>20728</v>
      </c>
      <c r="M9094" s="161" t="s">
        <v>19202</v>
      </c>
    </row>
    <row r="9095" spans="9:13" x14ac:dyDescent="0.25">
      <c r="I9095" t="s">
        <v>10054</v>
      </c>
      <c r="J9095" s="161" t="s">
        <v>19202</v>
      </c>
      <c r="K9095" t="s">
        <v>19203</v>
      </c>
      <c r="L9095" t="s">
        <v>10053</v>
      </c>
      <c r="M9095" s="161" t="s">
        <v>19202</v>
      </c>
    </row>
    <row r="9096" spans="9:13" x14ac:dyDescent="0.25">
      <c r="I9096" t="s">
        <v>5582</v>
      </c>
      <c r="J9096" s="161" t="s">
        <v>19202</v>
      </c>
      <c r="K9096" t="s">
        <v>19203</v>
      </c>
      <c r="L9096" t="s">
        <v>5581</v>
      </c>
      <c r="M9096" s="161" t="s">
        <v>19202</v>
      </c>
    </row>
    <row r="9097" spans="9:13" x14ac:dyDescent="0.25">
      <c r="I9097" t="s">
        <v>15083</v>
      </c>
      <c r="J9097" s="161" t="s">
        <v>19202</v>
      </c>
      <c r="K9097" t="s">
        <v>19203</v>
      </c>
      <c r="L9097" t="s">
        <v>15082</v>
      </c>
      <c r="M9097" s="161" t="s">
        <v>19202</v>
      </c>
    </row>
    <row r="9098" spans="9:13" x14ac:dyDescent="0.25">
      <c r="I9098" t="s">
        <v>49</v>
      </c>
      <c r="J9098" s="161" t="s">
        <v>19202</v>
      </c>
      <c r="K9098" t="s">
        <v>19203</v>
      </c>
      <c r="L9098" t="s">
        <v>48</v>
      </c>
      <c r="M9098" s="161" t="s">
        <v>19202</v>
      </c>
    </row>
    <row r="9099" spans="9:13" x14ac:dyDescent="0.25">
      <c r="I9099" t="s">
        <v>1404</v>
      </c>
      <c r="J9099" s="161" t="s">
        <v>19994</v>
      </c>
      <c r="K9099" t="s">
        <v>19203</v>
      </c>
      <c r="L9099" t="s">
        <v>1403</v>
      </c>
      <c r="M9099" s="161" t="s">
        <v>19994</v>
      </c>
    </row>
    <row r="9100" spans="9:13" x14ac:dyDescent="0.25">
      <c r="I9100" t="s">
        <v>1398</v>
      </c>
      <c r="J9100" s="161" t="s">
        <v>19994</v>
      </c>
      <c r="K9100" t="s">
        <v>19203</v>
      </c>
      <c r="L9100" t="s">
        <v>1397</v>
      </c>
      <c r="M9100" s="161" t="s">
        <v>19994</v>
      </c>
    </row>
    <row r="9101" spans="9:13" x14ac:dyDescent="0.25">
      <c r="I9101" t="s">
        <v>4070</v>
      </c>
      <c r="J9101" s="161" t="s">
        <v>19202</v>
      </c>
      <c r="K9101" t="s">
        <v>19203</v>
      </c>
      <c r="L9101" t="s">
        <v>4069</v>
      </c>
      <c r="M9101" s="161" t="s">
        <v>19202</v>
      </c>
    </row>
    <row r="9102" spans="9:13" x14ac:dyDescent="0.25">
      <c r="I9102" t="s">
        <v>45</v>
      </c>
      <c r="J9102" s="161" t="s">
        <v>19202</v>
      </c>
      <c r="K9102" t="s">
        <v>19203</v>
      </c>
      <c r="L9102" t="s">
        <v>44</v>
      </c>
      <c r="M9102" s="161" t="s">
        <v>19202</v>
      </c>
    </row>
    <row r="9103" spans="9:13" x14ac:dyDescent="0.25">
      <c r="I9103" t="s">
        <v>32</v>
      </c>
      <c r="J9103" s="161" t="s">
        <v>19202</v>
      </c>
      <c r="K9103" t="s">
        <v>19203</v>
      </c>
      <c r="L9103" t="s">
        <v>31</v>
      </c>
      <c r="M9103" s="161" t="s">
        <v>19202</v>
      </c>
    </row>
    <row r="9104" spans="9:13" x14ac:dyDescent="0.25">
      <c r="I9104" t="s">
        <v>400</v>
      </c>
      <c r="J9104" s="161" t="s">
        <v>19202</v>
      </c>
      <c r="K9104" t="s">
        <v>19203</v>
      </c>
      <c r="L9104" t="s">
        <v>399</v>
      </c>
      <c r="M9104" s="161" t="s">
        <v>19202</v>
      </c>
    </row>
    <row r="9105" spans="9:13" x14ac:dyDescent="0.25">
      <c r="I9105" t="s">
        <v>16798</v>
      </c>
      <c r="J9105" s="161" t="s">
        <v>19202</v>
      </c>
      <c r="K9105" t="s">
        <v>19203</v>
      </c>
      <c r="L9105" t="s">
        <v>1504</v>
      </c>
      <c r="M9105" s="161" t="s">
        <v>19202</v>
      </c>
    </row>
    <row r="9106" spans="9:13" x14ac:dyDescent="0.25">
      <c r="I9106" t="s">
        <v>162</v>
      </c>
      <c r="J9106" s="161" t="s">
        <v>19202</v>
      </c>
      <c r="K9106" t="s">
        <v>19203</v>
      </c>
      <c r="L9106" t="s">
        <v>161</v>
      </c>
      <c r="M9106" s="161" t="s">
        <v>19202</v>
      </c>
    </row>
    <row r="9107" spans="9:13" x14ac:dyDescent="0.25">
      <c r="I9107" t="s">
        <v>8634</v>
      </c>
      <c r="J9107" s="161" t="s">
        <v>19202</v>
      </c>
      <c r="K9107" t="s">
        <v>19203</v>
      </c>
      <c r="L9107" t="s">
        <v>8633</v>
      </c>
      <c r="M9107" s="161" t="s">
        <v>19202</v>
      </c>
    </row>
    <row r="9108" spans="9:13" x14ac:dyDescent="0.25">
      <c r="I9108" t="s">
        <v>12344</v>
      </c>
      <c r="J9108" s="161" t="s">
        <v>19202</v>
      </c>
      <c r="K9108" t="s">
        <v>19203</v>
      </c>
      <c r="L9108" t="s">
        <v>12343</v>
      </c>
      <c r="M9108" s="161" t="s">
        <v>19202</v>
      </c>
    </row>
    <row r="9109" spans="9:13" x14ac:dyDescent="0.25">
      <c r="I9109" t="s">
        <v>11827</v>
      </c>
      <c r="J9109" s="161" t="s">
        <v>19202</v>
      </c>
      <c r="K9109" t="s">
        <v>19203</v>
      </c>
      <c r="L9109" t="s">
        <v>2416</v>
      </c>
      <c r="M9109" s="161" t="s">
        <v>19202</v>
      </c>
    </row>
    <row r="9110" spans="9:13" x14ac:dyDescent="0.25">
      <c r="I9110" t="s">
        <v>6929</v>
      </c>
      <c r="J9110" s="161" t="s">
        <v>19202</v>
      </c>
      <c r="K9110" t="s">
        <v>19203</v>
      </c>
      <c r="L9110" t="s">
        <v>6928</v>
      </c>
      <c r="M9110" s="161" t="s">
        <v>19202</v>
      </c>
    </row>
    <row r="9111" spans="9:13" x14ac:dyDescent="0.25">
      <c r="I9111" t="s">
        <v>11695</v>
      </c>
      <c r="J9111" s="161" t="s">
        <v>19202</v>
      </c>
      <c r="K9111" t="s">
        <v>19203</v>
      </c>
      <c r="L9111" t="s">
        <v>11694</v>
      </c>
      <c r="M9111" s="161" t="s">
        <v>19202</v>
      </c>
    </row>
    <row r="9112" spans="9:13" x14ac:dyDescent="0.25">
      <c r="I9112" t="s">
        <v>11460</v>
      </c>
      <c r="J9112" s="161" t="s">
        <v>19994</v>
      </c>
      <c r="K9112" t="s">
        <v>19203</v>
      </c>
      <c r="L9112" t="s">
        <v>11459</v>
      </c>
      <c r="M9112" s="161" t="s">
        <v>19994</v>
      </c>
    </row>
    <row r="9113" spans="9:13" x14ac:dyDescent="0.25">
      <c r="I9113" t="s">
        <v>103</v>
      </c>
      <c r="J9113" s="161" t="s">
        <v>19994</v>
      </c>
      <c r="K9113" t="s">
        <v>19203</v>
      </c>
      <c r="L9113" t="s">
        <v>102</v>
      </c>
      <c r="M9113" s="161" t="s">
        <v>19994</v>
      </c>
    </row>
    <row r="9114" spans="9:13" x14ac:dyDescent="0.25">
      <c r="I9114" t="s">
        <v>12378</v>
      </c>
      <c r="J9114" s="161" t="s">
        <v>19994</v>
      </c>
      <c r="K9114" t="s">
        <v>19203</v>
      </c>
      <c r="L9114" t="s">
        <v>12377</v>
      </c>
      <c r="M9114" s="161" t="s">
        <v>19994</v>
      </c>
    </row>
    <row r="9115" spans="9:13" x14ac:dyDescent="0.25">
      <c r="I9115" t="s">
        <v>20729</v>
      </c>
      <c r="J9115" s="161" t="s">
        <v>19202</v>
      </c>
      <c r="K9115" t="s">
        <v>19203</v>
      </c>
      <c r="L9115" t="s">
        <v>13327</v>
      </c>
      <c r="M9115" s="161" t="s">
        <v>19202</v>
      </c>
    </row>
    <row r="9116" spans="9:13" x14ac:dyDescent="0.25">
      <c r="I9116" t="s">
        <v>3647</v>
      </c>
      <c r="J9116" s="161" t="s">
        <v>19994</v>
      </c>
      <c r="K9116" t="s">
        <v>19203</v>
      </c>
      <c r="L9116" t="s">
        <v>3646</v>
      </c>
      <c r="M9116" s="161" t="s">
        <v>19994</v>
      </c>
    </row>
    <row r="9117" spans="9:13" x14ac:dyDescent="0.25">
      <c r="I9117" t="s">
        <v>20730</v>
      </c>
      <c r="J9117" s="161" t="s">
        <v>19202</v>
      </c>
      <c r="K9117" t="s">
        <v>19203</v>
      </c>
      <c r="L9117" t="s">
        <v>712</v>
      </c>
      <c r="M9117" s="161" t="s">
        <v>19202</v>
      </c>
    </row>
    <row r="9118" spans="9:13" x14ac:dyDescent="0.25">
      <c r="I9118" t="s">
        <v>4263</v>
      </c>
      <c r="J9118" s="161" t="s">
        <v>19202</v>
      </c>
      <c r="K9118" t="s">
        <v>19203</v>
      </c>
      <c r="L9118" t="s">
        <v>4262</v>
      </c>
      <c r="M9118" s="161" t="s">
        <v>19202</v>
      </c>
    </row>
    <row r="9119" spans="9:13" x14ac:dyDescent="0.25">
      <c r="I9119" t="s">
        <v>6400</v>
      </c>
      <c r="J9119" s="161" t="s">
        <v>19202</v>
      </c>
      <c r="K9119" t="s">
        <v>19203</v>
      </c>
      <c r="L9119" t="s">
        <v>6399</v>
      </c>
      <c r="M9119" s="161" t="s">
        <v>19202</v>
      </c>
    </row>
    <row r="9120" spans="9:13" x14ac:dyDescent="0.25">
      <c r="I9120" t="s">
        <v>12036</v>
      </c>
      <c r="J9120" s="161" t="s">
        <v>19994</v>
      </c>
      <c r="K9120" t="s">
        <v>19203</v>
      </c>
      <c r="L9120" t="s">
        <v>12035</v>
      </c>
      <c r="M9120" s="161" t="s">
        <v>19994</v>
      </c>
    </row>
    <row r="9121" spans="9:13" x14ac:dyDescent="0.25">
      <c r="I9121" t="s">
        <v>20731</v>
      </c>
      <c r="J9121" s="161" t="s">
        <v>19202</v>
      </c>
      <c r="K9121" t="s">
        <v>19203</v>
      </c>
      <c r="L9121" t="s">
        <v>20732</v>
      </c>
      <c r="M9121" s="161" t="s">
        <v>19202</v>
      </c>
    </row>
    <row r="9122" spans="9:13" x14ac:dyDescent="0.25">
      <c r="I9122" t="s">
        <v>10727</v>
      </c>
      <c r="J9122" s="161" t="s">
        <v>19202</v>
      </c>
      <c r="K9122" t="s">
        <v>19203</v>
      </c>
      <c r="L9122" t="s">
        <v>10726</v>
      </c>
      <c r="M9122" s="161" t="s">
        <v>19202</v>
      </c>
    </row>
    <row r="9123" spans="9:13" x14ac:dyDescent="0.25">
      <c r="I9123" t="s">
        <v>10381</v>
      </c>
      <c r="J9123" s="161" t="s">
        <v>19202</v>
      </c>
      <c r="K9123" t="s">
        <v>19203</v>
      </c>
      <c r="L9123" t="s">
        <v>10378</v>
      </c>
      <c r="M9123" s="161" t="s">
        <v>19202</v>
      </c>
    </row>
    <row r="9124" spans="9:13" x14ac:dyDescent="0.25">
      <c r="I9124" t="s">
        <v>267</v>
      </c>
      <c r="J9124" s="161" t="s">
        <v>19202</v>
      </c>
      <c r="K9124" t="s">
        <v>19203</v>
      </c>
      <c r="L9124" t="s">
        <v>266</v>
      </c>
      <c r="M9124" s="161" t="s">
        <v>19202</v>
      </c>
    </row>
    <row r="9125" spans="9:13" x14ac:dyDescent="0.25">
      <c r="I9125" t="s">
        <v>8752</v>
      </c>
      <c r="J9125" s="161" t="s">
        <v>19202</v>
      </c>
      <c r="K9125" t="s">
        <v>19203</v>
      </c>
      <c r="L9125" t="s">
        <v>8751</v>
      </c>
      <c r="M9125" s="161" t="s">
        <v>19202</v>
      </c>
    </row>
    <row r="9126" spans="9:13" x14ac:dyDescent="0.25">
      <c r="I9126" t="s">
        <v>13131</v>
      </c>
      <c r="J9126" s="161" t="s">
        <v>19202</v>
      </c>
      <c r="K9126" t="s">
        <v>19203</v>
      </c>
      <c r="L9126" t="s">
        <v>13130</v>
      </c>
      <c r="M9126" s="161" t="s">
        <v>19202</v>
      </c>
    </row>
    <row r="9127" spans="9:13" x14ac:dyDescent="0.25">
      <c r="I9127" t="s">
        <v>13024</v>
      </c>
      <c r="J9127" s="161" t="s">
        <v>19202</v>
      </c>
      <c r="K9127" t="s">
        <v>19203</v>
      </c>
      <c r="L9127" t="s">
        <v>13023</v>
      </c>
      <c r="M9127" s="161" t="s">
        <v>19202</v>
      </c>
    </row>
    <row r="9128" spans="9:13" x14ac:dyDescent="0.25">
      <c r="I9128" t="s">
        <v>41</v>
      </c>
      <c r="J9128" s="161" t="s">
        <v>19202</v>
      </c>
      <c r="K9128" t="s">
        <v>19203</v>
      </c>
      <c r="L9128" t="s">
        <v>40</v>
      </c>
      <c r="M9128" s="161" t="s">
        <v>19202</v>
      </c>
    </row>
    <row r="9129" spans="9:13" x14ac:dyDescent="0.25">
      <c r="I9129" t="s">
        <v>12093</v>
      </c>
      <c r="J9129" s="161" t="s">
        <v>19994</v>
      </c>
      <c r="K9129" t="s">
        <v>19203</v>
      </c>
      <c r="L9129" t="s">
        <v>12092</v>
      </c>
      <c r="M9129" s="161" t="s">
        <v>19994</v>
      </c>
    </row>
    <row r="9130" spans="9:13" x14ac:dyDescent="0.25">
      <c r="I9130" t="s">
        <v>402</v>
      </c>
      <c r="J9130" s="161" t="s">
        <v>19202</v>
      </c>
      <c r="K9130" t="s">
        <v>19203</v>
      </c>
      <c r="L9130" t="s">
        <v>401</v>
      </c>
      <c r="M9130" s="161" t="s">
        <v>19202</v>
      </c>
    </row>
    <row r="9131" spans="9:13" x14ac:dyDescent="0.25">
      <c r="I9131" t="s">
        <v>16566</v>
      </c>
      <c r="J9131" s="161" t="s">
        <v>19202</v>
      </c>
      <c r="K9131" t="s">
        <v>19203</v>
      </c>
      <c r="L9131" t="s">
        <v>14932</v>
      </c>
      <c r="M9131" s="161" t="s">
        <v>19202</v>
      </c>
    </row>
    <row r="9132" spans="9:13" x14ac:dyDescent="0.25">
      <c r="I9132" t="s">
        <v>6676</v>
      </c>
      <c r="J9132" s="161" t="s">
        <v>19202</v>
      </c>
      <c r="K9132" t="s">
        <v>19203</v>
      </c>
      <c r="L9132" t="s">
        <v>6675</v>
      </c>
      <c r="M9132" s="161" t="s">
        <v>19202</v>
      </c>
    </row>
    <row r="9133" spans="9:13" x14ac:dyDescent="0.25">
      <c r="I9133" t="s">
        <v>5527</v>
      </c>
      <c r="J9133" s="161" t="s">
        <v>19202</v>
      </c>
      <c r="K9133" t="s">
        <v>19203</v>
      </c>
      <c r="L9133" t="s">
        <v>724</v>
      </c>
      <c r="M9133" s="161" t="s">
        <v>19202</v>
      </c>
    </row>
    <row r="9134" spans="9:13" x14ac:dyDescent="0.25">
      <c r="I9134" t="s">
        <v>8496</v>
      </c>
      <c r="J9134" s="161" t="s">
        <v>19202</v>
      </c>
      <c r="K9134" t="s">
        <v>19203</v>
      </c>
      <c r="L9134" t="s">
        <v>8495</v>
      </c>
      <c r="M9134" s="161" t="s">
        <v>19202</v>
      </c>
    </row>
    <row r="9135" spans="9:13" x14ac:dyDescent="0.25">
      <c r="I9135" t="s">
        <v>7001</v>
      </c>
      <c r="J9135" s="161" t="s">
        <v>19202</v>
      </c>
      <c r="K9135" t="s">
        <v>19203</v>
      </c>
      <c r="L9135" t="s">
        <v>7000</v>
      </c>
      <c r="M9135" s="161" t="s">
        <v>19202</v>
      </c>
    </row>
    <row r="9136" spans="9:13" x14ac:dyDescent="0.25">
      <c r="I9136" t="s">
        <v>6977</v>
      </c>
      <c r="J9136" s="161" t="s">
        <v>19202</v>
      </c>
      <c r="K9136" t="s">
        <v>19203</v>
      </c>
      <c r="L9136" t="s">
        <v>6976</v>
      </c>
      <c r="M9136" s="161" t="s">
        <v>19202</v>
      </c>
    </row>
    <row r="9137" spans="9:13" x14ac:dyDescent="0.25">
      <c r="I9137" t="s">
        <v>13872</v>
      </c>
      <c r="J9137" s="161" t="s">
        <v>19994</v>
      </c>
      <c r="K9137" t="s">
        <v>19203</v>
      </c>
      <c r="L9137" t="s">
        <v>370</v>
      </c>
      <c r="M9137" s="161" t="s">
        <v>19994</v>
      </c>
    </row>
    <row r="9138" spans="9:13" x14ac:dyDescent="0.25">
      <c r="I9138" t="s">
        <v>263</v>
      </c>
      <c r="J9138" s="161" t="s">
        <v>19202</v>
      </c>
      <c r="K9138" t="s">
        <v>19203</v>
      </c>
      <c r="L9138" t="s">
        <v>262</v>
      </c>
      <c r="M9138" s="161" t="s">
        <v>19202</v>
      </c>
    </row>
    <row r="9139" spans="9:13" x14ac:dyDescent="0.25">
      <c r="I9139" t="s">
        <v>449</v>
      </c>
      <c r="J9139" s="161" t="s">
        <v>19202</v>
      </c>
      <c r="K9139" t="s">
        <v>19203</v>
      </c>
      <c r="L9139" t="s">
        <v>448</v>
      </c>
      <c r="M9139" s="161" t="s">
        <v>19202</v>
      </c>
    </row>
    <row r="9140" spans="9:13" x14ac:dyDescent="0.25">
      <c r="I9140" t="s">
        <v>20733</v>
      </c>
      <c r="J9140" s="161" t="s">
        <v>19202</v>
      </c>
      <c r="K9140" t="s">
        <v>19203</v>
      </c>
      <c r="L9140" t="s">
        <v>20734</v>
      </c>
      <c r="M9140" s="161" t="s">
        <v>19202</v>
      </c>
    </row>
    <row r="9141" spans="9:13" x14ac:dyDescent="0.25">
      <c r="I9141" t="s">
        <v>8086</v>
      </c>
      <c r="J9141" s="161" t="s">
        <v>19202</v>
      </c>
      <c r="K9141" t="s">
        <v>19203</v>
      </c>
      <c r="L9141" t="s">
        <v>8085</v>
      </c>
      <c r="M9141" s="161" t="s">
        <v>19202</v>
      </c>
    </row>
    <row r="9142" spans="9:13" x14ac:dyDescent="0.25">
      <c r="I9142" t="s">
        <v>20735</v>
      </c>
      <c r="J9142" s="161" t="s">
        <v>19202</v>
      </c>
      <c r="K9142" t="s">
        <v>19203</v>
      </c>
      <c r="L9142" t="s">
        <v>20736</v>
      </c>
      <c r="M9142" s="161" t="s">
        <v>19202</v>
      </c>
    </row>
    <row r="9143" spans="9:13" x14ac:dyDescent="0.25">
      <c r="I9143" t="s">
        <v>6460</v>
      </c>
      <c r="J9143" s="161" t="s">
        <v>19994</v>
      </c>
      <c r="K9143" t="s">
        <v>19203</v>
      </c>
      <c r="L9143" t="s">
        <v>6459</v>
      </c>
      <c r="M9143" s="161" t="s">
        <v>19994</v>
      </c>
    </row>
    <row r="9144" spans="9:13" x14ac:dyDescent="0.25">
      <c r="I9144" t="s">
        <v>20737</v>
      </c>
      <c r="J9144" s="161" t="s">
        <v>19202</v>
      </c>
      <c r="K9144" t="s">
        <v>19203</v>
      </c>
      <c r="L9144" t="s">
        <v>13900</v>
      </c>
      <c r="M9144" s="161" t="s">
        <v>19202</v>
      </c>
    </row>
    <row r="9145" spans="9:13" x14ac:dyDescent="0.25">
      <c r="I9145" t="s">
        <v>20738</v>
      </c>
      <c r="J9145" s="161" t="s">
        <v>19202</v>
      </c>
      <c r="K9145" t="s">
        <v>19203</v>
      </c>
      <c r="L9145" t="s">
        <v>20739</v>
      </c>
      <c r="M9145" s="161" t="s">
        <v>19202</v>
      </c>
    </row>
    <row r="9146" spans="9:13" x14ac:dyDescent="0.25">
      <c r="I9146" t="s">
        <v>16089</v>
      </c>
      <c r="J9146" s="161" t="s">
        <v>19202</v>
      </c>
      <c r="K9146" t="s">
        <v>19203</v>
      </c>
      <c r="L9146" t="s">
        <v>16050</v>
      </c>
      <c r="M9146" s="161" t="s">
        <v>19202</v>
      </c>
    </row>
    <row r="9147" spans="9:13" x14ac:dyDescent="0.25">
      <c r="I9147" t="s">
        <v>20740</v>
      </c>
      <c r="J9147" s="161" t="s">
        <v>19202</v>
      </c>
      <c r="K9147" t="s">
        <v>19203</v>
      </c>
      <c r="L9147" t="s">
        <v>20741</v>
      </c>
      <c r="M9147" s="161" t="s">
        <v>19202</v>
      </c>
    </row>
    <row r="9148" spans="9:13" x14ac:dyDescent="0.25">
      <c r="I9148" t="s">
        <v>7208</v>
      </c>
      <c r="J9148" s="161" t="s">
        <v>19202</v>
      </c>
      <c r="K9148" t="s">
        <v>19203</v>
      </c>
      <c r="L9148" t="s">
        <v>7207</v>
      </c>
      <c r="M9148" s="161" t="s">
        <v>19202</v>
      </c>
    </row>
    <row r="9149" spans="9:13" x14ac:dyDescent="0.25">
      <c r="I9149" t="s">
        <v>6504</v>
      </c>
      <c r="J9149" s="161" t="s">
        <v>19202</v>
      </c>
      <c r="K9149" t="s">
        <v>19203</v>
      </c>
      <c r="L9149" t="s">
        <v>6503</v>
      </c>
      <c r="M9149" s="161" t="s">
        <v>19202</v>
      </c>
    </row>
    <row r="9150" spans="9:13" x14ac:dyDescent="0.25">
      <c r="I9150" t="s">
        <v>13407</v>
      </c>
      <c r="J9150" s="161" t="s">
        <v>19994</v>
      </c>
      <c r="K9150" t="s">
        <v>19203</v>
      </c>
      <c r="L9150" t="s">
        <v>13406</v>
      </c>
      <c r="M9150" s="161" t="s">
        <v>19994</v>
      </c>
    </row>
    <row r="9151" spans="9:13" x14ac:dyDescent="0.25">
      <c r="I9151" t="s">
        <v>20742</v>
      </c>
      <c r="J9151" s="161" t="s">
        <v>19994</v>
      </c>
      <c r="K9151" t="s">
        <v>19203</v>
      </c>
      <c r="L9151" t="s">
        <v>4155</v>
      </c>
      <c r="M9151" s="161" t="s">
        <v>19994</v>
      </c>
    </row>
    <row r="9152" spans="9:13" x14ac:dyDescent="0.25">
      <c r="I9152" t="s">
        <v>9098</v>
      </c>
      <c r="J9152" s="161" t="s">
        <v>19994</v>
      </c>
      <c r="K9152" t="s">
        <v>19203</v>
      </c>
      <c r="L9152" t="s">
        <v>9097</v>
      </c>
      <c r="M9152" s="161" t="s">
        <v>19994</v>
      </c>
    </row>
    <row r="9153" spans="9:13" x14ac:dyDescent="0.25">
      <c r="I9153" t="s">
        <v>6751</v>
      </c>
      <c r="J9153" s="161" t="s">
        <v>19994</v>
      </c>
      <c r="K9153" t="s">
        <v>19203</v>
      </c>
      <c r="L9153" t="s">
        <v>370</v>
      </c>
      <c r="M9153" s="161" t="s">
        <v>19994</v>
      </c>
    </row>
    <row r="9154" spans="9:13" x14ac:dyDescent="0.25">
      <c r="I9154" t="s">
        <v>2626</v>
      </c>
      <c r="J9154" s="161" t="s">
        <v>19994</v>
      </c>
      <c r="K9154" t="s">
        <v>19203</v>
      </c>
      <c r="L9154" t="s">
        <v>2625</v>
      </c>
      <c r="M9154" s="161" t="s">
        <v>19994</v>
      </c>
    </row>
    <row r="9155" spans="9:13" x14ac:dyDescent="0.25">
      <c r="I9155" t="s">
        <v>10570</v>
      </c>
      <c r="J9155" s="161" t="s">
        <v>19202</v>
      </c>
      <c r="K9155" t="s">
        <v>19203</v>
      </c>
      <c r="L9155" t="s">
        <v>10569</v>
      </c>
      <c r="M9155" s="161" t="s">
        <v>19202</v>
      </c>
    </row>
    <row r="9156" spans="9:13" x14ac:dyDescent="0.25">
      <c r="I9156" t="s">
        <v>13844</v>
      </c>
      <c r="J9156" s="161" t="s">
        <v>19994</v>
      </c>
      <c r="K9156" t="s">
        <v>19203</v>
      </c>
      <c r="L9156" t="s">
        <v>13843</v>
      </c>
      <c r="M9156" s="161" t="s">
        <v>19994</v>
      </c>
    </row>
    <row r="9157" spans="9:13" x14ac:dyDescent="0.25">
      <c r="I9157" t="s">
        <v>9730</v>
      </c>
      <c r="J9157" s="161" t="s">
        <v>19202</v>
      </c>
      <c r="K9157" t="s">
        <v>19203</v>
      </c>
      <c r="L9157" t="s">
        <v>9729</v>
      </c>
      <c r="M9157" s="161" t="s">
        <v>19202</v>
      </c>
    </row>
    <row r="9158" spans="9:13" x14ac:dyDescent="0.25">
      <c r="I9158" t="s">
        <v>6189</v>
      </c>
      <c r="J9158" s="161" t="s">
        <v>19202</v>
      </c>
      <c r="K9158" t="s">
        <v>19203</v>
      </c>
      <c r="L9158" t="s">
        <v>6188</v>
      </c>
      <c r="M9158" s="161" t="s">
        <v>19202</v>
      </c>
    </row>
    <row r="9159" spans="9:13" x14ac:dyDescent="0.25">
      <c r="I9159" t="s">
        <v>13357</v>
      </c>
      <c r="J9159" s="161" t="s">
        <v>19202</v>
      </c>
      <c r="K9159" t="s">
        <v>19203</v>
      </c>
      <c r="L9159" t="s">
        <v>13356</v>
      </c>
      <c r="M9159" s="161" t="s">
        <v>19202</v>
      </c>
    </row>
    <row r="9160" spans="9:13" x14ac:dyDescent="0.25">
      <c r="I9160" t="s">
        <v>20743</v>
      </c>
      <c r="J9160" s="161" t="s">
        <v>19202</v>
      </c>
      <c r="K9160" t="s">
        <v>19203</v>
      </c>
      <c r="L9160" t="s">
        <v>15417</v>
      </c>
      <c r="M9160" s="161" t="s">
        <v>19202</v>
      </c>
    </row>
    <row r="9161" spans="9:13" x14ac:dyDescent="0.25">
      <c r="I9161" t="s">
        <v>10035</v>
      </c>
      <c r="J9161" s="161" t="s">
        <v>19994</v>
      </c>
      <c r="K9161" t="s">
        <v>19203</v>
      </c>
      <c r="L9161" t="s">
        <v>10034</v>
      </c>
      <c r="M9161" s="161" t="s">
        <v>19994</v>
      </c>
    </row>
    <row r="9162" spans="9:13" x14ac:dyDescent="0.25">
      <c r="I9162" t="s">
        <v>20744</v>
      </c>
      <c r="J9162" s="161" t="s">
        <v>19202</v>
      </c>
      <c r="K9162" t="s">
        <v>19203</v>
      </c>
      <c r="L9162" t="s">
        <v>20745</v>
      </c>
      <c r="M9162" s="161" t="s">
        <v>19202</v>
      </c>
    </row>
    <row r="9163" spans="9:13" x14ac:dyDescent="0.25">
      <c r="I9163" t="s">
        <v>6277</v>
      </c>
      <c r="J9163" s="161" t="s">
        <v>19202</v>
      </c>
      <c r="K9163" t="s">
        <v>19203</v>
      </c>
      <c r="L9163" t="s">
        <v>331</v>
      </c>
      <c r="M9163" s="161" t="s">
        <v>19202</v>
      </c>
    </row>
    <row r="9164" spans="9:13" x14ac:dyDescent="0.25">
      <c r="I9164" t="s">
        <v>207</v>
      </c>
      <c r="J9164" s="161" t="s">
        <v>19994</v>
      </c>
      <c r="K9164" t="s">
        <v>19203</v>
      </c>
      <c r="L9164" t="s">
        <v>206</v>
      </c>
      <c r="M9164" s="161" t="s">
        <v>19994</v>
      </c>
    </row>
    <row r="9165" spans="9:13" x14ac:dyDescent="0.25">
      <c r="I9165" t="s">
        <v>20746</v>
      </c>
      <c r="J9165" s="161" t="s">
        <v>19202</v>
      </c>
      <c r="K9165" t="s">
        <v>19203</v>
      </c>
      <c r="L9165" t="s">
        <v>14124</v>
      </c>
      <c r="M9165" s="161" t="s">
        <v>19202</v>
      </c>
    </row>
    <row r="9166" spans="9:13" x14ac:dyDescent="0.25">
      <c r="I9166" t="s">
        <v>4315</v>
      </c>
      <c r="J9166" s="167" t="s">
        <v>19994</v>
      </c>
      <c r="K9166" t="s">
        <v>19203</v>
      </c>
      <c r="L9166" t="s">
        <v>4314</v>
      </c>
      <c r="M9166" s="167" t="s">
        <v>19994</v>
      </c>
    </row>
    <row r="9167" spans="9:13" x14ac:dyDescent="0.25">
      <c r="I9167" t="s">
        <v>6979</v>
      </c>
      <c r="J9167" s="161" t="s">
        <v>19202</v>
      </c>
      <c r="K9167" t="s">
        <v>19203</v>
      </c>
      <c r="L9167" t="s">
        <v>6978</v>
      </c>
      <c r="M9167" s="161" t="s">
        <v>19202</v>
      </c>
    </row>
    <row r="9168" spans="9:13" x14ac:dyDescent="0.25">
      <c r="I9168" t="s">
        <v>8088</v>
      </c>
      <c r="J9168" s="161" t="s">
        <v>19202</v>
      </c>
      <c r="K9168" t="s">
        <v>19203</v>
      </c>
      <c r="L9168" t="s">
        <v>8087</v>
      </c>
      <c r="M9168" s="161" t="s">
        <v>19202</v>
      </c>
    </row>
    <row r="9169" spans="9:13" x14ac:dyDescent="0.25">
      <c r="I9169" t="s">
        <v>7841</v>
      </c>
      <c r="J9169" s="161" t="s">
        <v>19202</v>
      </c>
      <c r="K9169" t="s">
        <v>19203</v>
      </c>
      <c r="L9169" t="s">
        <v>7840</v>
      </c>
      <c r="M9169" s="161" t="s">
        <v>19202</v>
      </c>
    </row>
    <row r="9170" spans="9:13" x14ac:dyDescent="0.25">
      <c r="I9170" t="s">
        <v>7370</v>
      </c>
      <c r="J9170" s="161" t="s">
        <v>19202</v>
      </c>
      <c r="K9170" t="s">
        <v>19203</v>
      </c>
      <c r="L9170" t="s">
        <v>7369</v>
      </c>
      <c r="M9170" s="161" t="s">
        <v>19202</v>
      </c>
    </row>
    <row r="9171" spans="9:13" x14ac:dyDescent="0.25">
      <c r="I9171" t="s">
        <v>10809</v>
      </c>
      <c r="J9171" s="161" t="s">
        <v>19202</v>
      </c>
      <c r="K9171" t="s">
        <v>19203</v>
      </c>
      <c r="L9171" t="s">
        <v>10808</v>
      </c>
      <c r="M9171" s="161" t="s">
        <v>19202</v>
      </c>
    </row>
    <row r="9172" spans="9:13" x14ac:dyDescent="0.25">
      <c r="I9172" t="s">
        <v>8446</v>
      </c>
      <c r="J9172" s="161" t="s">
        <v>19994</v>
      </c>
      <c r="K9172" t="s">
        <v>19203</v>
      </c>
      <c r="L9172" t="s">
        <v>8445</v>
      </c>
      <c r="M9172" s="161" t="s">
        <v>19994</v>
      </c>
    </row>
    <row r="9173" spans="9:13" x14ac:dyDescent="0.25">
      <c r="I9173" t="s">
        <v>5088</v>
      </c>
      <c r="J9173" s="161" t="s">
        <v>19202</v>
      </c>
      <c r="K9173" t="s">
        <v>19203</v>
      </c>
      <c r="L9173" t="s">
        <v>5087</v>
      </c>
      <c r="M9173" s="161" t="s">
        <v>19202</v>
      </c>
    </row>
    <row r="9174" spans="9:13" x14ac:dyDescent="0.25">
      <c r="I9174" t="s">
        <v>20747</v>
      </c>
      <c r="J9174" s="161" t="s">
        <v>19202</v>
      </c>
      <c r="K9174" t="s">
        <v>19203</v>
      </c>
      <c r="L9174" t="s">
        <v>20748</v>
      </c>
      <c r="M9174" s="161" t="s">
        <v>19202</v>
      </c>
    </row>
    <row r="9175" spans="9:13" x14ac:dyDescent="0.25">
      <c r="I9175" t="s">
        <v>6681</v>
      </c>
      <c r="J9175" s="161" t="s">
        <v>19202</v>
      </c>
      <c r="K9175" t="s">
        <v>19203</v>
      </c>
      <c r="L9175" t="s">
        <v>3875</v>
      </c>
      <c r="M9175" s="161" t="s">
        <v>19202</v>
      </c>
    </row>
    <row r="9176" spans="9:13" x14ac:dyDescent="0.25">
      <c r="I9176" t="s">
        <v>20749</v>
      </c>
      <c r="J9176" s="161" t="s">
        <v>19202</v>
      </c>
      <c r="K9176" t="s">
        <v>19203</v>
      </c>
      <c r="L9176" t="s">
        <v>20750</v>
      </c>
      <c r="M9176" s="161" t="s">
        <v>19202</v>
      </c>
    </row>
    <row r="9177" spans="9:13" x14ac:dyDescent="0.25">
      <c r="I9177" t="s">
        <v>6113</v>
      </c>
      <c r="J9177" s="161" t="s">
        <v>19202</v>
      </c>
      <c r="K9177" t="s">
        <v>19203</v>
      </c>
      <c r="L9177" t="s">
        <v>6112</v>
      </c>
      <c r="M9177" s="161" t="s">
        <v>19202</v>
      </c>
    </row>
    <row r="9178" spans="9:13" x14ac:dyDescent="0.25">
      <c r="I9178" t="s">
        <v>6111</v>
      </c>
      <c r="J9178" s="161" t="s">
        <v>19202</v>
      </c>
      <c r="K9178" t="s">
        <v>19203</v>
      </c>
      <c r="L9178" t="s">
        <v>6110</v>
      </c>
      <c r="M9178" s="161" t="s">
        <v>19202</v>
      </c>
    </row>
    <row r="9179" spans="9:13" x14ac:dyDescent="0.25">
      <c r="I9179" t="s">
        <v>10342</v>
      </c>
      <c r="J9179" s="161" t="s">
        <v>19202</v>
      </c>
      <c r="K9179" t="s">
        <v>19203</v>
      </c>
      <c r="L9179" t="s">
        <v>10341</v>
      </c>
      <c r="M9179" s="161" t="s">
        <v>19202</v>
      </c>
    </row>
    <row r="9180" spans="9:13" x14ac:dyDescent="0.25">
      <c r="I9180" t="s">
        <v>10052</v>
      </c>
      <c r="J9180" s="161" t="s">
        <v>19202</v>
      </c>
      <c r="K9180" t="s">
        <v>19203</v>
      </c>
      <c r="L9180" t="s">
        <v>6719</v>
      </c>
      <c r="M9180" s="161" t="s">
        <v>19202</v>
      </c>
    </row>
    <row r="9181" spans="9:13" x14ac:dyDescent="0.25">
      <c r="I9181" t="s">
        <v>37</v>
      </c>
      <c r="J9181" s="161" t="s">
        <v>19202</v>
      </c>
      <c r="K9181" t="s">
        <v>19203</v>
      </c>
      <c r="L9181" t="s">
        <v>36</v>
      </c>
      <c r="M9181" s="161" t="s">
        <v>19202</v>
      </c>
    </row>
    <row r="9182" spans="9:13" x14ac:dyDescent="0.25">
      <c r="I9182" t="s">
        <v>20751</v>
      </c>
      <c r="J9182" s="161" t="s">
        <v>19202</v>
      </c>
      <c r="K9182" t="s">
        <v>19203</v>
      </c>
      <c r="L9182" t="s">
        <v>20752</v>
      </c>
      <c r="M9182" s="161" t="s">
        <v>19202</v>
      </c>
    </row>
    <row r="9183" spans="9:13" x14ac:dyDescent="0.25">
      <c r="I9183" t="s">
        <v>20753</v>
      </c>
      <c r="J9183" s="161" t="s">
        <v>19202</v>
      </c>
      <c r="K9183" t="s">
        <v>19203</v>
      </c>
      <c r="L9183" t="s">
        <v>20754</v>
      </c>
      <c r="M9183" s="161" t="s">
        <v>19202</v>
      </c>
    </row>
    <row r="9184" spans="9:13" x14ac:dyDescent="0.25">
      <c r="I9184" t="s">
        <v>20755</v>
      </c>
      <c r="J9184" s="161" t="s">
        <v>19202</v>
      </c>
      <c r="K9184" t="s">
        <v>19203</v>
      </c>
      <c r="L9184" t="s">
        <v>20756</v>
      </c>
      <c r="M9184" s="161" t="s">
        <v>19202</v>
      </c>
    </row>
    <row r="9185" spans="9:13" x14ac:dyDescent="0.25">
      <c r="I9185" t="s">
        <v>2154</v>
      </c>
      <c r="J9185" s="161" t="s">
        <v>19994</v>
      </c>
      <c r="K9185" t="s">
        <v>19203</v>
      </c>
      <c r="L9185" t="s">
        <v>2153</v>
      </c>
      <c r="M9185" s="161" t="s">
        <v>19994</v>
      </c>
    </row>
    <row r="9186" spans="9:13" x14ac:dyDescent="0.25">
      <c r="I9186" t="s">
        <v>8636</v>
      </c>
      <c r="J9186" s="161" t="s">
        <v>19202</v>
      </c>
      <c r="K9186" t="s">
        <v>19203</v>
      </c>
      <c r="L9186" t="s">
        <v>8635</v>
      </c>
      <c r="M9186" s="161" t="s">
        <v>19202</v>
      </c>
    </row>
    <row r="9187" spans="9:13" x14ac:dyDescent="0.25">
      <c r="I9187" t="s">
        <v>6750</v>
      </c>
      <c r="J9187" s="161" t="s">
        <v>19994</v>
      </c>
      <c r="K9187" t="s">
        <v>19203</v>
      </c>
      <c r="L9187" t="s">
        <v>6600</v>
      </c>
      <c r="M9187" s="161" t="s">
        <v>19994</v>
      </c>
    </row>
    <row r="9188" spans="9:13" x14ac:dyDescent="0.25">
      <c r="I9188" t="s">
        <v>6187</v>
      </c>
      <c r="J9188" s="161" t="s">
        <v>19202</v>
      </c>
      <c r="K9188" t="s">
        <v>19203</v>
      </c>
      <c r="L9188" t="s">
        <v>6186</v>
      </c>
      <c r="M9188" s="161" t="s">
        <v>19202</v>
      </c>
    </row>
    <row r="9189" spans="9:13" x14ac:dyDescent="0.25">
      <c r="I9189" t="s">
        <v>13871</v>
      </c>
      <c r="J9189" s="161" t="s">
        <v>19994</v>
      </c>
      <c r="K9189" t="s">
        <v>19203</v>
      </c>
      <c r="L9189" t="s">
        <v>13870</v>
      </c>
      <c r="M9189" s="161" t="s">
        <v>19994</v>
      </c>
    </row>
    <row r="9190" spans="9:13" x14ac:dyDescent="0.25">
      <c r="I9190" t="s">
        <v>8494</v>
      </c>
      <c r="J9190" s="161" t="s">
        <v>19202</v>
      </c>
      <c r="K9190" t="s">
        <v>19203</v>
      </c>
      <c r="L9190" t="s">
        <v>8493</v>
      </c>
      <c r="M9190" s="161" t="s">
        <v>19202</v>
      </c>
    </row>
    <row r="9191" spans="9:13" x14ac:dyDescent="0.25">
      <c r="I9191" t="s">
        <v>7734</v>
      </c>
      <c r="J9191" s="161" t="s">
        <v>19202</v>
      </c>
      <c r="K9191" t="s">
        <v>19203</v>
      </c>
      <c r="L9191" t="s">
        <v>7733</v>
      </c>
      <c r="M9191" s="161" t="s">
        <v>19202</v>
      </c>
    </row>
    <row r="9192" spans="9:13" x14ac:dyDescent="0.25">
      <c r="I9192" t="s">
        <v>6985</v>
      </c>
      <c r="J9192" s="161" t="s">
        <v>19202</v>
      </c>
      <c r="K9192" t="s">
        <v>19203</v>
      </c>
      <c r="L9192" t="s">
        <v>6984</v>
      </c>
      <c r="M9192" s="161" t="s">
        <v>19202</v>
      </c>
    </row>
    <row r="9193" spans="9:13" x14ac:dyDescent="0.25">
      <c r="I9193" t="s">
        <v>1052</v>
      </c>
      <c r="J9193" s="161" t="s">
        <v>19994</v>
      </c>
      <c r="K9193" t="s">
        <v>19203</v>
      </c>
      <c r="L9193" t="s">
        <v>1051</v>
      </c>
      <c r="M9193" s="161" t="s">
        <v>19994</v>
      </c>
    </row>
    <row r="9194" spans="9:13" x14ac:dyDescent="0.25">
      <c r="I9194" t="s">
        <v>20757</v>
      </c>
      <c r="J9194" s="161" t="s">
        <v>19202</v>
      </c>
      <c r="K9194" t="s">
        <v>19203</v>
      </c>
      <c r="L9194" t="s">
        <v>20758</v>
      </c>
      <c r="M9194" s="161" t="s">
        <v>19202</v>
      </c>
    </row>
    <row r="9195" spans="9:13" x14ac:dyDescent="0.25">
      <c r="I9195" t="s">
        <v>7549</v>
      </c>
      <c r="J9195" s="161" t="s">
        <v>19994</v>
      </c>
      <c r="K9195" t="s">
        <v>19203</v>
      </c>
      <c r="L9195" t="s">
        <v>7548</v>
      </c>
      <c r="M9195" s="161" t="s">
        <v>19994</v>
      </c>
    </row>
    <row r="9196" spans="9:13" x14ac:dyDescent="0.25">
      <c r="I9196" t="s">
        <v>5840</v>
      </c>
      <c r="J9196" s="161" t="s">
        <v>19994</v>
      </c>
      <c r="K9196" t="s">
        <v>19203</v>
      </c>
      <c r="L9196" t="s">
        <v>5839</v>
      </c>
      <c r="M9196" s="161" t="s">
        <v>19994</v>
      </c>
    </row>
    <row r="9197" spans="9:13" x14ac:dyDescent="0.25">
      <c r="I9197" t="s">
        <v>6927</v>
      </c>
      <c r="J9197" s="161" t="s">
        <v>19994</v>
      </c>
      <c r="K9197" t="s">
        <v>19203</v>
      </c>
      <c r="L9197" t="s">
        <v>6926</v>
      </c>
      <c r="M9197" s="161" t="s">
        <v>19994</v>
      </c>
    </row>
    <row r="9198" spans="9:13" x14ac:dyDescent="0.25">
      <c r="I9198" t="s">
        <v>701</v>
      </c>
      <c r="J9198" s="161" t="s">
        <v>19202</v>
      </c>
      <c r="K9198" t="s">
        <v>19203</v>
      </c>
      <c r="L9198" t="s">
        <v>700</v>
      </c>
      <c r="M9198" s="161" t="s">
        <v>19202</v>
      </c>
    </row>
    <row r="9199" spans="9:13" x14ac:dyDescent="0.25">
      <c r="I9199" t="s">
        <v>12091</v>
      </c>
      <c r="J9199" s="161" t="s">
        <v>19994</v>
      </c>
      <c r="K9199" t="s">
        <v>19203</v>
      </c>
      <c r="L9199" t="s">
        <v>12090</v>
      </c>
      <c r="M9199" s="161" t="s">
        <v>19994</v>
      </c>
    </row>
    <row r="9200" spans="9:13" x14ac:dyDescent="0.25">
      <c r="I9200" t="s">
        <v>5524</v>
      </c>
      <c r="J9200" s="161" t="s">
        <v>19202</v>
      </c>
      <c r="K9200" t="s">
        <v>19203</v>
      </c>
      <c r="L9200" t="s">
        <v>202</v>
      </c>
      <c r="M9200" s="161" t="s">
        <v>19202</v>
      </c>
    </row>
    <row r="9201" spans="9:13" x14ac:dyDescent="0.25">
      <c r="I9201" t="s">
        <v>10047</v>
      </c>
      <c r="J9201" s="161" t="s">
        <v>19202</v>
      </c>
      <c r="K9201" t="s">
        <v>19203</v>
      </c>
      <c r="L9201" t="s">
        <v>10046</v>
      </c>
      <c r="M9201" s="161" t="s">
        <v>19202</v>
      </c>
    </row>
    <row r="9202" spans="9:13" x14ac:dyDescent="0.25">
      <c r="I9202" t="s">
        <v>6967</v>
      </c>
      <c r="J9202" s="161" t="s">
        <v>19994</v>
      </c>
      <c r="K9202" t="s">
        <v>19203</v>
      </c>
      <c r="L9202" t="s">
        <v>6966</v>
      </c>
      <c r="M9202" s="161" t="s">
        <v>19994</v>
      </c>
    </row>
    <row r="9203" spans="9:13" x14ac:dyDescent="0.25">
      <c r="I9203" t="s">
        <v>5390</v>
      </c>
      <c r="J9203" s="161" t="s">
        <v>19202</v>
      </c>
      <c r="K9203" t="s">
        <v>19203</v>
      </c>
      <c r="L9203" t="s">
        <v>5389</v>
      </c>
      <c r="M9203" s="161" t="s">
        <v>19202</v>
      </c>
    </row>
    <row r="9204" spans="9:13" x14ac:dyDescent="0.25">
      <c r="I9204" t="s">
        <v>2711</v>
      </c>
      <c r="J9204" s="161" t="s">
        <v>19202</v>
      </c>
      <c r="K9204" t="s">
        <v>19203</v>
      </c>
      <c r="L9204" t="s">
        <v>2710</v>
      </c>
      <c r="M9204" s="161" t="s">
        <v>19202</v>
      </c>
    </row>
    <row r="9205" spans="9:13" x14ac:dyDescent="0.25">
      <c r="I9205" t="s">
        <v>15078</v>
      </c>
      <c r="J9205" s="161" t="s">
        <v>19202</v>
      </c>
      <c r="K9205" t="s">
        <v>19203</v>
      </c>
      <c r="L9205" t="s">
        <v>3266</v>
      </c>
      <c r="M9205" s="161" t="s">
        <v>19202</v>
      </c>
    </row>
    <row r="9206" spans="9:13" x14ac:dyDescent="0.25">
      <c r="I9206" t="s">
        <v>20759</v>
      </c>
      <c r="J9206" s="161" t="s">
        <v>19202</v>
      </c>
      <c r="K9206" t="s">
        <v>19203</v>
      </c>
      <c r="L9206" t="s">
        <v>4597</v>
      </c>
      <c r="M9206" s="161" t="s">
        <v>19202</v>
      </c>
    </row>
    <row r="9207" spans="9:13" x14ac:dyDescent="0.25">
      <c r="I9207" t="s">
        <v>11710</v>
      </c>
      <c r="J9207" s="161" t="s">
        <v>19994</v>
      </c>
      <c r="K9207" t="s">
        <v>19203</v>
      </c>
      <c r="L9207" t="s">
        <v>11709</v>
      </c>
      <c r="M9207" s="161" t="s">
        <v>19994</v>
      </c>
    </row>
    <row r="9208" spans="9:13" x14ac:dyDescent="0.25">
      <c r="I9208" t="s">
        <v>20760</v>
      </c>
      <c r="J9208" s="161" t="s">
        <v>19202</v>
      </c>
      <c r="K9208" t="s">
        <v>19203</v>
      </c>
      <c r="L9208" t="s">
        <v>20761</v>
      </c>
      <c r="M9208" s="161" t="s">
        <v>19202</v>
      </c>
    </row>
    <row r="9209" spans="9:13" x14ac:dyDescent="0.25">
      <c r="I9209" t="s">
        <v>2743</v>
      </c>
      <c r="J9209" s="161" t="s">
        <v>19994</v>
      </c>
      <c r="K9209" t="s">
        <v>19203</v>
      </c>
      <c r="L9209" t="s">
        <v>2742</v>
      </c>
      <c r="M9209" s="161" t="s">
        <v>19994</v>
      </c>
    </row>
    <row r="9210" spans="9:13" x14ac:dyDescent="0.25">
      <c r="I9210" t="s">
        <v>13359</v>
      </c>
      <c r="J9210" s="161" t="s">
        <v>19994</v>
      </c>
      <c r="K9210" t="s">
        <v>19203</v>
      </c>
      <c r="L9210" t="s">
        <v>13358</v>
      </c>
      <c r="M9210" s="161" t="s">
        <v>19994</v>
      </c>
    </row>
    <row r="9211" spans="9:13" x14ac:dyDescent="0.25">
      <c r="I9211" t="s">
        <v>10330</v>
      </c>
      <c r="J9211" s="161" t="s">
        <v>19994</v>
      </c>
      <c r="K9211" t="s">
        <v>19203</v>
      </c>
      <c r="L9211" t="s">
        <v>10329</v>
      </c>
      <c r="M9211" s="161" t="s">
        <v>19994</v>
      </c>
    </row>
    <row r="9212" spans="9:13" x14ac:dyDescent="0.25">
      <c r="I9212" t="s">
        <v>9526</v>
      </c>
      <c r="J9212" s="167" t="s">
        <v>19994</v>
      </c>
      <c r="K9212" t="s">
        <v>19203</v>
      </c>
      <c r="L9212" t="s">
        <v>9525</v>
      </c>
      <c r="M9212" s="167" t="s">
        <v>19994</v>
      </c>
    </row>
    <row r="9213" spans="9:13" x14ac:dyDescent="0.25">
      <c r="I9213" t="s">
        <v>11058</v>
      </c>
      <c r="J9213" s="161" t="s">
        <v>19202</v>
      </c>
      <c r="K9213" t="s">
        <v>19203</v>
      </c>
      <c r="L9213" t="s">
        <v>11057</v>
      </c>
      <c r="M9213" s="161" t="s">
        <v>19202</v>
      </c>
    </row>
    <row r="9214" spans="9:13" x14ac:dyDescent="0.25">
      <c r="I9214" t="s">
        <v>9166</v>
      </c>
      <c r="J9214" s="161" t="s">
        <v>19202</v>
      </c>
      <c r="K9214" t="s">
        <v>19203</v>
      </c>
      <c r="L9214" t="s">
        <v>9165</v>
      </c>
      <c r="M9214" s="161" t="s">
        <v>19202</v>
      </c>
    </row>
    <row r="9215" spans="9:13" x14ac:dyDescent="0.25">
      <c r="I9215" t="s">
        <v>20762</v>
      </c>
      <c r="J9215" s="161" t="s">
        <v>19202</v>
      </c>
      <c r="K9215" t="s">
        <v>19203</v>
      </c>
      <c r="L9215" t="s">
        <v>20763</v>
      </c>
      <c r="M9215" s="161" t="s">
        <v>19202</v>
      </c>
    </row>
    <row r="9216" spans="9:13" x14ac:dyDescent="0.25">
      <c r="I9216" t="s">
        <v>3570</v>
      </c>
      <c r="J9216" s="161" t="s">
        <v>19994</v>
      </c>
      <c r="K9216" t="s">
        <v>19203</v>
      </c>
      <c r="L9216" t="s">
        <v>3569</v>
      </c>
      <c r="M9216" s="161" t="s">
        <v>19994</v>
      </c>
    </row>
    <row r="9217" spans="9:13" x14ac:dyDescent="0.25">
      <c r="I9217" t="s">
        <v>3568</v>
      </c>
      <c r="J9217" s="161" t="s">
        <v>19994</v>
      </c>
      <c r="K9217" t="s">
        <v>19203</v>
      </c>
      <c r="L9217" t="s">
        <v>3567</v>
      </c>
      <c r="M9217" s="161" t="s">
        <v>19994</v>
      </c>
    </row>
    <row r="9218" spans="9:13" x14ac:dyDescent="0.25">
      <c r="I9218" t="s">
        <v>20764</v>
      </c>
      <c r="J9218" s="161" t="s">
        <v>19994</v>
      </c>
      <c r="K9218" t="s">
        <v>19203</v>
      </c>
      <c r="L9218" t="s">
        <v>20765</v>
      </c>
      <c r="M9218" s="161" t="s">
        <v>19994</v>
      </c>
    </row>
    <row r="9219" spans="9:13" x14ac:dyDescent="0.25">
      <c r="I9219" t="s">
        <v>6747</v>
      </c>
      <c r="J9219" s="161" t="s">
        <v>19202</v>
      </c>
      <c r="K9219" t="s">
        <v>19203</v>
      </c>
      <c r="L9219" t="s">
        <v>6262</v>
      </c>
      <c r="M9219" s="161" t="s">
        <v>19202</v>
      </c>
    </row>
    <row r="9220" spans="9:13" x14ac:dyDescent="0.25">
      <c r="I9220" t="s">
        <v>5900</v>
      </c>
      <c r="J9220" s="161" t="s">
        <v>19994</v>
      </c>
      <c r="K9220" t="s">
        <v>19203</v>
      </c>
      <c r="L9220" t="s">
        <v>5899</v>
      </c>
      <c r="M9220" s="161" t="s">
        <v>19994</v>
      </c>
    </row>
    <row r="9221" spans="9:13" x14ac:dyDescent="0.25">
      <c r="I9221" t="s">
        <v>511</v>
      </c>
      <c r="J9221" s="161" t="s">
        <v>19994</v>
      </c>
      <c r="K9221" t="s">
        <v>19203</v>
      </c>
      <c r="L9221" t="s">
        <v>510</v>
      </c>
      <c r="M9221" s="161" t="s">
        <v>19994</v>
      </c>
    </row>
    <row r="9222" spans="9:13" x14ac:dyDescent="0.25">
      <c r="I9222" t="s">
        <v>10807</v>
      </c>
      <c r="J9222" s="161" t="s">
        <v>19202</v>
      </c>
      <c r="K9222" t="s">
        <v>19203</v>
      </c>
      <c r="L9222" t="s">
        <v>10806</v>
      </c>
      <c r="M9222" s="161" t="s">
        <v>19202</v>
      </c>
    </row>
    <row r="9223" spans="9:13" x14ac:dyDescent="0.25">
      <c r="I9223" t="s">
        <v>11411</v>
      </c>
      <c r="J9223" s="161" t="s">
        <v>19994</v>
      </c>
      <c r="K9223" t="s">
        <v>19203</v>
      </c>
      <c r="L9223" t="s">
        <v>11410</v>
      </c>
      <c r="M9223" s="161" t="s">
        <v>19994</v>
      </c>
    </row>
    <row r="9224" spans="9:13" x14ac:dyDescent="0.25">
      <c r="I9224" t="s">
        <v>10154</v>
      </c>
      <c r="J9224" s="161" t="s">
        <v>19202</v>
      </c>
      <c r="K9224" t="s">
        <v>19203</v>
      </c>
      <c r="L9224" t="s">
        <v>10153</v>
      </c>
      <c r="M9224" s="161" t="s">
        <v>19202</v>
      </c>
    </row>
    <row r="9225" spans="9:13" x14ac:dyDescent="0.25">
      <c r="I9225" t="s">
        <v>20766</v>
      </c>
      <c r="J9225" s="167" t="s">
        <v>19994</v>
      </c>
      <c r="K9225" t="s">
        <v>19203</v>
      </c>
      <c r="L9225" t="s">
        <v>20767</v>
      </c>
      <c r="M9225" s="167" t="s">
        <v>19994</v>
      </c>
    </row>
    <row r="9226" spans="9:13" x14ac:dyDescent="0.25">
      <c r="I9226" t="s">
        <v>20768</v>
      </c>
      <c r="J9226" s="161" t="s">
        <v>19202</v>
      </c>
      <c r="K9226" t="s">
        <v>19203</v>
      </c>
      <c r="L9226" t="s">
        <v>20769</v>
      </c>
      <c r="M9226" s="161" t="s">
        <v>19202</v>
      </c>
    </row>
    <row r="9227" spans="9:13" x14ac:dyDescent="0.25">
      <c r="I9227" t="s">
        <v>447</v>
      </c>
      <c r="J9227" s="161" t="s">
        <v>19202</v>
      </c>
      <c r="K9227" t="s">
        <v>19203</v>
      </c>
      <c r="L9227" t="s">
        <v>446</v>
      </c>
      <c r="M9227" s="161" t="s">
        <v>19202</v>
      </c>
    </row>
    <row r="9228" spans="9:13" x14ac:dyDescent="0.25">
      <c r="I9228" t="s">
        <v>20770</v>
      </c>
      <c r="J9228" s="161" t="s">
        <v>19202</v>
      </c>
      <c r="K9228" t="s">
        <v>19203</v>
      </c>
      <c r="L9228" t="s">
        <v>20771</v>
      </c>
      <c r="M9228" s="161" t="s">
        <v>19202</v>
      </c>
    </row>
    <row r="9229" spans="9:13" x14ac:dyDescent="0.25">
      <c r="I9229" t="s">
        <v>16132</v>
      </c>
      <c r="J9229" s="161" t="s">
        <v>19202</v>
      </c>
      <c r="K9229" t="s">
        <v>19203</v>
      </c>
      <c r="L9229" t="s">
        <v>4974</v>
      </c>
      <c r="M9229" s="161" t="s">
        <v>19202</v>
      </c>
    </row>
    <row r="9230" spans="9:13" x14ac:dyDescent="0.25">
      <c r="I9230" t="s">
        <v>20772</v>
      </c>
      <c r="J9230" s="161" t="s">
        <v>19202</v>
      </c>
      <c r="K9230" t="s">
        <v>19203</v>
      </c>
      <c r="L9230" t="s">
        <v>20773</v>
      </c>
      <c r="M9230" s="161" t="s">
        <v>19202</v>
      </c>
    </row>
    <row r="9231" spans="9:13" x14ac:dyDescent="0.25">
      <c r="I9231" t="s">
        <v>8848</v>
      </c>
      <c r="J9231" s="161" t="s">
        <v>19202</v>
      </c>
      <c r="K9231" t="s">
        <v>19203</v>
      </c>
      <c r="L9231" t="s">
        <v>8847</v>
      </c>
      <c r="M9231" s="161" t="s">
        <v>19202</v>
      </c>
    </row>
    <row r="9232" spans="9:13" x14ac:dyDescent="0.25">
      <c r="I9232" t="s">
        <v>14238</v>
      </c>
      <c r="J9232" s="161" t="s">
        <v>19994</v>
      </c>
      <c r="K9232" t="s">
        <v>19203</v>
      </c>
      <c r="L9232" t="s">
        <v>14237</v>
      </c>
      <c r="M9232" s="161" t="s">
        <v>19994</v>
      </c>
    </row>
    <row r="9233" spans="9:13" x14ac:dyDescent="0.25">
      <c r="I9233" t="s">
        <v>13724</v>
      </c>
      <c r="J9233" s="161" t="s">
        <v>19994</v>
      </c>
      <c r="K9233" t="s">
        <v>19203</v>
      </c>
      <c r="L9233" t="s">
        <v>13723</v>
      </c>
      <c r="M9233" s="161" t="s">
        <v>19994</v>
      </c>
    </row>
    <row r="9234" spans="9:13" x14ac:dyDescent="0.25">
      <c r="I9234" t="s">
        <v>34</v>
      </c>
      <c r="J9234" s="161" t="s">
        <v>19202</v>
      </c>
      <c r="K9234" t="s">
        <v>19203</v>
      </c>
      <c r="L9234" t="s">
        <v>33</v>
      </c>
      <c r="M9234" s="161" t="s">
        <v>19202</v>
      </c>
    </row>
    <row r="9235" spans="9:13" x14ac:dyDescent="0.25">
      <c r="I9235" t="s">
        <v>20774</v>
      </c>
      <c r="J9235" s="161" t="s">
        <v>19202</v>
      </c>
      <c r="K9235" t="s">
        <v>19203</v>
      </c>
      <c r="L9235" t="s">
        <v>20775</v>
      </c>
      <c r="M9235" s="161" t="s">
        <v>19202</v>
      </c>
    </row>
    <row r="9236" spans="9:13" x14ac:dyDescent="0.25">
      <c r="I9236" t="s">
        <v>20776</v>
      </c>
      <c r="J9236" s="161" t="s">
        <v>19202</v>
      </c>
      <c r="K9236" t="s">
        <v>19203</v>
      </c>
      <c r="L9236" t="s">
        <v>14242</v>
      </c>
      <c r="M9236" s="161" t="s">
        <v>19202</v>
      </c>
    </row>
    <row r="9237" spans="9:13" x14ac:dyDescent="0.25">
      <c r="I9237" t="s">
        <v>20777</v>
      </c>
      <c r="J9237" s="161" t="s">
        <v>19994</v>
      </c>
      <c r="K9237" t="s">
        <v>19203</v>
      </c>
      <c r="L9237" t="s">
        <v>20778</v>
      </c>
      <c r="M9237" s="161" t="s">
        <v>19994</v>
      </c>
    </row>
    <row r="9238" spans="9:13" x14ac:dyDescent="0.25">
      <c r="I9238" t="s">
        <v>7290</v>
      </c>
      <c r="J9238" s="161" t="s">
        <v>19202</v>
      </c>
      <c r="K9238" t="s">
        <v>19203</v>
      </c>
      <c r="L9238" t="s">
        <v>7289</v>
      </c>
      <c r="M9238" s="161" t="s">
        <v>19202</v>
      </c>
    </row>
    <row r="9239" spans="9:13" x14ac:dyDescent="0.25">
      <c r="I9239" t="s">
        <v>14668</v>
      </c>
      <c r="J9239" s="161" t="s">
        <v>19994</v>
      </c>
      <c r="K9239" t="s">
        <v>19203</v>
      </c>
      <c r="L9239" t="s">
        <v>14667</v>
      </c>
      <c r="M9239" s="161" t="s">
        <v>19994</v>
      </c>
    </row>
    <row r="9240" spans="9:13" x14ac:dyDescent="0.25">
      <c r="I9240" t="s">
        <v>10338</v>
      </c>
      <c r="J9240" s="161" t="s">
        <v>19202</v>
      </c>
      <c r="K9240" t="s">
        <v>19203</v>
      </c>
      <c r="L9240" t="s">
        <v>10337</v>
      </c>
      <c r="M9240" s="161" t="s">
        <v>19202</v>
      </c>
    </row>
    <row r="9241" spans="9:13" x14ac:dyDescent="0.25">
      <c r="I9241" t="s">
        <v>6811</v>
      </c>
      <c r="J9241" s="161" t="s">
        <v>19994</v>
      </c>
      <c r="K9241" t="s">
        <v>19203</v>
      </c>
      <c r="L9241" t="s">
        <v>6810</v>
      </c>
      <c r="M9241" s="161" t="s">
        <v>19994</v>
      </c>
    </row>
    <row r="9242" spans="9:13" x14ac:dyDescent="0.25">
      <c r="I9242" t="s">
        <v>16858</v>
      </c>
      <c r="J9242" s="161" t="s">
        <v>19202</v>
      </c>
      <c r="K9242" t="s">
        <v>19203</v>
      </c>
      <c r="L9242" t="s">
        <v>16857</v>
      </c>
      <c r="M9242" s="161" t="s">
        <v>19202</v>
      </c>
    </row>
    <row r="9243" spans="9:13" x14ac:dyDescent="0.25">
      <c r="I9243" t="s">
        <v>16927</v>
      </c>
      <c r="J9243" s="161" t="s">
        <v>19202</v>
      </c>
      <c r="K9243" t="s">
        <v>19203</v>
      </c>
      <c r="L9243" t="s">
        <v>126</v>
      </c>
      <c r="M9243" s="161" t="s">
        <v>19202</v>
      </c>
    </row>
    <row r="9244" spans="9:13" x14ac:dyDescent="0.25">
      <c r="I9244" t="s">
        <v>20779</v>
      </c>
      <c r="J9244" s="161" t="s">
        <v>19202</v>
      </c>
      <c r="K9244" t="s">
        <v>19203</v>
      </c>
      <c r="L9244" t="s">
        <v>20780</v>
      </c>
      <c r="M9244" s="161" t="s">
        <v>19202</v>
      </c>
    </row>
    <row r="9245" spans="9:13" x14ac:dyDescent="0.25">
      <c r="I9245" t="s">
        <v>20781</v>
      </c>
      <c r="J9245" s="161" t="s">
        <v>19202</v>
      </c>
      <c r="K9245" t="s">
        <v>19203</v>
      </c>
      <c r="L9245" t="s">
        <v>20782</v>
      </c>
      <c r="M9245" s="161" t="s">
        <v>19202</v>
      </c>
    </row>
    <row r="9246" spans="9:13" x14ac:dyDescent="0.25">
      <c r="I9246" t="s">
        <v>20783</v>
      </c>
      <c r="J9246" s="161" t="s">
        <v>19202</v>
      </c>
      <c r="K9246" t="s">
        <v>19203</v>
      </c>
      <c r="L9246" t="s">
        <v>20784</v>
      </c>
      <c r="M9246" s="161" t="s">
        <v>19202</v>
      </c>
    </row>
    <row r="9247" spans="9:13" x14ac:dyDescent="0.25">
      <c r="I9247" t="s">
        <v>13869</v>
      </c>
      <c r="J9247" s="161" t="s">
        <v>19994</v>
      </c>
      <c r="K9247" t="s">
        <v>19203</v>
      </c>
      <c r="L9247" t="s">
        <v>13868</v>
      </c>
      <c r="M9247" s="161" t="s">
        <v>19994</v>
      </c>
    </row>
    <row r="9248" spans="9:13" x14ac:dyDescent="0.25">
      <c r="I9248" t="s">
        <v>11693</v>
      </c>
      <c r="J9248" s="161" t="s">
        <v>19994</v>
      </c>
      <c r="K9248" t="s">
        <v>19203</v>
      </c>
      <c r="L9248" t="s">
        <v>11692</v>
      </c>
      <c r="M9248" s="161" t="s">
        <v>19994</v>
      </c>
    </row>
    <row r="9249" spans="9:13" x14ac:dyDescent="0.25">
      <c r="I9249" t="s">
        <v>2244</v>
      </c>
      <c r="J9249" s="161" t="s">
        <v>19994</v>
      </c>
      <c r="K9249" t="s">
        <v>19203</v>
      </c>
      <c r="L9249" t="s">
        <v>2243</v>
      </c>
      <c r="M9249" s="161" t="s">
        <v>19994</v>
      </c>
    </row>
    <row r="9250" spans="9:13" x14ac:dyDescent="0.25">
      <c r="I9250" t="s">
        <v>15272</v>
      </c>
      <c r="J9250" s="161" t="s">
        <v>19202</v>
      </c>
      <c r="K9250" t="s">
        <v>19203</v>
      </c>
      <c r="L9250" t="s">
        <v>15271</v>
      </c>
      <c r="M9250" s="161" t="s">
        <v>19202</v>
      </c>
    </row>
    <row r="9251" spans="9:13" x14ac:dyDescent="0.25">
      <c r="I9251" t="s">
        <v>20785</v>
      </c>
      <c r="J9251" s="161" t="s">
        <v>19202</v>
      </c>
      <c r="K9251" t="s">
        <v>19203</v>
      </c>
      <c r="L9251" t="s">
        <v>20786</v>
      </c>
      <c r="M9251" s="161" t="s">
        <v>19202</v>
      </c>
    </row>
    <row r="9252" spans="9:13" x14ac:dyDescent="0.25">
      <c r="I9252" t="s">
        <v>15784</v>
      </c>
      <c r="J9252" s="161" t="s">
        <v>19202</v>
      </c>
      <c r="K9252" t="s">
        <v>19203</v>
      </c>
      <c r="L9252" t="s">
        <v>824</v>
      </c>
      <c r="M9252" s="161" t="s">
        <v>19202</v>
      </c>
    </row>
    <row r="9253" spans="9:13" x14ac:dyDescent="0.25">
      <c r="I9253" t="s">
        <v>15116</v>
      </c>
      <c r="J9253" s="161" t="s">
        <v>19994</v>
      </c>
      <c r="K9253" t="s">
        <v>19203</v>
      </c>
      <c r="L9253" t="s">
        <v>15115</v>
      </c>
      <c r="M9253" s="161" t="s">
        <v>19994</v>
      </c>
    </row>
    <row r="9254" spans="9:13" x14ac:dyDescent="0.25">
      <c r="I9254" t="s">
        <v>13462</v>
      </c>
      <c r="J9254" s="161" t="s">
        <v>19994</v>
      </c>
      <c r="K9254" t="s">
        <v>19203</v>
      </c>
      <c r="L9254" t="s">
        <v>13461</v>
      </c>
      <c r="M9254" s="161" t="s">
        <v>19994</v>
      </c>
    </row>
    <row r="9255" spans="9:13" x14ac:dyDescent="0.25">
      <c r="I9255" t="s">
        <v>11383</v>
      </c>
      <c r="J9255" s="161" t="s">
        <v>19994</v>
      </c>
      <c r="K9255" t="s">
        <v>19203</v>
      </c>
      <c r="L9255" t="s">
        <v>11382</v>
      </c>
      <c r="M9255" s="161" t="s">
        <v>19994</v>
      </c>
    </row>
    <row r="9256" spans="9:13" x14ac:dyDescent="0.25">
      <c r="I9256" t="s">
        <v>10687</v>
      </c>
      <c r="J9256" s="161" t="s">
        <v>19994</v>
      </c>
      <c r="K9256" t="s">
        <v>19203</v>
      </c>
      <c r="L9256" t="s">
        <v>10686</v>
      </c>
      <c r="M9256" s="161" t="s">
        <v>19994</v>
      </c>
    </row>
    <row r="9257" spans="9:13" x14ac:dyDescent="0.25">
      <c r="I9257" t="s">
        <v>11379</v>
      </c>
      <c r="J9257" s="161" t="s">
        <v>19994</v>
      </c>
      <c r="K9257" t="s">
        <v>19203</v>
      </c>
      <c r="L9257" t="s">
        <v>11378</v>
      </c>
      <c r="M9257" s="161" t="s">
        <v>19994</v>
      </c>
    </row>
    <row r="9258" spans="9:13" x14ac:dyDescent="0.25">
      <c r="I9258" t="s">
        <v>201</v>
      </c>
      <c r="J9258" s="161" t="s">
        <v>19994</v>
      </c>
      <c r="K9258" t="s">
        <v>19203</v>
      </c>
      <c r="L9258" t="s">
        <v>200</v>
      </c>
      <c r="M9258" s="161" t="s">
        <v>19994</v>
      </c>
    </row>
    <row r="9259" spans="9:13" x14ac:dyDescent="0.25">
      <c r="I9259" t="s">
        <v>6749</v>
      </c>
      <c r="J9259" s="161" t="s">
        <v>19994</v>
      </c>
      <c r="K9259" t="s">
        <v>19203</v>
      </c>
      <c r="L9259" t="s">
        <v>6748</v>
      </c>
      <c r="M9259" s="161" t="s">
        <v>19994</v>
      </c>
    </row>
    <row r="9260" spans="9:13" x14ac:dyDescent="0.25">
      <c r="I9260" t="s">
        <v>20787</v>
      </c>
      <c r="J9260" s="161" t="s">
        <v>19202</v>
      </c>
      <c r="K9260" t="s">
        <v>19203</v>
      </c>
      <c r="L9260" t="s">
        <v>20788</v>
      </c>
      <c r="M9260" s="161" t="s">
        <v>19202</v>
      </c>
    </row>
    <row r="9261" spans="9:13" x14ac:dyDescent="0.25">
      <c r="I9261" t="s">
        <v>6115</v>
      </c>
      <c r="J9261" s="161" t="s">
        <v>19202</v>
      </c>
      <c r="K9261" t="s">
        <v>19203</v>
      </c>
      <c r="L9261" t="s">
        <v>6114</v>
      </c>
      <c r="M9261" s="161" t="s">
        <v>19202</v>
      </c>
    </row>
    <row r="9262" spans="9:13" x14ac:dyDescent="0.25">
      <c r="I9262" t="s">
        <v>11358</v>
      </c>
      <c r="J9262" s="161" t="s">
        <v>19994</v>
      </c>
      <c r="K9262" t="s">
        <v>19203</v>
      </c>
      <c r="L9262" t="s">
        <v>11357</v>
      </c>
      <c r="M9262" s="161" t="s">
        <v>19994</v>
      </c>
    </row>
    <row r="9263" spans="9:13" x14ac:dyDescent="0.25">
      <c r="I9263" t="s">
        <v>5968</v>
      </c>
      <c r="J9263" s="161" t="s">
        <v>19994</v>
      </c>
      <c r="K9263" t="s">
        <v>19203</v>
      </c>
      <c r="L9263" t="s">
        <v>5967</v>
      </c>
      <c r="M9263" s="161" t="s">
        <v>19994</v>
      </c>
    </row>
    <row r="9264" spans="9:13" x14ac:dyDescent="0.25">
      <c r="I9264" t="s">
        <v>445</v>
      </c>
      <c r="J9264" s="161" t="s">
        <v>19202</v>
      </c>
      <c r="K9264" t="s">
        <v>19203</v>
      </c>
      <c r="L9264" t="s">
        <v>444</v>
      </c>
      <c r="M9264" s="161" t="s">
        <v>19202</v>
      </c>
    </row>
    <row r="9265" spans="9:13" x14ac:dyDescent="0.25">
      <c r="I9265" t="s">
        <v>14700</v>
      </c>
      <c r="J9265" s="161" t="s">
        <v>19202</v>
      </c>
      <c r="K9265" t="s">
        <v>19203</v>
      </c>
      <c r="L9265" t="s">
        <v>14699</v>
      </c>
      <c r="M9265" s="161" t="s">
        <v>19202</v>
      </c>
    </row>
    <row r="9266" spans="9:13" x14ac:dyDescent="0.25">
      <c r="I9266" t="s">
        <v>10112</v>
      </c>
      <c r="J9266" s="161" t="s">
        <v>19994</v>
      </c>
      <c r="K9266" t="s">
        <v>19203</v>
      </c>
      <c r="L9266" t="s">
        <v>10111</v>
      </c>
      <c r="M9266" s="161" t="s">
        <v>19994</v>
      </c>
    </row>
    <row r="9267" spans="9:13" x14ac:dyDescent="0.25">
      <c r="I9267" t="s">
        <v>513</v>
      </c>
      <c r="J9267" s="161" t="s">
        <v>19994</v>
      </c>
      <c r="K9267" t="s">
        <v>19203</v>
      </c>
      <c r="L9267" t="s">
        <v>512</v>
      </c>
      <c r="M9267" s="161" t="s">
        <v>19994</v>
      </c>
    </row>
    <row r="9268" spans="9:13" x14ac:dyDescent="0.25">
      <c r="I9268" t="s">
        <v>5584</v>
      </c>
      <c r="J9268" s="161" t="s">
        <v>19202</v>
      </c>
      <c r="K9268" t="s">
        <v>19203</v>
      </c>
      <c r="L9268" t="s">
        <v>5583</v>
      </c>
      <c r="M9268" s="161" t="s">
        <v>19202</v>
      </c>
    </row>
    <row r="9269" spans="9:13" x14ac:dyDescent="0.25">
      <c r="I9269" t="s">
        <v>20789</v>
      </c>
      <c r="J9269" s="161" t="s">
        <v>19202</v>
      </c>
      <c r="K9269" t="s">
        <v>19203</v>
      </c>
      <c r="L9269" t="s">
        <v>20790</v>
      </c>
      <c r="M9269" s="161" t="s">
        <v>19202</v>
      </c>
    </row>
    <row r="9270" spans="9:13" x14ac:dyDescent="0.25">
      <c r="I9270" t="s">
        <v>10340</v>
      </c>
      <c r="J9270" s="161" t="s">
        <v>19994</v>
      </c>
      <c r="K9270" t="s">
        <v>19203</v>
      </c>
      <c r="L9270" t="s">
        <v>10339</v>
      </c>
      <c r="M9270" s="161" t="s">
        <v>19994</v>
      </c>
    </row>
    <row r="9271" spans="9:13" x14ac:dyDescent="0.25">
      <c r="I9271" t="s">
        <v>10045</v>
      </c>
      <c r="J9271" s="161" t="s">
        <v>19994</v>
      </c>
      <c r="K9271" t="s">
        <v>19203</v>
      </c>
      <c r="L9271" t="s">
        <v>10044</v>
      </c>
      <c r="M9271" s="161" t="s">
        <v>19994</v>
      </c>
    </row>
    <row r="9272" spans="9:13" x14ac:dyDescent="0.25">
      <c r="I9272" t="s">
        <v>10058</v>
      </c>
      <c r="J9272" s="161" t="s">
        <v>19994</v>
      </c>
      <c r="K9272" t="s">
        <v>19203</v>
      </c>
      <c r="L9272" t="s">
        <v>10057</v>
      </c>
      <c r="M9272" s="161" t="s">
        <v>19994</v>
      </c>
    </row>
    <row r="9273" spans="9:13" x14ac:dyDescent="0.25">
      <c r="I9273" t="s">
        <v>9643</v>
      </c>
      <c r="J9273" s="161" t="s">
        <v>19994</v>
      </c>
      <c r="K9273" t="s">
        <v>19203</v>
      </c>
      <c r="L9273" t="s">
        <v>9642</v>
      </c>
      <c r="M9273" s="161" t="s">
        <v>19994</v>
      </c>
    </row>
    <row r="9274" spans="9:13" x14ac:dyDescent="0.25">
      <c r="I9274" t="s">
        <v>20791</v>
      </c>
      <c r="J9274" s="161" t="s">
        <v>19202</v>
      </c>
      <c r="K9274" t="s">
        <v>19203</v>
      </c>
      <c r="L9274" t="s">
        <v>20792</v>
      </c>
      <c r="M9274" s="161" t="s">
        <v>19202</v>
      </c>
    </row>
    <row r="9275" spans="9:13" x14ac:dyDescent="0.25">
      <c r="I9275" t="s">
        <v>336</v>
      </c>
      <c r="J9275" s="161" t="s">
        <v>19994</v>
      </c>
      <c r="K9275" t="s">
        <v>19203</v>
      </c>
      <c r="L9275" t="s">
        <v>335</v>
      </c>
      <c r="M9275" s="161" t="s">
        <v>19994</v>
      </c>
    </row>
    <row r="9276" spans="9:13" x14ac:dyDescent="0.25">
      <c r="I9276" t="s">
        <v>265</v>
      </c>
      <c r="J9276" s="161" t="s">
        <v>19994</v>
      </c>
      <c r="K9276" t="s">
        <v>19203</v>
      </c>
      <c r="L9276" t="s">
        <v>264</v>
      </c>
      <c r="M9276" s="161" t="s">
        <v>19994</v>
      </c>
    </row>
    <row r="9277" spans="9:13" x14ac:dyDescent="0.25">
      <c r="I9277" t="s">
        <v>4313</v>
      </c>
      <c r="J9277" s="161" t="s">
        <v>19994</v>
      </c>
      <c r="K9277" t="s">
        <v>19203</v>
      </c>
      <c r="L9277" t="s">
        <v>1690</v>
      </c>
      <c r="M9277" s="161" t="s">
        <v>19994</v>
      </c>
    </row>
    <row r="9278" spans="9:13" x14ac:dyDescent="0.25">
      <c r="I9278" t="s">
        <v>3159</v>
      </c>
      <c r="J9278" s="161" t="s">
        <v>19202</v>
      </c>
      <c r="K9278" t="s">
        <v>19203</v>
      </c>
      <c r="L9278" t="s">
        <v>3158</v>
      </c>
      <c r="M9278" s="161" t="s">
        <v>19202</v>
      </c>
    </row>
    <row r="9279" spans="9:13" x14ac:dyDescent="0.25">
      <c r="I9279" t="s">
        <v>26</v>
      </c>
      <c r="J9279" s="161" t="s">
        <v>19202</v>
      </c>
      <c r="K9279" t="s">
        <v>19203</v>
      </c>
      <c r="L9279" t="s">
        <v>25</v>
      </c>
      <c r="M9279" s="161" t="s">
        <v>19202</v>
      </c>
    </row>
    <row r="9280" spans="9:13" x14ac:dyDescent="0.25">
      <c r="I9280" t="s">
        <v>20793</v>
      </c>
      <c r="J9280" s="167" t="s">
        <v>19994</v>
      </c>
      <c r="K9280" t="s">
        <v>19203</v>
      </c>
      <c r="L9280" t="s">
        <v>20794</v>
      </c>
      <c r="M9280" s="167" t="s">
        <v>19994</v>
      </c>
    </row>
    <row r="9281" spans="9:13" x14ac:dyDescent="0.25">
      <c r="I9281" t="s">
        <v>699</v>
      </c>
      <c r="J9281" s="161" t="s">
        <v>19994</v>
      </c>
      <c r="K9281" t="s">
        <v>19203</v>
      </c>
      <c r="L9281" t="s">
        <v>475</v>
      </c>
      <c r="M9281" s="161" t="s">
        <v>19994</v>
      </c>
    </row>
    <row r="9282" spans="9:13" x14ac:dyDescent="0.25">
      <c r="I9282" t="s">
        <v>20795</v>
      </c>
      <c r="J9282" s="161" t="s">
        <v>19202</v>
      </c>
      <c r="K9282" t="s">
        <v>19203</v>
      </c>
      <c r="L9282" t="s">
        <v>20796</v>
      </c>
      <c r="M9282" s="161" t="s">
        <v>19202</v>
      </c>
    </row>
    <row r="9283" spans="9:13" x14ac:dyDescent="0.25">
      <c r="I9283" t="s">
        <v>11054</v>
      </c>
      <c r="J9283" s="161" t="s">
        <v>19994</v>
      </c>
      <c r="K9283" t="s">
        <v>19203</v>
      </c>
      <c r="L9283" t="s">
        <v>11053</v>
      </c>
      <c r="M9283" s="161" t="s">
        <v>19994</v>
      </c>
    </row>
    <row r="9284" spans="9:13" x14ac:dyDescent="0.25">
      <c r="I9284" t="s">
        <v>209</v>
      </c>
      <c r="J9284" s="161" t="s">
        <v>19994</v>
      </c>
      <c r="K9284" t="s">
        <v>19203</v>
      </c>
      <c r="L9284" t="s">
        <v>208</v>
      </c>
      <c r="M9284" s="161" t="s">
        <v>19994</v>
      </c>
    </row>
    <row r="9285" spans="9:13" x14ac:dyDescent="0.25">
      <c r="I9285" t="s">
        <v>6742</v>
      </c>
      <c r="J9285" s="161" t="s">
        <v>19202</v>
      </c>
      <c r="K9285" t="s">
        <v>19203</v>
      </c>
      <c r="L9285" t="s">
        <v>6741</v>
      </c>
      <c r="M9285" s="161" t="s">
        <v>19202</v>
      </c>
    </row>
    <row r="9286" spans="9:13" x14ac:dyDescent="0.25">
      <c r="I9286" t="s">
        <v>6244</v>
      </c>
      <c r="J9286" s="161" t="s">
        <v>19994</v>
      </c>
      <c r="K9286" t="s">
        <v>19203</v>
      </c>
      <c r="L9286" t="s">
        <v>6243</v>
      </c>
      <c r="M9286" s="161" t="s">
        <v>19994</v>
      </c>
    </row>
    <row r="9287" spans="9:13" x14ac:dyDescent="0.25">
      <c r="I9287" t="s">
        <v>101</v>
      </c>
      <c r="J9287" s="161" t="s">
        <v>19994</v>
      </c>
      <c r="K9287" t="s">
        <v>19203</v>
      </c>
      <c r="L9287" t="s">
        <v>100</v>
      </c>
      <c r="M9287" s="161" t="s">
        <v>19994</v>
      </c>
    </row>
    <row r="9288" spans="9:13" x14ac:dyDescent="0.25">
      <c r="I9288" t="s">
        <v>23</v>
      </c>
      <c r="J9288" s="161" t="s">
        <v>19994</v>
      </c>
      <c r="K9288" t="s">
        <v>19203</v>
      </c>
      <c r="L9288" t="s">
        <v>22</v>
      </c>
      <c r="M9288" s="161" t="s">
        <v>19994</v>
      </c>
    </row>
    <row r="9289" spans="9:13" x14ac:dyDescent="0.25">
      <c r="I9289" t="s">
        <v>6699</v>
      </c>
      <c r="J9289" s="161" t="s">
        <v>19994</v>
      </c>
      <c r="K9289" t="s">
        <v>19203</v>
      </c>
      <c r="L9289" t="s">
        <v>6698</v>
      </c>
      <c r="M9289" s="161" t="s">
        <v>19994</v>
      </c>
    </row>
    <row r="9290" spans="9:13" x14ac:dyDescent="0.25">
      <c r="I9290" t="s">
        <v>20797</v>
      </c>
      <c r="J9290" s="161" t="s">
        <v>19202</v>
      </c>
      <c r="K9290" t="s">
        <v>19203</v>
      </c>
      <c r="L9290" t="s">
        <v>20798</v>
      </c>
      <c r="M9290" s="161" t="s">
        <v>19202</v>
      </c>
    </row>
    <row r="9291" spans="9:13" x14ac:dyDescent="0.25">
      <c r="I9291" t="s">
        <v>14690</v>
      </c>
      <c r="J9291" s="167" t="s">
        <v>19994</v>
      </c>
      <c r="K9291" t="s">
        <v>19203</v>
      </c>
      <c r="L9291" t="s">
        <v>14689</v>
      </c>
      <c r="M9291" s="167" t="s">
        <v>19994</v>
      </c>
    </row>
    <row r="9292" spans="9:13" x14ac:dyDescent="0.25">
      <c r="I9292" t="s">
        <v>20799</v>
      </c>
      <c r="J9292" s="161" t="s">
        <v>19202</v>
      </c>
      <c r="K9292" t="s">
        <v>19203</v>
      </c>
      <c r="L9292" t="s">
        <v>20800</v>
      </c>
      <c r="M9292" s="161" t="s">
        <v>19202</v>
      </c>
    </row>
    <row r="9293" spans="9:13" x14ac:dyDescent="0.25">
      <c r="I9293" t="s">
        <v>14680</v>
      </c>
      <c r="J9293" s="161" t="s">
        <v>19202</v>
      </c>
      <c r="K9293" t="s">
        <v>19203</v>
      </c>
      <c r="L9293" t="s">
        <v>14679</v>
      </c>
      <c r="M9293" s="161" t="s">
        <v>19202</v>
      </c>
    </row>
    <row r="9294" spans="9:13" x14ac:dyDescent="0.25">
      <c r="I9294" t="s">
        <v>11385</v>
      </c>
      <c r="J9294" s="161" t="s">
        <v>19994</v>
      </c>
      <c r="K9294" t="s">
        <v>19203</v>
      </c>
      <c r="L9294" t="s">
        <v>11384</v>
      </c>
      <c r="M9294" s="161" t="s">
        <v>19994</v>
      </c>
    </row>
    <row r="9295" spans="9:13" x14ac:dyDescent="0.25">
      <c r="I9295" t="s">
        <v>11708</v>
      </c>
      <c r="J9295" s="161" t="s">
        <v>19994</v>
      </c>
      <c r="K9295" t="s">
        <v>19203</v>
      </c>
      <c r="L9295" t="s">
        <v>11707</v>
      </c>
      <c r="M9295" s="161" t="s">
        <v>19994</v>
      </c>
    </row>
    <row r="9296" spans="9:13" x14ac:dyDescent="0.25">
      <c r="I9296" t="s">
        <v>5965</v>
      </c>
      <c r="J9296" s="161" t="s">
        <v>19994</v>
      </c>
      <c r="K9296" t="s">
        <v>19203</v>
      </c>
      <c r="L9296" t="s">
        <v>5964</v>
      </c>
      <c r="M9296" s="161" t="s">
        <v>19994</v>
      </c>
    </row>
    <row r="9297" spans="9:13" x14ac:dyDescent="0.25">
      <c r="I9297" t="s">
        <v>20801</v>
      </c>
      <c r="J9297" s="161" t="s">
        <v>19202</v>
      </c>
      <c r="K9297" t="s">
        <v>19203</v>
      </c>
      <c r="L9297" t="s">
        <v>20802</v>
      </c>
      <c r="M9297" s="161" t="s">
        <v>19202</v>
      </c>
    </row>
    <row r="9298" spans="9:13" x14ac:dyDescent="0.25">
      <c r="I9298" t="s">
        <v>14939</v>
      </c>
      <c r="J9298" s="161" t="s">
        <v>19202</v>
      </c>
      <c r="K9298" t="s">
        <v>19203</v>
      </c>
      <c r="L9298" t="s">
        <v>14938</v>
      </c>
      <c r="M9298" s="161" t="s">
        <v>19202</v>
      </c>
    </row>
    <row r="9299" spans="9:13" x14ac:dyDescent="0.25">
      <c r="I9299" t="s">
        <v>10336</v>
      </c>
      <c r="J9299" s="161" t="s">
        <v>19994</v>
      </c>
      <c r="K9299" t="s">
        <v>19203</v>
      </c>
      <c r="L9299" t="s">
        <v>10335</v>
      </c>
      <c r="M9299" s="161" t="s">
        <v>19994</v>
      </c>
    </row>
    <row r="9300" spans="9:13" x14ac:dyDescent="0.25">
      <c r="I9300" t="s">
        <v>10334</v>
      </c>
      <c r="J9300" s="161" t="s">
        <v>19994</v>
      </c>
      <c r="K9300" t="s">
        <v>19203</v>
      </c>
      <c r="L9300" t="s">
        <v>10333</v>
      </c>
      <c r="M9300" s="161" t="s">
        <v>19994</v>
      </c>
    </row>
    <row r="9301" spans="9:13" x14ac:dyDescent="0.25">
      <c r="I9301" t="s">
        <v>10332</v>
      </c>
      <c r="J9301" s="161" t="s">
        <v>19994</v>
      </c>
      <c r="K9301" t="s">
        <v>19203</v>
      </c>
      <c r="L9301" t="s">
        <v>10331</v>
      </c>
      <c r="M9301" s="161" t="s">
        <v>19994</v>
      </c>
    </row>
    <row r="9302" spans="9:13" x14ac:dyDescent="0.25">
      <c r="I9302" t="s">
        <v>11691</v>
      </c>
      <c r="J9302" s="161" t="s">
        <v>19202</v>
      </c>
      <c r="K9302" t="s">
        <v>19203</v>
      </c>
      <c r="L9302" t="s">
        <v>11690</v>
      </c>
      <c r="M9302" s="161" t="s">
        <v>19202</v>
      </c>
    </row>
    <row r="9303" spans="9:13" x14ac:dyDescent="0.25">
      <c r="I9303" t="s">
        <v>11571</v>
      </c>
      <c r="J9303" s="161" t="s">
        <v>19202</v>
      </c>
      <c r="K9303" t="s">
        <v>19203</v>
      </c>
      <c r="L9303" t="s">
        <v>11570</v>
      </c>
      <c r="M9303" s="161" t="s">
        <v>19202</v>
      </c>
    </row>
    <row r="9304" spans="9:13" x14ac:dyDescent="0.25">
      <c r="I9304" t="s">
        <v>11309</v>
      </c>
      <c r="J9304" s="161" t="s">
        <v>19202</v>
      </c>
      <c r="K9304" t="s">
        <v>19203</v>
      </c>
      <c r="L9304" t="s">
        <v>11308</v>
      </c>
      <c r="M9304" s="161" t="s">
        <v>19202</v>
      </c>
    </row>
    <row r="9305" spans="9:13" x14ac:dyDescent="0.25">
      <c r="I9305" t="s">
        <v>10765</v>
      </c>
      <c r="J9305" s="161" t="s">
        <v>19994</v>
      </c>
      <c r="K9305" t="s">
        <v>19203</v>
      </c>
      <c r="L9305" t="s">
        <v>10764</v>
      </c>
      <c r="M9305" s="161" t="s">
        <v>19994</v>
      </c>
    </row>
    <row r="9306" spans="9:13" x14ac:dyDescent="0.25">
      <c r="I9306" t="s">
        <v>6246</v>
      </c>
      <c r="J9306" s="161" t="s">
        <v>19994</v>
      </c>
      <c r="K9306" t="s">
        <v>19203</v>
      </c>
      <c r="L9306" t="s">
        <v>6245</v>
      </c>
      <c r="M9306" s="161" t="s">
        <v>19994</v>
      </c>
    </row>
    <row r="9307" spans="9:13" x14ac:dyDescent="0.25">
      <c r="I9307" t="s">
        <v>2518</v>
      </c>
      <c r="J9307" s="161" t="s">
        <v>19994</v>
      </c>
      <c r="K9307" t="s">
        <v>19203</v>
      </c>
      <c r="L9307" t="s">
        <v>2374</v>
      </c>
      <c r="M9307" s="161" t="s">
        <v>19994</v>
      </c>
    </row>
    <row r="9308" spans="9:13" x14ac:dyDescent="0.25">
      <c r="I9308" t="s">
        <v>2158</v>
      </c>
      <c r="J9308" s="161" t="s">
        <v>19994</v>
      </c>
      <c r="K9308" t="s">
        <v>19203</v>
      </c>
      <c r="L9308" t="s">
        <v>2157</v>
      </c>
      <c r="M9308" s="161" t="s">
        <v>19994</v>
      </c>
    </row>
    <row r="9309" spans="9:13" x14ac:dyDescent="0.25">
      <c r="I9309" t="s">
        <v>20803</v>
      </c>
      <c r="J9309" s="161" t="s">
        <v>19202</v>
      </c>
      <c r="K9309" t="s">
        <v>19203</v>
      </c>
      <c r="L9309" t="s">
        <v>16919</v>
      </c>
      <c r="M9309" s="161" t="s">
        <v>19202</v>
      </c>
    </row>
    <row r="9310" spans="9:13" x14ac:dyDescent="0.25">
      <c r="I9310" t="s">
        <v>4106</v>
      </c>
      <c r="J9310" s="161" t="s">
        <v>19994</v>
      </c>
      <c r="K9310" t="s">
        <v>19203</v>
      </c>
      <c r="L9310" t="s">
        <v>4105</v>
      </c>
      <c r="M9310" s="161" t="s">
        <v>19994</v>
      </c>
    </row>
    <row r="9311" spans="9:13" x14ac:dyDescent="0.25">
      <c r="I9311" t="s">
        <v>20804</v>
      </c>
      <c r="J9311" s="161" t="s">
        <v>19202</v>
      </c>
      <c r="K9311" t="s">
        <v>19203</v>
      </c>
      <c r="L9311" t="s">
        <v>1541</v>
      </c>
      <c r="M9311" s="161" t="s">
        <v>19202</v>
      </c>
    </row>
    <row r="9312" spans="9:13" x14ac:dyDescent="0.25">
      <c r="I9312" t="s">
        <v>10286</v>
      </c>
      <c r="J9312" s="161" t="s">
        <v>19994</v>
      </c>
      <c r="K9312" t="s">
        <v>19203</v>
      </c>
      <c r="L9312" t="s">
        <v>1525</v>
      </c>
      <c r="M9312" s="161" t="s">
        <v>19994</v>
      </c>
    </row>
    <row r="9313" spans="9:13" x14ac:dyDescent="0.25">
      <c r="I9313" t="s">
        <v>3723</v>
      </c>
      <c r="J9313" s="161" t="s">
        <v>19994</v>
      </c>
      <c r="K9313" t="s">
        <v>19203</v>
      </c>
      <c r="L9313" t="s">
        <v>3722</v>
      </c>
      <c r="M9313" s="161" t="s">
        <v>19994</v>
      </c>
    </row>
    <row r="9314" spans="9:13" x14ac:dyDescent="0.25">
      <c r="I9314" t="s">
        <v>18104</v>
      </c>
      <c r="J9314" s="161" t="s">
        <v>19994</v>
      </c>
      <c r="K9314" t="s">
        <v>19203</v>
      </c>
      <c r="L9314" t="s">
        <v>18103</v>
      </c>
      <c r="M9314" s="161" t="s">
        <v>19994</v>
      </c>
    </row>
    <row r="9315" spans="9:13" x14ac:dyDescent="0.25">
      <c r="I9315" t="s">
        <v>6973</v>
      </c>
      <c r="J9315" s="161" t="s">
        <v>19994</v>
      </c>
      <c r="K9315" t="s">
        <v>19203</v>
      </c>
      <c r="L9315" t="s">
        <v>6972</v>
      </c>
      <c r="M9315" s="161" t="s">
        <v>19994</v>
      </c>
    </row>
    <row r="9316" spans="9:13" x14ac:dyDescent="0.25">
      <c r="I9316" t="s">
        <v>20805</v>
      </c>
      <c r="J9316" s="161" t="s">
        <v>19202</v>
      </c>
      <c r="K9316" t="s">
        <v>19203</v>
      </c>
      <c r="L9316" t="s">
        <v>3799</v>
      </c>
      <c r="M9316" s="161" t="s">
        <v>19202</v>
      </c>
    </row>
    <row r="9317" spans="9:13" x14ac:dyDescent="0.25">
      <c r="I9317" t="s">
        <v>11464</v>
      </c>
      <c r="J9317" s="161" t="s">
        <v>19994</v>
      </c>
      <c r="K9317" t="s">
        <v>19203</v>
      </c>
      <c r="L9317" t="s">
        <v>11463</v>
      </c>
      <c r="M9317" s="161" t="s">
        <v>19994</v>
      </c>
    </row>
    <row r="9318" spans="9:13" x14ac:dyDescent="0.25">
      <c r="I9318" t="s">
        <v>2831</v>
      </c>
      <c r="J9318" s="161" t="s">
        <v>19994</v>
      </c>
      <c r="K9318" t="s">
        <v>19203</v>
      </c>
      <c r="L9318" t="s">
        <v>2830</v>
      </c>
      <c r="M9318" s="161" t="s">
        <v>19994</v>
      </c>
    </row>
    <row r="9319" spans="9:13" x14ac:dyDescent="0.25">
      <c r="I9319" t="s">
        <v>20806</v>
      </c>
      <c r="J9319" s="161" t="s">
        <v>19202</v>
      </c>
      <c r="K9319" t="s">
        <v>19203</v>
      </c>
      <c r="L9319" t="s">
        <v>20807</v>
      </c>
      <c r="M9319" s="161" t="s">
        <v>19202</v>
      </c>
    </row>
    <row r="9320" spans="9:13" x14ac:dyDescent="0.25">
      <c r="I9320" t="s">
        <v>20808</v>
      </c>
      <c r="J9320" s="161" t="s">
        <v>19202</v>
      </c>
      <c r="K9320" t="s">
        <v>19203</v>
      </c>
      <c r="L9320" t="s">
        <v>20809</v>
      </c>
      <c r="M9320" s="161" t="s">
        <v>19202</v>
      </c>
    </row>
    <row r="9321" spans="9:13" x14ac:dyDescent="0.25">
      <c r="I9321" t="s">
        <v>14399</v>
      </c>
      <c r="J9321" s="161" t="s">
        <v>19994</v>
      </c>
      <c r="K9321" t="s">
        <v>19203</v>
      </c>
      <c r="L9321" t="s">
        <v>14398</v>
      </c>
      <c r="M9321" s="161" t="s">
        <v>19994</v>
      </c>
    </row>
    <row r="9322" spans="9:13" x14ac:dyDescent="0.25">
      <c r="I9322" t="s">
        <v>549</v>
      </c>
      <c r="J9322" s="167" t="s">
        <v>19994</v>
      </c>
      <c r="K9322" t="s">
        <v>19203</v>
      </c>
      <c r="L9322" t="s">
        <v>548</v>
      </c>
      <c r="M9322" s="167" t="s">
        <v>19994</v>
      </c>
    </row>
    <row r="9323" spans="9:13" x14ac:dyDescent="0.25">
      <c r="I9323" t="s">
        <v>14696</v>
      </c>
      <c r="J9323" s="161" t="s">
        <v>19994</v>
      </c>
      <c r="K9323" t="s">
        <v>19203</v>
      </c>
      <c r="L9323" t="s">
        <v>14695</v>
      </c>
      <c r="M9323" s="161" t="s">
        <v>19994</v>
      </c>
    </row>
    <row r="9324" spans="9:13" x14ac:dyDescent="0.25">
      <c r="I9324" t="s">
        <v>14686</v>
      </c>
      <c r="J9324" s="161" t="s">
        <v>19994</v>
      </c>
      <c r="K9324" t="s">
        <v>19203</v>
      </c>
      <c r="L9324" t="s">
        <v>14685</v>
      </c>
      <c r="M9324" s="161" t="s">
        <v>19994</v>
      </c>
    </row>
    <row r="9325" spans="9:13" x14ac:dyDescent="0.25">
      <c r="I9325" t="s">
        <v>14682</v>
      </c>
      <c r="J9325" s="161" t="s">
        <v>19994</v>
      </c>
      <c r="K9325" t="s">
        <v>19203</v>
      </c>
      <c r="L9325" t="s">
        <v>14681</v>
      </c>
      <c r="M9325" s="161" t="s">
        <v>19994</v>
      </c>
    </row>
    <row r="9326" spans="9:13" x14ac:dyDescent="0.25">
      <c r="I9326" t="s">
        <v>14678</v>
      </c>
      <c r="J9326" s="161" t="s">
        <v>19994</v>
      </c>
      <c r="K9326" t="s">
        <v>19203</v>
      </c>
      <c r="L9326" t="s">
        <v>14677</v>
      </c>
      <c r="M9326" s="161" t="s">
        <v>19994</v>
      </c>
    </row>
    <row r="9327" spans="9:13" x14ac:dyDescent="0.25">
      <c r="I9327" t="s">
        <v>14672</v>
      </c>
      <c r="J9327" s="161" t="s">
        <v>19994</v>
      </c>
      <c r="K9327" t="s">
        <v>19203</v>
      </c>
      <c r="L9327" t="s">
        <v>14671</v>
      </c>
      <c r="M9327" s="161" t="s">
        <v>19994</v>
      </c>
    </row>
    <row r="9328" spans="9:13" x14ac:dyDescent="0.25">
      <c r="I9328" t="s">
        <v>5197</v>
      </c>
      <c r="J9328" s="161" t="s">
        <v>19994</v>
      </c>
      <c r="K9328" t="s">
        <v>19203</v>
      </c>
      <c r="L9328" t="s">
        <v>5196</v>
      </c>
      <c r="M9328" s="161" t="s">
        <v>19994</v>
      </c>
    </row>
    <row r="9329" spans="9:13" x14ac:dyDescent="0.25">
      <c r="I9329" t="s">
        <v>5193</v>
      </c>
      <c r="J9329" s="161" t="s">
        <v>19994</v>
      </c>
      <c r="K9329" t="s">
        <v>19203</v>
      </c>
      <c r="L9329" t="s">
        <v>5192</v>
      </c>
      <c r="M9329" s="161" t="s">
        <v>19994</v>
      </c>
    </row>
    <row r="9330" spans="9:13" x14ac:dyDescent="0.25">
      <c r="I9330" t="s">
        <v>12664</v>
      </c>
      <c r="J9330" s="161" t="s">
        <v>19994</v>
      </c>
      <c r="K9330" t="s">
        <v>19203</v>
      </c>
      <c r="L9330" t="s">
        <v>405</v>
      </c>
      <c r="M9330" s="161" t="s">
        <v>19994</v>
      </c>
    </row>
    <row r="9331" spans="9:13" x14ac:dyDescent="0.25">
      <c r="I9331" t="s">
        <v>5555</v>
      </c>
      <c r="J9331" s="161" t="s">
        <v>19202</v>
      </c>
      <c r="K9331" t="s">
        <v>19203</v>
      </c>
      <c r="L9331" t="s">
        <v>5554</v>
      </c>
      <c r="M9331" s="161" t="s">
        <v>19202</v>
      </c>
    </row>
    <row r="9332" spans="9:13" x14ac:dyDescent="0.25">
      <c r="I9332" t="s">
        <v>205</v>
      </c>
      <c r="J9332" s="161" t="s">
        <v>19994</v>
      </c>
      <c r="K9332" t="s">
        <v>19203</v>
      </c>
      <c r="L9332" t="s">
        <v>204</v>
      </c>
      <c r="M9332" s="161" t="s">
        <v>19994</v>
      </c>
    </row>
    <row r="9333" spans="9:13" x14ac:dyDescent="0.25">
      <c r="I9333" t="s">
        <v>203</v>
      </c>
      <c r="J9333" s="161" t="s">
        <v>19994</v>
      </c>
      <c r="K9333" t="s">
        <v>19203</v>
      </c>
      <c r="L9333" t="s">
        <v>202</v>
      </c>
      <c r="M9333" s="161" t="s">
        <v>19994</v>
      </c>
    </row>
    <row r="9334" spans="9:13" x14ac:dyDescent="0.25">
      <c r="I9334" t="s">
        <v>199</v>
      </c>
      <c r="J9334" s="161" t="s">
        <v>19994</v>
      </c>
      <c r="K9334" t="s">
        <v>19203</v>
      </c>
      <c r="L9334" t="s">
        <v>198</v>
      </c>
      <c r="M9334" s="161" t="s">
        <v>19994</v>
      </c>
    </row>
    <row r="9335" spans="9:13" x14ac:dyDescent="0.25">
      <c r="I9335" t="s">
        <v>7885</v>
      </c>
      <c r="J9335" s="161" t="s">
        <v>19994</v>
      </c>
      <c r="K9335" t="s">
        <v>19203</v>
      </c>
      <c r="L9335" t="s">
        <v>7884</v>
      </c>
      <c r="M9335" s="161" t="s">
        <v>19994</v>
      </c>
    </row>
    <row r="9336" spans="9:13" x14ac:dyDescent="0.25">
      <c r="I9336" t="s">
        <v>15695</v>
      </c>
      <c r="J9336" s="161" t="s">
        <v>19202</v>
      </c>
      <c r="K9336" t="s">
        <v>19203</v>
      </c>
      <c r="L9336" t="s">
        <v>15694</v>
      </c>
      <c r="M9336" s="161" t="s">
        <v>19202</v>
      </c>
    </row>
    <row r="9337" spans="9:13" x14ac:dyDescent="0.25">
      <c r="I9337" t="s">
        <v>6458</v>
      </c>
      <c r="J9337" s="161" t="s">
        <v>19994</v>
      </c>
      <c r="K9337" t="s">
        <v>19203</v>
      </c>
      <c r="L9337" t="s">
        <v>6457</v>
      </c>
      <c r="M9337" s="161" t="s">
        <v>19994</v>
      </c>
    </row>
    <row r="9338" spans="9:13" x14ac:dyDescent="0.25">
      <c r="I9338" t="s">
        <v>6456</v>
      </c>
      <c r="J9338" s="161" t="s">
        <v>19994</v>
      </c>
      <c r="K9338" t="s">
        <v>19203</v>
      </c>
      <c r="L9338" t="s">
        <v>6455</v>
      </c>
      <c r="M9338" s="161" t="s">
        <v>19994</v>
      </c>
    </row>
    <row r="9339" spans="9:13" x14ac:dyDescent="0.25">
      <c r="I9339" t="s">
        <v>14674</v>
      </c>
      <c r="J9339" s="161" t="s">
        <v>19202</v>
      </c>
      <c r="K9339" t="s">
        <v>19203</v>
      </c>
      <c r="L9339" t="s">
        <v>14673</v>
      </c>
      <c r="M9339" s="161" t="s">
        <v>19202</v>
      </c>
    </row>
    <row r="9340" spans="9:13" x14ac:dyDescent="0.25">
      <c r="I9340" t="s">
        <v>16856</v>
      </c>
      <c r="J9340" s="161" t="s">
        <v>19994</v>
      </c>
      <c r="K9340" t="s">
        <v>19203</v>
      </c>
      <c r="L9340" t="s">
        <v>15045</v>
      </c>
      <c r="M9340" s="161" t="s">
        <v>19994</v>
      </c>
    </row>
    <row r="9341" spans="9:13" x14ac:dyDescent="0.25">
      <c r="I9341" t="s">
        <v>15582</v>
      </c>
      <c r="J9341" s="161" t="s">
        <v>19994</v>
      </c>
      <c r="K9341" t="s">
        <v>19203</v>
      </c>
      <c r="L9341" t="s">
        <v>13197</v>
      </c>
      <c r="M9341" s="161" t="s">
        <v>19994</v>
      </c>
    </row>
    <row r="9342" spans="9:13" x14ac:dyDescent="0.25">
      <c r="I9342" t="s">
        <v>11498</v>
      </c>
      <c r="J9342" s="161" t="s">
        <v>19994</v>
      </c>
      <c r="K9342" t="s">
        <v>19203</v>
      </c>
      <c r="L9342" t="s">
        <v>11497</v>
      </c>
      <c r="M9342" s="161" t="s">
        <v>19994</v>
      </c>
    </row>
    <row r="9343" spans="9:13" x14ac:dyDescent="0.25">
      <c r="I9343" t="s">
        <v>11496</v>
      </c>
      <c r="J9343" s="161" t="s">
        <v>19994</v>
      </c>
      <c r="K9343" t="s">
        <v>19203</v>
      </c>
      <c r="L9343" t="s">
        <v>11495</v>
      </c>
      <c r="M9343" s="161" t="s">
        <v>19994</v>
      </c>
    </row>
    <row r="9344" spans="9:13" x14ac:dyDescent="0.25">
      <c r="I9344" t="s">
        <v>3440</v>
      </c>
      <c r="J9344" s="161" t="s">
        <v>19994</v>
      </c>
      <c r="K9344" t="s">
        <v>19203</v>
      </c>
      <c r="L9344" t="s">
        <v>3439</v>
      </c>
      <c r="M9344" s="161" t="s">
        <v>19994</v>
      </c>
    </row>
    <row r="9345" spans="9:13" x14ac:dyDescent="0.25">
      <c r="I9345" t="s">
        <v>10033</v>
      </c>
      <c r="J9345" s="161" t="s">
        <v>19994</v>
      </c>
      <c r="K9345" t="s">
        <v>19203</v>
      </c>
      <c r="L9345" t="s">
        <v>10032</v>
      </c>
      <c r="M9345" s="161" t="s">
        <v>19994</v>
      </c>
    </row>
    <row r="9346" spans="9:13" x14ac:dyDescent="0.25">
      <c r="I9346" t="s">
        <v>14684</v>
      </c>
      <c r="J9346" s="161" t="s">
        <v>19994</v>
      </c>
      <c r="K9346" t="s">
        <v>19203</v>
      </c>
      <c r="L9346" t="s">
        <v>14683</v>
      </c>
      <c r="M9346" s="161" t="s">
        <v>19994</v>
      </c>
    </row>
    <row r="9347" spans="9:13" x14ac:dyDescent="0.25">
      <c r="I9347" t="s">
        <v>20810</v>
      </c>
      <c r="J9347" s="161" t="s">
        <v>19994</v>
      </c>
      <c r="K9347" t="s">
        <v>19203</v>
      </c>
      <c r="L9347" t="s">
        <v>20811</v>
      </c>
      <c r="M9347" s="161" t="s">
        <v>19994</v>
      </c>
    </row>
    <row r="9348" spans="9:13" x14ac:dyDescent="0.25">
      <c r="I9348" t="s">
        <v>4638</v>
      </c>
      <c r="J9348" s="161" t="s">
        <v>19994</v>
      </c>
      <c r="K9348" t="s">
        <v>19203</v>
      </c>
      <c r="L9348" t="s">
        <v>4637</v>
      </c>
      <c r="M9348" s="161" t="s">
        <v>19994</v>
      </c>
    </row>
    <row r="9349" spans="9:13" x14ac:dyDescent="0.25">
      <c r="I9349" t="s">
        <v>14692</v>
      </c>
      <c r="J9349" s="161" t="s">
        <v>19202</v>
      </c>
      <c r="K9349" t="s">
        <v>19203</v>
      </c>
      <c r="L9349" t="s">
        <v>14691</v>
      </c>
      <c r="M9349" s="161" t="s">
        <v>19202</v>
      </c>
    </row>
    <row r="9350" spans="9:13" x14ac:dyDescent="0.25">
      <c r="I9350" t="s">
        <v>20812</v>
      </c>
      <c r="J9350" s="161" t="s">
        <v>19202</v>
      </c>
      <c r="K9350" t="s">
        <v>19203</v>
      </c>
      <c r="L9350" t="s">
        <v>20813</v>
      </c>
      <c r="M9350" s="161" t="s">
        <v>19202</v>
      </c>
    </row>
    <row r="9351" spans="9:13" x14ac:dyDescent="0.25">
      <c r="I9351" t="s">
        <v>3959</v>
      </c>
      <c r="J9351" s="161" t="s">
        <v>19994</v>
      </c>
      <c r="K9351" t="s">
        <v>19203</v>
      </c>
      <c r="L9351" t="s">
        <v>3958</v>
      </c>
      <c r="M9351" s="161" t="s">
        <v>19994</v>
      </c>
    </row>
    <row r="9352" spans="9:13" x14ac:dyDescent="0.25">
      <c r="I9352" t="s">
        <v>6680</v>
      </c>
      <c r="J9352" s="161" t="s">
        <v>19994</v>
      </c>
      <c r="K9352" t="s">
        <v>19203</v>
      </c>
      <c r="L9352" t="s">
        <v>6679</v>
      </c>
      <c r="M9352" s="161" t="s">
        <v>19994</v>
      </c>
    </row>
    <row r="9353" spans="9:13" x14ac:dyDescent="0.25">
      <c r="I9353" t="s">
        <v>17174</v>
      </c>
      <c r="J9353" s="161" t="s">
        <v>19202</v>
      </c>
      <c r="K9353" t="s">
        <v>19203</v>
      </c>
      <c r="L9353" t="s">
        <v>17173</v>
      </c>
      <c r="M9353" s="161" t="s">
        <v>19202</v>
      </c>
    </row>
    <row r="9354" spans="9:13" x14ac:dyDescent="0.25">
      <c r="I9354" t="s">
        <v>11577</v>
      </c>
      <c r="J9354" s="161" t="s">
        <v>19994</v>
      </c>
      <c r="K9354" t="s">
        <v>19203</v>
      </c>
      <c r="L9354" t="s">
        <v>11576</v>
      </c>
      <c r="M9354" s="161" t="s">
        <v>19994</v>
      </c>
    </row>
    <row r="9355" spans="9:13" x14ac:dyDescent="0.25">
      <c r="I9355" t="s">
        <v>6325</v>
      </c>
      <c r="J9355" s="161" t="s">
        <v>19202</v>
      </c>
      <c r="K9355" t="s">
        <v>19203</v>
      </c>
      <c r="L9355" t="s">
        <v>6324</v>
      </c>
      <c r="M9355" s="161" t="s">
        <v>19202</v>
      </c>
    </row>
    <row r="9356" spans="9:13" x14ac:dyDescent="0.25">
      <c r="I9356" t="s">
        <v>10288</v>
      </c>
      <c r="J9356" s="161" t="s">
        <v>19994</v>
      </c>
      <c r="K9356" t="s">
        <v>19203</v>
      </c>
      <c r="L9356" t="s">
        <v>10287</v>
      </c>
      <c r="M9356" s="161" t="s">
        <v>19994</v>
      </c>
    </row>
    <row r="9357" spans="9:13" x14ac:dyDescent="0.25">
      <c r="I9357" t="s">
        <v>11525</v>
      </c>
      <c r="J9357" s="161" t="s">
        <v>19994</v>
      </c>
      <c r="K9357" t="s">
        <v>19203</v>
      </c>
      <c r="L9357" t="s">
        <v>11524</v>
      </c>
      <c r="M9357" s="161" t="s">
        <v>19994</v>
      </c>
    </row>
    <row r="9358" spans="9:13" x14ac:dyDescent="0.25">
      <c r="I9358" t="s">
        <v>20814</v>
      </c>
      <c r="J9358" s="161" t="s">
        <v>19202</v>
      </c>
      <c r="K9358" t="s">
        <v>19203</v>
      </c>
      <c r="L9358" t="s">
        <v>20815</v>
      </c>
      <c r="M9358" s="161" t="s">
        <v>19202</v>
      </c>
    </row>
    <row r="9359" spans="9:13" x14ac:dyDescent="0.25">
      <c r="I9359" t="s">
        <v>16407</v>
      </c>
      <c r="J9359" s="161" t="s">
        <v>19994</v>
      </c>
      <c r="K9359" t="s">
        <v>19203</v>
      </c>
      <c r="L9359" t="s">
        <v>15781</v>
      </c>
      <c r="M9359" s="161" t="s">
        <v>19994</v>
      </c>
    </row>
    <row r="9360" spans="9:13" x14ac:dyDescent="0.25">
      <c r="I9360" t="s">
        <v>14854</v>
      </c>
      <c r="J9360" s="161" t="s">
        <v>19202</v>
      </c>
      <c r="K9360" t="s">
        <v>19203</v>
      </c>
      <c r="L9360" t="s">
        <v>14853</v>
      </c>
      <c r="M9360" s="161" t="s">
        <v>19202</v>
      </c>
    </row>
    <row r="9361" spans="9:13" x14ac:dyDescent="0.25">
      <c r="I9361" t="s">
        <v>4066</v>
      </c>
      <c r="J9361" s="161" t="s">
        <v>19994</v>
      </c>
      <c r="K9361" t="s">
        <v>19203</v>
      </c>
      <c r="L9361" t="s">
        <v>4065</v>
      </c>
      <c r="M9361" s="161" t="s">
        <v>19994</v>
      </c>
    </row>
    <row r="9362" spans="9:13" x14ac:dyDescent="0.25">
      <c r="I9362" t="s">
        <v>21</v>
      </c>
      <c r="J9362" s="161" t="s">
        <v>19994</v>
      </c>
      <c r="K9362" t="s">
        <v>19203</v>
      </c>
      <c r="L9362" t="s">
        <v>20</v>
      </c>
      <c r="M9362" s="161" t="s">
        <v>19994</v>
      </c>
    </row>
    <row r="9363" spans="9:13" x14ac:dyDescent="0.25">
      <c r="I9363" t="s">
        <v>10096</v>
      </c>
      <c r="J9363" s="161" t="s">
        <v>19994</v>
      </c>
      <c r="K9363" t="s">
        <v>19203</v>
      </c>
      <c r="L9363" t="s">
        <v>10095</v>
      </c>
      <c r="M9363" s="161" t="s">
        <v>19994</v>
      </c>
    </row>
    <row r="9364" spans="9:13" x14ac:dyDescent="0.25">
      <c r="I9364" t="s">
        <v>12750</v>
      </c>
      <c r="J9364" s="161" t="s">
        <v>19994</v>
      </c>
      <c r="K9364" t="s">
        <v>19203</v>
      </c>
      <c r="L9364" t="s">
        <v>12749</v>
      </c>
      <c r="M9364" s="161" t="s">
        <v>19994</v>
      </c>
    </row>
    <row r="9365" spans="9:13" x14ac:dyDescent="0.25">
      <c r="I9365" t="s">
        <v>6541</v>
      </c>
      <c r="J9365" s="161" t="s">
        <v>19994</v>
      </c>
      <c r="K9365" t="s">
        <v>19203</v>
      </c>
      <c r="L9365" t="s">
        <v>6540</v>
      </c>
      <c r="M9365" s="161" t="s">
        <v>19994</v>
      </c>
    </row>
    <row r="9366" spans="9:13" x14ac:dyDescent="0.25">
      <c r="I9366" t="s">
        <v>6426</v>
      </c>
      <c r="J9366" s="161" t="s">
        <v>19202</v>
      </c>
      <c r="K9366" t="s">
        <v>19203</v>
      </c>
      <c r="L9366" t="s">
        <v>6425</v>
      </c>
      <c r="M9366" s="161" t="s">
        <v>19202</v>
      </c>
    </row>
    <row r="9367" spans="9:13" x14ac:dyDescent="0.25">
      <c r="I9367" t="s">
        <v>6002</v>
      </c>
      <c r="J9367" s="161" t="s">
        <v>19202</v>
      </c>
      <c r="K9367" t="s">
        <v>19203</v>
      </c>
      <c r="L9367" t="s">
        <v>6001</v>
      </c>
      <c r="M9367" s="161" t="s">
        <v>19202</v>
      </c>
    </row>
    <row r="9368" spans="9:13" x14ac:dyDescent="0.25">
      <c r="I9368" t="s">
        <v>6250</v>
      </c>
      <c r="J9368" s="161" t="s">
        <v>19994</v>
      </c>
      <c r="K9368" t="s">
        <v>19203</v>
      </c>
      <c r="L9368" t="s">
        <v>6249</v>
      </c>
      <c r="M9368" s="161" t="s">
        <v>19994</v>
      </c>
    </row>
    <row r="9369" spans="9:13" x14ac:dyDescent="0.25">
      <c r="I9369" t="s">
        <v>3645</v>
      </c>
      <c r="J9369" s="161" t="s">
        <v>19994</v>
      </c>
      <c r="K9369" t="s">
        <v>19203</v>
      </c>
      <c r="L9369" t="s">
        <v>861</v>
      </c>
      <c r="M9369" s="161" t="s">
        <v>19994</v>
      </c>
    </row>
    <row r="9370" spans="9:13" x14ac:dyDescent="0.25">
      <c r="I9370" t="s">
        <v>17869</v>
      </c>
      <c r="J9370" s="161" t="s">
        <v>19202</v>
      </c>
      <c r="K9370" t="s">
        <v>19203</v>
      </c>
      <c r="L9370" t="s">
        <v>3728</v>
      </c>
      <c r="M9370" s="161" t="s">
        <v>19202</v>
      </c>
    </row>
    <row r="9371" spans="9:13" x14ac:dyDescent="0.25">
      <c r="I9371" t="s">
        <v>20816</v>
      </c>
      <c r="J9371" s="161" t="s">
        <v>19994</v>
      </c>
      <c r="K9371" t="s">
        <v>19203</v>
      </c>
      <c r="L9371" t="s">
        <v>20817</v>
      </c>
      <c r="M9371" s="161" t="s">
        <v>19994</v>
      </c>
    </row>
    <row r="9372" spans="9:13" x14ac:dyDescent="0.25">
      <c r="I9372" t="s">
        <v>11356</v>
      </c>
      <c r="J9372" s="161" t="s">
        <v>19994</v>
      </c>
      <c r="K9372" t="s">
        <v>19203</v>
      </c>
      <c r="L9372" t="s">
        <v>11355</v>
      </c>
      <c r="M9372" s="161" t="s">
        <v>19994</v>
      </c>
    </row>
    <row r="9373" spans="9:13" x14ac:dyDescent="0.25">
      <c r="I9373" t="s">
        <v>12748</v>
      </c>
      <c r="J9373" s="161" t="s">
        <v>19994</v>
      </c>
      <c r="K9373" t="s">
        <v>19203</v>
      </c>
      <c r="L9373" t="s">
        <v>12747</v>
      </c>
      <c r="M9373" s="161" t="s">
        <v>19994</v>
      </c>
    </row>
    <row r="9374" spans="9:13" x14ac:dyDescent="0.25">
      <c r="I9374" t="s">
        <v>825</v>
      </c>
      <c r="J9374" s="161" t="s">
        <v>19994</v>
      </c>
      <c r="K9374" t="s">
        <v>19203</v>
      </c>
      <c r="L9374" t="s">
        <v>824</v>
      </c>
      <c r="M9374" s="161" t="s">
        <v>19994</v>
      </c>
    </row>
    <row r="9375" spans="9:13" x14ac:dyDescent="0.25">
      <c r="I9375" t="s">
        <v>19</v>
      </c>
      <c r="J9375" s="161" t="s">
        <v>19994</v>
      </c>
      <c r="K9375" t="s">
        <v>19203</v>
      </c>
      <c r="L9375" t="s">
        <v>18</v>
      </c>
      <c r="M9375" s="161" t="s">
        <v>19994</v>
      </c>
    </row>
    <row r="9376" spans="9:13" x14ac:dyDescent="0.25">
      <c r="I9376" t="s">
        <v>12796</v>
      </c>
      <c r="J9376" s="161" t="s">
        <v>19994</v>
      </c>
      <c r="K9376" t="s">
        <v>19203</v>
      </c>
      <c r="L9376" t="s">
        <v>12795</v>
      </c>
      <c r="M9376" s="161" t="s">
        <v>19994</v>
      </c>
    </row>
    <row r="9377" spans="9:13" x14ac:dyDescent="0.25">
      <c r="I9377" t="s">
        <v>8564</v>
      </c>
      <c r="J9377" s="161" t="s">
        <v>19994</v>
      </c>
      <c r="K9377" t="s">
        <v>19203</v>
      </c>
      <c r="L9377" t="s">
        <v>8563</v>
      </c>
      <c r="M9377" s="161" t="s">
        <v>19994</v>
      </c>
    </row>
    <row r="9378" spans="9:13" x14ac:dyDescent="0.25">
      <c r="I9378" t="s">
        <v>6539</v>
      </c>
      <c r="J9378" s="161" t="s">
        <v>19994</v>
      </c>
      <c r="K9378" t="s">
        <v>19203</v>
      </c>
      <c r="L9378" t="s">
        <v>6538</v>
      </c>
      <c r="M9378" s="161" t="s">
        <v>19994</v>
      </c>
    </row>
    <row r="9379" spans="9:13" x14ac:dyDescent="0.25">
      <c r="I9379" t="s">
        <v>12568</v>
      </c>
      <c r="J9379" s="161" t="s">
        <v>19202</v>
      </c>
      <c r="K9379" t="s">
        <v>19203</v>
      </c>
      <c r="L9379" t="s">
        <v>12567</v>
      </c>
      <c r="M9379" s="161" t="s">
        <v>19202</v>
      </c>
    </row>
    <row r="9380" spans="9:13" x14ac:dyDescent="0.25">
      <c r="I9380" t="s">
        <v>2152</v>
      </c>
      <c r="J9380" s="161" t="s">
        <v>19994</v>
      </c>
      <c r="K9380" t="s">
        <v>19203</v>
      </c>
      <c r="L9380" t="s">
        <v>2151</v>
      </c>
      <c r="M9380" s="161" t="s">
        <v>19994</v>
      </c>
    </row>
    <row r="9381" spans="9:13" x14ac:dyDescent="0.25">
      <c r="I9381" t="s">
        <v>20818</v>
      </c>
      <c r="J9381" s="161" t="s">
        <v>19202</v>
      </c>
      <c r="K9381" t="s">
        <v>19203</v>
      </c>
      <c r="L9381" t="s">
        <v>20819</v>
      </c>
      <c r="M9381" s="161" t="s">
        <v>19202</v>
      </c>
    </row>
    <row r="9382" spans="9:13" x14ac:dyDescent="0.25">
      <c r="I9382" t="s">
        <v>15382</v>
      </c>
      <c r="J9382" s="161" t="s">
        <v>19994</v>
      </c>
      <c r="K9382" t="s">
        <v>19203</v>
      </c>
      <c r="L9382" t="s">
        <v>15381</v>
      </c>
      <c r="M9382" s="161" t="s">
        <v>19994</v>
      </c>
    </row>
    <row r="9383" spans="9:13" x14ac:dyDescent="0.25">
      <c r="I9383" t="s">
        <v>15380</v>
      </c>
      <c r="J9383" s="161" t="s">
        <v>19994</v>
      </c>
      <c r="K9383" t="s">
        <v>19203</v>
      </c>
      <c r="L9383" t="s">
        <v>15379</v>
      </c>
      <c r="M9383" s="161" t="s">
        <v>19994</v>
      </c>
    </row>
    <row r="9384" spans="9:13" x14ac:dyDescent="0.25">
      <c r="I9384" t="s">
        <v>3796</v>
      </c>
      <c r="J9384" s="161" t="s">
        <v>19994</v>
      </c>
      <c r="K9384" t="s">
        <v>19203</v>
      </c>
      <c r="L9384" t="s">
        <v>3795</v>
      </c>
      <c r="M9384" s="161" t="s">
        <v>19994</v>
      </c>
    </row>
    <row r="9385" spans="9:13" x14ac:dyDescent="0.25">
      <c r="I9385" t="s">
        <v>15647</v>
      </c>
      <c r="J9385" s="161" t="s">
        <v>19994</v>
      </c>
      <c r="K9385" t="s">
        <v>19203</v>
      </c>
      <c r="L9385" t="s">
        <v>15646</v>
      </c>
      <c r="M9385" s="161" t="s">
        <v>19994</v>
      </c>
    </row>
    <row r="9386" spans="9:13" x14ac:dyDescent="0.25">
      <c r="I9386" t="s">
        <v>15645</v>
      </c>
      <c r="J9386" s="161" t="s">
        <v>19994</v>
      </c>
      <c r="K9386" t="s">
        <v>19203</v>
      </c>
      <c r="L9386" t="s">
        <v>15644</v>
      </c>
      <c r="M9386" s="161" t="s">
        <v>19994</v>
      </c>
    </row>
    <row r="9387" spans="9:13" x14ac:dyDescent="0.25">
      <c r="I9387" t="s">
        <v>601</v>
      </c>
      <c r="J9387" s="161" t="s">
        <v>19994</v>
      </c>
      <c r="K9387" t="s">
        <v>19203</v>
      </c>
      <c r="L9387" t="s">
        <v>600</v>
      </c>
      <c r="M9387" s="161" t="s">
        <v>19994</v>
      </c>
    </row>
    <row r="9388" spans="9:13" x14ac:dyDescent="0.25">
      <c r="I9388" t="s">
        <v>13842</v>
      </c>
      <c r="J9388" s="161" t="s">
        <v>19994</v>
      </c>
      <c r="K9388" t="s">
        <v>19203</v>
      </c>
      <c r="L9388" t="s">
        <v>13841</v>
      </c>
      <c r="M9388" s="161" t="s">
        <v>19994</v>
      </c>
    </row>
    <row r="9389" spans="9:13" x14ac:dyDescent="0.25">
      <c r="I9389" t="s">
        <v>4068</v>
      </c>
      <c r="J9389" s="161" t="s">
        <v>19202</v>
      </c>
      <c r="K9389" t="s">
        <v>19203</v>
      </c>
      <c r="L9389" t="s">
        <v>4067</v>
      </c>
      <c r="M9389" s="161" t="s">
        <v>19202</v>
      </c>
    </row>
    <row r="9390" spans="9:13" x14ac:dyDescent="0.25">
      <c r="I9390" t="s">
        <v>13187</v>
      </c>
      <c r="J9390" s="161" t="s">
        <v>19994</v>
      </c>
      <c r="K9390" t="s">
        <v>19203</v>
      </c>
      <c r="L9390" t="s">
        <v>13186</v>
      </c>
      <c r="M9390" s="161" t="s">
        <v>19994</v>
      </c>
    </row>
    <row r="9391" spans="9:13" x14ac:dyDescent="0.25">
      <c r="I9391" t="s">
        <v>14863</v>
      </c>
      <c r="J9391" s="161" t="s">
        <v>19994</v>
      </c>
      <c r="K9391" t="s">
        <v>19203</v>
      </c>
      <c r="L9391" t="s">
        <v>14862</v>
      </c>
      <c r="M9391" s="161" t="s">
        <v>19994</v>
      </c>
    </row>
    <row r="9392" spans="9:13" x14ac:dyDescent="0.25">
      <c r="I9392" t="s">
        <v>11458</v>
      </c>
      <c r="J9392" s="161" t="s">
        <v>19994</v>
      </c>
      <c r="K9392" t="s">
        <v>19203</v>
      </c>
      <c r="L9392" t="s">
        <v>11457</v>
      </c>
      <c r="M9392" s="161" t="s">
        <v>19994</v>
      </c>
    </row>
    <row r="9393" spans="9:13" x14ac:dyDescent="0.25">
      <c r="I9393" t="s">
        <v>17</v>
      </c>
      <c r="J9393" s="161" t="s">
        <v>19994</v>
      </c>
      <c r="K9393" t="s">
        <v>19203</v>
      </c>
      <c r="L9393" t="s">
        <v>16</v>
      </c>
      <c r="M9393" s="161" t="s">
        <v>19994</v>
      </c>
    </row>
    <row r="9394" spans="9:13" x14ac:dyDescent="0.25">
      <c r="I9394" t="s">
        <v>4310</v>
      </c>
      <c r="J9394" s="161" t="s">
        <v>19994</v>
      </c>
      <c r="K9394" t="s">
        <v>19203</v>
      </c>
      <c r="L9394" t="s">
        <v>4309</v>
      </c>
      <c r="M9394" s="161" t="s">
        <v>19994</v>
      </c>
    </row>
    <row r="9395" spans="9:13" x14ac:dyDescent="0.25">
      <c r="I9395" t="s">
        <v>398</v>
      </c>
      <c r="J9395" s="161" t="s">
        <v>19994</v>
      </c>
      <c r="K9395" t="s">
        <v>19203</v>
      </c>
      <c r="L9395" t="s">
        <v>397</v>
      </c>
      <c r="M9395" s="161" t="s">
        <v>19994</v>
      </c>
    </row>
    <row r="9396" spans="9:13" x14ac:dyDescent="0.25">
      <c r="I9396" t="s">
        <v>143</v>
      </c>
      <c r="J9396" s="161" t="s">
        <v>19994</v>
      </c>
      <c r="K9396" t="s">
        <v>19203</v>
      </c>
      <c r="L9396" t="s">
        <v>142</v>
      </c>
      <c r="M9396" s="161" t="s">
        <v>19994</v>
      </c>
    </row>
    <row r="9397" spans="9:13" x14ac:dyDescent="0.25">
      <c r="I9397" t="s">
        <v>10098</v>
      </c>
      <c r="J9397" s="161" t="s">
        <v>19994</v>
      </c>
      <c r="K9397" t="s">
        <v>19203</v>
      </c>
      <c r="L9397" t="s">
        <v>10097</v>
      </c>
      <c r="M9397" s="161" t="s">
        <v>19994</v>
      </c>
    </row>
    <row r="9398" spans="9:13" x14ac:dyDescent="0.25">
      <c r="I9398" t="s">
        <v>20820</v>
      </c>
      <c r="J9398" s="167" t="s">
        <v>19994</v>
      </c>
      <c r="K9398" t="s">
        <v>19203</v>
      </c>
      <c r="L9398" t="s">
        <v>20821</v>
      </c>
      <c r="M9398" s="167" t="s">
        <v>19994</v>
      </c>
    </row>
    <row r="9399" spans="9:13" x14ac:dyDescent="0.25">
      <c r="I9399" t="s">
        <v>8688</v>
      </c>
      <c r="J9399" s="161" t="s">
        <v>19994</v>
      </c>
      <c r="K9399" t="s">
        <v>19203</v>
      </c>
      <c r="L9399" t="s">
        <v>8687</v>
      </c>
      <c r="M9399" s="161" t="s">
        <v>19994</v>
      </c>
    </row>
    <row r="9400" spans="9:13" x14ac:dyDescent="0.25">
      <c r="I9400" t="s">
        <v>6109</v>
      </c>
      <c r="J9400" s="161" t="s">
        <v>19994</v>
      </c>
      <c r="K9400" t="s">
        <v>19203</v>
      </c>
      <c r="L9400" t="s">
        <v>6108</v>
      </c>
      <c r="M9400" s="161" t="s">
        <v>19994</v>
      </c>
    </row>
    <row r="9401" spans="9:13" x14ac:dyDescent="0.25">
      <c r="I9401" t="s">
        <v>6788</v>
      </c>
      <c r="J9401" s="161" t="s">
        <v>19994</v>
      </c>
      <c r="K9401" t="s">
        <v>19203</v>
      </c>
      <c r="L9401" t="s">
        <v>6787</v>
      </c>
      <c r="M9401" s="161" t="s">
        <v>19994</v>
      </c>
    </row>
    <row r="9402" spans="9:13" x14ac:dyDescent="0.25">
      <c r="I9402" t="s">
        <v>6786</v>
      </c>
      <c r="J9402" s="161" t="s">
        <v>19994</v>
      </c>
      <c r="K9402" t="s">
        <v>19203</v>
      </c>
      <c r="L9402" t="s">
        <v>6785</v>
      </c>
      <c r="M9402" s="161" t="s">
        <v>19994</v>
      </c>
    </row>
    <row r="9403" spans="9:13" x14ac:dyDescent="0.25">
      <c r="I9403" t="s">
        <v>6571</v>
      </c>
      <c r="J9403" s="161" t="s">
        <v>19994</v>
      </c>
      <c r="K9403" t="s">
        <v>19203</v>
      </c>
      <c r="L9403" t="s">
        <v>6570</v>
      </c>
      <c r="M9403" s="161" t="s">
        <v>19994</v>
      </c>
    </row>
    <row r="9404" spans="9:13" x14ac:dyDescent="0.25">
      <c r="I9404" t="s">
        <v>6398</v>
      </c>
      <c r="J9404" s="161" t="s">
        <v>19994</v>
      </c>
      <c r="K9404" t="s">
        <v>19203</v>
      </c>
      <c r="L9404" t="s">
        <v>6389</v>
      </c>
      <c r="M9404" s="161" t="s">
        <v>19994</v>
      </c>
    </row>
    <row r="9405" spans="9:13" x14ac:dyDescent="0.25">
      <c r="I9405" t="s">
        <v>15340</v>
      </c>
      <c r="J9405" s="161" t="s">
        <v>19994</v>
      </c>
      <c r="K9405" t="s">
        <v>19203</v>
      </c>
      <c r="L9405" t="s">
        <v>15339</v>
      </c>
      <c r="M9405" s="161" t="s">
        <v>19994</v>
      </c>
    </row>
    <row r="9406" spans="9:13" x14ac:dyDescent="0.25">
      <c r="I9406" t="s">
        <v>10285</v>
      </c>
      <c r="J9406" s="161" t="s">
        <v>19994</v>
      </c>
      <c r="K9406" t="s">
        <v>19203</v>
      </c>
      <c r="L9406" t="s">
        <v>10284</v>
      </c>
      <c r="M9406" s="161" t="s">
        <v>19994</v>
      </c>
    </row>
    <row r="9407" spans="9:13" x14ac:dyDescent="0.25">
      <c r="I9407" t="s">
        <v>20822</v>
      </c>
      <c r="J9407" s="161" t="s">
        <v>19202</v>
      </c>
      <c r="K9407" t="s">
        <v>19203</v>
      </c>
      <c r="L9407" t="s">
        <v>20823</v>
      </c>
      <c r="M9407" s="161" t="s">
        <v>19202</v>
      </c>
    </row>
    <row r="9408" spans="9:13" x14ac:dyDescent="0.25">
      <c r="I9408" t="s">
        <v>12719</v>
      </c>
      <c r="J9408" s="161" t="s">
        <v>19994</v>
      </c>
      <c r="K9408" t="s">
        <v>19203</v>
      </c>
      <c r="L9408" t="s">
        <v>12718</v>
      </c>
      <c r="M9408" s="161" t="s">
        <v>19994</v>
      </c>
    </row>
    <row r="9409" spans="9:13" x14ac:dyDescent="0.25">
      <c r="I9409" t="s">
        <v>20824</v>
      </c>
      <c r="J9409" s="161" t="s">
        <v>19202</v>
      </c>
      <c r="K9409" t="s">
        <v>19203</v>
      </c>
      <c r="L9409" t="s">
        <v>20825</v>
      </c>
      <c r="M9409" s="161" t="s">
        <v>19202</v>
      </c>
    </row>
    <row r="9410" spans="9:13" x14ac:dyDescent="0.25">
      <c r="I9410" t="s">
        <v>20826</v>
      </c>
      <c r="J9410" s="161" t="s">
        <v>19202</v>
      </c>
      <c r="K9410" t="s">
        <v>19203</v>
      </c>
      <c r="L9410" t="s">
        <v>20827</v>
      </c>
      <c r="M9410" s="161" t="s">
        <v>19202</v>
      </c>
    </row>
    <row r="9411" spans="9:13" x14ac:dyDescent="0.25">
      <c r="I9411" t="s">
        <v>9728</v>
      </c>
      <c r="J9411" s="161" t="s">
        <v>19202</v>
      </c>
      <c r="K9411" t="s">
        <v>19203</v>
      </c>
      <c r="L9411" t="s">
        <v>9727</v>
      </c>
      <c r="M9411" s="161" t="s">
        <v>19202</v>
      </c>
    </row>
    <row r="9412" spans="9:13" x14ac:dyDescent="0.25">
      <c r="I9412" t="s">
        <v>9256</v>
      </c>
      <c r="J9412" s="167" t="s">
        <v>19994</v>
      </c>
      <c r="K9412" t="s">
        <v>19203</v>
      </c>
      <c r="L9412" t="s">
        <v>9255</v>
      </c>
      <c r="M9412" s="167" t="s">
        <v>19994</v>
      </c>
    </row>
    <row r="9413" spans="9:13" x14ac:dyDescent="0.25">
      <c r="I9413" t="s">
        <v>9158</v>
      </c>
      <c r="J9413" s="161" t="s">
        <v>19202</v>
      </c>
      <c r="K9413" t="s">
        <v>19203</v>
      </c>
      <c r="L9413" t="s">
        <v>9157</v>
      </c>
      <c r="M9413" s="161" t="s">
        <v>19202</v>
      </c>
    </row>
    <row r="9414" spans="9:13" x14ac:dyDescent="0.25">
      <c r="I9414" t="s">
        <v>4181</v>
      </c>
      <c r="J9414" s="161" t="s">
        <v>19202</v>
      </c>
      <c r="K9414" t="s">
        <v>19203</v>
      </c>
      <c r="L9414" t="s">
        <v>4180</v>
      </c>
      <c r="M9414" s="161" t="s">
        <v>19202</v>
      </c>
    </row>
    <row r="9415" spans="9:13" x14ac:dyDescent="0.25">
      <c r="I9415" t="s">
        <v>2819</v>
      </c>
      <c r="J9415" s="161" t="s">
        <v>19202</v>
      </c>
      <c r="K9415" t="s">
        <v>19203</v>
      </c>
      <c r="L9415" t="s">
        <v>2818</v>
      </c>
      <c r="M9415" s="161" t="s">
        <v>19202</v>
      </c>
    </row>
    <row r="9416" spans="9:13" x14ac:dyDescent="0.25">
      <c r="I9416" t="s">
        <v>20828</v>
      </c>
      <c r="J9416" s="161" t="s">
        <v>19994</v>
      </c>
      <c r="K9416" t="s">
        <v>19203</v>
      </c>
      <c r="L9416" t="s">
        <v>20829</v>
      </c>
      <c r="M9416" s="161" t="s">
        <v>19994</v>
      </c>
    </row>
    <row r="9417" spans="9:13" x14ac:dyDescent="0.25">
      <c r="I9417" t="s">
        <v>20830</v>
      </c>
      <c r="J9417" s="161" t="s">
        <v>19994</v>
      </c>
      <c r="K9417" t="s">
        <v>19203</v>
      </c>
      <c r="L9417" t="s">
        <v>20831</v>
      </c>
      <c r="M9417" s="161" t="s">
        <v>19994</v>
      </c>
    </row>
    <row r="9418" spans="9:13" x14ac:dyDescent="0.25">
      <c r="I9418" t="s">
        <v>5838</v>
      </c>
      <c r="J9418" s="161" t="s">
        <v>19994</v>
      </c>
      <c r="K9418" t="s">
        <v>19203</v>
      </c>
      <c r="L9418" t="s">
        <v>5837</v>
      </c>
      <c r="M9418" s="161" t="s">
        <v>19994</v>
      </c>
    </row>
    <row r="9419" spans="9:13" x14ac:dyDescent="0.25">
      <c r="I9419" t="s">
        <v>9164</v>
      </c>
      <c r="J9419" s="161" t="s">
        <v>19202</v>
      </c>
      <c r="K9419" t="s">
        <v>19203</v>
      </c>
      <c r="L9419" t="s">
        <v>9163</v>
      </c>
      <c r="M9419" s="161" t="s">
        <v>19202</v>
      </c>
    </row>
    <row r="9420" spans="9:13" x14ac:dyDescent="0.25">
      <c r="I9420" t="s">
        <v>16365</v>
      </c>
      <c r="J9420" s="161" t="s">
        <v>19994</v>
      </c>
      <c r="K9420" t="s">
        <v>19203</v>
      </c>
      <c r="L9420" t="s">
        <v>16364</v>
      </c>
      <c r="M9420" s="161" t="s">
        <v>19994</v>
      </c>
    </row>
    <row r="9421" spans="9:13" x14ac:dyDescent="0.25">
      <c r="I9421" t="s">
        <v>15918</v>
      </c>
      <c r="J9421" s="161" t="s">
        <v>19994</v>
      </c>
      <c r="K9421" t="s">
        <v>19203</v>
      </c>
      <c r="L9421" t="s">
        <v>6429</v>
      </c>
      <c r="M9421" s="161" t="s">
        <v>19994</v>
      </c>
    </row>
    <row r="9422" spans="9:13" x14ac:dyDescent="0.25">
      <c r="I9422" t="s">
        <v>10725</v>
      </c>
      <c r="J9422" s="161" t="s">
        <v>19994</v>
      </c>
      <c r="K9422" t="s">
        <v>19203</v>
      </c>
      <c r="L9422" t="s">
        <v>10724</v>
      </c>
      <c r="M9422" s="161" t="s">
        <v>19994</v>
      </c>
    </row>
    <row r="9423" spans="9:13" x14ac:dyDescent="0.25">
      <c r="I9423" t="s">
        <v>20832</v>
      </c>
      <c r="J9423" s="161" t="s">
        <v>19994</v>
      </c>
      <c r="K9423" t="s">
        <v>19203</v>
      </c>
      <c r="L9423" t="s">
        <v>15418</v>
      </c>
      <c r="M9423" s="161" t="s">
        <v>19994</v>
      </c>
    </row>
    <row r="9424" spans="9:13" x14ac:dyDescent="0.25">
      <c r="I9424" t="s">
        <v>20833</v>
      </c>
      <c r="J9424" s="161" t="s">
        <v>19994</v>
      </c>
      <c r="K9424" t="s">
        <v>19203</v>
      </c>
      <c r="L9424" t="s">
        <v>20834</v>
      </c>
      <c r="M9424" s="161" t="s">
        <v>19994</v>
      </c>
    </row>
    <row r="9425" spans="9:13" x14ac:dyDescent="0.25">
      <c r="I9425" t="s">
        <v>16436</v>
      </c>
      <c r="J9425" s="161" t="s">
        <v>19994</v>
      </c>
      <c r="K9425" t="s">
        <v>19203</v>
      </c>
      <c r="L9425" t="s">
        <v>15009</v>
      </c>
      <c r="M9425" s="161" t="s">
        <v>19994</v>
      </c>
    </row>
    <row r="9426" spans="9:13" x14ac:dyDescent="0.25">
      <c r="I9426" t="s">
        <v>8808</v>
      </c>
      <c r="J9426" s="161" t="s">
        <v>19202</v>
      </c>
      <c r="K9426" t="s">
        <v>19203</v>
      </c>
      <c r="L9426" t="s">
        <v>8807</v>
      </c>
      <c r="M9426" s="161" t="s">
        <v>19202</v>
      </c>
    </row>
    <row r="9427" spans="9:13" x14ac:dyDescent="0.25">
      <c r="I9427" t="s">
        <v>14023</v>
      </c>
      <c r="J9427" s="161" t="s">
        <v>19994</v>
      </c>
      <c r="K9427" t="s">
        <v>19203</v>
      </c>
      <c r="L9427" t="s">
        <v>14022</v>
      </c>
      <c r="M9427" s="161" t="s">
        <v>19994</v>
      </c>
    </row>
    <row r="9428" spans="9:13" x14ac:dyDescent="0.25">
      <c r="I9428" t="s">
        <v>10092</v>
      </c>
      <c r="J9428" s="161" t="s">
        <v>19994</v>
      </c>
      <c r="K9428" t="s">
        <v>19203</v>
      </c>
      <c r="L9428" t="s">
        <v>10091</v>
      </c>
      <c r="M9428" s="161" t="s">
        <v>19994</v>
      </c>
    </row>
    <row r="9429" spans="9:13" x14ac:dyDescent="0.25">
      <c r="I9429" t="s">
        <v>3687</v>
      </c>
      <c r="J9429" s="161" t="s">
        <v>19994</v>
      </c>
      <c r="K9429" t="s">
        <v>19203</v>
      </c>
      <c r="L9429" t="s">
        <v>3686</v>
      </c>
      <c r="M9429" s="161" t="s">
        <v>19994</v>
      </c>
    </row>
    <row r="9430" spans="9:13" x14ac:dyDescent="0.25">
      <c r="I9430" t="s">
        <v>2242</v>
      </c>
      <c r="J9430" s="161" t="s">
        <v>19994</v>
      </c>
      <c r="K9430" t="s">
        <v>19203</v>
      </c>
      <c r="L9430" t="s">
        <v>2241</v>
      </c>
      <c r="M9430" s="161" t="s">
        <v>19994</v>
      </c>
    </row>
    <row r="9431" spans="9:13" x14ac:dyDescent="0.25">
      <c r="I9431" t="s">
        <v>14088</v>
      </c>
      <c r="J9431" s="161" t="s">
        <v>19202</v>
      </c>
      <c r="K9431" t="s">
        <v>19203</v>
      </c>
      <c r="L9431" t="s">
        <v>14087</v>
      </c>
      <c r="M9431" s="161" t="s">
        <v>19202</v>
      </c>
    </row>
    <row r="9432" spans="9:13" x14ac:dyDescent="0.25">
      <c r="I9432" t="s">
        <v>14086</v>
      </c>
      <c r="J9432" s="161" t="s">
        <v>19994</v>
      </c>
      <c r="K9432" t="s">
        <v>19203</v>
      </c>
      <c r="L9432" t="s">
        <v>14085</v>
      </c>
      <c r="M9432" s="161" t="s">
        <v>19994</v>
      </c>
    </row>
    <row r="9433" spans="9:13" x14ac:dyDescent="0.25">
      <c r="I9433" t="s">
        <v>7505</v>
      </c>
      <c r="J9433" s="161" t="s">
        <v>19202</v>
      </c>
      <c r="K9433" t="s">
        <v>19203</v>
      </c>
      <c r="L9433" t="s">
        <v>7504</v>
      </c>
      <c r="M9433" s="161" t="s">
        <v>19202</v>
      </c>
    </row>
    <row r="9434" spans="9:13" x14ac:dyDescent="0.25">
      <c r="I9434" t="s">
        <v>5195</v>
      </c>
      <c r="J9434" s="161" t="s">
        <v>19994</v>
      </c>
      <c r="K9434" t="s">
        <v>19203</v>
      </c>
      <c r="L9434" t="s">
        <v>5194</v>
      </c>
      <c r="M9434" s="161" t="s">
        <v>19994</v>
      </c>
    </row>
    <row r="9435" spans="9:13" x14ac:dyDescent="0.25">
      <c r="I9435" t="s">
        <v>12987</v>
      </c>
      <c r="J9435" s="161" t="s">
        <v>19994</v>
      </c>
      <c r="K9435" t="s">
        <v>19203</v>
      </c>
      <c r="L9435" t="s">
        <v>12986</v>
      </c>
      <c r="M9435" s="161" t="s">
        <v>19994</v>
      </c>
    </row>
    <row r="9436" spans="9:13" x14ac:dyDescent="0.25">
      <c r="I9436" t="s">
        <v>8562</v>
      </c>
      <c r="J9436" s="161" t="s">
        <v>19994</v>
      </c>
      <c r="K9436" t="s">
        <v>19203</v>
      </c>
      <c r="L9436" t="s">
        <v>8561</v>
      </c>
      <c r="M9436" s="161" t="s">
        <v>19994</v>
      </c>
    </row>
    <row r="9437" spans="9:13" x14ac:dyDescent="0.25">
      <c r="I9437" t="s">
        <v>8176</v>
      </c>
      <c r="J9437" s="161" t="s">
        <v>19994</v>
      </c>
      <c r="K9437" t="s">
        <v>19203</v>
      </c>
      <c r="L9437" t="s">
        <v>8175</v>
      </c>
      <c r="M9437" s="161" t="s">
        <v>19994</v>
      </c>
    </row>
    <row r="9438" spans="9:13" x14ac:dyDescent="0.25">
      <c r="I9438" t="s">
        <v>10328</v>
      </c>
      <c r="J9438" s="161" t="s">
        <v>19994</v>
      </c>
      <c r="K9438" t="s">
        <v>19203</v>
      </c>
      <c r="L9438" t="s">
        <v>10327</v>
      </c>
      <c r="M9438" s="161" t="s">
        <v>19994</v>
      </c>
    </row>
    <row r="9439" spans="9:13" x14ac:dyDescent="0.25">
      <c r="I9439" t="s">
        <v>10326</v>
      </c>
      <c r="J9439" s="161" t="s">
        <v>19994</v>
      </c>
      <c r="K9439" t="s">
        <v>19203</v>
      </c>
      <c r="L9439" t="s">
        <v>10325</v>
      </c>
      <c r="M9439" s="161" t="s">
        <v>19994</v>
      </c>
    </row>
    <row r="9440" spans="9:13" x14ac:dyDescent="0.25">
      <c r="I9440" t="s">
        <v>10116</v>
      </c>
      <c r="J9440" s="161" t="s">
        <v>19994</v>
      </c>
      <c r="K9440" t="s">
        <v>19203</v>
      </c>
      <c r="L9440" t="s">
        <v>10115</v>
      </c>
      <c r="M9440" s="161" t="s">
        <v>19994</v>
      </c>
    </row>
    <row r="9441" spans="9:13" x14ac:dyDescent="0.25">
      <c r="I9441" t="s">
        <v>10108</v>
      </c>
      <c r="J9441" s="161" t="s">
        <v>19994</v>
      </c>
      <c r="K9441" t="s">
        <v>19203</v>
      </c>
      <c r="L9441" t="s">
        <v>10107</v>
      </c>
      <c r="M9441" s="161" t="s">
        <v>19994</v>
      </c>
    </row>
    <row r="9442" spans="9:13" x14ac:dyDescent="0.25">
      <c r="I9442" t="s">
        <v>10100</v>
      </c>
      <c r="J9442" s="161" t="s">
        <v>19994</v>
      </c>
      <c r="K9442" t="s">
        <v>19203</v>
      </c>
      <c r="L9442" t="s">
        <v>10099</v>
      </c>
      <c r="M9442" s="161" t="s">
        <v>19994</v>
      </c>
    </row>
    <row r="9443" spans="9:13" x14ac:dyDescent="0.25">
      <c r="I9443" t="s">
        <v>20835</v>
      </c>
      <c r="J9443" s="161" t="s">
        <v>19202</v>
      </c>
      <c r="K9443" t="s">
        <v>19203</v>
      </c>
      <c r="L9443" t="s">
        <v>20836</v>
      </c>
      <c r="M9443" s="161" t="s">
        <v>19202</v>
      </c>
    </row>
    <row r="9444" spans="9:13" x14ac:dyDescent="0.25">
      <c r="I9444" t="s">
        <v>15782</v>
      </c>
      <c r="J9444" s="161" t="s">
        <v>19994</v>
      </c>
      <c r="K9444" t="s">
        <v>19203</v>
      </c>
      <c r="L9444" t="s">
        <v>15781</v>
      </c>
      <c r="M9444" s="161" t="s">
        <v>19994</v>
      </c>
    </row>
    <row r="9445" spans="9:13" x14ac:dyDescent="0.25">
      <c r="I9445" t="s">
        <v>5898</v>
      </c>
      <c r="J9445" s="161" t="s">
        <v>19994</v>
      </c>
      <c r="K9445" t="s">
        <v>19203</v>
      </c>
      <c r="L9445" t="s">
        <v>5897</v>
      </c>
      <c r="M9445" s="161" t="s">
        <v>19994</v>
      </c>
    </row>
    <row r="9446" spans="9:13" x14ac:dyDescent="0.25">
      <c r="I9446" t="s">
        <v>11452</v>
      </c>
      <c r="J9446" s="161" t="s">
        <v>19994</v>
      </c>
      <c r="K9446" t="s">
        <v>19203</v>
      </c>
      <c r="L9446" t="s">
        <v>11451</v>
      </c>
      <c r="M9446" s="161" t="s">
        <v>19994</v>
      </c>
    </row>
    <row r="9447" spans="9:13" x14ac:dyDescent="0.25">
      <c r="I9447" t="s">
        <v>15160</v>
      </c>
      <c r="J9447" s="161" t="s">
        <v>19994</v>
      </c>
      <c r="K9447" t="s">
        <v>19203</v>
      </c>
      <c r="L9447" t="s">
        <v>15089</v>
      </c>
      <c r="M9447" s="161" t="s">
        <v>19994</v>
      </c>
    </row>
    <row r="9448" spans="9:13" x14ac:dyDescent="0.25">
      <c r="I9448" t="s">
        <v>20837</v>
      </c>
      <c r="J9448" s="161" t="s">
        <v>19202</v>
      </c>
      <c r="K9448" t="s">
        <v>19203</v>
      </c>
      <c r="L9448" t="s">
        <v>20838</v>
      </c>
      <c r="M9448" s="161" t="s">
        <v>19202</v>
      </c>
    </row>
    <row r="9449" spans="9:13" x14ac:dyDescent="0.25">
      <c r="I9449" t="s">
        <v>10558</v>
      </c>
      <c r="J9449" s="161" t="s">
        <v>19994</v>
      </c>
      <c r="K9449" t="s">
        <v>19203</v>
      </c>
      <c r="L9449" t="s">
        <v>10557</v>
      </c>
      <c r="M9449" s="161" t="s">
        <v>19994</v>
      </c>
    </row>
    <row r="9450" spans="9:13" x14ac:dyDescent="0.25">
      <c r="I9450" t="s">
        <v>6266</v>
      </c>
      <c r="J9450" s="161" t="s">
        <v>19994</v>
      </c>
      <c r="K9450" t="s">
        <v>19203</v>
      </c>
      <c r="L9450" t="s">
        <v>6265</v>
      </c>
      <c r="M9450" s="161" t="s">
        <v>19994</v>
      </c>
    </row>
    <row r="9451" spans="9:13" x14ac:dyDescent="0.25">
      <c r="I9451" t="s">
        <v>17641</v>
      </c>
      <c r="J9451" s="161" t="s">
        <v>19994</v>
      </c>
      <c r="K9451" t="s">
        <v>19203</v>
      </c>
      <c r="L9451" t="s">
        <v>6617</v>
      </c>
      <c r="M9451" s="161" t="s">
        <v>19994</v>
      </c>
    </row>
    <row r="9452" spans="9:13" x14ac:dyDescent="0.25">
      <c r="I9452" t="s">
        <v>12304</v>
      </c>
      <c r="J9452" s="161" t="s">
        <v>19994</v>
      </c>
      <c r="K9452" t="s">
        <v>19203</v>
      </c>
      <c r="L9452" t="s">
        <v>12303</v>
      </c>
      <c r="M9452" s="161" t="s">
        <v>19994</v>
      </c>
    </row>
    <row r="9453" spans="9:13" x14ac:dyDescent="0.25">
      <c r="I9453" t="s">
        <v>13685</v>
      </c>
      <c r="J9453" s="161" t="s">
        <v>19202</v>
      </c>
      <c r="K9453" t="s">
        <v>19203</v>
      </c>
      <c r="L9453" t="s">
        <v>697</v>
      </c>
      <c r="M9453" s="161" t="s">
        <v>19202</v>
      </c>
    </row>
    <row r="9454" spans="9:13" x14ac:dyDescent="0.25">
      <c r="I9454" t="s">
        <v>8926</v>
      </c>
      <c r="J9454" s="161" t="s">
        <v>19994</v>
      </c>
      <c r="K9454" t="s">
        <v>19203</v>
      </c>
      <c r="L9454" t="s">
        <v>8925</v>
      </c>
      <c r="M9454" s="161" t="s">
        <v>19994</v>
      </c>
    </row>
    <row r="9455" spans="9:13" x14ac:dyDescent="0.25">
      <c r="I9455" t="s">
        <v>8970</v>
      </c>
      <c r="J9455" s="161" t="s">
        <v>19202</v>
      </c>
      <c r="K9455" t="s">
        <v>19203</v>
      </c>
      <c r="L9455" t="s">
        <v>8969</v>
      </c>
      <c r="M9455" s="161" t="s">
        <v>19202</v>
      </c>
    </row>
    <row r="9456" spans="9:13" x14ac:dyDescent="0.25">
      <c r="I9456" t="s">
        <v>20839</v>
      </c>
      <c r="J9456" s="161" t="s">
        <v>19202</v>
      </c>
      <c r="K9456" t="s">
        <v>19203</v>
      </c>
      <c r="L9456" t="s">
        <v>20840</v>
      </c>
      <c r="M9456" s="161" t="s">
        <v>19202</v>
      </c>
    </row>
    <row r="9457" spans="9:13" x14ac:dyDescent="0.25">
      <c r="I9457" t="s">
        <v>4215</v>
      </c>
      <c r="J9457" s="161" t="s">
        <v>19202</v>
      </c>
      <c r="K9457" t="s">
        <v>19203</v>
      </c>
      <c r="L9457" t="s">
        <v>4214</v>
      </c>
      <c r="M9457" s="161" t="s">
        <v>19202</v>
      </c>
    </row>
    <row r="9458" spans="9:13" x14ac:dyDescent="0.25">
      <c r="I9458" t="s">
        <v>20841</v>
      </c>
      <c r="J9458" s="161" t="s">
        <v>19202</v>
      </c>
      <c r="K9458" t="s">
        <v>19203</v>
      </c>
      <c r="L9458" t="s">
        <v>20842</v>
      </c>
      <c r="M9458" s="161" t="s">
        <v>19202</v>
      </c>
    </row>
    <row r="9459" spans="9:13" x14ac:dyDescent="0.25">
      <c r="I9459" t="s">
        <v>11575</v>
      </c>
      <c r="J9459" s="161" t="s">
        <v>19994</v>
      </c>
      <c r="K9459" t="s">
        <v>19203</v>
      </c>
      <c r="L9459" t="s">
        <v>11574</v>
      </c>
      <c r="M9459" s="161" t="s">
        <v>19994</v>
      </c>
    </row>
    <row r="9460" spans="9:13" x14ac:dyDescent="0.25">
      <c r="I9460" t="s">
        <v>2266</v>
      </c>
      <c r="J9460" s="161" t="s">
        <v>19994</v>
      </c>
      <c r="K9460" t="s">
        <v>19203</v>
      </c>
      <c r="L9460" t="s">
        <v>2265</v>
      </c>
      <c r="M9460" s="161" t="s">
        <v>19994</v>
      </c>
    </row>
    <row r="9461" spans="9:13" x14ac:dyDescent="0.25">
      <c r="I9461" t="s">
        <v>8444</v>
      </c>
      <c r="J9461" s="161" t="s">
        <v>19994</v>
      </c>
      <c r="K9461" t="s">
        <v>19203</v>
      </c>
      <c r="L9461" t="s">
        <v>8443</v>
      </c>
      <c r="M9461" s="161" t="s">
        <v>19994</v>
      </c>
    </row>
    <row r="9462" spans="9:13" x14ac:dyDescent="0.25">
      <c r="I9462" t="s">
        <v>8229</v>
      </c>
      <c r="J9462" s="161" t="s">
        <v>19994</v>
      </c>
      <c r="K9462" t="s">
        <v>19203</v>
      </c>
      <c r="L9462" t="s">
        <v>8228</v>
      </c>
      <c r="M9462" s="161" t="s">
        <v>19994</v>
      </c>
    </row>
    <row r="9463" spans="9:13" x14ac:dyDescent="0.25">
      <c r="I9463" t="s">
        <v>10416</v>
      </c>
      <c r="J9463" s="161" t="s">
        <v>19994</v>
      </c>
      <c r="K9463" t="s">
        <v>19203</v>
      </c>
      <c r="L9463" t="s">
        <v>10415</v>
      </c>
      <c r="M9463" s="161" t="s">
        <v>19994</v>
      </c>
    </row>
    <row r="9464" spans="9:13" x14ac:dyDescent="0.25">
      <c r="I9464" t="s">
        <v>15118</v>
      </c>
      <c r="J9464" s="161" t="s">
        <v>19994</v>
      </c>
      <c r="K9464" t="s">
        <v>19203</v>
      </c>
      <c r="L9464" t="s">
        <v>15117</v>
      </c>
      <c r="M9464" s="161" t="s">
        <v>19994</v>
      </c>
    </row>
    <row r="9465" spans="9:13" x14ac:dyDescent="0.25">
      <c r="I9465" t="s">
        <v>14786</v>
      </c>
      <c r="J9465" s="161" t="s">
        <v>19202</v>
      </c>
      <c r="K9465" t="s">
        <v>19203</v>
      </c>
      <c r="L9465" t="s">
        <v>14785</v>
      </c>
      <c r="M9465" s="161" t="s">
        <v>19202</v>
      </c>
    </row>
    <row r="9466" spans="9:13" x14ac:dyDescent="0.25">
      <c r="I9466" t="s">
        <v>5963</v>
      </c>
      <c r="J9466" s="161" t="s">
        <v>19202</v>
      </c>
      <c r="K9466" t="s">
        <v>19203</v>
      </c>
      <c r="L9466" t="s">
        <v>5962</v>
      </c>
      <c r="M9466" s="161" t="s">
        <v>19202</v>
      </c>
    </row>
    <row r="9467" spans="9:13" x14ac:dyDescent="0.25">
      <c r="I9467" t="s">
        <v>11466</v>
      </c>
      <c r="J9467" s="161" t="s">
        <v>19994</v>
      </c>
      <c r="K9467" t="s">
        <v>19203</v>
      </c>
      <c r="L9467" t="s">
        <v>11465</v>
      </c>
      <c r="M9467" s="161" t="s">
        <v>19994</v>
      </c>
    </row>
    <row r="9468" spans="9:13" x14ac:dyDescent="0.25">
      <c r="I9468" t="s">
        <v>10049</v>
      </c>
      <c r="J9468" s="161" t="s">
        <v>19994</v>
      </c>
      <c r="K9468" t="s">
        <v>19203</v>
      </c>
      <c r="L9468" t="s">
        <v>10048</v>
      </c>
      <c r="M9468" s="161" t="s">
        <v>19994</v>
      </c>
    </row>
    <row r="9469" spans="9:13" x14ac:dyDescent="0.25">
      <c r="I9469" t="s">
        <v>20843</v>
      </c>
      <c r="J9469" s="161" t="s">
        <v>19202</v>
      </c>
      <c r="K9469" t="s">
        <v>19203</v>
      </c>
      <c r="L9469" t="s">
        <v>20844</v>
      </c>
      <c r="M9469" s="161" t="s">
        <v>19202</v>
      </c>
    </row>
    <row r="9470" spans="9:13" x14ac:dyDescent="0.25">
      <c r="I9470" t="s">
        <v>3438</v>
      </c>
      <c r="J9470" s="161" t="s">
        <v>19994</v>
      </c>
      <c r="K9470" t="s">
        <v>19203</v>
      </c>
      <c r="L9470" t="s">
        <v>3437</v>
      </c>
      <c r="M9470" s="161" t="s">
        <v>19994</v>
      </c>
    </row>
    <row r="9471" spans="9:13" x14ac:dyDescent="0.25">
      <c r="I9471" t="s">
        <v>20845</v>
      </c>
      <c r="J9471" s="161" t="s">
        <v>19994</v>
      </c>
      <c r="K9471" t="s">
        <v>19203</v>
      </c>
      <c r="L9471" t="s">
        <v>20846</v>
      </c>
      <c r="M9471" s="161" t="s">
        <v>19994</v>
      </c>
    </row>
    <row r="9472" spans="9:13" x14ac:dyDescent="0.25">
      <c r="I9472" t="s">
        <v>20847</v>
      </c>
      <c r="J9472" s="161" t="s">
        <v>19202</v>
      </c>
      <c r="K9472" t="s">
        <v>19203</v>
      </c>
      <c r="L9472" t="s">
        <v>20848</v>
      </c>
      <c r="M9472" s="161" t="s">
        <v>19202</v>
      </c>
    </row>
    <row r="9473" spans="9:13" x14ac:dyDescent="0.25">
      <c r="I9473" t="s">
        <v>4598</v>
      </c>
      <c r="J9473" s="161" t="s">
        <v>19994</v>
      </c>
      <c r="K9473" t="s">
        <v>19203</v>
      </c>
      <c r="L9473" t="s">
        <v>4597</v>
      </c>
      <c r="M9473" s="161" t="s">
        <v>19994</v>
      </c>
    </row>
    <row r="9474" spans="9:13" x14ac:dyDescent="0.25">
      <c r="I9474" t="s">
        <v>20849</v>
      </c>
      <c r="J9474" s="161" t="s">
        <v>19202</v>
      </c>
      <c r="K9474" t="s">
        <v>19203</v>
      </c>
      <c r="L9474" t="s">
        <v>20850</v>
      </c>
      <c r="M9474" s="161" t="s">
        <v>19202</v>
      </c>
    </row>
    <row r="9475" spans="9:13" x14ac:dyDescent="0.25">
      <c r="I9475" t="s">
        <v>16131</v>
      </c>
      <c r="J9475" s="161" t="s">
        <v>19994</v>
      </c>
      <c r="K9475" t="s">
        <v>19203</v>
      </c>
      <c r="L9475" t="s">
        <v>16130</v>
      </c>
      <c r="M9475" s="161" t="s">
        <v>19994</v>
      </c>
    </row>
    <row r="9476" spans="9:13" x14ac:dyDescent="0.25">
      <c r="I9476" t="s">
        <v>8806</v>
      </c>
      <c r="J9476" s="161" t="s">
        <v>19994</v>
      </c>
      <c r="K9476" t="s">
        <v>19203</v>
      </c>
      <c r="L9476" t="s">
        <v>8805</v>
      </c>
      <c r="M9476" s="161" t="s">
        <v>19994</v>
      </c>
    </row>
    <row r="9477" spans="9:13" x14ac:dyDescent="0.25">
      <c r="I9477" t="s">
        <v>17661</v>
      </c>
      <c r="J9477" s="161" t="s">
        <v>19994</v>
      </c>
      <c r="K9477" t="s">
        <v>19203</v>
      </c>
      <c r="L9477" t="s">
        <v>17660</v>
      </c>
      <c r="M9477" s="161" t="s">
        <v>19994</v>
      </c>
    </row>
    <row r="9478" spans="9:13" x14ac:dyDescent="0.25">
      <c r="I9478" t="s">
        <v>20851</v>
      </c>
      <c r="J9478" s="161" t="s">
        <v>19994</v>
      </c>
      <c r="K9478" t="s">
        <v>19203</v>
      </c>
      <c r="L9478" t="s">
        <v>20852</v>
      </c>
      <c r="M9478" s="161" t="s">
        <v>19994</v>
      </c>
    </row>
    <row r="9479" spans="9:13" x14ac:dyDescent="0.25">
      <c r="I9479" t="s">
        <v>11389</v>
      </c>
      <c r="J9479" s="161" t="s">
        <v>19994</v>
      </c>
      <c r="K9479" t="s">
        <v>19203</v>
      </c>
      <c r="L9479" t="s">
        <v>11388</v>
      </c>
      <c r="M9479" s="161" t="s">
        <v>19994</v>
      </c>
    </row>
    <row r="9480" spans="9:13" x14ac:dyDescent="0.25">
      <c r="I9480" t="s">
        <v>10933</v>
      </c>
      <c r="J9480" s="161" t="s">
        <v>19994</v>
      </c>
      <c r="K9480" t="s">
        <v>19203</v>
      </c>
      <c r="L9480" t="s">
        <v>10932</v>
      </c>
      <c r="M9480" s="161" t="s">
        <v>19994</v>
      </c>
    </row>
    <row r="9481" spans="9:13" x14ac:dyDescent="0.25">
      <c r="I9481" t="s">
        <v>10104</v>
      </c>
      <c r="J9481" s="161" t="s">
        <v>19994</v>
      </c>
      <c r="K9481" t="s">
        <v>19203</v>
      </c>
      <c r="L9481" t="s">
        <v>10103</v>
      </c>
      <c r="M9481" s="161" t="s">
        <v>19994</v>
      </c>
    </row>
    <row r="9482" spans="9:13" x14ac:dyDescent="0.25">
      <c r="I9482" t="s">
        <v>2751</v>
      </c>
      <c r="J9482" s="161" t="s">
        <v>19994</v>
      </c>
      <c r="K9482" t="s">
        <v>19203</v>
      </c>
      <c r="L9482" t="s">
        <v>2750</v>
      </c>
      <c r="M9482" s="161" t="s">
        <v>19994</v>
      </c>
    </row>
    <row r="9483" spans="9:13" x14ac:dyDescent="0.25">
      <c r="I9483" t="s">
        <v>20853</v>
      </c>
      <c r="J9483" s="161" t="s">
        <v>19202</v>
      </c>
      <c r="K9483" t="s">
        <v>19203</v>
      </c>
      <c r="L9483" t="s">
        <v>20854</v>
      </c>
      <c r="M9483" s="161" t="s">
        <v>19202</v>
      </c>
    </row>
    <row r="9484" spans="9:13" x14ac:dyDescent="0.25">
      <c r="I9484" t="s">
        <v>20855</v>
      </c>
      <c r="J9484" s="161" t="s">
        <v>19202</v>
      </c>
      <c r="K9484" t="s">
        <v>19203</v>
      </c>
      <c r="L9484" t="s">
        <v>20856</v>
      </c>
      <c r="M9484" s="161" t="s">
        <v>19202</v>
      </c>
    </row>
    <row r="9485" spans="9:13" x14ac:dyDescent="0.25">
      <c r="I9485" t="s">
        <v>16325</v>
      </c>
      <c r="J9485" s="161" t="s">
        <v>19994</v>
      </c>
      <c r="K9485" t="s">
        <v>19203</v>
      </c>
      <c r="L9485" t="s">
        <v>855</v>
      </c>
      <c r="M9485" s="161" t="s">
        <v>19994</v>
      </c>
    </row>
    <row r="9486" spans="9:13" x14ac:dyDescent="0.25">
      <c r="I9486" t="s">
        <v>14662</v>
      </c>
      <c r="J9486" s="161" t="s">
        <v>19994</v>
      </c>
      <c r="K9486" t="s">
        <v>19203</v>
      </c>
      <c r="L9486" t="s">
        <v>14661</v>
      </c>
      <c r="M9486" s="161" t="s">
        <v>19994</v>
      </c>
    </row>
    <row r="9487" spans="9:13" x14ac:dyDescent="0.25">
      <c r="I9487" t="s">
        <v>12896</v>
      </c>
      <c r="J9487" s="161" t="s">
        <v>19994</v>
      </c>
      <c r="K9487" t="s">
        <v>19203</v>
      </c>
      <c r="L9487" t="s">
        <v>105</v>
      </c>
      <c r="M9487" s="161" t="s">
        <v>19994</v>
      </c>
    </row>
    <row r="9488" spans="9:13" x14ac:dyDescent="0.25">
      <c r="I9488" t="s">
        <v>5894</v>
      </c>
      <c r="J9488" s="161" t="s">
        <v>19994</v>
      </c>
      <c r="K9488" t="s">
        <v>19203</v>
      </c>
      <c r="L9488" t="s">
        <v>5893</v>
      </c>
      <c r="M9488" s="161" t="s">
        <v>19994</v>
      </c>
    </row>
    <row r="9489" spans="9:13" x14ac:dyDescent="0.25">
      <c r="I9489" t="s">
        <v>12085</v>
      </c>
      <c r="J9489" s="161" t="s">
        <v>19202</v>
      </c>
      <c r="K9489" t="s">
        <v>19203</v>
      </c>
      <c r="L9489" t="s">
        <v>12084</v>
      </c>
      <c r="M9489" s="161" t="s">
        <v>19202</v>
      </c>
    </row>
    <row r="9490" spans="9:13" x14ac:dyDescent="0.25">
      <c r="I9490" t="s">
        <v>14698</v>
      </c>
      <c r="J9490" s="161" t="s">
        <v>19202</v>
      </c>
      <c r="K9490" t="s">
        <v>19203</v>
      </c>
      <c r="L9490" t="s">
        <v>14697</v>
      </c>
      <c r="M9490" s="161" t="s">
        <v>19202</v>
      </c>
    </row>
    <row r="9491" spans="9:13" x14ac:dyDescent="0.25">
      <c r="I9491" t="s">
        <v>10142</v>
      </c>
      <c r="J9491" s="161" t="s">
        <v>19202</v>
      </c>
      <c r="K9491" t="s">
        <v>19203</v>
      </c>
      <c r="L9491" t="s">
        <v>1497</v>
      </c>
      <c r="M9491" s="161" t="s">
        <v>19202</v>
      </c>
    </row>
    <row r="9492" spans="9:13" x14ac:dyDescent="0.25">
      <c r="I9492" t="s">
        <v>125</v>
      </c>
      <c r="J9492" s="161" t="s">
        <v>19202</v>
      </c>
      <c r="K9492" t="s">
        <v>19203</v>
      </c>
      <c r="L9492" t="s">
        <v>124</v>
      </c>
      <c r="M9492" s="161" t="s">
        <v>19202</v>
      </c>
    </row>
    <row r="9493" spans="9:13" x14ac:dyDescent="0.25">
      <c r="I9493" t="s">
        <v>6784</v>
      </c>
      <c r="J9493" s="161" t="s">
        <v>19994</v>
      </c>
      <c r="K9493" t="s">
        <v>19203</v>
      </c>
      <c r="L9493" t="s">
        <v>6224</v>
      </c>
      <c r="M9493" s="161" t="s">
        <v>19994</v>
      </c>
    </row>
    <row r="9494" spans="9:13" x14ac:dyDescent="0.25">
      <c r="I9494" t="s">
        <v>6569</v>
      </c>
      <c r="J9494" s="161" t="s">
        <v>19994</v>
      </c>
      <c r="K9494" t="s">
        <v>19203</v>
      </c>
      <c r="L9494" t="s">
        <v>6568</v>
      </c>
      <c r="M9494" s="161" t="s">
        <v>19994</v>
      </c>
    </row>
    <row r="9495" spans="9:13" x14ac:dyDescent="0.25">
      <c r="I9495" t="s">
        <v>6327</v>
      </c>
      <c r="J9495" s="161" t="s">
        <v>19994</v>
      </c>
      <c r="K9495" t="s">
        <v>19203</v>
      </c>
      <c r="L9495" t="s">
        <v>6326</v>
      </c>
      <c r="M9495" s="161" t="s">
        <v>19994</v>
      </c>
    </row>
    <row r="9496" spans="9:13" x14ac:dyDescent="0.25">
      <c r="I9496" t="s">
        <v>17232</v>
      </c>
      <c r="J9496" s="161" t="s">
        <v>19202</v>
      </c>
      <c r="K9496" t="s">
        <v>19203</v>
      </c>
      <c r="L9496" t="s">
        <v>17231</v>
      </c>
      <c r="M9496" s="161" t="s">
        <v>19202</v>
      </c>
    </row>
    <row r="9497" spans="9:13" x14ac:dyDescent="0.25">
      <c r="I9497" t="s">
        <v>20857</v>
      </c>
      <c r="J9497" s="167" t="s">
        <v>19994</v>
      </c>
      <c r="K9497" t="s">
        <v>19203</v>
      </c>
      <c r="L9497" t="s">
        <v>20858</v>
      </c>
      <c r="M9497" s="167" t="s">
        <v>19994</v>
      </c>
    </row>
    <row r="9498" spans="9:13" x14ac:dyDescent="0.25">
      <c r="I9498" t="s">
        <v>16618</v>
      </c>
      <c r="J9498" s="161" t="s">
        <v>19994</v>
      </c>
      <c r="K9498" t="s">
        <v>19203</v>
      </c>
      <c r="L9498" t="s">
        <v>16617</v>
      </c>
      <c r="M9498" s="161" t="s">
        <v>19994</v>
      </c>
    </row>
    <row r="9499" spans="9:13" x14ac:dyDescent="0.25">
      <c r="I9499" t="s">
        <v>15783</v>
      </c>
      <c r="J9499" s="161" t="s">
        <v>19994</v>
      </c>
      <c r="K9499" t="s">
        <v>19203</v>
      </c>
      <c r="L9499" t="s">
        <v>15172</v>
      </c>
      <c r="M9499" s="161" t="s">
        <v>19994</v>
      </c>
    </row>
    <row r="9500" spans="9:13" x14ac:dyDescent="0.25">
      <c r="I9500" t="s">
        <v>14866</v>
      </c>
      <c r="J9500" s="161" t="s">
        <v>19994</v>
      </c>
      <c r="K9500" t="s">
        <v>19203</v>
      </c>
      <c r="L9500" t="s">
        <v>4634</v>
      </c>
      <c r="M9500" s="161" t="s">
        <v>19994</v>
      </c>
    </row>
    <row r="9501" spans="9:13" x14ac:dyDescent="0.25">
      <c r="I9501" t="s">
        <v>14865</v>
      </c>
      <c r="J9501" s="161" t="s">
        <v>19994</v>
      </c>
      <c r="K9501" t="s">
        <v>19203</v>
      </c>
      <c r="L9501" t="s">
        <v>14864</v>
      </c>
      <c r="M9501" s="161" t="s">
        <v>19994</v>
      </c>
    </row>
    <row r="9502" spans="9:13" x14ac:dyDescent="0.25">
      <c r="I9502" t="s">
        <v>20859</v>
      </c>
      <c r="J9502" s="161" t="s">
        <v>19994</v>
      </c>
      <c r="K9502" t="s">
        <v>19203</v>
      </c>
      <c r="L9502" t="s">
        <v>20860</v>
      </c>
      <c r="M9502" s="161" t="s">
        <v>19994</v>
      </c>
    </row>
    <row r="9503" spans="9:13" x14ac:dyDescent="0.25">
      <c r="I9503" t="s">
        <v>14861</v>
      </c>
      <c r="J9503" s="161" t="s">
        <v>19994</v>
      </c>
      <c r="K9503" t="s">
        <v>19203</v>
      </c>
      <c r="L9503" t="s">
        <v>2635</v>
      </c>
      <c r="M9503" s="161" t="s">
        <v>19994</v>
      </c>
    </row>
    <row r="9504" spans="9:13" x14ac:dyDescent="0.25">
      <c r="I9504" t="s">
        <v>8174</v>
      </c>
      <c r="J9504" s="161" t="s">
        <v>19994</v>
      </c>
      <c r="K9504" t="s">
        <v>19203</v>
      </c>
      <c r="L9504" t="s">
        <v>8173</v>
      </c>
      <c r="M9504" s="161" t="s">
        <v>19994</v>
      </c>
    </row>
    <row r="9505" spans="9:13" x14ac:dyDescent="0.25">
      <c r="I9505" t="s">
        <v>6971</v>
      </c>
      <c r="J9505" s="161" t="s">
        <v>19994</v>
      </c>
      <c r="K9505" t="s">
        <v>19203</v>
      </c>
      <c r="L9505" t="s">
        <v>6970</v>
      </c>
      <c r="M9505" s="161" t="s">
        <v>19994</v>
      </c>
    </row>
    <row r="9506" spans="9:13" x14ac:dyDescent="0.25">
      <c r="I9506" t="s">
        <v>12302</v>
      </c>
      <c r="J9506" s="161" t="s">
        <v>19994</v>
      </c>
      <c r="K9506" t="s">
        <v>19203</v>
      </c>
      <c r="L9506" t="s">
        <v>12301</v>
      </c>
      <c r="M9506" s="161" t="s">
        <v>19994</v>
      </c>
    </row>
    <row r="9507" spans="9:13" x14ac:dyDescent="0.25">
      <c r="I9507" t="s">
        <v>2300</v>
      </c>
      <c r="J9507" s="161" t="s">
        <v>19202</v>
      </c>
      <c r="K9507" t="s">
        <v>19203</v>
      </c>
      <c r="L9507" t="s">
        <v>2299</v>
      </c>
      <c r="M9507" s="161" t="s">
        <v>19202</v>
      </c>
    </row>
    <row r="9508" spans="9:13" x14ac:dyDescent="0.25">
      <c r="I9508" t="s">
        <v>2298</v>
      </c>
      <c r="J9508" s="161" t="s">
        <v>19202</v>
      </c>
      <c r="K9508" t="s">
        <v>19203</v>
      </c>
      <c r="L9508" t="s">
        <v>2297</v>
      </c>
      <c r="M9508" s="161" t="s">
        <v>19202</v>
      </c>
    </row>
    <row r="9509" spans="9:13" x14ac:dyDescent="0.25">
      <c r="I9509" t="s">
        <v>20861</v>
      </c>
      <c r="J9509" s="161" t="s">
        <v>19202</v>
      </c>
      <c r="K9509" t="s">
        <v>19203</v>
      </c>
      <c r="L9509" t="s">
        <v>20862</v>
      </c>
      <c r="M9509" s="161" t="s">
        <v>19202</v>
      </c>
    </row>
    <row r="9510" spans="9:13" x14ac:dyDescent="0.25">
      <c r="I9510" t="s">
        <v>20863</v>
      </c>
      <c r="J9510" s="161" t="s">
        <v>19202</v>
      </c>
      <c r="K9510" t="s">
        <v>19203</v>
      </c>
      <c r="L9510" t="s">
        <v>14908</v>
      </c>
      <c r="M9510" s="161" t="s">
        <v>19202</v>
      </c>
    </row>
    <row r="9511" spans="9:13" x14ac:dyDescent="0.25">
      <c r="I9511" t="s">
        <v>20864</v>
      </c>
      <c r="J9511" s="161" t="s">
        <v>19994</v>
      </c>
      <c r="K9511" t="s">
        <v>19203</v>
      </c>
      <c r="L9511" t="s">
        <v>20865</v>
      </c>
      <c r="M9511" s="161" t="s">
        <v>19994</v>
      </c>
    </row>
    <row r="9512" spans="9:13" x14ac:dyDescent="0.25">
      <c r="I9512" t="s">
        <v>9825</v>
      </c>
      <c r="J9512" s="161" t="s">
        <v>19994</v>
      </c>
      <c r="K9512" t="s">
        <v>19203</v>
      </c>
      <c r="L9512" t="s">
        <v>9824</v>
      </c>
      <c r="M9512" s="161" t="s">
        <v>19994</v>
      </c>
    </row>
    <row r="9513" spans="9:13" x14ac:dyDescent="0.25">
      <c r="I9513" t="s">
        <v>14676</v>
      </c>
      <c r="J9513" s="161" t="s">
        <v>19994</v>
      </c>
      <c r="K9513" t="s">
        <v>19203</v>
      </c>
      <c r="L9513" t="s">
        <v>14675</v>
      </c>
      <c r="M9513" s="161" t="s">
        <v>19994</v>
      </c>
    </row>
    <row r="9514" spans="9:13" x14ac:dyDescent="0.25">
      <c r="I9514" t="s">
        <v>15780</v>
      </c>
      <c r="J9514" s="161" t="s">
        <v>19994</v>
      </c>
      <c r="K9514" t="s">
        <v>19203</v>
      </c>
      <c r="L9514" t="s">
        <v>861</v>
      </c>
      <c r="M9514" s="161" t="s">
        <v>19994</v>
      </c>
    </row>
    <row r="9515" spans="9:13" x14ac:dyDescent="0.25">
      <c r="I9515" t="s">
        <v>15114</v>
      </c>
      <c r="J9515" s="161" t="s">
        <v>19202</v>
      </c>
      <c r="K9515" t="s">
        <v>19203</v>
      </c>
      <c r="L9515" t="s">
        <v>970</v>
      </c>
      <c r="M9515" s="161" t="s">
        <v>19202</v>
      </c>
    </row>
    <row r="9516" spans="9:13" x14ac:dyDescent="0.25">
      <c r="I9516" t="s">
        <v>10506</v>
      </c>
      <c r="J9516" s="161" t="s">
        <v>19994</v>
      </c>
      <c r="K9516" t="s">
        <v>19203</v>
      </c>
      <c r="L9516" t="s">
        <v>10505</v>
      </c>
      <c r="M9516" s="161" t="s">
        <v>19994</v>
      </c>
    </row>
    <row r="9517" spans="9:13" x14ac:dyDescent="0.25">
      <c r="I9517" t="s">
        <v>20866</v>
      </c>
      <c r="J9517" s="161" t="s">
        <v>19202</v>
      </c>
      <c r="K9517" t="s">
        <v>19203</v>
      </c>
      <c r="L9517" t="s">
        <v>4597</v>
      </c>
      <c r="M9517" s="161" t="s">
        <v>19202</v>
      </c>
    </row>
    <row r="9518" spans="9:13" x14ac:dyDescent="0.25">
      <c r="I9518" t="s">
        <v>12089</v>
      </c>
      <c r="J9518" s="161" t="s">
        <v>19202</v>
      </c>
      <c r="K9518" t="s">
        <v>19203</v>
      </c>
      <c r="L9518" t="s">
        <v>12088</v>
      </c>
      <c r="M9518" s="161" t="s">
        <v>19202</v>
      </c>
    </row>
    <row r="9519" spans="9:13" x14ac:dyDescent="0.25">
      <c r="I9519" t="s">
        <v>20867</v>
      </c>
      <c r="J9519" s="161" t="s">
        <v>19202</v>
      </c>
      <c r="K9519" t="s">
        <v>19203</v>
      </c>
      <c r="L9519" t="s">
        <v>20868</v>
      </c>
      <c r="M9519" s="161" t="s">
        <v>19202</v>
      </c>
    </row>
    <row r="9520" spans="9:13" x14ac:dyDescent="0.25">
      <c r="I9520" t="s">
        <v>2821</v>
      </c>
      <c r="J9520" s="161" t="s">
        <v>19994</v>
      </c>
      <c r="K9520" t="s">
        <v>19203</v>
      </c>
      <c r="L9520" t="s">
        <v>2820</v>
      </c>
      <c r="M9520" s="161" t="s">
        <v>19994</v>
      </c>
    </row>
    <row r="9521" spans="9:13" x14ac:dyDescent="0.25">
      <c r="I9521" t="s">
        <v>6329</v>
      </c>
      <c r="J9521" s="161" t="s">
        <v>19994</v>
      </c>
      <c r="K9521" t="s">
        <v>19203</v>
      </c>
      <c r="L9521" t="s">
        <v>6328</v>
      </c>
      <c r="M9521" s="161" t="s">
        <v>19994</v>
      </c>
    </row>
    <row r="9522" spans="9:13" x14ac:dyDescent="0.25">
      <c r="I9522" t="s">
        <v>11052</v>
      </c>
      <c r="J9522" s="161" t="s">
        <v>19202</v>
      </c>
      <c r="K9522" t="s">
        <v>19203</v>
      </c>
      <c r="L9522" t="s">
        <v>11051</v>
      </c>
      <c r="M9522" s="161" t="s">
        <v>19202</v>
      </c>
    </row>
    <row r="9523" spans="9:13" x14ac:dyDescent="0.25">
      <c r="I9523" t="s">
        <v>6969</v>
      </c>
      <c r="J9523" s="161" t="s">
        <v>19994</v>
      </c>
      <c r="K9523" t="s">
        <v>19203</v>
      </c>
      <c r="L9523" t="s">
        <v>6968</v>
      </c>
      <c r="M9523" s="161" t="s">
        <v>19994</v>
      </c>
    </row>
    <row r="9524" spans="9:13" x14ac:dyDescent="0.25">
      <c r="I9524" t="s">
        <v>20869</v>
      </c>
      <c r="J9524" s="161" t="s">
        <v>19202</v>
      </c>
      <c r="K9524" t="s">
        <v>19203</v>
      </c>
      <c r="L9524" t="s">
        <v>20870</v>
      </c>
      <c r="M9524" s="161" t="s">
        <v>19202</v>
      </c>
    </row>
    <row r="9525" spans="9:13" x14ac:dyDescent="0.25">
      <c r="I9525" t="s">
        <v>14666</v>
      </c>
      <c r="J9525" s="161" t="s">
        <v>19994</v>
      </c>
      <c r="K9525" t="s">
        <v>19203</v>
      </c>
      <c r="L9525" t="s">
        <v>14665</v>
      </c>
      <c r="M9525" s="161" t="s">
        <v>19994</v>
      </c>
    </row>
    <row r="9526" spans="9:13" x14ac:dyDescent="0.25">
      <c r="I9526" t="s">
        <v>6154</v>
      </c>
      <c r="J9526" s="161" t="s">
        <v>19994</v>
      </c>
      <c r="K9526" t="s">
        <v>19203</v>
      </c>
      <c r="L9526" t="s">
        <v>6153</v>
      </c>
      <c r="M9526" s="161" t="s">
        <v>19994</v>
      </c>
    </row>
    <row r="9527" spans="9:13" x14ac:dyDescent="0.25">
      <c r="I9527" t="s">
        <v>6234</v>
      </c>
      <c r="J9527" s="161" t="s">
        <v>19202</v>
      </c>
      <c r="K9527" t="s">
        <v>19203</v>
      </c>
      <c r="L9527" t="s">
        <v>6233</v>
      </c>
      <c r="M9527" s="161" t="s">
        <v>19202</v>
      </c>
    </row>
    <row r="9528" spans="9:13" x14ac:dyDescent="0.25">
      <c r="I9528" t="s">
        <v>20871</v>
      </c>
      <c r="J9528" s="161" t="s">
        <v>19202</v>
      </c>
      <c r="K9528" t="s">
        <v>19203</v>
      </c>
      <c r="L9528" t="s">
        <v>20872</v>
      </c>
      <c r="M9528" s="161" t="s">
        <v>19202</v>
      </c>
    </row>
    <row r="9529" spans="9:13" x14ac:dyDescent="0.25">
      <c r="I9529" t="s">
        <v>10106</v>
      </c>
      <c r="J9529" s="161" t="s">
        <v>19994</v>
      </c>
      <c r="K9529" t="s">
        <v>19203</v>
      </c>
      <c r="L9529" t="s">
        <v>10105</v>
      </c>
      <c r="M9529" s="161" t="s">
        <v>19994</v>
      </c>
    </row>
    <row r="9530" spans="9:13" x14ac:dyDescent="0.25">
      <c r="I9530" t="s">
        <v>9162</v>
      </c>
      <c r="J9530" s="161" t="s">
        <v>19994</v>
      </c>
      <c r="K9530" t="s">
        <v>19203</v>
      </c>
      <c r="L9530" t="s">
        <v>9161</v>
      </c>
      <c r="M9530" s="161" t="s">
        <v>19994</v>
      </c>
    </row>
    <row r="9531" spans="9:13" x14ac:dyDescent="0.25">
      <c r="I9531" t="s">
        <v>12469</v>
      </c>
      <c r="J9531" s="161" t="s">
        <v>19994</v>
      </c>
      <c r="K9531" t="s">
        <v>19203</v>
      </c>
      <c r="L9531" t="s">
        <v>12468</v>
      </c>
      <c r="M9531" s="161" t="s">
        <v>19994</v>
      </c>
    </row>
    <row r="9532" spans="9:13" x14ac:dyDescent="0.25">
      <c r="I9532" t="s">
        <v>11861</v>
      </c>
      <c r="J9532" s="161" t="s">
        <v>19994</v>
      </c>
      <c r="K9532" t="s">
        <v>19203</v>
      </c>
      <c r="L9532" t="s">
        <v>11860</v>
      </c>
      <c r="M9532" s="161" t="s">
        <v>19994</v>
      </c>
    </row>
    <row r="9533" spans="9:13" x14ac:dyDescent="0.25">
      <c r="I9533" t="s">
        <v>11859</v>
      </c>
      <c r="J9533" s="161" t="s">
        <v>19994</v>
      </c>
      <c r="K9533" t="s">
        <v>19203</v>
      </c>
      <c r="L9533" t="s">
        <v>11858</v>
      </c>
      <c r="M9533" s="161" t="s">
        <v>19994</v>
      </c>
    </row>
    <row r="9534" spans="9:13" x14ac:dyDescent="0.25">
      <c r="I9534" t="s">
        <v>17604</v>
      </c>
      <c r="J9534" s="161" t="s">
        <v>19994</v>
      </c>
      <c r="K9534" t="s">
        <v>19203</v>
      </c>
      <c r="L9534" t="s">
        <v>17603</v>
      </c>
      <c r="M9534" s="161" t="s">
        <v>19994</v>
      </c>
    </row>
    <row r="9535" spans="9:13" x14ac:dyDescent="0.25">
      <c r="I9535" t="s">
        <v>20873</v>
      </c>
      <c r="J9535" s="161" t="s">
        <v>19994</v>
      </c>
      <c r="K9535" t="s">
        <v>19203</v>
      </c>
      <c r="L9535" t="s">
        <v>20874</v>
      </c>
      <c r="M9535" s="161" t="s">
        <v>19994</v>
      </c>
    </row>
    <row r="9536" spans="9:13" x14ac:dyDescent="0.25">
      <c r="I9536" t="s">
        <v>4306</v>
      </c>
      <c r="J9536" s="161" t="s">
        <v>19994</v>
      </c>
      <c r="K9536" t="s">
        <v>19203</v>
      </c>
      <c r="L9536" t="s">
        <v>4077</v>
      </c>
      <c r="M9536" s="161" t="s">
        <v>19994</v>
      </c>
    </row>
    <row r="9537" spans="9:13" x14ac:dyDescent="0.25">
      <c r="I9537" t="s">
        <v>10043</v>
      </c>
      <c r="J9537" s="161" t="s">
        <v>19994</v>
      </c>
      <c r="K9537" t="s">
        <v>19203</v>
      </c>
      <c r="L9537" t="s">
        <v>10042</v>
      </c>
      <c r="M9537" s="161" t="s">
        <v>19994</v>
      </c>
    </row>
    <row r="9538" spans="9:13" x14ac:dyDescent="0.25">
      <c r="I9538" t="s">
        <v>16926</v>
      </c>
      <c r="J9538" s="161" t="s">
        <v>19994</v>
      </c>
      <c r="K9538" t="s">
        <v>19203</v>
      </c>
      <c r="L9538" t="s">
        <v>16925</v>
      </c>
      <c r="M9538" s="161" t="s">
        <v>19994</v>
      </c>
    </row>
    <row r="9539" spans="9:13" x14ac:dyDescent="0.25">
      <c r="I9539" t="s">
        <v>15614</v>
      </c>
      <c r="J9539" s="161" t="s">
        <v>19994</v>
      </c>
      <c r="K9539" t="s">
        <v>19203</v>
      </c>
      <c r="L9539" t="s">
        <v>2374</v>
      </c>
      <c r="M9539" s="161" t="s">
        <v>19994</v>
      </c>
    </row>
    <row r="9540" spans="9:13" x14ac:dyDescent="0.25">
      <c r="I9540" t="s">
        <v>15613</v>
      </c>
      <c r="J9540" s="161" t="s">
        <v>19994</v>
      </c>
      <c r="K9540" t="s">
        <v>19203</v>
      </c>
      <c r="L9540" t="s">
        <v>15158</v>
      </c>
      <c r="M9540" s="161" t="s">
        <v>19994</v>
      </c>
    </row>
    <row r="9541" spans="9:13" x14ac:dyDescent="0.25">
      <c r="I9541" t="s">
        <v>2715</v>
      </c>
      <c r="J9541" s="161" t="s">
        <v>19202</v>
      </c>
      <c r="K9541" t="s">
        <v>19203</v>
      </c>
      <c r="L9541" t="s">
        <v>2714</v>
      </c>
      <c r="M9541" s="161" t="s">
        <v>19202</v>
      </c>
    </row>
    <row r="9542" spans="9:13" x14ac:dyDescent="0.25">
      <c r="I9542" t="s">
        <v>2262</v>
      </c>
      <c r="J9542" s="161" t="s">
        <v>19202</v>
      </c>
      <c r="K9542" t="s">
        <v>19203</v>
      </c>
      <c r="L9542" t="s">
        <v>2261</v>
      </c>
      <c r="M9542" s="161" t="s">
        <v>19202</v>
      </c>
    </row>
    <row r="9543" spans="9:13" x14ac:dyDescent="0.25">
      <c r="I9543" t="s">
        <v>2250</v>
      </c>
      <c r="J9543" s="161" t="s">
        <v>19994</v>
      </c>
      <c r="K9543" t="s">
        <v>19203</v>
      </c>
      <c r="L9543" t="s">
        <v>2249</v>
      </c>
      <c r="M9543" s="161" t="s">
        <v>19994</v>
      </c>
    </row>
    <row r="9544" spans="9:13" x14ac:dyDescent="0.25">
      <c r="I9544" t="s">
        <v>2214</v>
      </c>
      <c r="J9544" s="161" t="s">
        <v>19202</v>
      </c>
      <c r="K9544" t="s">
        <v>19203</v>
      </c>
      <c r="L9544" t="s">
        <v>2213</v>
      </c>
      <c r="M9544" s="161" t="s">
        <v>19202</v>
      </c>
    </row>
    <row r="9545" spans="9:13" x14ac:dyDescent="0.25">
      <c r="I9545" t="s">
        <v>20875</v>
      </c>
      <c r="J9545" s="161" t="s">
        <v>19994</v>
      </c>
      <c r="K9545" t="s">
        <v>19203</v>
      </c>
      <c r="L9545" t="s">
        <v>20876</v>
      </c>
      <c r="M9545" s="161" t="s">
        <v>19994</v>
      </c>
    </row>
    <row r="9546" spans="9:13" x14ac:dyDescent="0.25">
      <c r="I9546" t="s">
        <v>20877</v>
      </c>
      <c r="J9546" s="161" t="s">
        <v>19202</v>
      </c>
      <c r="K9546" t="s">
        <v>19203</v>
      </c>
      <c r="L9546" t="s">
        <v>1541</v>
      </c>
      <c r="M9546" s="161" t="s">
        <v>19202</v>
      </c>
    </row>
    <row r="9547" spans="9:13" x14ac:dyDescent="0.25">
      <c r="I9547" t="s">
        <v>260</v>
      </c>
      <c r="J9547" s="161" t="s">
        <v>19994</v>
      </c>
      <c r="K9547" t="s">
        <v>19203</v>
      </c>
      <c r="L9547" t="s">
        <v>259</v>
      </c>
      <c r="M9547" s="161" t="s">
        <v>19994</v>
      </c>
    </row>
    <row r="9548" spans="9:13" x14ac:dyDescent="0.25">
      <c r="I9548" t="s">
        <v>5659</v>
      </c>
      <c r="J9548" s="161" t="s">
        <v>19994</v>
      </c>
      <c r="K9548" t="s">
        <v>19203</v>
      </c>
      <c r="L9548" t="s">
        <v>5658</v>
      </c>
      <c r="M9548" s="161" t="s">
        <v>19994</v>
      </c>
    </row>
    <row r="9549" spans="9:13" x14ac:dyDescent="0.25">
      <c r="I9549" t="s">
        <v>9220</v>
      </c>
      <c r="J9549" s="161" t="s">
        <v>19994</v>
      </c>
      <c r="K9549" t="s">
        <v>19203</v>
      </c>
      <c r="L9549" t="s">
        <v>9219</v>
      </c>
      <c r="M9549" s="161" t="s">
        <v>19994</v>
      </c>
    </row>
    <row r="9550" spans="9:13" x14ac:dyDescent="0.25">
      <c r="I9550" t="s">
        <v>9218</v>
      </c>
      <c r="J9550" s="161" t="s">
        <v>19994</v>
      </c>
      <c r="K9550" t="s">
        <v>19203</v>
      </c>
      <c r="L9550" t="s">
        <v>9217</v>
      </c>
      <c r="M9550" s="161" t="s">
        <v>19994</v>
      </c>
    </row>
    <row r="9551" spans="9:13" x14ac:dyDescent="0.25">
      <c r="I9551" t="s">
        <v>9216</v>
      </c>
      <c r="J9551" s="161" t="s">
        <v>19994</v>
      </c>
      <c r="K9551" t="s">
        <v>19203</v>
      </c>
      <c r="L9551" t="s">
        <v>9215</v>
      </c>
      <c r="M9551" s="161" t="s">
        <v>19994</v>
      </c>
    </row>
    <row r="9552" spans="9:13" x14ac:dyDescent="0.25">
      <c r="I9552" t="s">
        <v>5699</v>
      </c>
      <c r="J9552" s="161" t="s">
        <v>19994</v>
      </c>
      <c r="K9552" t="s">
        <v>19203</v>
      </c>
      <c r="L9552" t="s">
        <v>5698</v>
      </c>
      <c r="M9552" s="161" t="s">
        <v>19994</v>
      </c>
    </row>
    <row r="9553" spans="9:13" x14ac:dyDescent="0.25">
      <c r="I9553" t="s">
        <v>5697</v>
      </c>
      <c r="J9553" s="161" t="s">
        <v>19994</v>
      </c>
      <c r="K9553" t="s">
        <v>19203</v>
      </c>
      <c r="L9553" t="s">
        <v>5696</v>
      </c>
      <c r="M9553" s="161" t="s">
        <v>19994</v>
      </c>
    </row>
    <row r="9554" spans="9:13" x14ac:dyDescent="0.25">
      <c r="I9554" t="s">
        <v>5695</v>
      </c>
      <c r="J9554" s="161" t="s">
        <v>19994</v>
      </c>
      <c r="K9554" t="s">
        <v>19203</v>
      </c>
      <c r="L9554" t="s">
        <v>5694</v>
      </c>
      <c r="M9554" s="161" t="s">
        <v>19994</v>
      </c>
    </row>
    <row r="9555" spans="9:13" x14ac:dyDescent="0.25">
      <c r="I9555" t="s">
        <v>5693</v>
      </c>
      <c r="J9555" s="161" t="s">
        <v>19994</v>
      </c>
      <c r="K9555" t="s">
        <v>19203</v>
      </c>
      <c r="L9555" t="s">
        <v>5692</v>
      </c>
      <c r="M9555" s="161" t="s">
        <v>19994</v>
      </c>
    </row>
    <row r="9556" spans="9:13" x14ac:dyDescent="0.25">
      <c r="I9556" t="s">
        <v>2660</v>
      </c>
      <c r="J9556" s="161" t="s">
        <v>19994</v>
      </c>
      <c r="K9556" t="s">
        <v>19203</v>
      </c>
      <c r="L9556" t="s">
        <v>2659</v>
      </c>
      <c r="M9556" s="161" t="s">
        <v>19994</v>
      </c>
    </row>
    <row r="9557" spans="9:13" x14ac:dyDescent="0.25">
      <c r="I9557" t="s">
        <v>15840</v>
      </c>
      <c r="J9557" s="161" t="s">
        <v>19994</v>
      </c>
      <c r="K9557" t="s">
        <v>19203</v>
      </c>
      <c r="L9557" t="s">
        <v>15839</v>
      </c>
      <c r="M9557" s="161" t="s">
        <v>19994</v>
      </c>
    </row>
    <row r="9558" spans="9:13" x14ac:dyDescent="0.25">
      <c r="I9558" t="s">
        <v>14664</v>
      </c>
      <c r="J9558" s="161" t="s">
        <v>19994</v>
      </c>
      <c r="K9558" t="s">
        <v>19203</v>
      </c>
      <c r="L9558" t="s">
        <v>14663</v>
      </c>
      <c r="M9558" s="161" t="s">
        <v>19994</v>
      </c>
    </row>
    <row r="9559" spans="9:13" x14ac:dyDescent="0.25">
      <c r="I9559" t="s">
        <v>14654</v>
      </c>
      <c r="J9559" s="161" t="s">
        <v>19202</v>
      </c>
      <c r="K9559" t="s">
        <v>19203</v>
      </c>
      <c r="L9559" t="s">
        <v>14653</v>
      </c>
      <c r="M9559" s="161" t="s">
        <v>19202</v>
      </c>
    </row>
    <row r="9560" spans="9:13" x14ac:dyDescent="0.25">
      <c r="I9560" t="s">
        <v>11687</v>
      </c>
      <c r="J9560" s="161" t="s">
        <v>19202</v>
      </c>
      <c r="K9560" t="s">
        <v>19203</v>
      </c>
      <c r="L9560" t="s">
        <v>903</v>
      </c>
      <c r="M9560" s="161" t="s">
        <v>19202</v>
      </c>
    </row>
    <row r="9561" spans="9:13" x14ac:dyDescent="0.25">
      <c r="I9561" t="s">
        <v>11407</v>
      </c>
      <c r="J9561" s="161" t="s">
        <v>19994</v>
      </c>
      <c r="K9561" t="s">
        <v>19203</v>
      </c>
      <c r="L9561" t="s">
        <v>11406</v>
      </c>
      <c r="M9561" s="161" t="s">
        <v>19994</v>
      </c>
    </row>
    <row r="9562" spans="9:13" x14ac:dyDescent="0.25">
      <c r="I9562" t="s">
        <v>9971</v>
      </c>
      <c r="J9562" s="161" t="s">
        <v>19202</v>
      </c>
      <c r="K9562" t="s">
        <v>19203</v>
      </c>
      <c r="L9562" t="s">
        <v>9970</v>
      </c>
      <c r="M9562" s="161" t="s">
        <v>19202</v>
      </c>
    </row>
    <row r="9563" spans="9:13" x14ac:dyDescent="0.25">
      <c r="I9563" t="s">
        <v>13983</v>
      </c>
      <c r="J9563" s="161" t="s">
        <v>19202</v>
      </c>
      <c r="K9563" t="s">
        <v>19203</v>
      </c>
      <c r="L9563" t="s">
        <v>13982</v>
      </c>
      <c r="M9563" s="161" t="s">
        <v>19202</v>
      </c>
    </row>
    <row r="9564" spans="9:13" x14ac:dyDescent="0.25">
      <c r="I9564" t="s">
        <v>20878</v>
      </c>
      <c r="J9564" s="161" t="s">
        <v>19202</v>
      </c>
      <c r="K9564" t="s">
        <v>19203</v>
      </c>
      <c r="L9564" t="s">
        <v>20879</v>
      </c>
      <c r="M9564" s="161" t="s">
        <v>19202</v>
      </c>
    </row>
    <row r="9565" spans="9:13" x14ac:dyDescent="0.25">
      <c r="I9565" t="s">
        <v>16128</v>
      </c>
      <c r="J9565" s="161" t="s">
        <v>19994</v>
      </c>
      <c r="K9565" t="s">
        <v>19203</v>
      </c>
      <c r="L9565" t="s">
        <v>4637</v>
      </c>
      <c r="M9565" s="161" t="s">
        <v>19994</v>
      </c>
    </row>
    <row r="9566" spans="9:13" x14ac:dyDescent="0.25">
      <c r="I9566" t="s">
        <v>11324</v>
      </c>
      <c r="J9566" s="161" t="s">
        <v>19202</v>
      </c>
      <c r="K9566" t="s">
        <v>19203</v>
      </c>
      <c r="L9566" t="s">
        <v>11323</v>
      </c>
      <c r="M9566" s="161" t="s">
        <v>19202</v>
      </c>
    </row>
    <row r="9567" spans="9:13" x14ac:dyDescent="0.25">
      <c r="I9567" t="s">
        <v>6606</v>
      </c>
      <c r="J9567" s="161" t="s">
        <v>19994</v>
      </c>
      <c r="K9567" t="s">
        <v>19203</v>
      </c>
      <c r="L9567" t="s">
        <v>85</v>
      </c>
      <c r="M9567" s="161" t="s">
        <v>19994</v>
      </c>
    </row>
    <row r="9568" spans="9:13" x14ac:dyDescent="0.25">
      <c r="I9568" t="s">
        <v>11354</v>
      </c>
      <c r="J9568" s="161" t="s">
        <v>19994</v>
      </c>
      <c r="K9568" t="s">
        <v>19203</v>
      </c>
      <c r="L9568" t="s">
        <v>11353</v>
      </c>
      <c r="M9568" s="161" t="s">
        <v>19994</v>
      </c>
    </row>
    <row r="9569" spans="9:13" x14ac:dyDescent="0.25">
      <c r="I9569" t="s">
        <v>11352</v>
      </c>
      <c r="J9569" s="161" t="s">
        <v>19994</v>
      </c>
      <c r="K9569" t="s">
        <v>19203</v>
      </c>
      <c r="L9569" t="s">
        <v>11351</v>
      </c>
      <c r="M9569" s="161" t="s">
        <v>19994</v>
      </c>
    </row>
    <row r="9570" spans="9:13" x14ac:dyDescent="0.25">
      <c r="I9570" t="s">
        <v>17397</v>
      </c>
      <c r="J9570" s="161" t="s">
        <v>19994</v>
      </c>
      <c r="K9570" t="s">
        <v>19203</v>
      </c>
      <c r="L9570" t="s">
        <v>17396</v>
      </c>
      <c r="M9570" s="161" t="s">
        <v>19994</v>
      </c>
    </row>
    <row r="9571" spans="9:13" x14ac:dyDescent="0.25">
      <c r="I9571" t="s">
        <v>5388</v>
      </c>
      <c r="J9571" s="161" t="s">
        <v>19994</v>
      </c>
      <c r="K9571" t="s">
        <v>19203</v>
      </c>
      <c r="L9571" t="s">
        <v>5387</v>
      </c>
      <c r="M9571" s="161" t="s">
        <v>19994</v>
      </c>
    </row>
    <row r="9572" spans="9:13" x14ac:dyDescent="0.25">
      <c r="I9572" t="s">
        <v>13788</v>
      </c>
      <c r="J9572" s="161" t="s">
        <v>19202</v>
      </c>
      <c r="K9572" t="s">
        <v>19203</v>
      </c>
      <c r="L9572" t="s">
        <v>13787</v>
      </c>
      <c r="M9572" s="161" t="s">
        <v>19202</v>
      </c>
    </row>
    <row r="9573" spans="9:13" x14ac:dyDescent="0.25">
      <c r="I9573" t="s">
        <v>15228</v>
      </c>
      <c r="J9573" s="161" t="s">
        <v>19202</v>
      </c>
      <c r="K9573" t="s">
        <v>19203</v>
      </c>
      <c r="L9573" t="s">
        <v>1350</v>
      </c>
      <c r="M9573" s="161" t="s">
        <v>19202</v>
      </c>
    </row>
    <row r="9574" spans="9:13" x14ac:dyDescent="0.25">
      <c r="I9574" t="s">
        <v>4308</v>
      </c>
      <c r="J9574" s="161" t="s">
        <v>19994</v>
      </c>
      <c r="K9574" t="s">
        <v>19203</v>
      </c>
      <c r="L9574" t="s">
        <v>4307</v>
      </c>
      <c r="M9574" s="161" t="s">
        <v>19994</v>
      </c>
    </row>
    <row r="9575" spans="9:13" x14ac:dyDescent="0.25">
      <c r="I9575" t="s">
        <v>139</v>
      </c>
      <c r="J9575" s="161" t="s">
        <v>19994</v>
      </c>
      <c r="K9575" t="s">
        <v>19203</v>
      </c>
      <c r="L9575" t="s">
        <v>138</v>
      </c>
      <c r="M9575" s="161" t="s">
        <v>19994</v>
      </c>
    </row>
    <row r="9576" spans="9:13" x14ac:dyDescent="0.25">
      <c r="I9576" t="s">
        <v>135</v>
      </c>
      <c r="J9576" s="161" t="s">
        <v>19994</v>
      </c>
      <c r="K9576" t="s">
        <v>19203</v>
      </c>
      <c r="L9576" t="s">
        <v>122</v>
      </c>
      <c r="M9576" s="161" t="s">
        <v>19994</v>
      </c>
    </row>
    <row r="9577" spans="9:13" x14ac:dyDescent="0.25">
      <c r="I9577" t="s">
        <v>99</v>
      </c>
      <c r="J9577" s="161" t="s">
        <v>19994</v>
      </c>
      <c r="K9577" t="s">
        <v>19203</v>
      </c>
      <c r="L9577" t="s">
        <v>85</v>
      </c>
      <c r="M9577" s="161" t="s">
        <v>19994</v>
      </c>
    </row>
    <row r="9578" spans="9:13" x14ac:dyDescent="0.25">
      <c r="I9578" t="s">
        <v>98</v>
      </c>
      <c r="J9578" s="161" t="s">
        <v>19994</v>
      </c>
      <c r="K9578" t="s">
        <v>19203</v>
      </c>
      <c r="L9578" t="s">
        <v>97</v>
      </c>
      <c r="M9578" s="161" t="s">
        <v>19994</v>
      </c>
    </row>
    <row r="9579" spans="9:13" x14ac:dyDescent="0.25">
      <c r="I9579" t="s">
        <v>20880</v>
      </c>
      <c r="J9579" s="161" t="s">
        <v>19202</v>
      </c>
      <c r="K9579" t="s">
        <v>19203</v>
      </c>
      <c r="L9579" t="s">
        <v>20881</v>
      </c>
      <c r="M9579" s="161" t="s">
        <v>19202</v>
      </c>
    </row>
    <row r="9580" spans="9:13" x14ac:dyDescent="0.25">
      <c r="I9580" t="s">
        <v>10805</v>
      </c>
      <c r="J9580" s="161" t="s">
        <v>19994</v>
      </c>
      <c r="K9580" t="s">
        <v>19203</v>
      </c>
      <c r="L9580" t="s">
        <v>10804</v>
      </c>
      <c r="M9580" s="161" t="s">
        <v>19994</v>
      </c>
    </row>
    <row r="9581" spans="9:13" x14ac:dyDescent="0.25">
      <c r="I9581" t="s">
        <v>9823</v>
      </c>
      <c r="J9581" s="161" t="s">
        <v>19994</v>
      </c>
      <c r="K9581" t="s">
        <v>19203</v>
      </c>
      <c r="L9581" t="s">
        <v>9822</v>
      </c>
      <c r="M9581" s="161" t="s">
        <v>19994</v>
      </c>
    </row>
    <row r="9582" spans="9:13" x14ac:dyDescent="0.25">
      <c r="I9582" t="s">
        <v>9214</v>
      </c>
      <c r="J9582" s="161" t="s">
        <v>19994</v>
      </c>
      <c r="K9582" t="s">
        <v>19203</v>
      </c>
      <c r="L9582" t="s">
        <v>9213</v>
      </c>
      <c r="M9582" s="161" t="s">
        <v>19994</v>
      </c>
    </row>
    <row r="9583" spans="9:13" x14ac:dyDescent="0.25">
      <c r="I9583" t="s">
        <v>6744</v>
      </c>
      <c r="J9583" s="161" t="s">
        <v>19994</v>
      </c>
      <c r="K9583" t="s">
        <v>19203</v>
      </c>
      <c r="L9583" t="s">
        <v>6743</v>
      </c>
      <c r="M9583" s="161" t="s">
        <v>19994</v>
      </c>
    </row>
    <row r="9584" spans="9:13" x14ac:dyDescent="0.25">
      <c r="I9584" t="s">
        <v>5896</v>
      </c>
      <c r="J9584" s="161" t="s">
        <v>19994</v>
      </c>
      <c r="K9584" t="s">
        <v>19203</v>
      </c>
      <c r="L9584" t="s">
        <v>5895</v>
      </c>
      <c r="M9584" s="161" t="s">
        <v>19994</v>
      </c>
    </row>
    <row r="9585" spans="9:13" x14ac:dyDescent="0.25">
      <c r="I9585" t="s">
        <v>11929</v>
      </c>
      <c r="J9585" s="161" t="s">
        <v>19994</v>
      </c>
      <c r="K9585" t="s">
        <v>19203</v>
      </c>
      <c r="L9585" t="s">
        <v>11928</v>
      </c>
      <c r="M9585" s="161" t="s">
        <v>19994</v>
      </c>
    </row>
    <row r="9586" spans="9:13" x14ac:dyDescent="0.25">
      <c r="I9586" t="s">
        <v>16363</v>
      </c>
      <c r="J9586" s="161" t="s">
        <v>19994</v>
      </c>
      <c r="K9586" t="s">
        <v>19203</v>
      </c>
      <c r="L9586" t="s">
        <v>16362</v>
      </c>
      <c r="M9586" s="161" t="s">
        <v>19994</v>
      </c>
    </row>
    <row r="9587" spans="9:13" x14ac:dyDescent="0.25">
      <c r="I9587" t="s">
        <v>16205</v>
      </c>
      <c r="J9587" s="161" t="s">
        <v>19994</v>
      </c>
      <c r="K9587" t="s">
        <v>19203</v>
      </c>
      <c r="L9587" t="s">
        <v>16204</v>
      </c>
      <c r="M9587" s="161" t="s">
        <v>19994</v>
      </c>
    </row>
    <row r="9588" spans="9:13" x14ac:dyDescent="0.25">
      <c r="I9588" t="s">
        <v>16203</v>
      </c>
      <c r="J9588" s="161" t="s">
        <v>19994</v>
      </c>
      <c r="K9588" t="s">
        <v>19203</v>
      </c>
      <c r="L9588" t="s">
        <v>16202</v>
      </c>
      <c r="M9588" s="161" t="s">
        <v>19994</v>
      </c>
    </row>
    <row r="9589" spans="9:13" x14ac:dyDescent="0.25">
      <c r="I9589" t="s">
        <v>11360</v>
      </c>
      <c r="J9589" s="161" t="s">
        <v>19994</v>
      </c>
      <c r="K9589" t="s">
        <v>19203</v>
      </c>
      <c r="L9589" t="s">
        <v>11359</v>
      </c>
      <c r="M9589" s="161" t="s">
        <v>19994</v>
      </c>
    </row>
    <row r="9590" spans="9:13" x14ac:dyDescent="0.25">
      <c r="I9590" t="s">
        <v>6079</v>
      </c>
      <c r="J9590" s="161" t="s">
        <v>19202</v>
      </c>
      <c r="K9590" t="s">
        <v>19203</v>
      </c>
      <c r="L9590" t="s">
        <v>6078</v>
      </c>
      <c r="M9590" s="161" t="s">
        <v>19202</v>
      </c>
    </row>
    <row r="9591" spans="9:13" x14ac:dyDescent="0.25">
      <c r="I9591" t="s">
        <v>7065</v>
      </c>
      <c r="J9591" s="161" t="s">
        <v>19202</v>
      </c>
      <c r="K9591" t="s">
        <v>19203</v>
      </c>
      <c r="L9591" t="s">
        <v>7064</v>
      </c>
      <c r="M9591" s="161" t="s">
        <v>19202</v>
      </c>
    </row>
    <row r="9592" spans="9:13" x14ac:dyDescent="0.25">
      <c r="I9592" t="s">
        <v>20882</v>
      </c>
      <c r="J9592" s="161" t="s">
        <v>19202</v>
      </c>
      <c r="K9592" t="s">
        <v>19203</v>
      </c>
      <c r="L9592" t="s">
        <v>20883</v>
      </c>
      <c r="M9592" s="161" t="s">
        <v>19202</v>
      </c>
    </row>
    <row r="9593" spans="9:13" x14ac:dyDescent="0.25">
      <c r="I9593" t="s">
        <v>11899</v>
      </c>
      <c r="J9593" s="161" t="s">
        <v>19202</v>
      </c>
      <c r="K9593" t="s">
        <v>19203</v>
      </c>
      <c r="L9593" t="s">
        <v>11898</v>
      </c>
      <c r="M9593" s="161" t="s">
        <v>19202</v>
      </c>
    </row>
    <row r="9594" spans="9:13" x14ac:dyDescent="0.25">
      <c r="I9594" t="s">
        <v>20884</v>
      </c>
      <c r="J9594" s="161" t="s">
        <v>19202</v>
      </c>
      <c r="K9594" t="s">
        <v>19203</v>
      </c>
      <c r="L9594" t="s">
        <v>20885</v>
      </c>
      <c r="M9594" s="161" t="s">
        <v>19202</v>
      </c>
    </row>
    <row r="9595" spans="9:13" x14ac:dyDescent="0.25">
      <c r="I9595" t="s">
        <v>20886</v>
      </c>
      <c r="J9595" s="161" t="s">
        <v>19202</v>
      </c>
      <c r="K9595" t="s">
        <v>19203</v>
      </c>
      <c r="L9595" t="s">
        <v>20887</v>
      </c>
      <c r="M9595" s="161" t="s">
        <v>19202</v>
      </c>
    </row>
    <row r="9596" spans="9:13" x14ac:dyDescent="0.25">
      <c r="I9596" t="s">
        <v>17096</v>
      </c>
      <c r="J9596" s="161" t="s">
        <v>19994</v>
      </c>
      <c r="K9596" t="s">
        <v>19203</v>
      </c>
      <c r="L9596" t="s">
        <v>17095</v>
      </c>
      <c r="M9596" s="161" t="s">
        <v>19994</v>
      </c>
    </row>
    <row r="9597" spans="9:13" x14ac:dyDescent="0.25">
      <c r="I9597" t="s">
        <v>6284</v>
      </c>
      <c r="J9597" s="161" t="s">
        <v>19202</v>
      </c>
      <c r="K9597" t="s">
        <v>19203</v>
      </c>
      <c r="L9597" t="s">
        <v>6283</v>
      </c>
      <c r="M9597" s="161" t="s">
        <v>19202</v>
      </c>
    </row>
    <row r="9598" spans="9:13" x14ac:dyDescent="0.25">
      <c r="I9598" t="s">
        <v>2449</v>
      </c>
      <c r="J9598" s="161" t="s">
        <v>19994</v>
      </c>
      <c r="K9598" t="s">
        <v>19203</v>
      </c>
      <c r="L9598" t="s">
        <v>2448</v>
      </c>
      <c r="M9598" s="161" t="s">
        <v>19994</v>
      </c>
    </row>
    <row r="9599" spans="9:13" x14ac:dyDescent="0.25">
      <c r="I9599" t="s">
        <v>8442</v>
      </c>
      <c r="J9599" s="161" t="s">
        <v>19994</v>
      </c>
      <c r="K9599" t="s">
        <v>19203</v>
      </c>
      <c r="L9599" t="s">
        <v>8441</v>
      </c>
      <c r="M9599" s="161" t="s">
        <v>19994</v>
      </c>
    </row>
    <row r="9600" spans="9:13" x14ac:dyDescent="0.25">
      <c r="I9600" t="s">
        <v>7684</v>
      </c>
      <c r="J9600" s="161" t="s">
        <v>19994</v>
      </c>
      <c r="K9600" t="s">
        <v>19203</v>
      </c>
      <c r="L9600" t="s">
        <v>7683</v>
      </c>
      <c r="M9600" s="161" t="s">
        <v>19994</v>
      </c>
    </row>
    <row r="9601" spans="9:13" x14ac:dyDescent="0.25">
      <c r="I9601" t="s">
        <v>6537</v>
      </c>
      <c r="J9601" s="161" t="s">
        <v>19994</v>
      </c>
      <c r="K9601" t="s">
        <v>19203</v>
      </c>
      <c r="L9601" t="s">
        <v>6165</v>
      </c>
      <c r="M9601" s="161" t="s">
        <v>19994</v>
      </c>
    </row>
    <row r="9602" spans="9:13" x14ac:dyDescent="0.25">
      <c r="I9602" t="s">
        <v>20888</v>
      </c>
      <c r="J9602" s="161" t="s">
        <v>19202</v>
      </c>
      <c r="K9602" t="s">
        <v>19203</v>
      </c>
      <c r="L9602" t="s">
        <v>2084</v>
      </c>
      <c r="M9602" s="161" t="s">
        <v>19202</v>
      </c>
    </row>
    <row r="9603" spans="9:13" x14ac:dyDescent="0.25">
      <c r="I9603" t="s">
        <v>2707</v>
      </c>
      <c r="J9603" s="161" t="s">
        <v>19202</v>
      </c>
      <c r="K9603" t="s">
        <v>19203</v>
      </c>
      <c r="L9603" t="s">
        <v>2706</v>
      </c>
      <c r="M9603" s="161" t="s">
        <v>19202</v>
      </c>
    </row>
    <row r="9604" spans="9:13" x14ac:dyDescent="0.25">
      <c r="I9604" t="s">
        <v>10102</v>
      </c>
      <c r="J9604" s="161" t="s">
        <v>19994</v>
      </c>
      <c r="K9604" t="s">
        <v>19203</v>
      </c>
      <c r="L9604" t="s">
        <v>10101</v>
      </c>
      <c r="M9604" s="161" t="s">
        <v>19994</v>
      </c>
    </row>
    <row r="9605" spans="9:13" x14ac:dyDescent="0.25">
      <c r="I9605" t="s">
        <v>6006</v>
      </c>
      <c r="J9605" s="161" t="s">
        <v>19994</v>
      </c>
      <c r="K9605" t="s">
        <v>19203</v>
      </c>
      <c r="L9605" t="s">
        <v>1212</v>
      </c>
      <c r="M9605" s="161" t="s">
        <v>19994</v>
      </c>
    </row>
    <row r="9606" spans="9:13" x14ac:dyDescent="0.25">
      <c r="I9606" t="s">
        <v>20889</v>
      </c>
      <c r="J9606" s="161" t="s">
        <v>19202</v>
      </c>
      <c r="K9606" t="s">
        <v>19203</v>
      </c>
      <c r="L9606" t="s">
        <v>20890</v>
      </c>
      <c r="M9606" s="161" t="s">
        <v>19202</v>
      </c>
    </row>
    <row r="9607" spans="9:13" x14ac:dyDescent="0.25">
      <c r="I9607" t="s">
        <v>12087</v>
      </c>
      <c r="J9607" s="161" t="s">
        <v>19202</v>
      </c>
      <c r="K9607" t="s">
        <v>19203</v>
      </c>
      <c r="L9607" t="s">
        <v>12086</v>
      </c>
      <c r="M9607" s="161" t="s">
        <v>19202</v>
      </c>
    </row>
    <row r="9608" spans="9:13" x14ac:dyDescent="0.25">
      <c r="I9608" t="s">
        <v>11409</v>
      </c>
      <c r="J9608" s="161" t="s">
        <v>19994</v>
      </c>
      <c r="K9608" t="s">
        <v>19203</v>
      </c>
      <c r="L9608" t="s">
        <v>11408</v>
      </c>
      <c r="M9608" s="161" t="s">
        <v>19994</v>
      </c>
    </row>
    <row r="9609" spans="9:13" x14ac:dyDescent="0.25">
      <c r="I9609" t="s">
        <v>10144</v>
      </c>
      <c r="J9609" s="161" t="s">
        <v>19202</v>
      </c>
      <c r="K9609" t="s">
        <v>19203</v>
      </c>
      <c r="L9609" t="s">
        <v>10143</v>
      </c>
      <c r="M9609" s="161" t="s">
        <v>19202</v>
      </c>
    </row>
    <row r="9610" spans="9:13" x14ac:dyDescent="0.25">
      <c r="I9610" t="s">
        <v>7792</v>
      </c>
      <c r="J9610" s="161" t="s">
        <v>19202</v>
      </c>
      <c r="K9610" t="s">
        <v>19203</v>
      </c>
      <c r="L9610" t="s">
        <v>7791</v>
      </c>
      <c r="M9610" s="161" t="s">
        <v>19202</v>
      </c>
    </row>
    <row r="9611" spans="9:13" x14ac:dyDescent="0.25">
      <c r="I9611" t="s">
        <v>5626</v>
      </c>
      <c r="J9611" s="161" t="s">
        <v>19202</v>
      </c>
      <c r="K9611" t="s">
        <v>19203</v>
      </c>
      <c r="L9611" t="s">
        <v>5625</v>
      </c>
      <c r="M9611" s="161" t="s">
        <v>19202</v>
      </c>
    </row>
    <row r="9612" spans="9:13" x14ac:dyDescent="0.25">
      <c r="I9612" t="s">
        <v>8972</v>
      </c>
      <c r="J9612" s="161" t="s">
        <v>19994</v>
      </c>
      <c r="K9612" t="s">
        <v>19203</v>
      </c>
      <c r="L9612" t="s">
        <v>8971</v>
      </c>
      <c r="M9612" s="161" t="s">
        <v>19994</v>
      </c>
    </row>
    <row r="9613" spans="9:13" x14ac:dyDescent="0.25">
      <c r="I9613" t="s">
        <v>20891</v>
      </c>
      <c r="J9613" s="161" t="s">
        <v>19994</v>
      </c>
      <c r="K9613" t="s">
        <v>19203</v>
      </c>
      <c r="L9613" t="s">
        <v>20892</v>
      </c>
      <c r="M9613" s="161" t="s">
        <v>19994</v>
      </c>
    </row>
    <row r="9614" spans="9:13" x14ac:dyDescent="0.25">
      <c r="I9614" t="s">
        <v>5657</v>
      </c>
      <c r="J9614" s="161" t="s">
        <v>19994</v>
      </c>
      <c r="K9614" t="s">
        <v>19203</v>
      </c>
      <c r="L9614" t="s">
        <v>5656</v>
      </c>
      <c r="M9614" s="161" t="s">
        <v>19994</v>
      </c>
    </row>
    <row r="9615" spans="9:13" x14ac:dyDescent="0.25">
      <c r="I9615" t="s">
        <v>15809</v>
      </c>
      <c r="J9615" s="161" t="s">
        <v>19202</v>
      </c>
      <c r="K9615" t="s">
        <v>19203</v>
      </c>
      <c r="L9615" t="s">
        <v>15808</v>
      </c>
      <c r="M9615" s="161" t="s">
        <v>19202</v>
      </c>
    </row>
    <row r="9616" spans="9:13" x14ac:dyDescent="0.25">
      <c r="I9616" t="s">
        <v>9641</v>
      </c>
      <c r="J9616" s="161" t="s">
        <v>19994</v>
      </c>
      <c r="K9616" t="s">
        <v>19203</v>
      </c>
      <c r="L9616" t="s">
        <v>9640</v>
      </c>
      <c r="M9616" s="161" t="s">
        <v>19994</v>
      </c>
    </row>
    <row r="9617" spans="9:13" x14ac:dyDescent="0.25">
      <c r="I9617" t="s">
        <v>6567</v>
      </c>
      <c r="J9617" s="161" t="s">
        <v>19202</v>
      </c>
      <c r="K9617" t="s">
        <v>19203</v>
      </c>
      <c r="L9617" t="s">
        <v>6566</v>
      </c>
      <c r="M9617" s="161" t="s">
        <v>19202</v>
      </c>
    </row>
    <row r="9618" spans="9:13" x14ac:dyDescent="0.25">
      <c r="I9618" t="s">
        <v>4720</v>
      </c>
      <c r="J9618" s="161" t="s">
        <v>19202</v>
      </c>
      <c r="K9618" t="s">
        <v>19203</v>
      </c>
      <c r="L9618" t="s">
        <v>4719</v>
      </c>
      <c r="M9618" s="161" t="s">
        <v>19202</v>
      </c>
    </row>
    <row r="9619" spans="9:13" x14ac:dyDescent="0.25">
      <c r="I9619" t="s">
        <v>20893</v>
      </c>
      <c r="J9619" s="161" t="s">
        <v>19202</v>
      </c>
      <c r="K9619" t="s">
        <v>19203</v>
      </c>
      <c r="L9619" t="s">
        <v>20894</v>
      </c>
      <c r="M9619" s="161" t="s">
        <v>19202</v>
      </c>
    </row>
    <row r="9620" spans="9:13" x14ac:dyDescent="0.25">
      <c r="I9620" t="s">
        <v>6781</v>
      </c>
      <c r="J9620" s="161" t="s">
        <v>19202</v>
      </c>
      <c r="K9620" t="s">
        <v>19203</v>
      </c>
      <c r="L9620" t="s">
        <v>1878</v>
      </c>
      <c r="M9620" s="161" t="s">
        <v>19202</v>
      </c>
    </row>
    <row r="9621" spans="9:13" x14ac:dyDescent="0.25">
      <c r="I9621" t="s">
        <v>6646</v>
      </c>
      <c r="J9621" s="161" t="s">
        <v>19994</v>
      </c>
      <c r="K9621" t="s">
        <v>19203</v>
      </c>
      <c r="L9621" t="s">
        <v>6645</v>
      </c>
      <c r="M9621" s="161" t="s">
        <v>19994</v>
      </c>
    </row>
    <row r="9622" spans="9:13" x14ac:dyDescent="0.25">
      <c r="I9622" t="s">
        <v>20895</v>
      </c>
      <c r="J9622" s="161" t="s">
        <v>19202</v>
      </c>
      <c r="K9622" t="s">
        <v>19203</v>
      </c>
      <c r="L9622" t="s">
        <v>20896</v>
      </c>
      <c r="M9622" s="161" t="s">
        <v>19202</v>
      </c>
    </row>
    <row r="9623" spans="9:13" x14ac:dyDescent="0.25">
      <c r="I9623" t="s">
        <v>191</v>
      </c>
      <c r="J9623" s="161" t="s">
        <v>19202</v>
      </c>
      <c r="K9623" t="s">
        <v>19203</v>
      </c>
      <c r="L9623" t="s">
        <v>190</v>
      </c>
      <c r="M9623" s="161" t="s">
        <v>19202</v>
      </c>
    </row>
    <row r="9624" spans="9:13" x14ac:dyDescent="0.25">
      <c r="I9624" t="s">
        <v>17659</v>
      </c>
      <c r="J9624" s="161" t="s">
        <v>19994</v>
      </c>
      <c r="K9624" t="s">
        <v>19203</v>
      </c>
      <c r="L9624" t="s">
        <v>17658</v>
      </c>
      <c r="M9624" s="161" t="s">
        <v>19994</v>
      </c>
    </row>
    <row r="9625" spans="9:13" x14ac:dyDescent="0.25">
      <c r="I9625" t="s">
        <v>14856</v>
      </c>
      <c r="J9625" s="161" t="s">
        <v>19202</v>
      </c>
      <c r="K9625" t="s">
        <v>19203</v>
      </c>
      <c r="L9625" t="s">
        <v>1156</v>
      </c>
      <c r="M9625" s="161" t="s">
        <v>19202</v>
      </c>
    </row>
    <row r="9626" spans="9:13" x14ac:dyDescent="0.25">
      <c r="I9626" t="s">
        <v>4177</v>
      </c>
      <c r="J9626" s="161" t="s">
        <v>19202</v>
      </c>
      <c r="K9626" t="s">
        <v>19203</v>
      </c>
      <c r="L9626" t="s">
        <v>1646</v>
      </c>
      <c r="M9626" s="161" t="s">
        <v>19202</v>
      </c>
    </row>
    <row r="9627" spans="9:13" x14ac:dyDescent="0.25">
      <c r="I9627" t="s">
        <v>2791</v>
      </c>
      <c r="J9627" s="161" t="s">
        <v>19202</v>
      </c>
      <c r="K9627" t="s">
        <v>19203</v>
      </c>
      <c r="L9627" t="s">
        <v>2790</v>
      </c>
      <c r="M9627" s="161" t="s">
        <v>19202</v>
      </c>
    </row>
    <row r="9628" spans="9:13" x14ac:dyDescent="0.25">
      <c r="I9628" t="s">
        <v>5386</v>
      </c>
      <c r="J9628" s="161" t="s">
        <v>19202</v>
      </c>
      <c r="K9628" t="s">
        <v>19203</v>
      </c>
      <c r="L9628" t="s">
        <v>5385</v>
      </c>
      <c r="M9628" s="161" t="s">
        <v>19202</v>
      </c>
    </row>
    <row r="9629" spans="9:13" x14ac:dyDescent="0.25">
      <c r="I9629" t="s">
        <v>7013</v>
      </c>
      <c r="J9629" s="161" t="s">
        <v>19202</v>
      </c>
      <c r="K9629" t="s">
        <v>19203</v>
      </c>
      <c r="L9629" t="s">
        <v>7012</v>
      </c>
      <c r="M9629" s="161" t="s">
        <v>19202</v>
      </c>
    </row>
    <row r="9630" spans="9:13" x14ac:dyDescent="0.25">
      <c r="I9630" t="s">
        <v>10927</v>
      </c>
      <c r="J9630" s="161" t="s">
        <v>19994</v>
      </c>
      <c r="K9630" t="s">
        <v>19203</v>
      </c>
      <c r="L9630" t="s">
        <v>10926</v>
      </c>
      <c r="M9630" s="161" t="s">
        <v>19994</v>
      </c>
    </row>
    <row r="9631" spans="9:13" x14ac:dyDescent="0.25">
      <c r="I9631" t="s">
        <v>10767</v>
      </c>
      <c r="J9631" s="161" t="s">
        <v>19994</v>
      </c>
      <c r="K9631" t="s">
        <v>19203</v>
      </c>
      <c r="L9631" t="s">
        <v>10766</v>
      </c>
      <c r="M9631" s="161" t="s">
        <v>19994</v>
      </c>
    </row>
    <row r="9632" spans="9:13" x14ac:dyDescent="0.25">
      <c r="I9632" t="s">
        <v>10568</v>
      </c>
      <c r="J9632" s="161" t="s">
        <v>19994</v>
      </c>
      <c r="K9632" t="s">
        <v>19203</v>
      </c>
      <c r="L9632" t="s">
        <v>10567</v>
      </c>
      <c r="M9632" s="161" t="s">
        <v>19994</v>
      </c>
    </row>
    <row r="9633" spans="9:13" x14ac:dyDescent="0.25">
      <c r="I9633" t="s">
        <v>20897</v>
      </c>
      <c r="J9633" s="161" t="s">
        <v>19994</v>
      </c>
      <c r="K9633" t="s">
        <v>19203</v>
      </c>
      <c r="L9633" t="s">
        <v>20898</v>
      </c>
      <c r="M9633" s="161" t="s">
        <v>19994</v>
      </c>
    </row>
    <row r="9634" spans="9:13" x14ac:dyDescent="0.25">
      <c r="I9634" t="s">
        <v>5892</v>
      </c>
      <c r="J9634" s="161" t="s">
        <v>19202</v>
      </c>
      <c r="K9634" t="s">
        <v>19203</v>
      </c>
      <c r="L9634" t="s">
        <v>5891</v>
      </c>
      <c r="M9634" s="161" t="s">
        <v>19202</v>
      </c>
    </row>
    <row r="9635" spans="9:13" x14ac:dyDescent="0.25">
      <c r="I9635" t="s">
        <v>4722</v>
      </c>
      <c r="J9635" s="161" t="s">
        <v>19994</v>
      </c>
      <c r="K9635" t="s">
        <v>19203</v>
      </c>
      <c r="L9635" t="s">
        <v>4721</v>
      </c>
      <c r="M9635" s="161" t="s">
        <v>19994</v>
      </c>
    </row>
    <row r="9636" spans="9:13" x14ac:dyDescent="0.25">
      <c r="I9636" t="s">
        <v>2554</v>
      </c>
      <c r="J9636" s="161" t="s">
        <v>19994</v>
      </c>
      <c r="K9636" t="s">
        <v>19203</v>
      </c>
      <c r="L9636" t="s">
        <v>2553</v>
      </c>
      <c r="M9636" s="161" t="s">
        <v>19994</v>
      </c>
    </row>
    <row r="9637" spans="9:13" x14ac:dyDescent="0.25">
      <c r="I9637" t="s">
        <v>9538</v>
      </c>
      <c r="J9637" s="161" t="s">
        <v>19994</v>
      </c>
      <c r="K9637" t="s">
        <v>19203</v>
      </c>
      <c r="L9637" t="s">
        <v>9537</v>
      </c>
      <c r="M9637" s="161" t="s">
        <v>19994</v>
      </c>
    </row>
    <row r="9638" spans="9:13" x14ac:dyDescent="0.25">
      <c r="I9638" t="s">
        <v>13079</v>
      </c>
      <c r="J9638" s="161" t="s">
        <v>19994</v>
      </c>
      <c r="K9638" t="s">
        <v>19203</v>
      </c>
      <c r="L9638" t="s">
        <v>13078</v>
      </c>
      <c r="M9638" s="161" t="s">
        <v>19994</v>
      </c>
    </row>
    <row r="9639" spans="9:13" x14ac:dyDescent="0.25">
      <c r="I9639" t="s">
        <v>8558</v>
      </c>
      <c r="J9639" s="161" t="s">
        <v>19994</v>
      </c>
      <c r="K9639" t="s">
        <v>19203</v>
      </c>
      <c r="L9639" t="s">
        <v>8557</v>
      </c>
      <c r="M9639" s="161" t="s">
        <v>19994</v>
      </c>
    </row>
    <row r="9640" spans="9:13" x14ac:dyDescent="0.25">
      <c r="I9640" t="s">
        <v>8328</v>
      </c>
      <c r="J9640" s="161" t="s">
        <v>19994</v>
      </c>
      <c r="K9640" t="s">
        <v>19203</v>
      </c>
      <c r="L9640" t="s">
        <v>8327</v>
      </c>
      <c r="M9640" s="161" t="s">
        <v>19994</v>
      </c>
    </row>
    <row r="9641" spans="9:13" x14ac:dyDescent="0.25">
      <c r="I9641" t="s">
        <v>7167</v>
      </c>
      <c r="J9641" s="161" t="s">
        <v>19994</v>
      </c>
      <c r="K9641" t="s">
        <v>19203</v>
      </c>
      <c r="L9641" t="s">
        <v>7166</v>
      </c>
      <c r="M9641" s="161" t="s">
        <v>19994</v>
      </c>
    </row>
    <row r="9642" spans="9:13" x14ac:dyDescent="0.25">
      <c r="I9642" t="s">
        <v>7163</v>
      </c>
      <c r="J9642" s="161" t="s">
        <v>19994</v>
      </c>
      <c r="K9642" t="s">
        <v>19203</v>
      </c>
      <c r="L9642" t="s">
        <v>7162</v>
      </c>
      <c r="M9642" s="161" t="s">
        <v>19994</v>
      </c>
    </row>
    <row r="9643" spans="9:13" x14ac:dyDescent="0.25">
      <c r="I9643" t="s">
        <v>20899</v>
      </c>
      <c r="J9643" s="161" t="s">
        <v>19994</v>
      </c>
      <c r="K9643" t="s">
        <v>19203</v>
      </c>
      <c r="L9643" t="s">
        <v>20900</v>
      </c>
      <c r="M9643" s="161" t="s">
        <v>19994</v>
      </c>
    </row>
    <row r="9644" spans="9:13" x14ac:dyDescent="0.25">
      <c r="I9644" t="s">
        <v>12338</v>
      </c>
      <c r="J9644" s="161" t="s">
        <v>19202</v>
      </c>
      <c r="K9644" t="s">
        <v>19203</v>
      </c>
      <c r="L9644" t="s">
        <v>12337</v>
      </c>
      <c r="M9644" s="161" t="s">
        <v>19202</v>
      </c>
    </row>
    <row r="9645" spans="9:13" x14ac:dyDescent="0.25">
      <c r="I9645" t="s">
        <v>11788</v>
      </c>
      <c r="J9645" s="161" t="s">
        <v>19202</v>
      </c>
      <c r="K9645" t="s">
        <v>19203</v>
      </c>
      <c r="L9645" t="s">
        <v>11787</v>
      </c>
      <c r="M9645" s="161" t="s">
        <v>19202</v>
      </c>
    </row>
    <row r="9646" spans="9:13" x14ac:dyDescent="0.25">
      <c r="I9646" t="s">
        <v>6778</v>
      </c>
      <c r="J9646" s="161" t="s">
        <v>19202</v>
      </c>
      <c r="K9646" t="s">
        <v>19203</v>
      </c>
      <c r="L9646" t="s">
        <v>370</v>
      </c>
      <c r="M9646" s="161" t="s">
        <v>19202</v>
      </c>
    </row>
    <row r="9647" spans="9:13" x14ac:dyDescent="0.25">
      <c r="I9647" t="s">
        <v>6238</v>
      </c>
      <c r="J9647" s="161" t="s">
        <v>19994</v>
      </c>
      <c r="K9647" t="s">
        <v>19203</v>
      </c>
      <c r="L9647" t="s">
        <v>6237</v>
      </c>
      <c r="M9647" s="161" t="s">
        <v>19994</v>
      </c>
    </row>
    <row r="9648" spans="9:13" x14ac:dyDescent="0.25">
      <c r="I9648" t="s">
        <v>985</v>
      </c>
      <c r="J9648" s="161" t="s">
        <v>19202</v>
      </c>
      <c r="K9648" t="s">
        <v>19203</v>
      </c>
      <c r="L9648" t="s">
        <v>968</v>
      </c>
      <c r="M9648" s="161" t="s">
        <v>19202</v>
      </c>
    </row>
    <row r="9649" spans="9:13" x14ac:dyDescent="0.25">
      <c r="I9649" t="s">
        <v>9178</v>
      </c>
      <c r="J9649" s="161" t="s">
        <v>19202</v>
      </c>
      <c r="K9649" t="s">
        <v>19203</v>
      </c>
      <c r="L9649" t="s">
        <v>9177</v>
      </c>
      <c r="M9649" s="161" t="s">
        <v>19202</v>
      </c>
    </row>
    <row r="9650" spans="9:13" x14ac:dyDescent="0.25">
      <c r="I9650" t="s">
        <v>20901</v>
      </c>
      <c r="J9650" s="161" t="s">
        <v>19994</v>
      </c>
      <c r="K9650" t="s">
        <v>19203</v>
      </c>
      <c r="L9650" t="s">
        <v>20902</v>
      </c>
      <c r="M9650" s="161" t="s">
        <v>19994</v>
      </c>
    </row>
    <row r="9651" spans="9:13" x14ac:dyDescent="0.25">
      <c r="I9651" t="s">
        <v>11573</v>
      </c>
      <c r="J9651" s="161" t="s">
        <v>19202</v>
      </c>
      <c r="K9651" t="s">
        <v>19203</v>
      </c>
      <c r="L9651" t="s">
        <v>11572</v>
      </c>
      <c r="M9651" s="161" t="s">
        <v>19202</v>
      </c>
    </row>
    <row r="9652" spans="9:13" x14ac:dyDescent="0.25">
      <c r="I9652" t="s">
        <v>10070</v>
      </c>
      <c r="J9652" s="161" t="s">
        <v>19994</v>
      </c>
      <c r="K9652" t="s">
        <v>19203</v>
      </c>
      <c r="L9652" t="s">
        <v>10069</v>
      </c>
      <c r="M9652" s="161" t="s">
        <v>19994</v>
      </c>
    </row>
    <row r="9653" spans="9:13" x14ac:dyDescent="0.25">
      <c r="I9653" t="s">
        <v>5624</v>
      </c>
      <c r="J9653" s="161" t="s">
        <v>19202</v>
      </c>
      <c r="K9653" t="s">
        <v>19203</v>
      </c>
      <c r="L9653" t="s">
        <v>5623</v>
      </c>
      <c r="M9653" s="161" t="s">
        <v>19202</v>
      </c>
    </row>
    <row r="9654" spans="9:13" x14ac:dyDescent="0.25">
      <c r="I9654" t="s">
        <v>3685</v>
      </c>
      <c r="J9654" s="161" t="s">
        <v>19202</v>
      </c>
      <c r="K9654" t="s">
        <v>19203</v>
      </c>
      <c r="L9654" t="s">
        <v>3684</v>
      </c>
      <c r="M9654" s="161" t="s">
        <v>19202</v>
      </c>
    </row>
    <row r="9655" spans="9:13" x14ac:dyDescent="0.25">
      <c r="I9655" t="s">
        <v>20903</v>
      </c>
      <c r="J9655" s="161" t="s">
        <v>19202</v>
      </c>
      <c r="K9655" t="s">
        <v>19203</v>
      </c>
      <c r="L9655" t="s">
        <v>20904</v>
      </c>
      <c r="M9655" s="161" t="s">
        <v>19202</v>
      </c>
    </row>
    <row r="9656" spans="9:13" x14ac:dyDescent="0.25">
      <c r="I9656" t="s">
        <v>910</v>
      </c>
      <c r="J9656" s="161" t="s">
        <v>19202</v>
      </c>
      <c r="K9656" t="s">
        <v>19203</v>
      </c>
      <c r="L9656" t="s">
        <v>909</v>
      </c>
      <c r="M9656" s="161" t="s">
        <v>19202</v>
      </c>
    </row>
    <row r="9657" spans="9:13" x14ac:dyDescent="0.25">
      <c r="I9657" t="s">
        <v>256</v>
      </c>
      <c r="J9657" s="161" t="s">
        <v>19202</v>
      </c>
      <c r="K9657" t="s">
        <v>19203</v>
      </c>
      <c r="L9657" t="s">
        <v>255</v>
      </c>
      <c r="M9657" s="161" t="s">
        <v>19202</v>
      </c>
    </row>
    <row r="9658" spans="9:13" x14ac:dyDescent="0.25">
      <c r="I9658" t="s">
        <v>10929</v>
      </c>
      <c r="J9658" s="161" t="s">
        <v>19994</v>
      </c>
      <c r="K9658" t="s">
        <v>19203</v>
      </c>
      <c r="L9658" t="s">
        <v>10928</v>
      </c>
      <c r="M9658" s="161" t="s">
        <v>19994</v>
      </c>
    </row>
    <row r="9659" spans="9:13" x14ac:dyDescent="0.25">
      <c r="I9659" t="s">
        <v>10094</v>
      </c>
      <c r="J9659" s="161" t="s">
        <v>19994</v>
      </c>
      <c r="K9659" t="s">
        <v>19203</v>
      </c>
      <c r="L9659" t="s">
        <v>10093</v>
      </c>
      <c r="M9659" s="161" t="s">
        <v>19994</v>
      </c>
    </row>
    <row r="9660" spans="9:13" x14ac:dyDescent="0.25">
      <c r="I9660" t="s">
        <v>20905</v>
      </c>
      <c r="J9660" s="161" t="s">
        <v>19202</v>
      </c>
      <c r="K9660" t="s">
        <v>19203</v>
      </c>
      <c r="L9660" t="s">
        <v>20906</v>
      </c>
      <c r="M9660" s="161" t="s">
        <v>19202</v>
      </c>
    </row>
    <row r="9661" spans="9:13" x14ac:dyDescent="0.25">
      <c r="I9661" t="s">
        <v>20907</v>
      </c>
      <c r="J9661" s="161" t="s">
        <v>19202</v>
      </c>
      <c r="K9661" t="s">
        <v>19203</v>
      </c>
      <c r="L9661" t="s">
        <v>20908</v>
      </c>
      <c r="M9661" s="161" t="s">
        <v>19202</v>
      </c>
    </row>
    <row r="9662" spans="9:13" x14ac:dyDescent="0.25">
      <c r="I9662" t="s">
        <v>4636</v>
      </c>
      <c r="J9662" s="161" t="s">
        <v>19202</v>
      </c>
      <c r="K9662" t="s">
        <v>19203</v>
      </c>
      <c r="L9662" t="s">
        <v>4635</v>
      </c>
      <c r="M9662" s="161" t="s">
        <v>19202</v>
      </c>
    </row>
    <row r="9663" spans="9:13" x14ac:dyDescent="0.25">
      <c r="I9663" t="s">
        <v>137</v>
      </c>
      <c r="J9663" s="161" t="s">
        <v>19994</v>
      </c>
      <c r="K9663" t="s">
        <v>19203</v>
      </c>
      <c r="L9663" t="s">
        <v>136</v>
      </c>
      <c r="M9663" s="161" t="s">
        <v>19994</v>
      </c>
    </row>
    <row r="9664" spans="9:13" x14ac:dyDescent="0.25">
      <c r="I9664" t="s">
        <v>12632</v>
      </c>
      <c r="J9664" s="161" t="s">
        <v>19202</v>
      </c>
      <c r="K9664" t="s">
        <v>19203</v>
      </c>
      <c r="L9664" t="s">
        <v>12631</v>
      </c>
      <c r="M9664" s="161" t="s">
        <v>19202</v>
      </c>
    </row>
    <row r="9665" spans="9:13" x14ac:dyDescent="0.25">
      <c r="I9665" t="s">
        <v>8686</v>
      </c>
      <c r="J9665" s="161" t="s">
        <v>19994</v>
      </c>
      <c r="K9665" t="s">
        <v>19203</v>
      </c>
      <c r="L9665" t="s">
        <v>8685</v>
      </c>
      <c r="M9665" s="161" t="s">
        <v>19994</v>
      </c>
    </row>
    <row r="9666" spans="9:13" x14ac:dyDescent="0.25">
      <c r="I9666" t="s">
        <v>8684</v>
      </c>
      <c r="J9666" s="161" t="s">
        <v>19994</v>
      </c>
      <c r="K9666" t="s">
        <v>19203</v>
      </c>
      <c r="L9666" t="s">
        <v>8683</v>
      </c>
      <c r="M9666" s="161" t="s">
        <v>19994</v>
      </c>
    </row>
    <row r="9667" spans="9:13" x14ac:dyDescent="0.25">
      <c r="I9667" t="s">
        <v>8682</v>
      </c>
      <c r="J9667" s="161" t="s">
        <v>19994</v>
      </c>
      <c r="K9667" t="s">
        <v>19203</v>
      </c>
      <c r="L9667" t="s">
        <v>8681</v>
      </c>
      <c r="M9667" s="161" t="s">
        <v>19994</v>
      </c>
    </row>
    <row r="9668" spans="9:13" x14ac:dyDescent="0.25">
      <c r="I9668" t="s">
        <v>13076</v>
      </c>
      <c r="J9668" s="161" t="s">
        <v>19202</v>
      </c>
      <c r="K9668" t="s">
        <v>19203</v>
      </c>
      <c r="L9668" t="s">
        <v>934</v>
      </c>
      <c r="M9668" s="161" t="s">
        <v>19202</v>
      </c>
    </row>
    <row r="9669" spans="9:13" x14ac:dyDescent="0.25">
      <c r="I9669" t="s">
        <v>11405</v>
      </c>
      <c r="J9669" s="161" t="s">
        <v>19202</v>
      </c>
      <c r="K9669" t="s">
        <v>19203</v>
      </c>
      <c r="L9669" t="s">
        <v>11404</v>
      </c>
      <c r="M9669" s="161" t="s">
        <v>19202</v>
      </c>
    </row>
    <row r="9670" spans="9:13" x14ac:dyDescent="0.25">
      <c r="I9670" t="s">
        <v>11403</v>
      </c>
      <c r="J9670" s="161" t="s">
        <v>19202</v>
      </c>
      <c r="K9670" t="s">
        <v>19203</v>
      </c>
      <c r="L9670" t="s">
        <v>11402</v>
      </c>
      <c r="M9670" s="161" t="s">
        <v>19202</v>
      </c>
    </row>
    <row r="9671" spans="9:13" x14ac:dyDescent="0.25">
      <c r="I9671" t="s">
        <v>696</v>
      </c>
      <c r="J9671" s="161" t="s">
        <v>19994</v>
      </c>
      <c r="K9671" t="s">
        <v>19203</v>
      </c>
      <c r="L9671" t="s">
        <v>695</v>
      </c>
      <c r="M9671" s="161" t="s">
        <v>19994</v>
      </c>
    </row>
    <row r="9672" spans="9:13" x14ac:dyDescent="0.25">
      <c r="I9672" t="s">
        <v>117</v>
      </c>
      <c r="J9672" s="161" t="s">
        <v>19202</v>
      </c>
      <c r="K9672" t="s">
        <v>19203</v>
      </c>
      <c r="L9672" t="s">
        <v>116</v>
      </c>
      <c r="M9672" s="161" t="s">
        <v>19202</v>
      </c>
    </row>
    <row r="9673" spans="9:13" x14ac:dyDescent="0.25">
      <c r="I9673" t="s">
        <v>20909</v>
      </c>
      <c r="J9673" s="161" t="s">
        <v>19202</v>
      </c>
      <c r="K9673" t="s">
        <v>19203</v>
      </c>
      <c r="L9673" t="s">
        <v>20910</v>
      </c>
      <c r="M9673" s="161" t="s">
        <v>19202</v>
      </c>
    </row>
    <row r="9674" spans="9:13" x14ac:dyDescent="0.25">
      <c r="I9674" t="s">
        <v>20911</v>
      </c>
      <c r="J9674" s="161" t="s">
        <v>19202</v>
      </c>
      <c r="K9674" t="s">
        <v>19203</v>
      </c>
      <c r="L9674" t="s">
        <v>20912</v>
      </c>
      <c r="M9674" s="161" t="s">
        <v>19202</v>
      </c>
    </row>
    <row r="9675" spans="9:13" x14ac:dyDescent="0.25">
      <c r="I9675" t="s">
        <v>20913</v>
      </c>
      <c r="J9675" s="161" t="s">
        <v>19202</v>
      </c>
      <c r="K9675" t="s">
        <v>19203</v>
      </c>
      <c r="L9675" t="s">
        <v>20914</v>
      </c>
      <c r="M9675" s="161" t="s">
        <v>19202</v>
      </c>
    </row>
    <row r="9676" spans="9:13" x14ac:dyDescent="0.25">
      <c r="I9676" t="s">
        <v>17140</v>
      </c>
      <c r="J9676" s="161" t="s">
        <v>19202</v>
      </c>
      <c r="K9676" t="s">
        <v>19203</v>
      </c>
      <c r="L9676" t="s">
        <v>17139</v>
      </c>
      <c r="M9676" s="161" t="s">
        <v>19202</v>
      </c>
    </row>
    <row r="9677" spans="9:13" x14ac:dyDescent="0.25">
      <c r="I9677" t="s">
        <v>14891</v>
      </c>
      <c r="J9677" s="161" t="s">
        <v>19202</v>
      </c>
      <c r="K9677" t="s">
        <v>19203</v>
      </c>
      <c r="L9677" t="s">
        <v>14890</v>
      </c>
      <c r="M9677" s="161" t="s">
        <v>19202</v>
      </c>
    </row>
    <row r="9678" spans="9:13" x14ac:dyDescent="0.25">
      <c r="I9678" t="s">
        <v>13930</v>
      </c>
      <c r="J9678" s="161" t="s">
        <v>19994</v>
      </c>
      <c r="K9678" t="s">
        <v>19203</v>
      </c>
      <c r="L9678" t="s">
        <v>3505</v>
      </c>
      <c r="M9678" s="161" t="s">
        <v>19994</v>
      </c>
    </row>
    <row r="9679" spans="9:13" x14ac:dyDescent="0.25">
      <c r="I9679" t="s">
        <v>15917</v>
      </c>
      <c r="J9679" s="161" t="s">
        <v>19994</v>
      </c>
      <c r="K9679" t="s">
        <v>19203</v>
      </c>
      <c r="L9679" t="s">
        <v>4506</v>
      </c>
      <c r="M9679" s="161" t="s">
        <v>19994</v>
      </c>
    </row>
    <row r="9680" spans="9:13" x14ac:dyDescent="0.25">
      <c r="I9680" t="s">
        <v>20915</v>
      </c>
      <c r="J9680" s="161" t="s">
        <v>19994</v>
      </c>
      <c r="K9680" t="s">
        <v>19203</v>
      </c>
      <c r="L9680" t="s">
        <v>20916</v>
      </c>
      <c r="M9680" s="161" t="s">
        <v>19994</v>
      </c>
    </row>
    <row r="9681" spans="9:13" x14ac:dyDescent="0.25">
      <c r="I9681" t="s">
        <v>20917</v>
      </c>
      <c r="J9681" s="161" t="s">
        <v>19202</v>
      </c>
      <c r="K9681" t="s">
        <v>19203</v>
      </c>
      <c r="L9681" t="s">
        <v>20918</v>
      </c>
      <c r="M9681" s="161" t="s">
        <v>19202</v>
      </c>
    </row>
    <row r="9682" spans="9:13" x14ac:dyDescent="0.25">
      <c r="I9682" t="s">
        <v>16924</v>
      </c>
      <c r="J9682" s="161" t="s">
        <v>19994</v>
      </c>
      <c r="K9682" t="s">
        <v>19203</v>
      </c>
      <c r="L9682" t="s">
        <v>6809</v>
      </c>
      <c r="M9682" s="161" t="s">
        <v>19994</v>
      </c>
    </row>
    <row r="9683" spans="9:13" x14ac:dyDescent="0.25">
      <c r="I9683" t="s">
        <v>16572</v>
      </c>
      <c r="J9683" s="161" t="s">
        <v>19994</v>
      </c>
      <c r="K9683" t="s">
        <v>19203</v>
      </c>
      <c r="L9683" t="s">
        <v>16571</v>
      </c>
      <c r="M9683" s="161" t="s">
        <v>19994</v>
      </c>
    </row>
    <row r="9684" spans="9:13" x14ac:dyDescent="0.25">
      <c r="I9684" t="s">
        <v>15542</v>
      </c>
      <c r="J9684" s="161" t="s">
        <v>19994</v>
      </c>
      <c r="K9684" t="s">
        <v>19203</v>
      </c>
      <c r="L9684" t="s">
        <v>15541</v>
      </c>
      <c r="M9684" s="161" t="s">
        <v>19994</v>
      </c>
    </row>
    <row r="9685" spans="9:13" x14ac:dyDescent="0.25">
      <c r="I9685" t="s">
        <v>15540</v>
      </c>
      <c r="J9685" s="161" t="s">
        <v>19994</v>
      </c>
      <c r="K9685" t="s">
        <v>19203</v>
      </c>
      <c r="L9685" t="s">
        <v>855</v>
      </c>
      <c r="M9685" s="161" t="s">
        <v>19994</v>
      </c>
    </row>
    <row r="9686" spans="9:13" x14ac:dyDescent="0.25">
      <c r="I9686" t="s">
        <v>18072</v>
      </c>
      <c r="J9686" s="161" t="s">
        <v>19994</v>
      </c>
      <c r="K9686" t="s">
        <v>19203</v>
      </c>
      <c r="L9686" t="s">
        <v>18071</v>
      </c>
      <c r="M9686" s="161" t="s">
        <v>19994</v>
      </c>
    </row>
    <row r="9687" spans="9:13" x14ac:dyDescent="0.25">
      <c r="I9687" t="s">
        <v>10937</v>
      </c>
      <c r="J9687" s="161" t="s">
        <v>19994</v>
      </c>
      <c r="K9687" t="s">
        <v>19203</v>
      </c>
      <c r="L9687" t="s">
        <v>10936</v>
      </c>
      <c r="M9687" s="161" t="s">
        <v>19994</v>
      </c>
    </row>
    <row r="9688" spans="9:13" x14ac:dyDescent="0.25">
      <c r="I9688" t="s">
        <v>10566</v>
      </c>
      <c r="J9688" s="161" t="s">
        <v>19994</v>
      </c>
      <c r="K9688" t="s">
        <v>19203</v>
      </c>
      <c r="L9688" t="s">
        <v>10565</v>
      </c>
      <c r="M9688" s="161" t="s">
        <v>19994</v>
      </c>
    </row>
    <row r="9689" spans="9:13" x14ac:dyDescent="0.25">
      <c r="I9689" t="s">
        <v>10090</v>
      </c>
      <c r="J9689" s="161" t="s">
        <v>19202</v>
      </c>
      <c r="K9689" t="s">
        <v>19203</v>
      </c>
      <c r="L9689" t="s">
        <v>10089</v>
      </c>
      <c r="M9689" s="161" t="s">
        <v>19202</v>
      </c>
    </row>
    <row r="9690" spans="9:13" x14ac:dyDescent="0.25">
      <c r="I9690" t="s">
        <v>10086</v>
      </c>
      <c r="J9690" s="161" t="s">
        <v>19202</v>
      </c>
      <c r="K9690" t="s">
        <v>19203</v>
      </c>
      <c r="L9690" t="s">
        <v>10085</v>
      </c>
      <c r="M9690" s="161" t="s">
        <v>19202</v>
      </c>
    </row>
    <row r="9691" spans="9:13" x14ac:dyDescent="0.25">
      <c r="I9691" t="s">
        <v>10078</v>
      </c>
      <c r="J9691" s="161" t="s">
        <v>19202</v>
      </c>
      <c r="K9691" t="s">
        <v>19203</v>
      </c>
      <c r="L9691" t="s">
        <v>10077</v>
      </c>
      <c r="M9691" s="161" t="s">
        <v>19202</v>
      </c>
    </row>
    <row r="9692" spans="9:13" x14ac:dyDescent="0.25">
      <c r="I9692" t="s">
        <v>9176</v>
      </c>
      <c r="J9692" s="161" t="s">
        <v>19994</v>
      </c>
      <c r="K9692" t="s">
        <v>19203</v>
      </c>
      <c r="L9692" t="s">
        <v>9175</v>
      </c>
      <c r="M9692" s="161" t="s">
        <v>19994</v>
      </c>
    </row>
    <row r="9693" spans="9:13" x14ac:dyDescent="0.25">
      <c r="I9693" t="s">
        <v>9174</v>
      </c>
      <c r="J9693" s="161" t="s">
        <v>19994</v>
      </c>
      <c r="K9693" t="s">
        <v>19203</v>
      </c>
      <c r="L9693" t="s">
        <v>9173</v>
      </c>
      <c r="M9693" s="161" t="s">
        <v>19994</v>
      </c>
    </row>
    <row r="9694" spans="9:13" x14ac:dyDescent="0.25">
      <c r="I9694" t="s">
        <v>9172</v>
      </c>
      <c r="J9694" s="161" t="s">
        <v>19994</v>
      </c>
      <c r="K9694" t="s">
        <v>19203</v>
      </c>
      <c r="L9694" t="s">
        <v>9171</v>
      </c>
      <c r="M9694" s="161" t="s">
        <v>19994</v>
      </c>
    </row>
    <row r="9695" spans="9:13" x14ac:dyDescent="0.25">
      <c r="I9695" t="s">
        <v>2556</v>
      </c>
      <c r="J9695" s="161" t="s">
        <v>19994</v>
      </c>
      <c r="K9695" t="s">
        <v>19203</v>
      </c>
      <c r="L9695" t="s">
        <v>2555</v>
      </c>
      <c r="M9695" s="161" t="s">
        <v>19994</v>
      </c>
    </row>
    <row r="9696" spans="9:13" x14ac:dyDescent="0.25">
      <c r="I9696" t="s">
        <v>2837</v>
      </c>
      <c r="J9696" s="161" t="s">
        <v>19202</v>
      </c>
      <c r="K9696" t="s">
        <v>19203</v>
      </c>
      <c r="L9696" t="s">
        <v>2836</v>
      </c>
      <c r="M9696" s="161" t="s">
        <v>19202</v>
      </c>
    </row>
    <row r="9697" spans="9:13" x14ac:dyDescent="0.25">
      <c r="I9697" t="s">
        <v>2443</v>
      </c>
      <c r="J9697" s="161" t="s">
        <v>19994</v>
      </c>
      <c r="K9697" t="s">
        <v>19203</v>
      </c>
      <c r="L9697" t="s">
        <v>2442</v>
      </c>
      <c r="M9697" s="161" t="s">
        <v>19994</v>
      </c>
    </row>
    <row r="9698" spans="9:13" x14ac:dyDescent="0.25">
      <c r="I9698" t="s">
        <v>12746</v>
      </c>
      <c r="J9698" s="161" t="s">
        <v>19202</v>
      </c>
      <c r="K9698" t="s">
        <v>19203</v>
      </c>
      <c r="L9698" t="s">
        <v>331</v>
      </c>
      <c r="M9698" s="161" t="s">
        <v>19202</v>
      </c>
    </row>
    <row r="9699" spans="9:13" x14ac:dyDescent="0.25">
      <c r="I9699" t="s">
        <v>20919</v>
      </c>
      <c r="J9699" s="161" t="s">
        <v>19202</v>
      </c>
      <c r="K9699" t="s">
        <v>19203</v>
      </c>
      <c r="L9699" t="s">
        <v>20920</v>
      </c>
      <c r="M9699" s="161" t="s">
        <v>19202</v>
      </c>
    </row>
    <row r="9700" spans="9:13" x14ac:dyDescent="0.25">
      <c r="I9700" t="s">
        <v>11387</v>
      </c>
      <c r="J9700" s="161" t="s">
        <v>19994</v>
      </c>
      <c r="K9700" t="s">
        <v>19203</v>
      </c>
      <c r="L9700" t="s">
        <v>11386</v>
      </c>
      <c r="M9700" s="161" t="s">
        <v>19994</v>
      </c>
    </row>
    <row r="9701" spans="9:13" x14ac:dyDescent="0.25">
      <c r="I9701" t="s">
        <v>6888</v>
      </c>
      <c r="J9701" s="161" t="s">
        <v>19994</v>
      </c>
      <c r="K9701" t="s">
        <v>19203</v>
      </c>
      <c r="L9701" t="s">
        <v>5911</v>
      </c>
      <c r="M9701" s="161" t="s">
        <v>19994</v>
      </c>
    </row>
    <row r="9702" spans="9:13" x14ac:dyDescent="0.25">
      <c r="I9702" t="s">
        <v>20921</v>
      </c>
      <c r="J9702" s="161" t="s">
        <v>19202</v>
      </c>
      <c r="K9702" t="s">
        <v>19203</v>
      </c>
      <c r="L9702" t="s">
        <v>20922</v>
      </c>
      <c r="M9702" s="161" t="s">
        <v>19202</v>
      </c>
    </row>
    <row r="9703" spans="9:13" x14ac:dyDescent="0.25">
      <c r="I9703" t="s">
        <v>4917</v>
      </c>
      <c r="J9703" s="161" t="s">
        <v>19202</v>
      </c>
      <c r="K9703" t="s">
        <v>19203</v>
      </c>
      <c r="L9703" t="s">
        <v>4916</v>
      </c>
      <c r="M9703" s="161" t="s">
        <v>19202</v>
      </c>
    </row>
    <row r="9704" spans="9:13" x14ac:dyDescent="0.25">
      <c r="I9704" t="s">
        <v>82</v>
      </c>
      <c r="J9704" s="161" t="s">
        <v>19202</v>
      </c>
      <c r="K9704" t="s">
        <v>19203</v>
      </c>
      <c r="L9704" t="s">
        <v>81</v>
      </c>
      <c r="M9704" s="161" t="s">
        <v>19202</v>
      </c>
    </row>
    <row r="9705" spans="9:13" x14ac:dyDescent="0.25">
      <c r="I9705" t="s">
        <v>1048</v>
      </c>
      <c r="J9705" s="161" t="s">
        <v>19994</v>
      </c>
      <c r="K9705" t="s">
        <v>19203</v>
      </c>
      <c r="L9705" t="s">
        <v>1047</v>
      </c>
      <c r="M9705" s="161" t="s">
        <v>19994</v>
      </c>
    </row>
    <row r="9706" spans="9:13" x14ac:dyDescent="0.25">
      <c r="I9706" t="s">
        <v>14658</v>
      </c>
      <c r="J9706" s="161" t="s">
        <v>19994</v>
      </c>
      <c r="K9706" t="s">
        <v>19203</v>
      </c>
      <c r="L9706" t="s">
        <v>14657</v>
      </c>
      <c r="M9706" s="161" t="s">
        <v>19994</v>
      </c>
    </row>
    <row r="9707" spans="9:13" x14ac:dyDescent="0.25">
      <c r="I9707" t="s">
        <v>14656</v>
      </c>
      <c r="J9707" s="161" t="s">
        <v>19994</v>
      </c>
      <c r="K9707" t="s">
        <v>19203</v>
      </c>
      <c r="L9707" t="s">
        <v>14655</v>
      </c>
      <c r="M9707" s="161" t="s">
        <v>19994</v>
      </c>
    </row>
    <row r="9708" spans="9:13" x14ac:dyDescent="0.25">
      <c r="I9708" t="s">
        <v>11456</v>
      </c>
      <c r="J9708" s="161" t="s">
        <v>19994</v>
      </c>
      <c r="K9708" t="s">
        <v>19203</v>
      </c>
      <c r="L9708" t="s">
        <v>11455</v>
      </c>
      <c r="M9708" s="161" t="s">
        <v>19994</v>
      </c>
    </row>
    <row r="9709" spans="9:13" x14ac:dyDescent="0.25">
      <c r="I9709" t="s">
        <v>11346</v>
      </c>
      <c r="J9709" s="161" t="s">
        <v>19994</v>
      </c>
      <c r="K9709" t="s">
        <v>19203</v>
      </c>
      <c r="L9709" t="s">
        <v>11345</v>
      </c>
      <c r="M9709" s="161" t="s">
        <v>19994</v>
      </c>
    </row>
    <row r="9710" spans="9:13" x14ac:dyDescent="0.25">
      <c r="I9710" t="s">
        <v>10224</v>
      </c>
      <c r="J9710" s="161" t="s">
        <v>19202</v>
      </c>
      <c r="K9710" t="s">
        <v>19203</v>
      </c>
      <c r="L9710" t="s">
        <v>10223</v>
      </c>
      <c r="M9710" s="161" t="s">
        <v>19202</v>
      </c>
    </row>
    <row r="9711" spans="9:13" x14ac:dyDescent="0.25">
      <c r="I9711" t="s">
        <v>11350</v>
      </c>
      <c r="J9711" s="161" t="s">
        <v>19994</v>
      </c>
      <c r="K9711" t="s">
        <v>19203</v>
      </c>
      <c r="L9711" t="s">
        <v>11349</v>
      </c>
      <c r="M9711" s="161" t="s">
        <v>19994</v>
      </c>
    </row>
    <row r="9712" spans="9:13" x14ac:dyDescent="0.25">
      <c r="I9712" t="s">
        <v>20923</v>
      </c>
      <c r="J9712" s="161" t="s">
        <v>19202</v>
      </c>
      <c r="K9712" t="s">
        <v>19203</v>
      </c>
      <c r="L9712" t="s">
        <v>20924</v>
      </c>
      <c r="M9712" s="161" t="s">
        <v>19202</v>
      </c>
    </row>
    <row r="9713" spans="9:13" x14ac:dyDescent="0.25">
      <c r="I9713" t="s">
        <v>20925</v>
      </c>
      <c r="J9713" s="161" t="s">
        <v>19202</v>
      </c>
      <c r="K9713" t="s">
        <v>19203</v>
      </c>
      <c r="L9713" t="s">
        <v>20926</v>
      </c>
      <c r="M9713" s="161" t="s">
        <v>19202</v>
      </c>
    </row>
    <row r="9714" spans="9:13" x14ac:dyDescent="0.25">
      <c r="I9714" t="s">
        <v>8560</v>
      </c>
      <c r="J9714" s="161" t="s">
        <v>19994</v>
      </c>
      <c r="K9714" t="s">
        <v>19203</v>
      </c>
      <c r="L9714" t="s">
        <v>8559</v>
      </c>
      <c r="M9714" s="161" t="s">
        <v>19994</v>
      </c>
    </row>
    <row r="9715" spans="9:13" x14ac:dyDescent="0.25">
      <c r="I9715" t="s">
        <v>8084</v>
      </c>
      <c r="J9715" s="161" t="s">
        <v>19202</v>
      </c>
      <c r="K9715" t="s">
        <v>19203</v>
      </c>
      <c r="L9715" t="s">
        <v>8083</v>
      </c>
      <c r="M9715" s="161" t="s">
        <v>19202</v>
      </c>
    </row>
    <row r="9716" spans="9:13" x14ac:dyDescent="0.25">
      <c r="I9716" t="s">
        <v>11401</v>
      </c>
      <c r="J9716" s="161" t="s">
        <v>19202</v>
      </c>
      <c r="K9716" t="s">
        <v>19203</v>
      </c>
      <c r="L9716" t="s">
        <v>11400</v>
      </c>
      <c r="M9716" s="161" t="s">
        <v>19202</v>
      </c>
    </row>
    <row r="9717" spans="9:13" x14ac:dyDescent="0.25">
      <c r="I9717" t="s">
        <v>11399</v>
      </c>
      <c r="J9717" s="161" t="s">
        <v>19994</v>
      </c>
      <c r="K9717" t="s">
        <v>19203</v>
      </c>
      <c r="L9717" t="s">
        <v>11398</v>
      </c>
      <c r="M9717" s="161" t="s">
        <v>19994</v>
      </c>
    </row>
    <row r="9718" spans="9:13" x14ac:dyDescent="0.25">
      <c r="I9718" t="s">
        <v>10935</v>
      </c>
      <c r="J9718" s="161" t="s">
        <v>19994</v>
      </c>
      <c r="K9718" t="s">
        <v>19203</v>
      </c>
      <c r="L9718" t="s">
        <v>10934</v>
      </c>
      <c r="M9718" s="161" t="s">
        <v>19994</v>
      </c>
    </row>
    <row r="9719" spans="9:13" x14ac:dyDescent="0.25">
      <c r="I9719" t="s">
        <v>13790</v>
      </c>
      <c r="J9719" s="161" t="s">
        <v>19202</v>
      </c>
      <c r="K9719" t="s">
        <v>19203</v>
      </c>
      <c r="L9719" t="s">
        <v>1406</v>
      </c>
      <c r="M9719" s="161" t="s">
        <v>19202</v>
      </c>
    </row>
    <row r="9720" spans="9:13" x14ac:dyDescent="0.25">
      <c r="I9720" t="s">
        <v>20927</v>
      </c>
      <c r="J9720" s="161" t="s">
        <v>19202</v>
      </c>
      <c r="K9720" t="s">
        <v>19203</v>
      </c>
      <c r="L9720" t="s">
        <v>20928</v>
      </c>
      <c r="M9720" s="161" t="s">
        <v>19202</v>
      </c>
    </row>
    <row r="9721" spans="9:13" x14ac:dyDescent="0.25">
      <c r="I9721" t="s">
        <v>13278</v>
      </c>
      <c r="J9721" s="161" t="s">
        <v>19202</v>
      </c>
      <c r="K9721" t="s">
        <v>19203</v>
      </c>
      <c r="L9721" t="s">
        <v>13277</v>
      </c>
      <c r="M9721" s="161" t="s">
        <v>19202</v>
      </c>
    </row>
    <row r="9722" spans="9:13" x14ac:dyDescent="0.25">
      <c r="I9722" t="s">
        <v>6777</v>
      </c>
      <c r="J9722" s="161" t="s">
        <v>19202</v>
      </c>
      <c r="K9722" t="s">
        <v>19203</v>
      </c>
      <c r="L9722" t="s">
        <v>6776</v>
      </c>
      <c r="M9722" s="161" t="s">
        <v>19202</v>
      </c>
    </row>
    <row r="9723" spans="9:13" x14ac:dyDescent="0.25">
      <c r="I9723" t="s">
        <v>4110</v>
      </c>
      <c r="J9723" s="161" t="s">
        <v>19202</v>
      </c>
      <c r="K9723" t="s">
        <v>19203</v>
      </c>
      <c r="L9723" t="s">
        <v>4109</v>
      </c>
      <c r="M9723" s="161" t="s">
        <v>19202</v>
      </c>
    </row>
    <row r="9724" spans="9:13" x14ac:dyDescent="0.25">
      <c r="I9724" t="s">
        <v>8938</v>
      </c>
      <c r="J9724" s="161" t="s">
        <v>19994</v>
      </c>
      <c r="K9724" t="s">
        <v>19203</v>
      </c>
      <c r="L9724" t="s">
        <v>8937</v>
      </c>
      <c r="M9724" s="161" t="s">
        <v>19994</v>
      </c>
    </row>
    <row r="9725" spans="9:13" x14ac:dyDescent="0.25">
      <c r="I9725" t="s">
        <v>8936</v>
      </c>
      <c r="J9725" s="161" t="s">
        <v>19994</v>
      </c>
      <c r="K9725" t="s">
        <v>19203</v>
      </c>
      <c r="L9725" t="s">
        <v>8935</v>
      </c>
      <c r="M9725" s="161" t="s">
        <v>19994</v>
      </c>
    </row>
    <row r="9726" spans="9:13" x14ac:dyDescent="0.25">
      <c r="I9726" t="s">
        <v>8934</v>
      </c>
      <c r="J9726" s="161" t="s">
        <v>19994</v>
      </c>
      <c r="K9726" t="s">
        <v>19203</v>
      </c>
      <c r="L9726" t="s">
        <v>8933</v>
      </c>
      <c r="M9726" s="161" t="s">
        <v>19994</v>
      </c>
    </row>
    <row r="9727" spans="9:13" x14ac:dyDescent="0.25">
      <c r="I9727" t="s">
        <v>8932</v>
      </c>
      <c r="J9727" s="161" t="s">
        <v>19994</v>
      </c>
      <c r="K9727" t="s">
        <v>19203</v>
      </c>
      <c r="L9727" t="s">
        <v>8931</v>
      </c>
      <c r="M9727" s="161" t="s">
        <v>19994</v>
      </c>
    </row>
    <row r="9728" spans="9:13" x14ac:dyDescent="0.25">
      <c r="I9728" t="s">
        <v>20929</v>
      </c>
      <c r="J9728" s="161" t="s">
        <v>19994</v>
      </c>
      <c r="K9728" t="s">
        <v>19203</v>
      </c>
      <c r="L9728" t="s">
        <v>20930</v>
      </c>
      <c r="M9728" s="161" t="s">
        <v>19994</v>
      </c>
    </row>
    <row r="9729" spans="9:13" x14ac:dyDescent="0.25">
      <c r="I9729" t="s">
        <v>12336</v>
      </c>
      <c r="J9729" s="161" t="s">
        <v>19202</v>
      </c>
      <c r="K9729" t="s">
        <v>19203</v>
      </c>
      <c r="L9729" t="s">
        <v>12335</v>
      </c>
      <c r="M9729" s="161" t="s">
        <v>19202</v>
      </c>
    </row>
    <row r="9730" spans="9:13" x14ac:dyDescent="0.25">
      <c r="I9730" t="s">
        <v>20931</v>
      </c>
      <c r="J9730" s="161" t="s">
        <v>19202</v>
      </c>
      <c r="K9730" t="s">
        <v>19203</v>
      </c>
      <c r="L9730" t="s">
        <v>20932</v>
      </c>
      <c r="M9730" s="161" t="s">
        <v>19202</v>
      </c>
    </row>
    <row r="9731" spans="9:13" x14ac:dyDescent="0.25">
      <c r="I9731" t="s">
        <v>17098</v>
      </c>
      <c r="J9731" s="161" t="s">
        <v>19994</v>
      </c>
      <c r="K9731" t="s">
        <v>19203</v>
      </c>
      <c r="L9731" t="s">
        <v>17097</v>
      </c>
      <c r="M9731" s="161" t="s">
        <v>19994</v>
      </c>
    </row>
    <row r="9732" spans="9:13" x14ac:dyDescent="0.25">
      <c r="I9732" t="s">
        <v>16252</v>
      </c>
      <c r="J9732" s="161" t="s">
        <v>19202</v>
      </c>
      <c r="K9732" t="s">
        <v>19203</v>
      </c>
      <c r="L9732" t="s">
        <v>16251</v>
      </c>
      <c r="M9732" s="161" t="s">
        <v>19202</v>
      </c>
    </row>
    <row r="9733" spans="9:13" x14ac:dyDescent="0.25">
      <c r="I9733" t="s">
        <v>4179</v>
      </c>
      <c r="J9733" s="161" t="s">
        <v>19202</v>
      </c>
      <c r="K9733" t="s">
        <v>19203</v>
      </c>
      <c r="L9733" t="s">
        <v>4178</v>
      </c>
      <c r="M9733" s="161" t="s">
        <v>19202</v>
      </c>
    </row>
    <row r="9734" spans="9:13" x14ac:dyDescent="0.25">
      <c r="I9734" t="s">
        <v>2248</v>
      </c>
      <c r="J9734" s="161" t="s">
        <v>19994</v>
      </c>
      <c r="K9734" t="s">
        <v>19203</v>
      </c>
      <c r="L9734" t="s">
        <v>2247</v>
      </c>
      <c r="M9734" s="161" t="s">
        <v>19994</v>
      </c>
    </row>
    <row r="9735" spans="9:13" x14ac:dyDescent="0.25">
      <c r="I9735" t="s">
        <v>20933</v>
      </c>
      <c r="J9735" s="161" t="s">
        <v>19994</v>
      </c>
      <c r="K9735" t="s">
        <v>19203</v>
      </c>
      <c r="L9735" t="s">
        <v>20934</v>
      </c>
      <c r="M9735" s="161" t="s">
        <v>19994</v>
      </c>
    </row>
    <row r="9736" spans="9:13" x14ac:dyDescent="0.25">
      <c r="I9736" t="s">
        <v>2246</v>
      </c>
      <c r="J9736" s="161" t="s">
        <v>19994</v>
      </c>
      <c r="K9736" t="s">
        <v>19203</v>
      </c>
      <c r="L9736" t="s">
        <v>2245</v>
      </c>
      <c r="M9736" s="161" t="s">
        <v>19994</v>
      </c>
    </row>
    <row r="9737" spans="9:13" x14ac:dyDescent="0.25">
      <c r="I9737" t="s">
        <v>14084</v>
      </c>
      <c r="J9737" s="161" t="s">
        <v>19202</v>
      </c>
      <c r="K9737" t="s">
        <v>19203</v>
      </c>
      <c r="L9737" t="s">
        <v>4721</v>
      </c>
      <c r="M9737" s="161" t="s">
        <v>19202</v>
      </c>
    </row>
    <row r="9738" spans="9:13" x14ac:dyDescent="0.25">
      <c r="I9738" t="s">
        <v>20935</v>
      </c>
      <c r="J9738" s="161" t="s">
        <v>19202</v>
      </c>
      <c r="K9738" t="s">
        <v>19203</v>
      </c>
      <c r="L9738" t="s">
        <v>20936</v>
      </c>
      <c r="M9738" s="161" t="s">
        <v>19202</v>
      </c>
    </row>
    <row r="9739" spans="9:13" x14ac:dyDescent="0.25">
      <c r="I9739" t="s">
        <v>20937</v>
      </c>
      <c r="J9739" s="161" t="s">
        <v>19202</v>
      </c>
      <c r="K9739" t="s">
        <v>19203</v>
      </c>
      <c r="L9739" t="s">
        <v>393</v>
      </c>
      <c r="M9739" s="161" t="s">
        <v>19202</v>
      </c>
    </row>
    <row r="9740" spans="9:13" x14ac:dyDescent="0.25">
      <c r="I9740" t="s">
        <v>5966</v>
      </c>
      <c r="J9740" s="161" t="s">
        <v>19994</v>
      </c>
      <c r="K9740" t="s">
        <v>19203</v>
      </c>
      <c r="L9740" t="s">
        <v>4607</v>
      </c>
      <c r="M9740" s="161" t="s">
        <v>19994</v>
      </c>
    </row>
    <row r="9741" spans="9:13" x14ac:dyDescent="0.25">
      <c r="I9741" t="s">
        <v>20938</v>
      </c>
      <c r="J9741" s="161" t="s">
        <v>19202</v>
      </c>
      <c r="K9741" t="s">
        <v>19203</v>
      </c>
      <c r="L9741" t="s">
        <v>20939</v>
      </c>
      <c r="M9741" s="161" t="s">
        <v>19202</v>
      </c>
    </row>
    <row r="9742" spans="9:13" x14ac:dyDescent="0.25">
      <c r="I9742" t="s">
        <v>17178</v>
      </c>
      <c r="J9742" s="161" t="s">
        <v>19994</v>
      </c>
      <c r="K9742" t="s">
        <v>19203</v>
      </c>
      <c r="L9742" t="s">
        <v>17177</v>
      </c>
      <c r="M9742" s="161" t="s">
        <v>19994</v>
      </c>
    </row>
    <row r="9743" spans="9:13" x14ac:dyDescent="0.25">
      <c r="I9743" t="s">
        <v>11488</v>
      </c>
      <c r="J9743" s="161" t="s">
        <v>19202</v>
      </c>
      <c r="K9743" t="s">
        <v>19203</v>
      </c>
      <c r="L9743" t="s">
        <v>11487</v>
      </c>
      <c r="M9743" s="161" t="s">
        <v>19202</v>
      </c>
    </row>
    <row r="9744" spans="9:13" x14ac:dyDescent="0.25">
      <c r="I9744" t="s">
        <v>20940</v>
      </c>
      <c r="J9744" s="161" t="s">
        <v>19202</v>
      </c>
      <c r="K9744" t="s">
        <v>19203</v>
      </c>
      <c r="L9744" t="s">
        <v>200</v>
      </c>
      <c r="M9744" s="161" t="s">
        <v>19202</v>
      </c>
    </row>
    <row r="9745" spans="9:13" x14ac:dyDescent="0.25">
      <c r="I9745" t="s">
        <v>16322</v>
      </c>
      <c r="J9745" s="161" t="s">
        <v>19994</v>
      </c>
      <c r="K9745" t="s">
        <v>19203</v>
      </c>
      <c r="L9745" t="s">
        <v>16321</v>
      </c>
      <c r="M9745" s="161" t="s">
        <v>19994</v>
      </c>
    </row>
    <row r="9746" spans="9:13" x14ac:dyDescent="0.25">
      <c r="I9746" t="s">
        <v>15779</v>
      </c>
      <c r="J9746" s="161" t="s">
        <v>19994</v>
      </c>
      <c r="K9746" t="s">
        <v>19203</v>
      </c>
      <c r="L9746" t="s">
        <v>15778</v>
      </c>
      <c r="M9746" s="161" t="s">
        <v>19994</v>
      </c>
    </row>
    <row r="9747" spans="9:13" x14ac:dyDescent="0.25">
      <c r="I9747" t="s">
        <v>15693</v>
      </c>
      <c r="J9747" s="161" t="s">
        <v>19994</v>
      </c>
      <c r="K9747" t="s">
        <v>19203</v>
      </c>
      <c r="L9747" t="s">
        <v>15692</v>
      </c>
      <c r="M9747" s="161" t="s">
        <v>19994</v>
      </c>
    </row>
    <row r="9748" spans="9:13" x14ac:dyDescent="0.25">
      <c r="I9748" t="s">
        <v>15157</v>
      </c>
      <c r="J9748" s="161" t="s">
        <v>19994</v>
      </c>
      <c r="K9748" t="s">
        <v>19203</v>
      </c>
      <c r="L9748" t="s">
        <v>185</v>
      </c>
      <c r="M9748" s="161" t="s">
        <v>19994</v>
      </c>
    </row>
    <row r="9749" spans="9:13" x14ac:dyDescent="0.25">
      <c r="I9749" t="s">
        <v>2552</v>
      </c>
      <c r="J9749" s="161" t="s">
        <v>19994</v>
      </c>
      <c r="K9749" t="s">
        <v>19203</v>
      </c>
      <c r="L9749" t="s">
        <v>2551</v>
      </c>
      <c r="M9749" s="161" t="s">
        <v>19994</v>
      </c>
    </row>
    <row r="9750" spans="9:13" x14ac:dyDescent="0.25">
      <c r="I9750" t="s">
        <v>11965</v>
      </c>
      <c r="J9750" s="161" t="s">
        <v>19994</v>
      </c>
      <c r="K9750" t="s">
        <v>19203</v>
      </c>
      <c r="L9750" t="s">
        <v>11964</v>
      </c>
      <c r="M9750" s="161" t="s">
        <v>19994</v>
      </c>
    </row>
    <row r="9751" spans="9:13" x14ac:dyDescent="0.25">
      <c r="I9751" t="s">
        <v>20941</v>
      </c>
      <c r="J9751" s="161" t="s">
        <v>19202</v>
      </c>
      <c r="K9751" t="s">
        <v>19203</v>
      </c>
      <c r="L9751" t="s">
        <v>17642</v>
      </c>
      <c r="M9751" s="161" t="s">
        <v>19202</v>
      </c>
    </row>
    <row r="9752" spans="9:13" x14ac:dyDescent="0.25">
      <c r="I9752" t="s">
        <v>20942</v>
      </c>
      <c r="J9752" s="161" t="s">
        <v>19202</v>
      </c>
      <c r="K9752" t="s">
        <v>19203</v>
      </c>
      <c r="L9752" t="s">
        <v>20943</v>
      </c>
      <c r="M9752" s="161" t="s">
        <v>19202</v>
      </c>
    </row>
    <row r="9753" spans="9:13" x14ac:dyDescent="0.25">
      <c r="I9753" t="s">
        <v>20944</v>
      </c>
      <c r="J9753" s="161" t="s">
        <v>19202</v>
      </c>
      <c r="K9753" t="s">
        <v>19203</v>
      </c>
      <c r="L9753" t="s">
        <v>20945</v>
      </c>
      <c r="M9753" s="161" t="s">
        <v>19202</v>
      </c>
    </row>
    <row r="9754" spans="9:13" x14ac:dyDescent="0.25">
      <c r="I9754" t="s">
        <v>10152</v>
      </c>
      <c r="J9754" s="161" t="s">
        <v>19994</v>
      </c>
      <c r="K9754" t="s">
        <v>19203</v>
      </c>
      <c r="L9754" t="s">
        <v>10151</v>
      </c>
      <c r="M9754" s="161" t="s">
        <v>19994</v>
      </c>
    </row>
    <row r="9755" spans="9:13" x14ac:dyDescent="0.25">
      <c r="I9755" t="s">
        <v>10148</v>
      </c>
      <c r="J9755" s="161" t="s">
        <v>19994</v>
      </c>
      <c r="K9755" t="s">
        <v>19203</v>
      </c>
      <c r="L9755" t="s">
        <v>10147</v>
      </c>
      <c r="M9755" s="161" t="s">
        <v>19994</v>
      </c>
    </row>
    <row r="9756" spans="9:13" x14ac:dyDescent="0.25">
      <c r="I9756" t="s">
        <v>10084</v>
      </c>
      <c r="J9756" s="161" t="s">
        <v>19202</v>
      </c>
      <c r="K9756" t="s">
        <v>19203</v>
      </c>
      <c r="L9756" t="s">
        <v>10083</v>
      </c>
      <c r="M9756" s="161" t="s">
        <v>19202</v>
      </c>
    </row>
    <row r="9757" spans="9:13" x14ac:dyDescent="0.25">
      <c r="I9757" t="s">
        <v>10723</v>
      </c>
      <c r="J9757" s="161" t="s">
        <v>19202</v>
      </c>
      <c r="K9757" t="s">
        <v>19203</v>
      </c>
      <c r="L9757" t="s">
        <v>10722</v>
      </c>
      <c r="M9757" s="161" t="s">
        <v>19202</v>
      </c>
    </row>
    <row r="9758" spans="9:13" x14ac:dyDescent="0.25">
      <c r="I9758" t="s">
        <v>6780</v>
      </c>
      <c r="J9758" s="161" t="s">
        <v>19202</v>
      </c>
      <c r="K9758" t="s">
        <v>19203</v>
      </c>
      <c r="L9758" t="s">
        <v>6779</v>
      </c>
      <c r="M9758" s="161" t="s">
        <v>19202</v>
      </c>
    </row>
    <row r="9759" spans="9:13" x14ac:dyDescent="0.25">
      <c r="I9759" t="s">
        <v>6648</v>
      </c>
      <c r="J9759" s="161" t="s">
        <v>19994</v>
      </c>
      <c r="K9759" t="s">
        <v>19203</v>
      </c>
      <c r="L9759" t="s">
        <v>6647</v>
      </c>
      <c r="M9759" s="161" t="s">
        <v>19994</v>
      </c>
    </row>
    <row r="9760" spans="9:13" x14ac:dyDescent="0.25">
      <c r="I9760" t="s">
        <v>6331</v>
      </c>
      <c r="J9760" s="161" t="s">
        <v>19994</v>
      </c>
      <c r="K9760" t="s">
        <v>19203</v>
      </c>
      <c r="L9760" t="s">
        <v>6330</v>
      </c>
      <c r="M9760" s="161" t="s">
        <v>19994</v>
      </c>
    </row>
    <row r="9761" spans="9:13" x14ac:dyDescent="0.25">
      <c r="I9761" t="s">
        <v>6240</v>
      </c>
      <c r="J9761" s="161" t="s">
        <v>19994</v>
      </c>
      <c r="K9761" t="s">
        <v>19203</v>
      </c>
      <c r="L9761" t="s">
        <v>6239</v>
      </c>
      <c r="M9761" s="161" t="s">
        <v>19994</v>
      </c>
    </row>
    <row r="9762" spans="9:13" x14ac:dyDescent="0.25">
      <c r="I9762" t="s">
        <v>20946</v>
      </c>
      <c r="J9762" s="161" t="s">
        <v>19202</v>
      </c>
      <c r="K9762" t="s">
        <v>19203</v>
      </c>
      <c r="L9762" t="s">
        <v>20947</v>
      </c>
      <c r="M9762" s="161" t="s">
        <v>19202</v>
      </c>
    </row>
    <row r="9763" spans="9:13" x14ac:dyDescent="0.25">
      <c r="I9763" t="s">
        <v>14794</v>
      </c>
      <c r="J9763" s="161" t="s">
        <v>19994</v>
      </c>
      <c r="K9763" t="s">
        <v>19203</v>
      </c>
      <c r="L9763" t="s">
        <v>14793</v>
      </c>
      <c r="M9763" s="161" t="s">
        <v>19994</v>
      </c>
    </row>
    <row r="9764" spans="9:13" x14ac:dyDescent="0.25">
      <c r="I9764" t="s">
        <v>4775</v>
      </c>
      <c r="J9764" s="161" t="s">
        <v>19202</v>
      </c>
      <c r="K9764" t="s">
        <v>19203</v>
      </c>
      <c r="L9764" t="s">
        <v>4774</v>
      </c>
      <c r="M9764" s="161" t="s">
        <v>19202</v>
      </c>
    </row>
    <row r="9765" spans="9:13" x14ac:dyDescent="0.25">
      <c r="I9765" t="s">
        <v>4773</v>
      </c>
      <c r="J9765" s="161" t="s">
        <v>19202</v>
      </c>
      <c r="K9765" t="s">
        <v>19203</v>
      </c>
      <c r="L9765" t="s">
        <v>970</v>
      </c>
      <c r="M9765" s="161" t="s">
        <v>19202</v>
      </c>
    </row>
    <row r="9766" spans="9:13" x14ac:dyDescent="0.25">
      <c r="I9766" t="s">
        <v>5086</v>
      </c>
      <c r="J9766" s="161" t="s">
        <v>19202</v>
      </c>
      <c r="K9766" t="s">
        <v>19203</v>
      </c>
      <c r="L9766" t="s">
        <v>5085</v>
      </c>
      <c r="M9766" s="161" t="s">
        <v>19202</v>
      </c>
    </row>
    <row r="9767" spans="9:13" x14ac:dyDescent="0.25">
      <c r="I9767" t="s">
        <v>11373</v>
      </c>
      <c r="J9767" s="161" t="s">
        <v>19202</v>
      </c>
      <c r="K9767" t="s">
        <v>19203</v>
      </c>
      <c r="L9767" t="s">
        <v>11372</v>
      </c>
      <c r="M9767" s="161" t="s">
        <v>19202</v>
      </c>
    </row>
    <row r="9768" spans="9:13" x14ac:dyDescent="0.25">
      <c r="I9768" t="s">
        <v>4975</v>
      </c>
      <c r="J9768" s="161" t="s">
        <v>19202</v>
      </c>
      <c r="K9768" t="s">
        <v>19203</v>
      </c>
      <c r="L9768" t="s">
        <v>4974</v>
      </c>
      <c r="M9768" s="161" t="s">
        <v>19202</v>
      </c>
    </row>
    <row r="9769" spans="9:13" x14ac:dyDescent="0.25">
      <c r="I9769" t="s">
        <v>6004</v>
      </c>
      <c r="J9769" s="161" t="s">
        <v>19994</v>
      </c>
      <c r="K9769" t="s">
        <v>19203</v>
      </c>
      <c r="L9769" t="s">
        <v>6003</v>
      </c>
      <c r="M9769" s="161" t="s">
        <v>19994</v>
      </c>
    </row>
    <row r="9770" spans="9:13" x14ac:dyDescent="0.25">
      <c r="I9770" t="s">
        <v>8556</v>
      </c>
      <c r="J9770" s="161" t="s">
        <v>19994</v>
      </c>
      <c r="K9770" t="s">
        <v>19203</v>
      </c>
      <c r="L9770" t="s">
        <v>8555</v>
      </c>
      <c r="M9770" s="161" t="s">
        <v>19994</v>
      </c>
    </row>
    <row r="9771" spans="9:13" x14ac:dyDescent="0.25">
      <c r="I9771" t="s">
        <v>8554</v>
      </c>
      <c r="J9771" s="161" t="s">
        <v>19994</v>
      </c>
      <c r="K9771" t="s">
        <v>19203</v>
      </c>
      <c r="L9771" t="s">
        <v>8553</v>
      </c>
      <c r="M9771" s="161" t="s">
        <v>19994</v>
      </c>
    </row>
    <row r="9772" spans="9:13" x14ac:dyDescent="0.25">
      <c r="I9772" t="s">
        <v>8552</v>
      </c>
      <c r="J9772" s="161" t="s">
        <v>19994</v>
      </c>
      <c r="K9772" t="s">
        <v>19203</v>
      </c>
      <c r="L9772" t="s">
        <v>8551</v>
      </c>
      <c r="M9772" s="161" t="s">
        <v>19994</v>
      </c>
    </row>
    <row r="9773" spans="9:13" x14ac:dyDescent="0.25">
      <c r="I9773" t="s">
        <v>8550</v>
      </c>
      <c r="J9773" s="161" t="s">
        <v>19202</v>
      </c>
      <c r="K9773" t="s">
        <v>19203</v>
      </c>
      <c r="L9773" t="s">
        <v>8549</v>
      </c>
      <c r="M9773" s="161" t="s">
        <v>19202</v>
      </c>
    </row>
    <row r="9774" spans="9:13" x14ac:dyDescent="0.25">
      <c r="I9774" t="s">
        <v>8548</v>
      </c>
      <c r="J9774" s="161" t="s">
        <v>19202</v>
      </c>
      <c r="K9774" t="s">
        <v>19203</v>
      </c>
      <c r="L9774" t="s">
        <v>8547</v>
      </c>
      <c r="M9774" s="161" t="s">
        <v>19202</v>
      </c>
    </row>
    <row r="9775" spans="9:13" x14ac:dyDescent="0.25">
      <c r="I9775" t="s">
        <v>8172</v>
      </c>
      <c r="J9775" s="161" t="s">
        <v>19202</v>
      </c>
      <c r="K9775" t="s">
        <v>19203</v>
      </c>
      <c r="L9775" t="s">
        <v>8171</v>
      </c>
      <c r="M9775" s="161" t="s">
        <v>19202</v>
      </c>
    </row>
    <row r="9776" spans="9:13" x14ac:dyDescent="0.25">
      <c r="I9776" t="s">
        <v>8170</v>
      </c>
      <c r="J9776" s="161" t="s">
        <v>19202</v>
      </c>
      <c r="K9776" t="s">
        <v>19203</v>
      </c>
      <c r="L9776" t="s">
        <v>8169</v>
      </c>
      <c r="M9776" s="161" t="s">
        <v>19202</v>
      </c>
    </row>
    <row r="9777" spans="9:13" x14ac:dyDescent="0.25">
      <c r="I9777" t="s">
        <v>8168</v>
      </c>
      <c r="J9777" s="161" t="s">
        <v>19202</v>
      </c>
      <c r="K9777" t="s">
        <v>19203</v>
      </c>
      <c r="L9777" t="s">
        <v>8167</v>
      </c>
      <c r="M9777" s="161" t="s">
        <v>19202</v>
      </c>
    </row>
    <row r="9778" spans="9:13" x14ac:dyDescent="0.25">
      <c r="I9778" t="s">
        <v>20948</v>
      </c>
      <c r="J9778" s="161" t="s">
        <v>19994</v>
      </c>
      <c r="K9778" t="s">
        <v>19203</v>
      </c>
      <c r="L9778" t="s">
        <v>20949</v>
      </c>
      <c r="M9778" s="161" t="s">
        <v>19994</v>
      </c>
    </row>
    <row r="9779" spans="9:13" x14ac:dyDescent="0.25">
      <c r="I9779" t="s">
        <v>8277</v>
      </c>
      <c r="J9779" s="161" t="s">
        <v>19202</v>
      </c>
      <c r="K9779" t="s">
        <v>19203</v>
      </c>
      <c r="L9779" t="s">
        <v>8276</v>
      </c>
      <c r="M9779" s="161" t="s">
        <v>19202</v>
      </c>
    </row>
    <row r="9780" spans="9:13" x14ac:dyDescent="0.25">
      <c r="I9780" t="s">
        <v>2799</v>
      </c>
      <c r="J9780" s="161" t="s">
        <v>19202</v>
      </c>
      <c r="K9780" t="s">
        <v>19203</v>
      </c>
      <c r="L9780" t="s">
        <v>2798</v>
      </c>
      <c r="M9780" s="161" t="s">
        <v>19202</v>
      </c>
    </row>
    <row r="9781" spans="9:13" x14ac:dyDescent="0.25">
      <c r="I9781" t="s">
        <v>13404</v>
      </c>
      <c r="J9781" s="161" t="s">
        <v>19994</v>
      </c>
      <c r="K9781" t="s">
        <v>19203</v>
      </c>
      <c r="L9781" t="s">
        <v>13403</v>
      </c>
      <c r="M9781" s="161" t="s">
        <v>19994</v>
      </c>
    </row>
    <row r="9782" spans="9:13" x14ac:dyDescent="0.25">
      <c r="I9782" t="s">
        <v>13402</v>
      </c>
      <c r="J9782" s="161" t="s">
        <v>19994</v>
      </c>
      <c r="K9782" t="s">
        <v>19203</v>
      </c>
      <c r="L9782" t="s">
        <v>13401</v>
      </c>
      <c r="M9782" s="161" t="s">
        <v>19994</v>
      </c>
    </row>
    <row r="9783" spans="9:13" x14ac:dyDescent="0.25">
      <c r="I9783" t="s">
        <v>16570</v>
      </c>
      <c r="J9783" s="161" t="s">
        <v>19994</v>
      </c>
      <c r="K9783" t="s">
        <v>19203</v>
      </c>
      <c r="L9783" t="s">
        <v>16569</v>
      </c>
      <c r="M9783" s="161" t="s">
        <v>19994</v>
      </c>
    </row>
    <row r="9784" spans="9:13" x14ac:dyDescent="0.25">
      <c r="I9784" t="s">
        <v>20950</v>
      </c>
      <c r="J9784" s="161" t="s">
        <v>19202</v>
      </c>
      <c r="K9784" t="s">
        <v>19203</v>
      </c>
      <c r="L9784" t="s">
        <v>20951</v>
      </c>
      <c r="M9784" s="161" t="s">
        <v>19202</v>
      </c>
    </row>
    <row r="9785" spans="9:13" x14ac:dyDescent="0.25">
      <c r="I9785" t="s">
        <v>9154</v>
      </c>
      <c r="J9785" s="161" t="s">
        <v>19994</v>
      </c>
      <c r="K9785" t="s">
        <v>19203</v>
      </c>
      <c r="L9785" t="s">
        <v>9153</v>
      </c>
      <c r="M9785" s="161" t="s">
        <v>19994</v>
      </c>
    </row>
    <row r="9786" spans="9:13" x14ac:dyDescent="0.25">
      <c r="I9786" t="s">
        <v>2829</v>
      </c>
      <c r="J9786" s="161" t="s">
        <v>19994</v>
      </c>
      <c r="K9786" t="s">
        <v>19203</v>
      </c>
      <c r="L9786" t="s">
        <v>2828</v>
      </c>
      <c r="M9786" s="161" t="s">
        <v>19994</v>
      </c>
    </row>
    <row r="9787" spans="9:13" x14ac:dyDescent="0.25">
      <c r="I9787" t="s">
        <v>20952</v>
      </c>
      <c r="J9787" s="161" t="s">
        <v>19202</v>
      </c>
      <c r="K9787" t="s">
        <v>19203</v>
      </c>
      <c r="L9787" t="s">
        <v>14149</v>
      </c>
      <c r="M9787" s="161" t="s">
        <v>19202</v>
      </c>
    </row>
    <row r="9788" spans="9:13" x14ac:dyDescent="0.25">
      <c r="I9788" t="s">
        <v>3306</v>
      </c>
      <c r="J9788" s="161" t="s">
        <v>19994</v>
      </c>
      <c r="K9788" t="s">
        <v>19203</v>
      </c>
      <c r="L9788" t="s">
        <v>3305</v>
      </c>
      <c r="M9788" s="161" t="s">
        <v>19994</v>
      </c>
    </row>
    <row r="9789" spans="9:13" x14ac:dyDescent="0.25">
      <c r="I9789" t="s">
        <v>2883</v>
      </c>
      <c r="J9789" s="161" t="s">
        <v>19994</v>
      </c>
      <c r="K9789" t="s">
        <v>19203</v>
      </c>
      <c r="L9789" t="s">
        <v>2882</v>
      </c>
      <c r="M9789" s="161" t="s">
        <v>19994</v>
      </c>
    </row>
    <row r="9790" spans="9:13" x14ac:dyDescent="0.25">
      <c r="I9790" t="s">
        <v>2881</v>
      </c>
      <c r="J9790" s="161" t="s">
        <v>19994</v>
      </c>
      <c r="K9790" t="s">
        <v>19203</v>
      </c>
      <c r="L9790" t="s">
        <v>2880</v>
      </c>
      <c r="M9790" s="161" t="s">
        <v>19994</v>
      </c>
    </row>
    <row r="9791" spans="9:13" x14ac:dyDescent="0.25">
      <c r="I9791" t="s">
        <v>14660</v>
      </c>
      <c r="J9791" s="161" t="s">
        <v>19994</v>
      </c>
      <c r="K9791" t="s">
        <v>19203</v>
      </c>
      <c r="L9791" t="s">
        <v>14659</v>
      </c>
      <c r="M9791" s="161" t="s">
        <v>19994</v>
      </c>
    </row>
    <row r="9792" spans="9:13" x14ac:dyDescent="0.25">
      <c r="I9792" t="s">
        <v>2260</v>
      </c>
      <c r="J9792" s="161" t="s">
        <v>19202</v>
      </c>
      <c r="K9792" t="s">
        <v>19203</v>
      </c>
      <c r="L9792" t="s">
        <v>2259</v>
      </c>
      <c r="M9792" s="161" t="s">
        <v>19202</v>
      </c>
    </row>
    <row r="9793" spans="9:13" x14ac:dyDescent="0.25">
      <c r="I9793" t="s">
        <v>4312</v>
      </c>
      <c r="J9793" s="161" t="s">
        <v>19994</v>
      </c>
      <c r="K9793" t="s">
        <v>19203</v>
      </c>
      <c r="L9793" t="s">
        <v>4311</v>
      </c>
      <c r="M9793" s="161" t="s">
        <v>19994</v>
      </c>
    </row>
    <row r="9794" spans="9:13" x14ac:dyDescent="0.25">
      <c r="I9794" t="s">
        <v>20953</v>
      </c>
      <c r="J9794" s="161" t="s">
        <v>19994</v>
      </c>
      <c r="K9794" t="s">
        <v>19203</v>
      </c>
      <c r="L9794" t="s">
        <v>20954</v>
      </c>
      <c r="M9794" s="161" t="s">
        <v>19994</v>
      </c>
    </row>
    <row r="9795" spans="9:13" x14ac:dyDescent="0.25">
      <c r="I9795" t="s">
        <v>6183</v>
      </c>
      <c r="J9795" s="161" t="s">
        <v>19202</v>
      </c>
      <c r="K9795" t="s">
        <v>19203</v>
      </c>
      <c r="L9795" t="s">
        <v>6182</v>
      </c>
      <c r="M9795" s="161" t="s">
        <v>19202</v>
      </c>
    </row>
    <row r="9796" spans="9:13" x14ac:dyDescent="0.25">
      <c r="I9796" t="s">
        <v>20955</v>
      </c>
      <c r="J9796" s="161" t="s">
        <v>19202</v>
      </c>
      <c r="K9796" t="s">
        <v>19203</v>
      </c>
      <c r="L9796" t="s">
        <v>20956</v>
      </c>
      <c r="M9796" s="161" t="s">
        <v>19202</v>
      </c>
    </row>
    <row r="9797" spans="9:13" x14ac:dyDescent="0.25">
      <c r="I9797" t="s">
        <v>12198</v>
      </c>
      <c r="J9797" s="161" t="s">
        <v>19202</v>
      </c>
      <c r="K9797" t="s">
        <v>19203</v>
      </c>
      <c r="L9797" t="s">
        <v>12197</v>
      </c>
      <c r="M9797" s="161" t="s">
        <v>19202</v>
      </c>
    </row>
    <row r="9798" spans="9:13" x14ac:dyDescent="0.25">
      <c r="I9798" t="s">
        <v>16724</v>
      </c>
      <c r="J9798" s="161" t="s">
        <v>19994</v>
      </c>
      <c r="K9798" t="s">
        <v>19203</v>
      </c>
      <c r="L9798" t="s">
        <v>5752</v>
      </c>
      <c r="M9798" s="161" t="s">
        <v>19994</v>
      </c>
    </row>
    <row r="9799" spans="9:13" x14ac:dyDescent="0.25">
      <c r="I9799" t="s">
        <v>16723</v>
      </c>
      <c r="J9799" s="161" t="s">
        <v>19994</v>
      </c>
      <c r="K9799" t="s">
        <v>19203</v>
      </c>
      <c r="L9799" t="s">
        <v>16722</v>
      </c>
      <c r="M9799" s="161" t="s">
        <v>19994</v>
      </c>
    </row>
    <row r="9800" spans="9:13" x14ac:dyDescent="0.25">
      <c r="I9800" t="s">
        <v>16568</v>
      </c>
      <c r="J9800" s="161" t="s">
        <v>19994</v>
      </c>
      <c r="K9800" t="s">
        <v>19203</v>
      </c>
      <c r="L9800" t="s">
        <v>16567</v>
      </c>
      <c r="M9800" s="161" t="s">
        <v>19994</v>
      </c>
    </row>
    <row r="9801" spans="9:13" x14ac:dyDescent="0.25">
      <c r="I9801" t="s">
        <v>15159</v>
      </c>
      <c r="J9801" s="161" t="s">
        <v>19994</v>
      </c>
      <c r="K9801" t="s">
        <v>19203</v>
      </c>
      <c r="L9801" t="s">
        <v>15158</v>
      </c>
      <c r="M9801" s="161" t="s">
        <v>19994</v>
      </c>
    </row>
    <row r="9802" spans="9:13" x14ac:dyDescent="0.25">
      <c r="I9802" t="s">
        <v>14858</v>
      </c>
      <c r="J9802" s="161" t="s">
        <v>19202</v>
      </c>
      <c r="K9802" t="s">
        <v>19203</v>
      </c>
      <c r="L9802" t="s">
        <v>14857</v>
      </c>
      <c r="M9802" s="161" t="s">
        <v>19202</v>
      </c>
    </row>
    <row r="9803" spans="9:13" x14ac:dyDescent="0.25">
      <c r="I9803" t="s">
        <v>12334</v>
      </c>
      <c r="J9803" s="161" t="s">
        <v>19202</v>
      </c>
      <c r="K9803" t="s">
        <v>19203</v>
      </c>
      <c r="L9803" t="s">
        <v>12333</v>
      </c>
      <c r="M9803" s="161" t="s">
        <v>19202</v>
      </c>
    </row>
    <row r="9804" spans="9:13" x14ac:dyDescent="0.25">
      <c r="I9804" t="s">
        <v>11897</v>
      </c>
      <c r="J9804" s="161" t="s">
        <v>19202</v>
      </c>
      <c r="K9804" t="s">
        <v>19203</v>
      </c>
      <c r="L9804" t="s">
        <v>11896</v>
      </c>
      <c r="M9804" s="161" t="s">
        <v>19202</v>
      </c>
    </row>
    <row r="9805" spans="9:13" x14ac:dyDescent="0.25">
      <c r="I9805" t="s">
        <v>2879</v>
      </c>
      <c r="J9805" s="161" t="s">
        <v>19994</v>
      </c>
      <c r="K9805" t="s">
        <v>19203</v>
      </c>
      <c r="L9805" t="s">
        <v>2878</v>
      </c>
      <c r="M9805" s="161" t="s">
        <v>19994</v>
      </c>
    </row>
    <row r="9806" spans="9:13" x14ac:dyDescent="0.25">
      <c r="I9806" t="s">
        <v>13405</v>
      </c>
      <c r="J9806" s="161" t="s">
        <v>19994</v>
      </c>
      <c r="K9806" t="s">
        <v>19203</v>
      </c>
      <c r="L9806" t="s">
        <v>928</v>
      </c>
      <c r="M9806" s="161" t="s">
        <v>19994</v>
      </c>
    </row>
    <row r="9807" spans="9:13" x14ac:dyDescent="0.25">
      <c r="I9807" t="s">
        <v>13081</v>
      </c>
      <c r="J9807" s="161" t="s">
        <v>19202</v>
      </c>
      <c r="K9807" t="s">
        <v>19203</v>
      </c>
      <c r="L9807" t="s">
        <v>13080</v>
      </c>
      <c r="M9807" s="161" t="s">
        <v>19202</v>
      </c>
    </row>
    <row r="9808" spans="9:13" x14ac:dyDescent="0.25">
      <c r="I9808" t="s">
        <v>5558</v>
      </c>
      <c r="J9808" s="161" t="s">
        <v>19202</v>
      </c>
      <c r="K9808" t="s">
        <v>19203</v>
      </c>
      <c r="L9808" t="s">
        <v>5557</v>
      </c>
      <c r="M9808" s="161" t="s">
        <v>19202</v>
      </c>
    </row>
    <row r="9809" spans="9:13" x14ac:dyDescent="0.25">
      <c r="I9809" t="s">
        <v>2729</v>
      </c>
      <c r="J9809" s="161" t="s">
        <v>19994</v>
      </c>
      <c r="K9809" t="s">
        <v>19203</v>
      </c>
      <c r="L9809" t="s">
        <v>2728</v>
      </c>
      <c r="M9809" s="161" t="s">
        <v>19994</v>
      </c>
    </row>
    <row r="9810" spans="9:13" x14ac:dyDescent="0.25">
      <c r="I9810" t="s">
        <v>2264</v>
      </c>
      <c r="J9810" s="161" t="s">
        <v>19202</v>
      </c>
      <c r="K9810" t="s">
        <v>19203</v>
      </c>
      <c r="L9810" t="s">
        <v>2263</v>
      </c>
      <c r="M9810" s="161" t="s">
        <v>19202</v>
      </c>
    </row>
    <row r="9811" spans="9:13" x14ac:dyDescent="0.25">
      <c r="I9811" t="s">
        <v>20957</v>
      </c>
      <c r="J9811" s="161" t="s">
        <v>19994</v>
      </c>
      <c r="K9811" t="s">
        <v>19203</v>
      </c>
      <c r="L9811" t="s">
        <v>20958</v>
      </c>
      <c r="M9811" s="161" t="s">
        <v>19994</v>
      </c>
    </row>
    <row r="9812" spans="9:13" x14ac:dyDescent="0.25">
      <c r="I9812" t="s">
        <v>197</v>
      </c>
      <c r="J9812" s="161" t="s">
        <v>19202</v>
      </c>
      <c r="K9812" t="s">
        <v>19203</v>
      </c>
      <c r="L9812" t="s">
        <v>196</v>
      </c>
      <c r="M9812" s="161" t="s">
        <v>19202</v>
      </c>
    </row>
    <row r="9813" spans="9:13" x14ac:dyDescent="0.25">
      <c r="I9813" t="s">
        <v>15643</v>
      </c>
      <c r="J9813" s="161" t="s">
        <v>19994</v>
      </c>
      <c r="K9813" t="s">
        <v>19203</v>
      </c>
      <c r="L9813" t="s">
        <v>123</v>
      </c>
      <c r="M9813" s="161" t="s">
        <v>19994</v>
      </c>
    </row>
    <row r="9814" spans="9:13" x14ac:dyDescent="0.25">
      <c r="I9814" t="s">
        <v>20959</v>
      </c>
      <c r="J9814" s="161" t="s">
        <v>19202</v>
      </c>
      <c r="K9814" t="s">
        <v>19203</v>
      </c>
      <c r="L9814" t="s">
        <v>20960</v>
      </c>
      <c r="M9814" s="161" t="s">
        <v>19202</v>
      </c>
    </row>
    <row r="9815" spans="9:13" x14ac:dyDescent="0.25">
      <c r="I9815" t="s">
        <v>20961</v>
      </c>
      <c r="J9815" s="161" t="s">
        <v>19202</v>
      </c>
      <c r="K9815" t="s">
        <v>19203</v>
      </c>
      <c r="L9815" t="s">
        <v>20962</v>
      </c>
      <c r="M9815" s="161" t="s">
        <v>19202</v>
      </c>
    </row>
    <row r="9816" spans="9:13" x14ac:dyDescent="0.25">
      <c r="I9816" t="s">
        <v>20963</v>
      </c>
      <c r="J9816" s="161" t="s">
        <v>19202</v>
      </c>
      <c r="K9816" t="s">
        <v>19203</v>
      </c>
      <c r="L9816" t="s">
        <v>20964</v>
      </c>
      <c r="M9816" s="161" t="s">
        <v>19202</v>
      </c>
    </row>
    <row r="9817" spans="9:13" x14ac:dyDescent="0.25">
      <c r="I9817" t="s">
        <v>17607</v>
      </c>
      <c r="J9817" s="161" t="s">
        <v>19994</v>
      </c>
      <c r="K9817" t="s">
        <v>19203</v>
      </c>
      <c r="L9817" t="s">
        <v>17606</v>
      </c>
      <c r="M9817" s="161" t="s">
        <v>19994</v>
      </c>
    </row>
    <row r="9818" spans="9:13" x14ac:dyDescent="0.25">
      <c r="I9818" t="s">
        <v>6242</v>
      </c>
      <c r="J9818" s="161" t="s">
        <v>19994</v>
      </c>
      <c r="K9818" t="s">
        <v>19203</v>
      </c>
      <c r="L9818" t="s">
        <v>6241</v>
      </c>
      <c r="M9818" s="161" t="s">
        <v>19994</v>
      </c>
    </row>
    <row r="9819" spans="9:13" x14ac:dyDescent="0.25">
      <c r="I9819" t="s">
        <v>443</v>
      </c>
      <c r="J9819" s="161" t="s">
        <v>19202</v>
      </c>
      <c r="K9819" t="s">
        <v>19203</v>
      </c>
      <c r="L9819" t="s">
        <v>442</v>
      </c>
      <c r="M9819" s="161" t="s">
        <v>19202</v>
      </c>
    </row>
    <row r="9820" spans="9:13" x14ac:dyDescent="0.25">
      <c r="I9820" t="s">
        <v>13931</v>
      </c>
      <c r="J9820" s="161" t="s">
        <v>19994</v>
      </c>
      <c r="K9820" t="s">
        <v>19203</v>
      </c>
      <c r="L9820" t="s">
        <v>6553</v>
      </c>
      <c r="M9820" s="161" t="s">
        <v>19994</v>
      </c>
    </row>
    <row r="9821" spans="9:13" x14ac:dyDescent="0.25">
      <c r="I9821" t="s">
        <v>141</v>
      </c>
      <c r="J9821" s="161" t="s">
        <v>19994</v>
      </c>
      <c r="K9821" t="s">
        <v>19203</v>
      </c>
      <c r="L9821" t="s">
        <v>140</v>
      </c>
      <c r="M9821" s="161" t="s">
        <v>19994</v>
      </c>
    </row>
    <row r="9822" spans="9:13" x14ac:dyDescent="0.25">
      <c r="I9822" t="s">
        <v>90</v>
      </c>
      <c r="J9822" s="161" t="s">
        <v>19994</v>
      </c>
      <c r="K9822" t="s">
        <v>19203</v>
      </c>
      <c r="L9822" t="s">
        <v>89</v>
      </c>
      <c r="M9822" s="161" t="s">
        <v>19994</v>
      </c>
    </row>
    <row r="9823" spans="9:13" x14ac:dyDescent="0.25">
      <c r="I9823" t="s">
        <v>14</v>
      </c>
      <c r="J9823" s="161" t="s">
        <v>19994</v>
      </c>
      <c r="K9823" t="s">
        <v>19203</v>
      </c>
      <c r="L9823" t="s">
        <v>13</v>
      </c>
      <c r="M9823" s="161" t="s">
        <v>19994</v>
      </c>
    </row>
    <row r="9824" spans="9:13" x14ac:dyDescent="0.25">
      <c r="I9824" t="s">
        <v>14855</v>
      </c>
      <c r="J9824" s="161" t="s">
        <v>19202</v>
      </c>
      <c r="K9824" t="s">
        <v>19203</v>
      </c>
      <c r="L9824" t="s">
        <v>4080</v>
      </c>
      <c r="M9824" s="161" t="s">
        <v>19202</v>
      </c>
    </row>
    <row r="9825" spans="9:13" x14ac:dyDescent="0.25">
      <c r="I9825" t="s">
        <v>15581</v>
      </c>
      <c r="J9825" s="161" t="s">
        <v>19202</v>
      </c>
      <c r="K9825" t="s">
        <v>19203</v>
      </c>
      <c r="L9825" t="s">
        <v>1731</v>
      </c>
      <c r="M9825" s="161" t="s">
        <v>19202</v>
      </c>
    </row>
    <row r="9826" spans="9:13" x14ac:dyDescent="0.25">
      <c r="I9826" t="s">
        <v>6077</v>
      </c>
      <c r="J9826" s="161" t="s">
        <v>19202</v>
      </c>
      <c r="K9826" t="s">
        <v>19203</v>
      </c>
      <c r="L9826" t="s">
        <v>6076</v>
      </c>
      <c r="M9826" s="161" t="s">
        <v>19202</v>
      </c>
    </row>
    <row r="9827" spans="9:13" x14ac:dyDescent="0.25">
      <c r="I9827" t="s">
        <v>8930</v>
      </c>
      <c r="J9827" s="161" t="s">
        <v>19994</v>
      </c>
      <c r="K9827" t="s">
        <v>19203</v>
      </c>
      <c r="L9827" t="s">
        <v>8929</v>
      </c>
      <c r="M9827" s="161" t="s">
        <v>19994</v>
      </c>
    </row>
    <row r="9828" spans="9:13" x14ac:dyDescent="0.25">
      <c r="I9828" t="s">
        <v>8928</v>
      </c>
      <c r="J9828" s="161" t="s">
        <v>19202</v>
      </c>
      <c r="K9828" t="s">
        <v>19203</v>
      </c>
      <c r="L9828" t="s">
        <v>8927</v>
      </c>
      <c r="M9828" s="161" t="s">
        <v>19202</v>
      </c>
    </row>
    <row r="9829" spans="9:13" x14ac:dyDescent="0.25">
      <c r="I9829" t="s">
        <v>2827</v>
      </c>
      <c r="J9829" s="161" t="s">
        <v>19202</v>
      </c>
      <c r="K9829" t="s">
        <v>19203</v>
      </c>
      <c r="L9829" t="s">
        <v>2826</v>
      </c>
      <c r="M9829" s="161" t="s">
        <v>19202</v>
      </c>
    </row>
    <row r="9830" spans="9:13" x14ac:dyDescent="0.25">
      <c r="I9830" t="s">
        <v>2825</v>
      </c>
      <c r="J9830" s="161" t="s">
        <v>19994</v>
      </c>
      <c r="K9830" t="s">
        <v>19203</v>
      </c>
      <c r="L9830" t="s">
        <v>2824</v>
      </c>
      <c r="M9830" s="161" t="s">
        <v>19994</v>
      </c>
    </row>
    <row r="9831" spans="9:13" x14ac:dyDescent="0.25">
      <c r="I9831" t="s">
        <v>2817</v>
      </c>
      <c r="J9831" s="161" t="s">
        <v>19994</v>
      </c>
      <c r="K9831" t="s">
        <v>19203</v>
      </c>
      <c r="L9831" t="s">
        <v>2816</v>
      </c>
      <c r="M9831" s="161" t="s">
        <v>19994</v>
      </c>
    </row>
    <row r="9832" spans="9:13" x14ac:dyDescent="0.25">
      <c r="I9832" t="s">
        <v>2815</v>
      </c>
      <c r="J9832" s="161" t="s">
        <v>19202</v>
      </c>
      <c r="K9832" t="s">
        <v>19203</v>
      </c>
      <c r="L9832" t="s">
        <v>2814</v>
      </c>
      <c r="M9832" s="161" t="s">
        <v>19202</v>
      </c>
    </row>
    <row r="9833" spans="9:13" x14ac:dyDescent="0.25">
      <c r="I9833" t="s">
        <v>2813</v>
      </c>
      <c r="J9833" s="161" t="s">
        <v>19994</v>
      </c>
      <c r="K9833" t="s">
        <v>19203</v>
      </c>
      <c r="L9833" t="s">
        <v>2812</v>
      </c>
      <c r="M9833" s="161" t="s">
        <v>19994</v>
      </c>
    </row>
    <row r="9834" spans="9:13" x14ac:dyDescent="0.25">
      <c r="I9834" t="s">
        <v>2212</v>
      </c>
      <c r="J9834" s="161" t="s">
        <v>19202</v>
      </c>
      <c r="K9834" t="s">
        <v>19203</v>
      </c>
      <c r="L9834" t="s">
        <v>2211</v>
      </c>
      <c r="M9834" s="161" t="s">
        <v>19202</v>
      </c>
    </row>
    <row r="9835" spans="9:13" x14ac:dyDescent="0.25">
      <c r="I9835" t="s">
        <v>20965</v>
      </c>
      <c r="J9835" s="161" t="s">
        <v>19202</v>
      </c>
      <c r="K9835" t="s">
        <v>19203</v>
      </c>
      <c r="L9835" t="s">
        <v>14090</v>
      </c>
      <c r="M9835" s="161" t="s">
        <v>19202</v>
      </c>
    </row>
    <row r="9836" spans="9:13" x14ac:dyDescent="0.25">
      <c r="I9836" t="s">
        <v>20966</v>
      </c>
      <c r="J9836" s="161" t="s">
        <v>19202</v>
      </c>
      <c r="K9836" t="s">
        <v>19203</v>
      </c>
      <c r="L9836" t="s">
        <v>20967</v>
      </c>
      <c r="M9836" s="161" t="s">
        <v>19202</v>
      </c>
    </row>
    <row r="9837" spans="9:13" x14ac:dyDescent="0.25">
      <c r="I9837" t="s">
        <v>20968</v>
      </c>
      <c r="J9837" s="161" t="s">
        <v>19202</v>
      </c>
      <c r="K9837" t="s">
        <v>19203</v>
      </c>
      <c r="L9837" t="s">
        <v>20969</v>
      </c>
      <c r="M9837" s="161" t="s">
        <v>19202</v>
      </c>
    </row>
    <row r="9838" spans="9:13" x14ac:dyDescent="0.25">
      <c r="I9838" t="s">
        <v>14937</v>
      </c>
      <c r="J9838" s="161" t="s">
        <v>19994</v>
      </c>
      <c r="K9838" t="s">
        <v>19203</v>
      </c>
      <c r="L9838" t="s">
        <v>14936</v>
      </c>
      <c r="M9838" s="161" t="s">
        <v>19994</v>
      </c>
    </row>
    <row r="9839" spans="9:13" x14ac:dyDescent="0.25">
      <c r="I9839" t="s">
        <v>8680</v>
      </c>
      <c r="J9839" s="161" t="s">
        <v>19202</v>
      </c>
      <c r="K9839" t="s">
        <v>19203</v>
      </c>
      <c r="L9839" t="s">
        <v>8679</v>
      </c>
      <c r="M9839" s="161" t="s">
        <v>19202</v>
      </c>
    </row>
    <row r="9840" spans="9:13" x14ac:dyDescent="0.25">
      <c r="I9840" t="s">
        <v>3237</v>
      </c>
      <c r="J9840" s="161" t="s">
        <v>19202</v>
      </c>
      <c r="K9840" t="s">
        <v>19203</v>
      </c>
      <c r="L9840" t="s">
        <v>3236</v>
      </c>
      <c r="M9840" s="161" t="s">
        <v>19202</v>
      </c>
    </row>
    <row r="9841" spans="9:13" x14ac:dyDescent="0.25">
      <c r="I9841" t="s">
        <v>20970</v>
      </c>
      <c r="J9841" s="161" t="s">
        <v>19202</v>
      </c>
      <c r="K9841" t="s">
        <v>19203</v>
      </c>
      <c r="L9841" t="s">
        <v>20971</v>
      </c>
      <c r="M9841" s="161" t="s">
        <v>19202</v>
      </c>
    </row>
    <row r="9842" spans="9:13" x14ac:dyDescent="0.25">
      <c r="I9842" t="s">
        <v>13602</v>
      </c>
      <c r="J9842" s="161" t="s">
        <v>19994</v>
      </c>
      <c r="K9842" t="s">
        <v>19203</v>
      </c>
      <c r="L9842" t="s">
        <v>13601</v>
      </c>
      <c r="M9842" s="161" t="s">
        <v>19994</v>
      </c>
    </row>
    <row r="9843" spans="9:13" x14ac:dyDescent="0.25">
      <c r="I9843" t="s">
        <v>11454</v>
      </c>
      <c r="J9843" s="161" t="s">
        <v>19994</v>
      </c>
      <c r="K9843" t="s">
        <v>19203</v>
      </c>
      <c r="L9843" t="s">
        <v>11453</v>
      </c>
      <c r="M9843" s="161" t="s">
        <v>19994</v>
      </c>
    </row>
    <row r="9844" spans="9:13" x14ac:dyDescent="0.25">
      <c r="I9844" t="s">
        <v>10220</v>
      </c>
      <c r="J9844" s="161" t="s">
        <v>19994</v>
      </c>
      <c r="K9844" t="s">
        <v>19203</v>
      </c>
      <c r="L9844" t="s">
        <v>10219</v>
      </c>
      <c r="M9844" s="161" t="s">
        <v>19994</v>
      </c>
    </row>
    <row r="9845" spans="9:13" x14ac:dyDescent="0.25">
      <c r="I9845" t="s">
        <v>20972</v>
      </c>
      <c r="J9845" s="161" t="s">
        <v>19202</v>
      </c>
      <c r="K9845" t="s">
        <v>19203</v>
      </c>
      <c r="L9845" t="s">
        <v>20973</v>
      </c>
      <c r="M9845" s="161" t="s">
        <v>19202</v>
      </c>
    </row>
    <row r="9846" spans="9:13" x14ac:dyDescent="0.25">
      <c r="I9846" t="s">
        <v>6604</v>
      </c>
      <c r="J9846" s="161" t="s">
        <v>19202</v>
      </c>
      <c r="K9846" t="s">
        <v>19203</v>
      </c>
      <c r="L9846" t="s">
        <v>6603</v>
      </c>
      <c r="M9846" s="161" t="s">
        <v>19202</v>
      </c>
    </row>
    <row r="9847" spans="9:13" x14ac:dyDescent="0.25">
      <c r="I9847" t="s">
        <v>15076</v>
      </c>
      <c r="J9847" s="161" t="s">
        <v>19202</v>
      </c>
      <c r="K9847" t="s">
        <v>19203</v>
      </c>
      <c r="L9847" t="s">
        <v>15075</v>
      </c>
      <c r="M9847" s="161" t="s">
        <v>19202</v>
      </c>
    </row>
    <row r="9848" spans="9:13" x14ac:dyDescent="0.25">
      <c r="I9848" t="s">
        <v>15074</v>
      </c>
      <c r="J9848" s="161" t="s">
        <v>19202</v>
      </c>
      <c r="K9848" t="s">
        <v>19203</v>
      </c>
      <c r="L9848" t="s">
        <v>1374</v>
      </c>
      <c r="M9848" s="161" t="s">
        <v>19202</v>
      </c>
    </row>
    <row r="9849" spans="9:13" x14ac:dyDescent="0.25">
      <c r="I9849" t="s">
        <v>14850</v>
      </c>
      <c r="J9849" s="161" t="s">
        <v>19202</v>
      </c>
      <c r="K9849" t="s">
        <v>19203</v>
      </c>
      <c r="L9849" t="s">
        <v>14849</v>
      </c>
      <c r="M9849" s="161" t="s">
        <v>19202</v>
      </c>
    </row>
    <row r="9850" spans="9:13" x14ac:dyDescent="0.25">
      <c r="I9850" t="s">
        <v>7732</v>
      </c>
      <c r="J9850" s="161" t="s">
        <v>19202</v>
      </c>
      <c r="K9850" t="s">
        <v>19203</v>
      </c>
      <c r="L9850" t="s">
        <v>7731</v>
      </c>
      <c r="M9850" s="161" t="s">
        <v>19202</v>
      </c>
    </row>
    <row r="9851" spans="9:13" x14ac:dyDescent="0.25">
      <c r="I9851" t="s">
        <v>8748</v>
      </c>
      <c r="J9851" s="161" t="s">
        <v>19994</v>
      </c>
      <c r="K9851" t="s">
        <v>19203</v>
      </c>
      <c r="L9851" t="s">
        <v>8747</v>
      </c>
      <c r="M9851" s="161" t="s">
        <v>19994</v>
      </c>
    </row>
    <row r="9852" spans="9:13" x14ac:dyDescent="0.25">
      <c r="I9852" t="s">
        <v>20974</v>
      </c>
      <c r="J9852" s="161" t="s">
        <v>19202</v>
      </c>
      <c r="K9852" t="s">
        <v>19203</v>
      </c>
      <c r="L9852" t="s">
        <v>20975</v>
      </c>
      <c r="M9852" s="161" t="s">
        <v>19202</v>
      </c>
    </row>
    <row r="9853" spans="9:13" x14ac:dyDescent="0.25">
      <c r="I9853" t="s">
        <v>14792</v>
      </c>
      <c r="J9853" s="161" t="s">
        <v>19202</v>
      </c>
      <c r="K9853" t="s">
        <v>19203</v>
      </c>
      <c r="L9853" t="s">
        <v>14791</v>
      </c>
      <c r="M9853" s="161" t="s">
        <v>19202</v>
      </c>
    </row>
    <row r="9854" spans="9:13" x14ac:dyDescent="0.25">
      <c r="I9854" t="s">
        <v>20976</v>
      </c>
      <c r="J9854" s="161" t="s">
        <v>19202</v>
      </c>
      <c r="K9854" t="s">
        <v>19203</v>
      </c>
      <c r="L9854" t="s">
        <v>20977</v>
      </c>
      <c r="M9854" s="161" t="s">
        <v>19202</v>
      </c>
    </row>
    <row r="9855" spans="9:13" x14ac:dyDescent="0.25">
      <c r="I9855" t="s">
        <v>20978</v>
      </c>
      <c r="J9855" s="161" t="s">
        <v>19202</v>
      </c>
      <c r="K9855" t="s">
        <v>19203</v>
      </c>
      <c r="L9855" t="s">
        <v>20979</v>
      </c>
      <c r="M9855" s="161" t="s">
        <v>19202</v>
      </c>
    </row>
    <row r="9856" spans="9:13" x14ac:dyDescent="0.25">
      <c r="I9856" t="s">
        <v>20980</v>
      </c>
      <c r="J9856" s="161" t="s">
        <v>19202</v>
      </c>
      <c r="K9856" t="s">
        <v>19203</v>
      </c>
      <c r="L9856" t="s">
        <v>20981</v>
      </c>
      <c r="M9856" s="161" t="s">
        <v>19202</v>
      </c>
    </row>
    <row r="9857" spans="9:13" x14ac:dyDescent="0.25">
      <c r="I9857" t="s">
        <v>10088</v>
      </c>
      <c r="J9857" s="161" t="s">
        <v>19202</v>
      </c>
      <c r="K9857" t="s">
        <v>19203</v>
      </c>
      <c r="L9857" t="s">
        <v>10087</v>
      </c>
      <c r="M9857" s="161" t="s">
        <v>19202</v>
      </c>
    </row>
    <row r="9858" spans="9:13" x14ac:dyDescent="0.25">
      <c r="I9858" t="s">
        <v>10076</v>
      </c>
      <c r="J9858" s="161" t="s">
        <v>19994</v>
      </c>
      <c r="K9858" t="s">
        <v>19203</v>
      </c>
      <c r="L9858" t="s">
        <v>10075</v>
      </c>
      <c r="M9858" s="161" t="s">
        <v>19994</v>
      </c>
    </row>
    <row r="9859" spans="9:13" x14ac:dyDescent="0.25">
      <c r="I9859" t="s">
        <v>10074</v>
      </c>
      <c r="J9859" s="161" t="s">
        <v>19202</v>
      </c>
      <c r="K9859" t="s">
        <v>19203</v>
      </c>
      <c r="L9859" t="s">
        <v>10073</v>
      </c>
      <c r="M9859" s="161" t="s">
        <v>19202</v>
      </c>
    </row>
    <row r="9860" spans="9:13" x14ac:dyDescent="0.25">
      <c r="I9860" t="s">
        <v>20982</v>
      </c>
      <c r="J9860" s="161" t="s">
        <v>19994</v>
      </c>
      <c r="K9860" t="s">
        <v>19203</v>
      </c>
      <c r="L9860" t="s">
        <v>20983</v>
      </c>
      <c r="M9860" s="161" t="s">
        <v>19994</v>
      </c>
    </row>
    <row r="9861" spans="9:13" x14ac:dyDescent="0.25">
      <c r="I9861" t="s">
        <v>20984</v>
      </c>
      <c r="J9861" s="161" t="s">
        <v>19994</v>
      </c>
      <c r="K9861" t="s">
        <v>19203</v>
      </c>
      <c r="L9861" t="s">
        <v>20985</v>
      </c>
      <c r="M9861" s="161" t="s">
        <v>19994</v>
      </c>
    </row>
    <row r="9862" spans="9:13" x14ac:dyDescent="0.25">
      <c r="I9862" t="s">
        <v>6236</v>
      </c>
      <c r="J9862" s="161" t="s">
        <v>19994</v>
      </c>
      <c r="K9862" t="s">
        <v>19203</v>
      </c>
      <c r="L9862" t="s">
        <v>6235</v>
      </c>
      <c r="M9862" s="161" t="s">
        <v>19994</v>
      </c>
    </row>
    <row r="9863" spans="9:13" x14ac:dyDescent="0.25">
      <c r="I9863" t="s">
        <v>4265</v>
      </c>
      <c r="J9863" s="161" t="s">
        <v>19202</v>
      </c>
      <c r="K9863" t="s">
        <v>19203</v>
      </c>
      <c r="L9863" t="s">
        <v>4264</v>
      </c>
      <c r="M9863" s="161" t="s">
        <v>19202</v>
      </c>
    </row>
    <row r="9864" spans="9:13" x14ac:dyDescent="0.25">
      <c r="I9864" t="s">
        <v>441</v>
      </c>
      <c r="J9864" s="161" t="s">
        <v>19202</v>
      </c>
      <c r="K9864" t="s">
        <v>19203</v>
      </c>
      <c r="L9864" t="s">
        <v>440</v>
      </c>
      <c r="M9864" s="161" t="s">
        <v>19202</v>
      </c>
    </row>
    <row r="9865" spans="9:13" x14ac:dyDescent="0.25">
      <c r="I9865" t="s">
        <v>439</v>
      </c>
      <c r="J9865" s="161" t="s">
        <v>19202</v>
      </c>
      <c r="K9865" t="s">
        <v>19203</v>
      </c>
      <c r="L9865" t="s">
        <v>438</v>
      </c>
      <c r="M9865" s="161" t="s">
        <v>19202</v>
      </c>
    </row>
    <row r="9866" spans="9:13" x14ac:dyDescent="0.25">
      <c r="I9866" t="s">
        <v>437</v>
      </c>
      <c r="J9866" s="161" t="s">
        <v>19202</v>
      </c>
      <c r="K9866" t="s">
        <v>19203</v>
      </c>
      <c r="L9866" t="s">
        <v>436</v>
      </c>
      <c r="M9866" s="161" t="s">
        <v>19202</v>
      </c>
    </row>
    <row r="9867" spans="9:13" x14ac:dyDescent="0.25">
      <c r="I9867" t="s">
        <v>17094</v>
      </c>
      <c r="J9867" s="161" t="s">
        <v>19994</v>
      </c>
      <c r="K9867" t="s">
        <v>19203</v>
      </c>
      <c r="L9867" t="s">
        <v>17093</v>
      </c>
      <c r="M9867" s="161" t="s">
        <v>19994</v>
      </c>
    </row>
    <row r="9868" spans="9:13" x14ac:dyDescent="0.25">
      <c r="I9868" t="s">
        <v>11706</v>
      </c>
      <c r="J9868" s="161" t="s">
        <v>19202</v>
      </c>
      <c r="K9868" t="s">
        <v>19203</v>
      </c>
      <c r="L9868" t="s">
        <v>11705</v>
      </c>
      <c r="M9868" s="161" t="s">
        <v>19202</v>
      </c>
    </row>
    <row r="9869" spans="9:13" x14ac:dyDescent="0.25">
      <c r="I9869" t="s">
        <v>11689</v>
      </c>
      <c r="J9869" s="161" t="s">
        <v>19994</v>
      </c>
      <c r="K9869" t="s">
        <v>19203</v>
      </c>
      <c r="L9869" t="s">
        <v>11688</v>
      </c>
      <c r="M9869" s="161" t="s">
        <v>19994</v>
      </c>
    </row>
    <row r="9870" spans="9:13" x14ac:dyDescent="0.25">
      <c r="I9870" t="s">
        <v>11704</v>
      </c>
      <c r="J9870" s="161" t="s">
        <v>19202</v>
      </c>
      <c r="K9870" t="s">
        <v>19203</v>
      </c>
      <c r="L9870" t="s">
        <v>11703</v>
      </c>
      <c r="M9870" s="161" t="s">
        <v>19202</v>
      </c>
    </row>
    <row r="9871" spans="9:13" x14ac:dyDescent="0.25">
      <c r="I9871" t="s">
        <v>11702</v>
      </c>
      <c r="J9871" s="161" t="s">
        <v>19202</v>
      </c>
      <c r="K9871" t="s">
        <v>19203</v>
      </c>
      <c r="L9871" t="s">
        <v>11701</v>
      </c>
      <c r="M9871" s="161" t="s">
        <v>19202</v>
      </c>
    </row>
    <row r="9872" spans="9:13" x14ac:dyDescent="0.25">
      <c r="I9872" t="s">
        <v>6602</v>
      </c>
      <c r="J9872" s="161" t="s">
        <v>19202</v>
      </c>
      <c r="K9872" t="s">
        <v>19203</v>
      </c>
      <c r="L9872" t="s">
        <v>6601</v>
      </c>
      <c r="M9872" s="161" t="s">
        <v>19202</v>
      </c>
    </row>
    <row r="9873" spans="9:13" x14ac:dyDescent="0.25">
      <c r="I9873" t="s">
        <v>6286</v>
      </c>
      <c r="J9873" s="161" t="s">
        <v>19202</v>
      </c>
      <c r="K9873" t="s">
        <v>19203</v>
      </c>
      <c r="L9873" t="s">
        <v>6285</v>
      </c>
      <c r="M9873" s="161" t="s">
        <v>19202</v>
      </c>
    </row>
    <row r="9874" spans="9:13" x14ac:dyDescent="0.25">
      <c r="I9874" t="s">
        <v>3683</v>
      </c>
      <c r="J9874" s="161" t="s">
        <v>19202</v>
      </c>
      <c r="K9874" t="s">
        <v>19203</v>
      </c>
      <c r="L9874" t="s">
        <v>3682</v>
      </c>
      <c r="M9874" s="161" t="s">
        <v>19202</v>
      </c>
    </row>
    <row r="9875" spans="9:13" x14ac:dyDescent="0.25">
      <c r="I9875" t="s">
        <v>2208</v>
      </c>
      <c r="J9875" s="161" t="s">
        <v>19202</v>
      </c>
      <c r="K9875" t="s">
        <v>19203</v>
      </c>
      <c r="L9875" t="s">
        <v>2207</v>
      </c>
      <c r="M9875" s="161" t="s">
        <v>19202</v>
      </c>
    </row>
    <row r="9876" spans="9:13" x14ac:dyDescent="0.25">
      <c r="I9876" t="s">
        <v>3157</v>
      </c>
      <c r="J9876" s="161" t="s">
        <v>19202</v>
      </c>
      <c r="K9876" t="s">
        <v>19203</v>
      </c>
      <c r="L9876" t="s">
        <v>3156</v>
      </c>
      <c r="M9876" s="161" t="s">
        <v>19202</v>
      </c>
    </row>
    <row r="9877" spans="9:13" x14ac:dyDescent="0.25">
      <c r="I9877" t="s">
        <v>3153</v>
      </c>
      <c r="J9877" s="161" t="s">
        <v>19202</v>
      </c>
      <c r="K9877" t="s">
        <v>19203</v>
      </c>
      <c r="L9877" t="s">
        <v>3152</v>
      </c>
      <c r="M9877" s="161" t="s">
        <v>19202</v>
      </c>
    </row>
    <row r="9878" spans="9:13" x14ac:dyDescent="0.25">
      <c r="I9878" t="s">
        <v>3151</v>
      </c>
      <c r="J9878" s="161" t="s">
        <v>19202</v>
      </c>
      <c r="K9878" t="s">
        <v>19203</v>
      </c>
      <c r="L9878" t="s">
        <v>3150</v>
      </c>
      <c r="M9878" s="161" t="s">
        <v>19202</v>
      </c>
    </row>
    <row r="9879" spans="9:13" x14ac:dyDescent="0.25">
      <c r="I9879" t="s">
        <v>17136</v>
      </c>
      <c r="J9879" s="161" t="s">
        <v>19994</v>
      </c>
      <c r="K9879" t="s">
        <v>19203</v>
      </c>
      <c r="L9879" t="s">
        <v>17135</v>
      </c>
      <c r="M9879" s="161" t="s">
        <v>19994</v>
      </c>
    </row>
    <row r="9880" spans="9:13" x14ac:dyDescent="0.25">
      <c r="I9880" t="s">
        <v>9156</v>
      </c>
      <c r="J9880" s="161" t="s">
        <v>19202</v>
      </c>
      <c r="K9880" t="s">
        <v>19203</v>
      </c>
      <c r="L9880" t="s">
        <v>9155</v>
      </c>
      <c r="M9880" s="161" t="s">
        <v>19202</v>
      </c>
    </row>
    <row r="9881" spans="9:13" x14ac:dyDescent="0.25">
      <c r="I9881" t="s">
        <v>20986</v>
      </c>
      <c r="J9881" s="161" t="s">
        <v>19202</v>
      </c>
      <c r="K9881" t="s">
        <v>19203</v>
      </c>
      <c r="L9881" t="s">
        <v>13952</v>
      </c>
      <c r="M9881" s="161" t="s">
        <v>19202</v>
      </c>
    </row>
    <row r="9882" spans="9:13" x14ac:dyDescent="0.25">
      <c r="I9882" t="s">
        <v>8440</v>
      </c>
      <c r="J9882" s="161" t="s">
        <v>19202</v>
      </c>
      <c r="K9882" t="s">
        <v>19203</v>
      </c>
      <c r="L9882" t="s">
        <v>8439</v>
      </c>
      <c r="M9882" s="161" t="s">
        <v>19202</v>
      </c>
    </row>
    <row r="9883" spans="9:13" x14ac:dyDescent="0.25">
      <c r="I9883" t="s">
        <v>8438</v>
      </c>
      <c r="J9883" s="161" t="s">
        <v>19202</v>
      </c>
      <c r="K9883" t="s">
        <v>19203</v>
      </c>
      <c r="L9883" t="s">
        <v>8437</v>
      </c>
      <c r="M9883" s="161" t="s">
        <v>19202</v>
      </c>
    </row>
    <row r="9884" spans="9:13" x14ac:dyDescent="0.25">
      <c r="I9884" t="s">
        <v>7589</v>
      </c>
      <c r="J9884" s="161" t="s">
        <v>19202</v>
      </c>
      <c r="K9884" t="s">
        <v>19203</v>
      </c>
      <c r="L9884" t="s">
        <v>7588</v>
      </c>
      <c r="M9884" s="161" t="s">
        <v>19202</v>
      </c>
    </row>
    <row r="9885" spans="9:13" x14ac:dyDescent="0.25">
      <c r="I9885" t="s">
        <v>7587</v>
      </c>
      <c r="J9885" s="161" t="s">
        <v>19202</v>
      </c>
      <c r="K9885" t="s">
        <v>19203</v>
      </c>
      <c r="L9885" t="s">
        <v>7586</v>
      </c>
      <c r="M9885" s="161" t="s">
        <v>19202</v>
      </c>
    </row>
    <row r="9886" spans="9:13" x14ac:dyDescent="0.25">
      <c r="I9886" t="s">
        <v>7165</v>
      </c>
      <c r="J9886" s="161" t="s">
        <v>19994</v>
      </c>
      <c r="K9886" t="s">
        <v>19203</v>
      </c>
      <c r="L9886" t="s">
        <v>7164</v>
      </c>
      <c r="M9886" s="161" t="s">
        <v>19994</v>
      </c>
    </row>
    <row r="9887" spans="9:13" x14ac:dyDescent="0.25">
      <c r="I9887" t="s">
        <v>92</v>
      </c>
      <c r="J9887" s="161" t="s">
        <v>19202</v>
      </c>
      <c r="K9887" t="s">
        <v>19203</v>
      </c>
      <c r="L9887" t="s">
        <v>91</v>
      </c>
      <c r="M9887" s="161" t="s">
        <v>19202</v>
      </c>
    </row>
    <row r="9888" spans="9:13" x14ac:dyDescent="0.25">
      <c r="I9888" t="s">
        <v>78</v>
      </c>
      <c r="J9888" s="161" t="s">
        <v>19202</v>
      </c>
      <c r="K9888" t="s">
        <v>19203</v>
      </c>
      <c r="L9888" t="s">
        <v>77</v>
      </c>
      <c r="M9888" s="161" t="s">
        <v>19202</v>
      </c>
    </row>
    <row r="9889" spans="9:13" x14ac:dyDescent="0.25">
      <c r="I9889" t="s">
        <v>70</v>
      </c>
      <c r="J9889" s="161" t="s">
        <v>19202</v>
      </c>
      <c r="K9889" t="s">
        <v>19203</v>
      </c>
      <c r="L9889" t="s">
        <v>69</v>
      </c>
      <c r="M9889" s="161" t="s">
        <v>19202</v>
      </c>
    </row>
    <row r="9890" spans="9:13" x14ac:dyDescent="0.25">
      <c r="I9890" t="s">
        <v>20987</v>
      </c>
      <c r="J9890" s="161" t="s">
        <v>19994</v>
      </c>
      <c r="K9890" t="s">
        <v>19203</v>
      </c>
      <c r="L9890" t="s">
        <v>20988</v>
      </c>
      <c r="M9890" s="161" t="s">
        <v>19994</v>
      </c>
    </row>
    <row r="9891" spans="9:13" x14ac:dyDescent="0.25">
      <c r="I9891" t="s">
        <v>14848</v>
      </c>
      <c r="J9891" s="161" t="s">
        <v>19202</v>
      </c>
      <c r="K9891" t="s">
        <v>19203</v>
      </c>
      <c r="L9891" t="s">
        <v>12141</v>
      </c>
      <c r="M9891" s="161" t="s">
        <v>19202</v>
      </c>
    </row>
    <row r="9892" spans="9:13" x14ac:dyDescent="0.25">
      <c r="I9892" t="s">
        <v>13840</v>
      </c>
      <c r="J9892" s="161" t="s">
        <v>19202</v>
      </c>
      <c r="K9892" t="s">
        <v>19203</v>
      </c>
      <c r="L9892" t="s">
        <v>13839</v>
      </c>
      <c r="M9892" s="161" t="s">
        <v>19202</v>
      </c>
    </row>
    <row r="9893" spans="9:13" x14ac:dyDescent="0.25">
      <c r="I9893" t="s">
        <v>10763</v>
      </c>
      <c r="J9893" s="161" t="s">
        <v>19994</v>
      </c>
      <c r="K9893" t="s">
        <v>19203</v>
      </c>
      <c r="L9893" t="s">
        <v>10762</v>
      </c>
      <c r="M9893" s="161" t="s">
        <v>19994</v>
      </c>
    </row>
    <row r="9894" spans="9:13" x14ac:dyDescent="0.25">
      <c r="I9894" t="s">
        <v>20989</v>
      </c>
      <c r="J9894" s="161" t="s">
        <v>19994</v>
      </c>
      <c r="K9894" t="s">
        <v>19203</v>
      </c>
      <c r="L9894" t="s">
        <v>14908</v>
      </c>
      <c r="M9894" s="161" t="s">
        <v>19994</v>
      </c>
    </row>
    <row r="9895" spans="9:13" x14ac:dyDescent="0.25">
      <c r="I9895" t="s">
        <v>14710</v>
      </c>
      <c r="J9895" s="161" t="s">
        <v>19994</v>
      </c>
      <c r="K9895" t="s">
        <v>19203</v>
      </c>
      <c r="L9895" t="s">
        <v>14709</v>
      </c>
      <c r="M9895" s="161" t="s">
        <v>19994</v>
      </c>
    </row>
    <row r="9896" spans="9:13" x14ac:dyDescent="0.25">
      <c r="I9896" t="s">
        <v>16721</v>
      </c>
      <c r="J9896" s="161" t="s">
        <v>19202</v>
      </c>
      <c r="K9896" t="s">
        <v>19203</v>
      </c>
      <c r="L9896" t="s">
        <v>16720</v>
      </c>
      <c r="M9896" s="161" t="s">
        <v>19202</v>
      </c>
    </row>
    <row r="9897" spans="9:13" x14ac:dyDescent="0.25">
      <c r="I9897" t="s">
        <v>16989</v>
      </c>
      <c r="J9897" s="161" t="s">
        <v>19202</v>
      </c>
      <c r="K9897" t="s">
        <v>19203</v>
      </c>
      <c r="L9897" t="s">
        <v>934</v>
      </c>
      <c r="M9897" s="161" t="s">
        <v>19202</v>
      </c>
    </row>
    <row r="9898" spans="9:13" x14ac:dyDescent="0.25">
      <c r="I9898" t="s">
        <v>6081</v>
      </c>
      <c r="J9898" s="161" t="s">
        <v>19994</v>
      </c>
      <c r="K9898" t="s">
        <v>19203</v>
      </c>
      <c r="L9898" t="s">
        <v>6080</v>
      </c>
      <c r="M9898" s="161" t="s">
        <v>19994</v>
      </c>
    </row>
    <row r="9899" spans="9:13" x14ac:dyDescent="0.25">
      <c r="I9899" t="s">
        <v>11785</v>
      </c>
      <c r="J9899" s="161" t="s">
        <v>19202</v>
      </c>
      <c r="K9899" t="s">
        <v>19203</v>
      </c>
      <c r="L9899" t="s">
        <v>11784</v>
      </c>
      <c r="M9899" s="161" t="s">
        <v>19202</v>
      </c>
    </row>
    <row r="9900" spans="9:13" x14ac:dyDescent="0.25">
      <c r="I9900" t="s">
        <v>11492</v>
      </c>
      <c r="J9900" s="161" t="s">
        <v>19202</v>
      </c>
      <c r="K9900" t="s">
        <v>19203</v>
      </c>
      <c r="L9900" t="s">
        <v>11491</v>
      </c>
      <c r="M9900" s="161" t="s">
        <v>19202</v>
      </c>
    </row>
    <row r="9901" spans="9:13" x14ac:dyDescent="0.25">
      <c r="I9901" t="s">
        <v>11336</v>
      </c>
      <c r="J9901" s="161" t="s">
        <v>19202</v>
      </c>
      <c r="K9901" t="s">
        <v>19203</v>
      </c>
      <c r="L9901" t="s">
        <v>11335</v>
      </c>
      <c r="M9901" s="161" t="s">
        <v>19202</v>
      </c>
    </row>
    <row r="9902" spans="9:13" x14ac:dyDescent="0.25">
      <c r="I9902" t="s">
        <v>10218</v>
      </c>
      <c r="J9902" s="161" t="s">
        <v>19994</v>
      </c>
      <c r="K9902" t="s">
        <v>19203</v>
      </c>
      <c r="L9902" t="s">
        <v>10217</v>
      </c>
      <c r="M9902" s="161" t="s">
        <v>19994</v>
      </c>
    </row>
    <row r="9903" spans="9:13" x14ac:dyDescent="0.25">
      <c r="I9903" t="s">
        <v>11381</v>
      </c>
      <c r="J9903" s="161" t="s">
        <v>19994</v>
      </c>
      <c r="K9903" t="s">
        <v>19203</v>
      </c>
      <c r="L9903" t="s">
        <v>11380</v>
      </c>
      <c r="M9903" s="161" t="s">
        <v>19994</v>
      </c>
    </row>
    <row r="9904" spans="9:13" x14ac:dyDescent="0.25">
      <c r="I9904" t="s">
        <v>11377</v>
      </c>
      <c r="J9904" s="161" t="s">
        <v>19202</v>
      </c>
      <c r="K9904" t="s">
        <v>19203</v>
      </c>
      <c r="L9904" t="s">
        <v>11376</v>
      </c>
      <c r="M9904" s="161" t="s">
        <v>19202</v>
      </c>
    </row>
    <row r="9905" spans="9:13" x14ac:dyDescent="0.25">
      <c r="I9905" t="s">
        <v>11369</v>
      </c>
      <c r="J9905" s="161" t="s">
        <v>19202</v>
      </c>
      <c r="K9905" t="s">
        <v>19203</v>
      </c>
      <c r="L9905" t="s">
        <v>11368</v>
      </c>
      <c r="M9905" s="161" t="s">
        <v>19202</v>
      </c>
    </row>
    <row r="9906" spans="9:13" x14ac:dyDescent="0.25">
      <c r="I9906" t="s">
        <v>20990</v>
      </c>
      <c r="J9906" s="161" t="s">
        <v>19202</v>
      </c>
      <c r="K9906" t="s">
        <v>19203</v>
      </c>
      <c r="L9906" t="s">
        <v>17838</v>
      </c>
      <c r="M9906" s="161" t="s">
        <v>19202</v>
      </c>
    </row>
    <row r="9907" spans="9:13" x14ac:dyDescent="0.25">
      <c r="I9907" t="s">
        <v>76</v>
      </c>
      <c r="J9907" s="161" t="s">
        <v>19202</v>
      </c>
      <c r="K9907" t="s">
        <v>19203</v>
      </c>
      <c r="L9907" t="s">
        <v>75</v>
      </c>
      <c r="M9907" s="161" t="s">
        <v>19202</v>
      </c>
    </row>
    <row r="9908" spans="9:13" x14ac:dyDescent="0.25">
      <c r="I9908" t="s">
        <v>6395</v>
      </c>
      <c r="J9908" s="161" t="s">
        <v>19202</v>
      </c>
      <c r="K9908" t="s">
        <v>19203</v>
      </c>
      <c r="L9908" t="s">
        <v>6394</v>
      </c>
      <c r="M9908" s="161" t="s">
        <v>19202</v>
      </c>
    </row>
    <row r="9909" spans="9:13" x14ac:dyDescent="0.25">
      <c r="I9909" t="s">
        <v>1014</v>
      </c>
      <c r="J9909" s="161" t="s">
        <v>19994</v>
      </c>
      <c r="K9909" t="s">
        <v>19203</v>
      </c>
      <c r="L9909" t="s">
        <v>1013</v>
      </c>
      <c r="M9909" s="161" t="s">
        <v>19994</v>
      </c>
    </row>
    <row r="9910" spans="9:13" x14ac:dyDescent="0.25">
      <c r="I9910" t="s">
        <v>10931</v>
      </c>
      <c r="J9910" s="161" t="s">
        <v>19994</v>
      </c>
      <c r="K9910" t="s">
        <v>19203</v>
      </c>
      <c r="L9910" t="s">
        <v>10930</v>
      </c>
      <c r="M9910" s="161" t="s">
        <v>19994</v>
      </c>
    </row>
    <row r="9911" spans="9:13" x14ac:dyDescent="0.25">
      <c r="I9911" t="s">
        <v>20991</v>
      </c>
      <c r="J9911" s="161" t="s">
        <v>19202</v>
      </c>
      <c r="K9911" t="s">
        <v>19203</v>
      </c>
      <c r="L9911" t="s">
        <v>20992</v>
      </c>
      <c r="M9911" s="161" t="s">
        <v>19202</v>
      </c>
    </row>
    <row r="9912" spans="9:13" x14ac:dyDescent="0.25">
      <c r="I9912" t="s">
        <v>3155</v>
      </c>
      <c r="J9912" s="161" t="s">
        <v>19202</v>
      </c>
      <c r="K9912" t="s">
        <v>19203</v>
      </c>
      <c r="L9912" t="s">
        <v>3154</v>
      </c>
      <c r="M9912" s="161" t="s">
        <v>19202</v>
      </c>
    </row>
    <row r="9913" spans="9:13" x14ac:dyDescent="0.25">
      <c r="I9913" t="s">
        <v>11056</v>
      </c>
      <c r="J9913" s="161" t="s">
        <v>19994</v>
      </c>
      <c r="K9913" t="s">
        <v>19203</v>
      </c>
      <c r="L9913" t="s">
        <v>11055</v>
      </c>
      <c r="M9913" s="161" t="s">
        <v>19994</v>
      </c>
    </row>
    <row r="9914" spans="9:13" x14ac:dyDescent="0.25">
      <c r="I9914" t="s">
        <v>10082</v>
      </c>
      <c r="J9914" s="161" t="s">
        <v>19202</v>
      </c>
      <c r="K9914" t="s">
        <v>19203</v>
      </c>
      <c r="L9914" t="s">
        <v>10081</v>
      </c>
      <c r="M9914" s="161" t="s">
        <v>19202</v>
      </c>
    </row>
    <row r="9915" spans="9:13" x14ac:dyDescent="0.25">
      <c r="I9915" t="s">
        <v>10072</v>
      </c>
      <c r="J9915" s="161" t="s">
        <v>19202</v>
      </c>
      <c r="K9915" t="s">
        <v>19203</v>
      </c>
      <c r="L9915" t="s">
        <v>10071</v>
      </c>
      <c r="M9915" s="161" t="s">
        <v>19202</v>
      </c>
    </row>
    <row r="9916" spans="9:13" x14ac:dyDescent="0.25">
      <c r="I9916" t="s">
        <v>10037</v>
      </c>
      <c r="J9916" s="161" t="s">
        <v>19994</v>
      </c>
      <c r="K9916" t="s">
        <v>19203</v>
      </c>
      <c r="L9916" t="s">
        <v>10036</v>
      </c>
      <c r="M9916" s="161" t="s">
        <v>19994</v>
      </c>
    </row>
    <row r="9917" spans="9:13" x14ac:dyDescent="0.25">
      <c r="I9917" t="s">
        <v>10031</v>
      </c>
      <c r="J9917" s="161" t="s">
        <v>19994</v>
      </c>
      <c r="K9917" t="s">
        <v>19203</v>
      </c>
      <c r="L9917" t="s">
        <v>10030</v>
      </c>
      <c r="M9917" s="161" t="s">
        <v>19994</v>
      </c>
    </row>
    <row r="9918" spans="9:13" x14ac:dyDescent="0.25">
      <c r="I9918" t="s">
        <v>10556</v>
      </c>
      <c r="J9918" s="161" t="s">
        <v>19202</v>
      </c>
      <c r="K9918" t="s">
        <v>19203</v>
      </c>
      <c r="L9918" t="s">
        <v>10555</v>
      </c>
      <c r="M9918" s="161" t="s">
        <v>19202</v>
      </c>
    </row>
    <row r="9919" spans="9:13" x14ac:dyDescent="0.25">
      <c r="I9919" t="s">
        <v>20993</v>
      </c>
      <c r="J9919" s="161" t="s">
        <v>19202</v>
      </c>
      <c r="K9919" t="s">
        <v>19203</v>
      </c>
      <c r="L9919" t="s">
        <v>20994</v>
      </c>
      <c r="M9919" s="161" t="s">
        <v>19202</v>
      </c>
    </row>
    <row r="9920" spans="9:13" x14ac:dyDescent="0.25">
      <c r="I9920" t="s">
        <v>14852</v>
      </c>
      <c r="J9920" s="161" t="s">
        <v>19202</v>
      </c>
      <c r="K9920" t="s">
        <v>19203</v>
      </c>
      <c r="L9920" t="s">
        <v>14851</v>
      </c>
      <c r="M9920" s="161" t="s">
        <v>19202</v>
      </c>
    </row>
    <row r="9921" spans="9:13" x14ac:dyDescent="0.25">
      <c r="I9921" t="s">
        <v>8968</v>
      </c>
      <c r="J9921" s="161" t="s">
        <v>19994</v>
      </c>
      <c r="K9921" t="s">
        <v>19203</v>
      </c>
      <c r="L9921" t="s">
        <v>8967</v>
      </c>
      <c r="M9921" s="161" t="s">
        <v>19994</v>
      </c>
    </row>
    <row r="9922" spans="9:13" x14ac:dyDescent="0.25">
      <c r="I9922" t="s">
        <v>11332</v>
      </c>
      <c r="J9922" s="161" t="s">
        <v>19202</v>
      </c>
      <c r="K9922" t="s">
        <v>19203</v>
      </c>
      <c r="L9922" t="s">
        <v>11331</v>
      </c>
      <c r="M9922" s="161" t="s">
        <v>19202</v>
      </c>
    </row>
    <row r="9923" spans="9:13" x14ac:dyDescent="0.25">
      <c r="I9923" t="s">
        <v>2811</v>
      </c>
      <c r="J9923" s="161" t="s">
        <v>19202</v>
      </c>
      <c r="K9923" t="s">
        <v>19203</v>
      </c>
      <c r="L9923" t="s">
        <v>2810</v>
      </c>
      <c r="M9923" s="161" t="s">
        <v>19202</v>
      </c>
    </row>
    <row r="9924" spans="9:13" x14ac:dyDescent="0.25">
      <c r="I9924" t="s">
        <v>2727</v>
      </c>
      <c r="J9924" s="161" t="s">
        <v>19202</v>
      </c>
      <c r="K9924" t="s">
        <v>19203</v>
      </c>
      <c r="L9924" t="s">
        <v>2726</v>
      </c>
      <c r="M9924" s="161" t="s">
        <v>19202</v>
      </c>
    </row>
    <row r="9925" spans="9:13" x14ac:dyDescent="0.25">
      <c r="I9925" t="s">
        <v>94</v>
      </c>
      <c r="J9925" s="161" t="s">
        <v>19994</v>
      </c>
      <c r="K9925" t="s">
        <v>19203</v>
      </c>
      <c r="L9925" t="s">
        <v>93</v>
      </c>
      <c r="M9925" s="161" t="s">
        <v>19994</v>
      </c>
    </row>
    <row r="9926" spans="9:13" x14ac:dyDescent="0.25">
      <c r="I9926" t="s">
        <v>20995</v>
      </c>
      <c r="J9926" s="161" t="s">
        <v>19202</v>
      </c>
      <c r="K9926" t="s">
        <v>19203</v>
      </c>
      <c r="L9926" t="s">
        <v>13725</v>
      </c>
      <c r="M9926" s="161" t="s">
        <v>19202</v>
      </c>
    </row>
    <row r="9927" spans="9:13" x14ac:dyDescent="0.25">
      <c r="I9927" t="s">
        <v>11791</v>
      </c>
      <c r="J9927" s="161" t="s">
        <v>19202</v>
      </c>
      <c r="K9927" t="s">
        <v>19203</v>
      </c>
      <c r="L9927" t="s">
        <v>11790</v>
      </c>
      <c r="M9927" s="161" t="s">
        <v>19202</v>
      </c>
    </row>
    <row r="9928" spans="9:13" x14ac:dyDescent="0.25">
      <c r="I9928" t="s">
        <v>1961</v>
      </c>
      <c r="J9928" s="161" t="s">
        <v>19994</v>
      </c>
      <c r="K9928" t="s">
        <v>19203</v>
      </c>
      <c r="L9928" t="s">
        <v>1960</v>
      </c>
      <c r="M9928" s="161" t="s">
        <v>19994</v>
      </c>
    </row>
    <row r="9929" spans="9:13" x14ac:dyDescent="0.25">
      <c r="I9929" t="s">
        <v>17230</v>
      </c>
      <c r="J9929" s="161" t="s">
        <v>19994</v>
      </c>
      <c r="K9929" t="s">
        <v>19203</v>
      </c>
      <c r="L9929" t="s">
        <v>17229</v>
      </c>
      <c r="M9929" s="161" t="s">
        <v>19994</v>
      </c>
    </row>
    <row r="9930" spans="9:13" x14ac:dyDescent="0.25">
      <c r="I9930" t="s">
        <v>11468</v>
      </c>
      <c r="J9930" s="161" t="s">
        <v>19994</v>
      </c>
      <c r="K9930" t="s">
        <v>19203</v>
      </c>
      <c r="L9930" t="s">
        <v>11467</v>
      </c>
      <c r="M9930" s="161" t="s">
        <v>19994</v>
      </c>
    </row>
    <row r="9931" spans="9:13" x14ac:dyDescent="0.25">
      <c r="I9931" t="s">
        <v>11450</v>
      </c>
      <c r="J9931" s="161" t="s">
        <v>19994</v>
      </c>
      <c r="K9931" t="s">
        <v>19203</v>
      </c>
      <c r="L9931" t="s">
        <v>11449</v>
      </c>
      <c r="M9931" s="161" t="s">
        <v>19994</v>
      </c>
    </row>
    <row r="9932" spans="9:13" x14ac:dyDescent="0.25">
      <c r="I9932" t="s">
        <v>6257</v>
      </c>
      <c r="J9932" s="161" t="s">
        <v>19994</v>
      </c>
      <c r="K9932" t="s">
        <v>19203</v>
      </c>
      <c r="L9932" t="s">
        <v>370</v>
      </c>
      <c r="M9932" s="161" t="s">
        <v>19994</v>
      </c>
    </row>
    <row r="9933" spans="9:13" x14ac:dyDescent="0.25">
      <c r="I9933" t="s">
        <v>15156</v>
      </c>
      <c r="J9933" s="161" t="s">
        <v>19202</v>
      </c>
      <c r="K9933" t="s">
        <v>19203</v>
      </c>
      <c r="L9933" t="s">
        <v>14187</v>
      </c>
      <c r="M9933" s="161" t="s">
        <v>19202</v>
      </c>
    </row>
    <row r="9934" spans="9:13" x14ac:dyDescent="0.25">
      <c r="I9934" t="s">
        <v>6921</v>
      </c>
      <c r="J9934" s="161" t="s">
        <v>19994</v>
      </c>
      <c r="K9934" t="s">
        <v>19203</v>
      </c>
      <c r="L9934" t="s">
        <v>6920</v>
      </c>
      <c r="M9934" s="161" t="s">
        <v>19994</v>
      </c>
    </row>
    <row r="9935" spans="9:13" x14ac:dyDescent="0.25">
      <c r="I9935" t="s">
        <v>4973</v>
      </c>
      <c r="J9935" s="161" t="s">
        <v>19202</v>
      </c>
      <c r="K9935" t="s">
        <v>19203</v>
      </c>
      <c r="L9935" t="s">
        <v>4972</v>
      </c>
      <c r="M9935" s="161" t="s">
        <v>19202</v>
      </c>
    </row>
    <row r="9936" spans="9:13" x14ac:dyDescent="0.25">
      <c r="I9936" t="s">
        <v>396</v>
      </c>
      <c r="J9936" s="161" t="s">
        <v>19994</v>
      </c>
      <c r="K9936" t="s">
        <v>19203</v>
      </c>
      <c r="L9936" t="s">
        <v>395</v>
      </c>
      <c r="M9936" s="161" t="s">
        <v>19994</v>
      </c>
    </row>
    <row r="9937" spans="9:13" x14ac:dyDescent="0.25">
      <c r="I9937" t="s">
        <v>88</v>
      </c>
      <c r="J9937" s="161" t="s">
        <v>19202</v>
      </c>
      <c r="K9937" t="s">
        <v>19203</v>
      </c>
      <c r="L9937" t="s">
        <v>87</v>
      </c>
      <c r="M9937" s="161" t="s">
        <v>19202</v>
      </c>
    </row>
    <row r="9938" spans="9:13" x14ac:dyDescent="0.25">
      <c r="I9938" t="s">
        <v>84</v>
      </c>
      <c r="J9938" s="161" t="s">
        <v>19202</v>
      </c>
      <c r="K9938" t="s">
        <v>19203</v>
      </c>
      <c r="L9938" t="s">
        <v>83</v>
      </c>
      <c r="M9938" s="161" t="s">
        <v>19202</v>
      </c>
    </row>
    <row r="9939" spans="9:13" x14ac:dyDescent="0.25">
      <c r="I9939" t="s">
        <v>80</v>
      </c>
      <c r="J9939" s="161" t="s">
        <v>19202</v>
      </c>
      <c r="K9939" t="s">
        <v>19203</v>
      </c>
      <c r="L9939" t="s">
        <v>79</v>
      </c>
      <c r="M9939" s="161" t="s">
        <v>19202</v>
      </c>
    </row>
    <row r="9940" spans="9:13" x14ac:dyDescent="0.25">
      <c r="I9940" t="s">
        <v>10656</v>
      </c>
      <c r="J9940" s="161" t="s">
        <v>19202</v>
      </c>
      <c r="K9940" t="s">
        <v>19203</v>
      </c>
      <c r="L9940" t="s">
        <v>10057</v>
      </c>
      <c r="M9940" s="161" t="s">
        <v>19202</v>
      </c>
    </row>
    <row r="9941" spans="9:13" x14ac:dyDescent="0.25">
      <c r="I9941" t="s">
        <v>20996</v>
      </c>
      <c r="J9941" s="161" t="s">
        <v>19994</v>
      </c>
      <c r="K9941" t="s">
        <v>19203</v>
      </c>
      <c r="L9941" t="s">
        <v>20997</v>
      </c>
      <c r="M9941" s="161" t="s">
        <v>19994</v>
      </c>
    </row>
    <row r="9942" spans="9:13" x14ac:dyDescent="0.25">
      <c r="I9942" t="s">
        <v>2210</v>
      </c>
      <c r="J9942" s="161" t="s">
        <v>19202</v>
      </c>
      <c r="K9942" t="s">
        <v>19203</v>
      </c>
      <c r="L9942" t="s">
        <v>2209</v>
      </c>
      <c r="M9942" s="161" t="s">
        <v>19202</v>
      </c>
    </row>
    <row r="9943" spans="9:13" x14ac:dyDescent="0.25">
      <c r="I9943" t="s">
        <v>2148</v>
      </c>
      <c r="J9943" s="161" t="s">
        <v>19202</v>
      </c>
      <c r="K9943" t="s">
        <v>19203</v>
      </c>
      <c r="L9943" t="s">
        <v>2147</v>
      </c>
      <c r="M9943" s="161" t="s">
        <v>19202</v>
      </c>
    </row>
    <row r="9944" spans="9:13" x14ac:dyDescent="0.25">
      <c r="I9944" t="s">
        <v>14790</v>
      </c>
      <c r="J9944" s="161" t="s">
        <v>19202</v>
      </c>
      <c r="K9944" t="s">
        <v>19203</v>
      </c>
      <c r="L9944" t="s">
        <v>14789</v>
      </c>
      <c r="M9944" s="161" t="s">
        <v>19202</v>
      </c>
    </row>
    <row r="9945" spans="9:13" x14ac:dyDescent="0.25">
      <c r="I9945" t="s">
        <v>14788</v>
      </c>
      <c r="J9945" s="161" t="s">
        <v>19202</v>
      </c>
      <c r="K9945" t="s">
        <v>19203</v>
      </c>
      <c r="L9945" t="s">
        <v>14787</v>
      </c>
      <c r="M9945" s="161" t="s">
        <v>19202</v>
      </c>
    </row>
    <row r="9946" spans="9:13" x14ac:dyDescent="0.25">
      <c r="I9946" t="s">
        <v>20998</v>
      </c>
      <c r="J9946" s="161" t="s">
        <v>19994</v>
      </c>
      <c r="K9946" t="s">
        <v>19203</v>
      </c>
      <c r="L9946" t="s">
        <v>346</v>
      </c>
      <c r="M9946" s="161" t="s">
        <v>19994</v>
      </c>
    </row>
    <row r="9947" spans="9:13" x14ac:dyDescent="0.25">
      <c r="I9947" t="s">
        <v>9726</v>
      </c>
      <c r="J9947" s="161" t="s">
        <v>19994</v>
      </c>
      <c r="K9947" t="s">
        <v>19203</v>
      </c>
      <c r="L9947" t="s">
        <v>9725</v>
      </c>
      <c r="M9947" s="161" t="s">
        <v>19994</v>
      </c>
    </row>
    <row r="9948" spans="9:13" x14ac:dyDescent="0.25">
      <c r="I9948" t="s">
        <v>15464</v>
      </c>
      <c r="J9948" s="161" t="s">
        <v>19202</v>
      </c>
      <c r="K9948" t="s">
        <v>19203</v>
      </c>
      <c r="L9948" t="s">
        <v>15463</v>
      </c>
      <c r="M9948" s="161" t="s">
        <v>19202</v>
      </c>
    </row>
    <row r="9949" spans="9:13" x14ac:dyDescent="0.25">
      <c r="I9949" t="s">
        <v>20999</v>
      </c>
      <c r="J9949" s="161" t="s">
        <v>19994</v>
      </c>
      <c r="K9949" t="s">
        <v>19203</v>
      </c>
      <c r="L9949" t="s">
        <v>150</v>
      </c>
      <c r="M9949" s="161" t="s">
        <v>19994</v>
      </c>
    </row>
    <row r="9950" spans="9:13" x14ac:dyDescent="0.25">
      <c r="I9950" t="s">
        <v>10150</v>
      </c>
      <c r="J9950" s="161" t="s">
        <v>19994</v>
      </c>
      <c r="K9950" t="s">
        <v>19203</v>
      </c>
      <c r="L9950" t="s">
        <v>10149</v>
      </c>
      <c r="M9950" s="161" t="s">
        <v>19994</v>
      </c>
    </row>
    <row r="9951" spans="9:13" x14ac:dyDescent="0.25">
      <c r="I9951" t="s">
        <v>21000</v>
      </c>
      <c r="J9951" s="161" t="s">
        <v>19202</v>
      </c>
      <c r="K9951" t="s">
        <v>19203</v>
      </c>
      <c r="L9951" t="s">
        <v>1108</v>
      </c>
      <c r="M9951" s="161" t="s">
        <v>19202</v>
      </c>
    </row>
    <row r="9952" spans="9:13" x14ac:dyDescent="0.25">
      <c r="I9952" t="s">
        <v>21001</v>
      </c>
      <c r="J9952" s="161" t="s">
        <v>19202</v>
      </c>
      <c r="K9952" t="s">
        <v>19203</v>
      </c>
      <c r="L9952" t="s">
        <v>21002</v>
      </c>
      <c r="M9952" s="161" t="s">
        <v>19202</v>
      </c>
    </row>
    <row r="9953" spans="9:13" x14ac:dyDescent="0.25">
      <c r="I9953" t="s">
        <v>17138</v>
      </c>
      <c r="J9953" s="161" t="s">
        <v>19994</v>
      </c>
      <c r="K9953" t="s">
        <v>19203</v>
      </c>
      <c r="L9953" t="s">
        <v>17137</v>
      </c>
      <c r="M9953" s="161" t="s">
        <v>19994</v>
      </c>
    </row>
    <row r="9954" spans="9:13" x14ac:dyDescent="0.25">
      <c r="I9954" t="s">
        <v>17134</v>
      </c>
      <c r="J9954" s="161" t="s">
        <v>19202</v>
      </c>
      <c r="K9954" t="s">
        <v>19203</v>
      </c>
      <c r="L9954" t="s">
        <v>17133</v>
      </c>
      <c r="M9954" s="161" t="s">
        <v>19202</v>
      </c>
    </row>
    <row r="9955" spans="9:13" x14ac:dyDescent="0.25">
      <c r="I9955" t="s">
        <v>21003</v>
      </c>
      <c r="J9955" s="161" t="s">
        <v>19202</v>
      </c>
      <c r="K9955" t="s">
        <v>19203</v>
      </c>
      <c r="L9955" t="s">
        <v>21004</v>
      </c>
      <c r="M9955" s="161" t="s">
        <v>19202</v>
      </c>
    </row>
    <row r="9956" spans="9:13" x14ac:dyDescent="0.25">
      <c r="I9956" t="s">
        <v>17176</v>
      </c>
      <c r="J9956" s="161" t="s">
        <v>19994</v>
      </c>
      <c r="K9956" t="s">
        <v>19203</v>
      </c>
      <c r="L9956" t="s">
        <v>17175</v>
      </c>
      <c r="M9956" s="161" t="s">
        <v>19994</v>
      </c>
    </row>
    <row r="9957" spans="9:13" x14ac:dyDescent="0.25">
      <c r="I9957" t="s">
        <v>10761</v>
      </c>
      <c r="J9957" s="161" t="s">
        <v>19994</v>
      </c>
      <c r="K9957" t="s">
        <v>19203</v>
      </c>
      <c r="L9957" t="s">
        <v>10760</v>
      </c>
      <c r="M9957" s="161" t="s">
        <v>19994</v>
      </c>
    </row>
    <row r="9958" spans="9:13" x14ac:dyDescent="0.25">
      <c r="I9958" t="s">
        <v>6783</v>
      </c>
      <c r="J9958" s="161" t="s">
        <v>19994</v>
      </c>
      <c r="K9958" t="s">
        <v>19203</v>
      </c>
      <c r="L9958" t="s">
        <v>6782</v>
      </c>
      <c r="M9958" s="161" t="s">
        <v>19994</v>
      </c>
    </row>
    <row r="9959" spans="9:13" x14ac:dyDescent="0.25">
      <c r="I9959" t="s">
        <v>6254</v>
      </c>
      <c r="J9959" s="161" t="s">
        <v>19994</v>
      </c>
      <c r="K9959" t="s">
        <v>19203</v>
      </c>
      <c r="L9959" t="s">
        <v>6253</v>
      </c>
      <c r="M9959" s="161" t="s">
        <v>19994</v>
      </c>
    </row>
    <row r="9960" spans="9:13" x14ac:dyDescent="0.25">
      <c r="I9960" t="s">
        <v>6232</v>
      </c>
      <c r="J9960" s="161" t="s">
        <v>19202</v>
      </c>
      <c r="K9960" t="s">
        <v>19203</v>
      </c>
      <c r="L9960" t="s">
        <v>6231</v>
      </c>
      <c r="M9960" s="161" t="s">
        <v>19202</v>
      </c>
    </row>
    <row r="9961" spans="9:13" x14ac:dyDescent="0.25">
      <c r="I9961" t="s">
        <v>698</v>
      </c>
      <c r="J9961" s="161" t="s">
        <v>19202</v>
      </c>
      <c r="K9961" t="s">
        <v>19203</v>
      </c>
      <c r="L9961" t="s">
        <v>697</v>
      </c>
      <c r="M9961" s="161" t="s">
        <v>19202</v>
      </c>
    </row>
    <row r="9962" spans="9:13" x14ac:dyDescent="0.25">
      <c r="I9962" t="s">
        <v>11494</v>
      </c>
      <c r="J9962" s="161" t="s">
        <v>19994</v>
      </c>
      <c r="K9962" t="s">
        <v>19203</v>
      </c>
      <c r="L9962" t="s">
        <v>11493</v>
      </c>
      <c r="M9962" s="161" t="s">
        <v>19994</v>
      </c>
    </row>
    <row r="9963" spans="9:13" x14ac:dyDescent="0.25">
      <c r="I9963" t="s">
        <v>10216</v>
      </c>
      <c r="J9963" s="161" t="s">
        <v>19994</v>
      </c>
      <c r="K9963" t="s">
        <v>19203</v>
      </c>
      <c r="L9963" t="s">
        <v>10215</v>
      </c>
      <c r="M9963" s="161" t="s">
        <v>19994</v>
      </c>
    </row>
    <row r="9964" spans="9:13" x14ac:dyDescent="0.25">
      <c r="I9964" t="s">
        <v>15073</v>
      </c>
      <c r="J9964" s="161" t="s">
        <v>19202</v>
      </c>
      <c r="K9964" t="s">
        <v>19203</v>
      </c>
      <c r="L9964" t="s">
        <v>861</v>
      </c>
      <c r="M9964" s="161" t="s">
        <v>19202</v>
      </c>
    </row>
    <row r="9965" spans="9:13" x14ac:dyDescent="0.25">
      <c r="I9965" t="s">
        <v>13979</v>
      </c>
      <c r="J9965" s="161" t="s">
        <v>19202</v>
      </c>
      <c r="K9965" t="s">
        <v>19203</v>
      </c>
      <c r="L9965" t="s">
        <v>13978</v>
      </c>
      <c r="M9965" s="161" t="s">
        <v>19202</v>
      </c>
    </row>
    <row r="9966" spans="9:13" x14ac:dyDescent="0.25">
      <c r="I9966" t="s">
        <v>13977</v>
      </c>
      <c r="J9966" s="161" t="s">
        <v>19202</v>
      </c>
      <c r="K9966" t="s">
        <v>19203</v>
      </c>
      <c r="L9966" t="s">
        <v>13976</v>
      </c>
      <c r="M9966" s="161" t="s">
        <v>19202</v>
      </c>
    </row>
    <row r="9967" spans="9:13" x14ac:dyDescent="0.25">
      <c r="I9967" t="s">
        <v>10842</v>
      </c>
      <c r="J9967" s="161" t="s">
        <v>19202</v>
      </c>
      <c r="K9967" t="s">
        <v>19203</v>
      </c>
      <c r="L9967" t="s">
        <v>10841</v>
      </c>
      <c r="M9967" s="161" t="s">
        <v>19202</v>
      </c>
    </row>
    <row r="9968" spans="9:13" x14ac:dyDescent="0.25">
      <c r="I9968" t="s">
        <v>9821</v>
      </c>
      <c r="J9968" s="161" t="s">
        <v>19994</v>
      </c>
      <c r="K9968" t="s">
        <v>19203</v>
      </c>
      <c r="L9968" t="s">
        <v>9820</v>
      </c>
      <c r="M9968" s="161" t="s">
        <v>19994</v>
      </c>
    </row>
    <row r="9969" spans="9:13" x14ac:dyDescent="0.25">
      <c r="I9969" t="s">
        <v>9150</v>
      </c>
      <c r="J9969" s="161" t="s">
        <v>19202</v>
      </c>
      <c r="K9969" t="s">
        <v>19203</v>
      </c>
      <c r="L9969" t="s">
        <v>9149</v>
      </c>
      <c r="M9969" s="161" t="s">
        <v>19202</v>
      </c>
    </row>
    <row r="9970" spans="9:13" x14ac:dyDescent="0.25">
      <c r="I9970" t="s">
        <v>2809</v>
      </c>
      <c r="J9970" s="161" t="s">
        <v>19202</v>
      </c>
      <c r="K9970" t="s">
        <v>19203</v>
      </c>
      <c r="L9970" t="s">
        <v>2808</v>
      </c>
      <c r="M9970" s="161" t="s">
        <v>19202</v>
      </c>
    </row>
    <row r="9971" spans="9:13" x14ac:dyDescent="0.25">
      <c r="I9971" t="s">
        <v>21005</v>
      </c>
      <c r="J9971" s="161" t="s">
        <v>19994</v>
      </c>
      <c r="K9971" t="s">
        <v>19203</v>
      </c>
      <c r="L9971" t="s">
        <v>21006</v>
      </c>
      <c r="M9971" s="161" t="s">
        <v>19994</v>
      </c>
    </row>
    <row r="9972" spans="9:13" x14ac:dyDescent="0.25">
      <c r="I9972" t="s">
        <v>10414</v>
      </c>
      <c r="J9972" s="161" t="s">
        <v>19202</v>
      </c>
      <c r="K9972" t="s">
        <v>19203</v>
      </c>
      <c r="L9972" t="s">
        <v>10413</v>
      </c>
      <c r="M9972" s="161" t="s">
        <v>19202</v>
      </c>
    </row>
    <row r="9973" spans="9:13" x14ac:dyDescent="0.25">
      <c r="I9973" t="s">
        <v>13981</v>
      </c>
      <c r="J9973" s="161" t="s">
        <v>19202</v>
      </c>
      <c r="K9973" t="s">
        <v>19203</v>
      </c>
      <c r="L9973" t="s">
        <v>13980</v>
      </c>
      <c r="M9973" s="161" t="s">
        <v>19202</v>
      </c>
    </row>
    <row r="9974" spans="9:13" x14ac:dyDescent="0.25">
      <c r="I9974" t="s">
        <v>21007</v>
      </c>
      <c r="J9974" s="161" t="s">
        <v>19202</v>
      </c>
      <c r="K9974" t="s">
        <v>19203</v>
      </c>
      <c r="L9974" t="s">
        <v>21008</v>
      </c>
      <c r="M9974" s="161" t="s">
        <v>19202</v>
      </c>
    </row>
    <row r="9975" spans="9:13" x14ac:dyDescent="0.25">
      <c r="I9975" t="s">
        <v>21009</v>
      </c>
      <c r="J9975" s="161" t="s">
        <v>19202</v>
      </c>
      <c r="K9975" t="s">
        <v>19203</v>
      </c>
      <c r="L9975" t="s">
        <v>21010</v>
      </c>
      <c r="M9975" s="161" t="s">
        <v>19202</v>
      </c>
    </row>
    <row r="9976" spans="9:13" x14ac:dyDescent="0.25">
      <c r="I9976" t="s">
        <v>21011</v>
      </c>
      <c r="J9976" s="161" t="s">
        <v>19202</v>
      </c>
      <c r="K9976" t="s">
        <v>19203</v>
      </c>
      <c r="L9976" t="s">
        <v>21012</v>
      </c>
      <c r="M9976" s="161" t="s">
        <v>19202</v>
      </c>
    </row>
    <row r="9977" spans="9:13" x14ac:dyDescent="0.25">
      <c r="I9977" t="s">
        <v>21013</v>
      </c>
      <c r="J9977" s="161" t="s">
        <v>19202</v>
      </c>
      <c r="K9977" t="s">
        <v>19203</v>
      </c>
      <c r="L9977" t="s">
        <v>21014</v>
      </c>
      <c r="M9977" s="161" t="s">
        <v>19202</v>
      </c>
    </row>
    <row r="9978" spans="9:13" x14ac:dyDescent="0.25">
      <c r="I9978" t="s">
        <v>7368</v>
      </c>
      <c r="J9978" s="161" t="s">
        <v>19202</v>
      </c>
      <c r="K9978" t="s">
        <v>19203</v>
      </c>
      <c r="L9978" t="s">
        <v>7367</v>
      </c>
      <c r="M9978" s="161" t="s">
        <v>19202</v>
      </c>
    </row>
    <row r="9979" spans="9:13" x14ac:dyDescent="0.25">
      <c r="I9979" t="s">
        <v>14236</v>
      </c>
      <c r="J9979" s="161" t="s">
        <v>19202</v>
      </c>
      <c r="K9979" t="s">
        <v>19203</v>
      </c>
      <c r="L9979" t="s">
        <v>14235</v>
      </c>
      <c r="M9979" s="161" t="s">
        <v>19202</v>
      </c>
    </row>
    <row r="9980" spans="9:13" x14ac:dyDescent="0.25">
      <c r="I9980" t="s">
        <v>6746</v>
      </c>
      <c r="J9980" s="161" t="s">
        <v>19994</v>
      </c>
      <c r="K9980" t="s">
        <v>19203</v>
      </c>
      <c r="L9980" t="s">
        <v>6745</v>
      </c>
      <c r="M9980" s="161" t="s">
        <v>19994</v>
      </c>
    </row>
    <row r="9981" spans="9:13" x14ac:dyDescent="0.25">
      <c r="I9981" t="s">
        <v>392</v>
      </c>
      <c r="J9981" s="161" t="s">
        <v>19202</v>
      </c>
      <c r="K9981" t="s">
        <v>19203</v>
      </c>
      <c r="L9981" t="s">
        <v>391</v>
      </c>
      <c r="M9981" s="161" t="s">
        <v>19202</v>
      </c>
    </row>
    <row r="9982" spans="9:13" x14ac:dyDescent="0.25">
      <c r="I9982" t="s">
        <v>96</v>
      </c>
      <c r="J9982" s="161" t="s">
        <v>19994</v>
      </c>
      <c r="K9982" t="s">
        <v>19203</v>
      </c>
      <c r="L9982" t="s">
        <v>95</v>
      </c>
      <c r="M9982" s="161" t="s">
        <v>19994</v>
      </c>
    </row>
    <row r="9983" spans="9:13" x14ac:dyDescent="0.25">
      <c r="I9983" t="s">
        <v>86</v>
      </c>
      <c r="J9983" s="161" t="s">
        <v>19202</v>
      </c>
      <c r="K9983" t="s">
        <v>19203</v>
      </c>
      <c r="L9983" t="s">
        <v>85</v>
      </c>
      <c r="M9983" s="161" t="s">
        <v>19202</v>
      </c>
    </row>
    <row r="9984" spans="9:13" x14ac:dyDescent="0.25">
      <c r="I9984" t="s">
        <v>6397</v>
      </c>
      <c r="J9984" s="161" t="s">
        <v>19202</v>
      </c>
      <c r="K9984" t="s">
        <v>19203</v>
      </c>
      <c r="L9984" t="s">
        <v>6396</v>
      </c>
      <c r="M9984" s="161" t="s">
        <v>19202</v>
      </c>
    </row>
    <row r="9985" spans="9:13" x14ac:dyDescent="0.25">
      <c r="I9985" t="s">
        <v>14649</v>
      </c>
      <c r="J9985" s="161" t="s">
        <v>19202</v>
      </c>
      <c r="K9985" t="s">
        <v>19203</v>
      </c>
      <c r="L9985" t="s">
        <v>14648</v>
      </c>
      <c r="M9985" s="161" t="s">
        <v>19202</v>
      </c>
    </row>
    <row r="9986" spans="9:13" x14ac:dyDescent="0.25">
      <c r="I9986" t="s">
        <v>6075</v>
      </c>
      <c r="J9986" s="161" t="s">
        <v>19202</v>
      </c>
      <c r="K9986" t="s">
        <v>19203</v>
      </c>
      <c r="L9986" t="s">
        <v>6074</v>
      </c>
      <c r="M9986" s="161" t="s">
        <v>19202</v>
      </c>
    </row>
    <row r="9987" spans="9:13" x14ac:dyDescent="0.25">
      <c r="I9987" t="s">
        <v>2427</v>
      </c>
      <c r="J9987" s="161" t="s">
        <v>19202</v>
      </c>
      <c r="K9987" t="s">
        <v>19203</v>
      </c>
      <c r="L9987" t="s">
        <v>2426</v>
      </c>
      <c r="M9987" s="161" t="s">
        <v>19202</v>
      </c>
    </row>
    <row r="9988" spans="9:13" x14ac:dyDescent="0.25">
      <c r="I9988" t="s">
        <v>9170</v>
      </c>
      <c r="J9988" s="161" t="s">
        <v>19202</v>
      </c>
      <c r="K9988" t="s">
        <v>19203</v>
      </c>
      <c r="L9988" t="s">
        <v>9169</v>
      </c>
      <c r="M9988" s="161" t="s">
        <v>19202</v>
      </c>
    </row>
    <row r="9989" spans="9:13" x14ac:dyDescent="0.25">
      <c r="I9989" t="s">
        <v>14860</v>
      </c>
      <c r="J9989" s="161" t="s">
        <v>19202</v>
      </c>
      <c r="K9989" t="s">
        <v>19203</v>
      </c>
      <c r="L9989" t="s">
        <v>14859</v>
      </c>
      <c r="M9989" s="161" t="s">
        <v>19202</v>
      </c>
    </row>
    <row r="9990" spans="9:13" x14ac:dyDescent="0.25">
      <c r="I9990" t="s">
        <v>21015</v>
      </c>
      <c r="J9990" s="161" t="s">
        <v>19202</v>
      </c>
      <c r="K9990" t="s">
        <v>19203</v>
      </c>
      <c r="L9990" t="s">
        <v>21016</v>
      </c>
      <c r="M9990" s="161" t="s">
        <v>19202</v>
      </c>
    </row>
    <row r="9991" spans="9:13" x14ac:dyDescent="0.25">
      <c r="I9991" t="s">
        <v>21017</v>
      </c>
      <c r="J9991" s="161" t="s">
        <v>19202</v>
      </c>
      <c r="K9991" t="s">
        <v>19203</v>
      </c>
      <c r="L9991" t="s">
        <v>21018</v>
      </c>
      <c r="M9991" s="161" t="s">
        <v>19202</v>
      </c>
    </row>
    <row r="9992" spans="9:13" x14ac:dyDescent="0.25">
      <c r="I9992" t="s">
        <v>10721</v>
      </c>
      <c r="J9992" s="161" t="s">
        <v>19202</v>
      </c>
      <c r="K9992" t="s">
        <v>19203</v>
      </c>
      <c r="L9992" t="s">
        <v>3982</v>
      </c>
      <c r="M9992" s="161" t="s">
        <v>19202</v>
      </c>
    </row>
    <row r="9993" spans="9:13" x14ac:dyDescent="0.25">
      <c r="I9993" t="s">
        <v>11334</v>
      </c>
      <c r="J9993" s="161" t="s">
        <v>19202</v>
      </c>
      <c r="K9993" t="s">
        <v>19203</v>
      </c>
      <c r="L9993" t="s">
        <v>11333</v>
      </c>
      <c r="M9993" s="161" t="s">
        <v>19202</v>
      </c>
    </row>
    <row r="9994" spans="9:13" x14ac:dyDescent="0.25">
      <c r="I9994" t="s">
        <v>5622</v>
      </c>
      <c r="J9994" s="161" t="s">
        <v>19202</v>
      </c>
      <c r="K9994" t="s">
        <v>19203</v>
      </c>
      <c r="L9994" t="s">
        <v>5621</v>
      </c>
      <c r="M9994" s="161" t="s">
        <v>19202</v>
      </c>
    </row>
    <row r="9995" spans="9:13" x14ac:dyDescent="0.25">
      <c r="I9995" t="s">
        <v>2725</v>
      </c>
      <c r="J9995" s="161" t="s">
        <v>19202</v>
      </c>
      <c r="K9995" t="s">
        <v>19203</v>
      </c>
      <c r="L9995" t="s">
        <v>2724</v>
      </c>
      <c r="M9995" s="161" t="s">
        <v>19202</v>
      </c>
    </row>
    <row r="9996" spans="9:13" x14ac:dyDescent="0.25">
      <c r="I9996" t="s">
        <v>2258</v>
      </c>
      <c r="J9996" s="161" t="s">
        <v>19994</v>
      </c>
      <c r="K9996" t="s">
        <v>19203</v>
      </c>
      <c r="L9996" t="s">
        <v>2257</v>
      </c>
      <c r="M9996" s="161" t="s">
        <v>19994</v>
      </c>
    </row>
    <row r="9997" spans="9:13" x14ac:dyDescent="0.25">
      <c r="I9997" t="s">
        <v>115</v>
      </c>
      <c r="J9997" s="161" t="s">
        <v>19202</v>
      </c>
      <c r="K9997" t="s">
        <v>19203</v>
      </c>
      <c r="L9997" t="s">
        <v>114</v>
      </c>
      <c r="M9997" s="161" t="s">
        <v>19202</v>
      </c>
    </row>
    <row r="9998" spans="9:13" x14ac:dyDescent="0.25">
      <c r="I9998" t="s">
        <v>21019</v>
      </c>
      <c r="J9998" s="161" t="s">
        <v>19202</v>
      </c>
      <c r="K9998" t="s">
        <v>19203</v>
      </c>
      <c r="L9998" t="s">
        <v>21020</v>
      </c>
      <c r="M9998" s="161" t="s">
        <v>19202</v>
      </c>
    </row>
    <row r="9999" spans="9:13" x14ac:dyDescent="0.25">
      <c r="I9999" t="s">
        <v>14885</v>
      </c>
      <c r="J9999" s="161" t="s">
        <v>19202</v>
      </c>
      <c r="K9999" t="s">
        <v>19203</v>
      </c>
      <c r="L9999" t="s">
        <v>14884</v>
      </c>
      <c r="M9999" s="161" t="s">
        <v>19202</v>
      </c>
    </row>
    <row r="10000" spans="9:13" x14ac:dyDescent="0.25">
      <c r="I10000" t="s">
        <v>17788</v>
      </c>
      <c r="J10000" s="161" t="s">
        <v>19994</v>
      </c>
      <c r="K10000" t="s">
        <v>19203</v>
      </c>
      <c r="L10000" t="s">
        <v>17787</v>
      </c>
      <c r="M10000" s="161" t="s">
        <v>19994</v>
      </c>
    </row>
    <row r="10001" spans="9:13" x14ac:dyDescent="0.25">
      <c r="I10001" t="s">
        <v>5572</v>
      </c>
      <c r="J10001" s="161" t="s">
        <v>19202</v>
      </c>
      <c r="K10001" t="s">
        <v>19203</v>
      </c>
      <c r="L10001" t="s">
        <v>5571</v>
      </c>
      <c r="M10001" s="161" t="s">
        <v>19202</v>
      </c>
    </row>
    <row r="10002" spans="9:13" x14ac:dyDescent="0.25">
      <c r="I10002" t="s">
        <v>3275</v>
      </c>
      <c r="J10002" s="161" t="s">
        <v>19202</v>
      </c>
      <c r="K10002" t="s">
        <v>19203</v>
      </c>
      <c r="L10002" t="s">
        <v>3274</v>
      </c>
      <c r="M10002" s="161" t="s">
        <v>19202</v>
      </c>
    </row>
    <row r="10003" spans="9:13" x14ac:dyDescent="0.25">
      <c r="I10003" t="s">
        <v>21021</v>
      </c>
      <c r="J10003" s="161" t="s">
        <v>19202</v>
      </c>
      <c r="K10003" t="s">
        <v>19203</v>
      </c>
      <c r="L10003" t="s">
        <v>21022</v>
      </c>
      <c r="M10003" s="161" t="s">
        <v>19202</v>
      </c>
    </row>
    <row r="10004" spans="9:13" x14ac:dyDescent="0.25">
      <c r="I10004" t="s">
        <v>9252</v>
      </c>
      <c r="J10004" s="161" t="s">
        <v>19202</v>
      </c>
      <c r="K10004" t="s">
        <v>19203</v>
      </c>
      <c r="L10004" t="s">
        <v>9251</v>
      </c>
      <c r="M10004" s="161" t="s">
        <v>19202</v>
      </c>
    </row>
    <row r="10005" spans="9:13" x14ac:dyDescent="0.25">
      <c r="I10005" t="s">
        <v>7682</v>
      </c>
      <c r="J10005" s="161" t="s">
        <v>19202</v>
      </c>
      <c r="K10005" t="s">
        <v>19203</v>
      </c>
      <c r="L10005" t="s">
        <v>7681</v>
      </c>
      <c r="M10005" s="161" t="s">
        <v>19202</v>
      </c>
    </row>
    <row r="10006" spans="9:13" x14ac:dyDescent="0.25">
      <c r="I10006" t="s">
        <v>21023</v>
      </c>
      <c r="J10006" s="161" t="s">
        <v>19994</v>
      </c>
      <c r="K10006" t="s">
        <v>19203</v>
      </c>
      <c r="L10006" t="s">
        <v>21024</v>
      </c>
      <c r="M10006" s="161" t="s">
        <v>19994</v>
      </c>
    </row>
    <row r="10007" spans="9:13" x14ac:dyDescent="0.25">
      <c r="I10007" t="s">
        <v>2749</v>
      </c>
      <c r="J10007" s="161" t="s">
        <v>19994</v>
      </c>
      <c r="K10007" t="s">
        <v>19203</v>
      </c>
      <c r="L10007" t="s">
        <v>2748</v>
      </c>
      <c r="M10007" s="161" t="s">
        <v>19994</v>
      </c>
    </row>
    <row r="10008" spans="9:13" x14ac:dyDescent="0.25">
      <c r="I10008" t="s">
        <v>17692</v>
      </c>
      <c r="J10008" s="161" t="s">
        <v>19994</v>
      </c>
      <c r="K10008" t="s">
        <v>19203</v>
      </c>
      <c r="L10008" t="s">
        <v>17691</v>
      </c>
      <c r="M10008" s="161" t="s">
        <v>19994</v>
      </c>
    </row>
    <row r="10009" spans="9:13" x14ac:dyDescent="0.25">
      <c r="I10009" t="s">
        <v>21025</v>
      </c>
      <c r="J10009" s="161" t="s">
        <v>19202</v>
      </c>
      <c r="K10009" t="s">
        <v>19203</v>
      </c>
      <c r="L10009" t="s">
        <v>21026</v>
      </c>
      <c r="M10009" s="161" t="s">
        <v>19202</v>
      </c>
    </row>
    <row r="10010" spans="9:13" x14ac:dyDescent="0.25">
      <c r="I10010" t="s">
        <v>14547</v>
      </c>
      <c r="J10010" s="161" t="s">
        <v>19202</v>
      </c>
      <c r="K10010" t="s">
        <v>19203</v>
      </c>
      <c r="L10010" t="s">
        <v>13594</v>
      </c>
      <c r="M10010" s="161" t="s">
        <v>19202</v>
      </c>
    </row>
    <row r="10011" spans="9:13" x14ac:dyDescent="0.25">
      <c r="I10011" t="s">
        <v>13867</v>
      </c>
      <c r="J10011" s="161" t="s">
        <v>19202</v>
      </c>
      <c r="K10011" t="s">
        <v>19203</v>
      </c>
      <c r="L10011" t="s">
        <v>13866</v>
      </c>
      <c r="M10011" s="161" t="s">
        <v>19202</v>
      </c>
    </row>
    <row r="10012" spans="9:13" x14ac:dyDescent="0.25">
      <c r="I10012" t="s">
        <v>10110</v>
      </c>
      <c r="J10012" s="161" t="s">
        <v>19994</v>
      </c>
      <c r="K10012" t="s">
        <v>19203</v>
      </c>
      <c r="L10012" t="s">
        <v>10109</v>
      </c>
      <c r="M10012" s="161" t="s">
        <v>19994</v>
      </c>
    </row>
    <row r="10013" spans="9:13" x14ac:dyDescent="0.25">
      <c r="I10013" t="s">
        <v>10080</v>
      </c>
      <c r="J10013" s="161" t="s">
        <v>19202</v>
      </c>
      <c r="K10013" t="s">
        <v>19203</v>
      </c>
      <c r="L10013" t="s">
        <v>10079</v>
      </c>
      <c r="M10013" s="161" t="s">
        <v>19202</v>
      </c>
    </row>
    <row r="10014" spans="9:13" x14ac:dyDescent="0.25">
      <c r="I10014" t="s">
        <v>21027</v>
      </c>
      <c r="J10014" s="161" t="s">
        <v>19202</v>
      </c>
      <c r="K10014" t="s">
        <v>19203</v>
      </c>
      <c r="L10014" t="s">
        <v>21028</v>
      </c>
      <c r="M10014" s="161" t="s">
        <v>19202</v>
      </c>
    </row>
    <row r="10015" spans="9:13" x14ac:dyDescent="0.25">
      <c r="I10015" t="s">
        <v>10211</v>
      </c>
      <c r="J10015" s="161" t="s">
        <v>19202</v>
      </c>
      <c r="K10015" t="s">
        <v>19203</v>
      </c>
      <c r="L10015" t="s">
        <v>10210</v>
      </c>
      <c r="M10015" s="161" t="s">
        <v>19202</v>
      </c>
    </row>
    <row r="10016" spans="9:13" x14ac:dyDescent="0.25">
      <c r="I10016" t="s">
        <v>9146</v>
      </c>
      <c r="J10016" s="161" t="s">
        <v>19202</v>
      </c>
      <c r="K10016" t="s">
        <v>19203</v>
      </c>
      <c r="L10016" t="s">
        <v>9145</v>
      </c>
      <c r="M10016" s="161" t="s">
        <v>19202</v>
      </c>
    </row>
    <row r="10017" spans="9:13" x14ac:dyDescent="0.25">
      <c r="I10017" t="s">
        <v>10039</v>
      </c>
      <c r="J10017" s="161" t="s">
        <v>19994</v>
      </c>
      <c r="K10017" t="s">
        <v>19203</v>
      </c>
      <c r="L10017" t="s">
        <v>10038</v>
      </c>
      <c r="M10017" s="161" t="s">
        <v>19994</v>
      </c>
    </row>
    <row r="10018" spans="9:13" x14ac:dyDescent="0.25">
      <c r="I10018" t="s">
        <v>16165</v>
      </c>
      <c r="J10018" s="161" t="s">
        <v>19202</v>
      </c>
      <c r="K10018" t="s">
        <v>19203</v>
      </c>
      <c r="L10018" t="s">
        <v>2084</v>
      </c>
      <c r="M10018" s="161" t="s">
        <v>19202</v>
      </c>
    </row>
    <row r="10019" spans="9:13" x14ac:dyDescent="0.25">
      <c r="I10019" t="s">
        <v>2146</v>
      </c>
      <c r="J10019" s="161" t="s">
        <v>19202</v>
      </c>
      <c r="K10019" t="s">
        <v>19203</v>
      </c>
      <c r="L10019" t="s">
        <v>2145</v>
      </c>
      <c r="M10019" s="161" t="s">
        <v>19202</v>
      </c>
    </row>
    <row r="10020" spans="9:13" x14ac:dyDescent="0.25">
      <c r="I10020" t="s">
        <v>6965</v>
      </c>
      <c r="J10020" s="161" t="s">
        <v>19202</v>
      </c>
      <c r="K10020" t="s">
        <v>19203</v>
      </c>
      <c r="L10020" t="s">
        <v>6964</v>
      </c>
      <c r="M10020" s="161" t="s">
        <v>19202</v>
      </c>
    </row>
    <row r="10021" spans="9:13" x14ac:dyDescent="0.25">
      <c r="I10021" t="s">
        <v>21029</v>
      </c>
      <c r="J10021" s="161" t="s">
        <v>19202</v>
      </c>
      <c r="K10021" t="s">
        <v>19203</v>
      </c>
      <c r="L10021" t="s">
        <v>21030</v>
      </c>
      <c r="M10021" s="161" t="s">
        <v>19202</v>
      </c>
    </row>
    <row r="10022" spans="9:13" x14ac:dyDescent="0.25">
      <c r="I10022" t="s">
        <v>15077</v>
      </c>
      <c r="J10022" s="161" t="s">
        <v>19994</v>
      </c>
      <c r="K10022" t="s">
        <v>19203</v>
      </c>
      <c r="L10022" t="s">
        <v>13703</v>
      </c>
      <c r="M10022" s="161" t="s">
        <v>19994</v>
      </c>
    </row>
    <row r="10023" spans="9:13" x14ac:dyDescent="0.25">
      <c r="I10023" t="s">
        <v>13722</v>
      </c>
      <c r="J10023" s="161" t="s">
        <v>19202</v>
      </c>
      <c r="K10023" t="s">
        <v>19203</v>
      </c>
      <c r="L10023" t="s">
        <v>13721</v>
      </c>
      <c r="M10023" s="161" t="s">
        <v>19202</v>
      </c>
    </row>
    <row r="10024" spans="9:13" x14ac:dyDescent="0.25">
      <c r="I10024" t="s">
        <v>21031</v>
      </c>
      <c r="J10024" s="167" t="s">
        <v>19994</v>
      </c>
      <c r="K10024" t="s">
        <v>19203</v>
      </c>
      <c r="L10024" t="s">
        <v>21032</v>
      </c>
      <c r="M10024" s="167" t="s">
        <v>19994</v>
      </c>
    </row>
    <row r="10025" spans="9:13" x14ac:dyDescent="0.25">
      <c r="I10025" t="s">
        <v>21033</v>
      </c>
      <c r="J10025" s="161" t="s">
        <v>19202</v>
      </c>
      <c r="K10025" t="s">
        <v>19203</v>
      </c>
      <c r="L10025" t="s">
        <v>21034</v>
      </c>
      <c r="M10025" s="161" t="s">
        <v>19202</v>
      </c>
    </row>
    <row r="10026" spans="9:13" x14ac:dyDescent="0.25">
      <c r="I10026" t="s">
        <v>21035</v>
      </c>
      <c r="J10026" s="161" t="s">
        <v>19994</v>
      </c>
      <c r="K10026" t="s">
        <v>19203</v>
      </c>
      <c r="L10026" t="s">
        <v>21036</v>
      </c>
      <c r="M10026" s="161" t="s">
        <v>19994</v>
      </c>
    </row>
    <row r="10027" spans="9:13" x14ac:dyDescent="0.25">
      <c r="I10027" t="s">
        <v>16922</v>
      </c>
      <c r="J10027" s="161" t="s">
        <v>19202</v>
      </c>
      <c r="K10027" t="s">
        <v>19203</v>
      </c>
      <c r="L10027" t="s">
        <v>3524</v>
      </c>
      <c r="M10027" s="161" t="s">
        <v>19202</v>
      </c>
    </row>
    <row r="10028" spans="9:13" x14ac:dyDescent="0.25">
      <c r="I10028" t="s">
        <v>15155</v>
      </c>
      <c r="J10028" s="161" t="s">
        <v>19202</v>
      </c>
      <c r="K10028" t="s">
        <v>19203</v>
      </c>
      <c r="L10028" t="s">
        <v>15154</v>
      </c>
      <c r="M10028" s="161" t="s">
        <v>19202</v>
      </c>
    </row>
    <row r="10029" spans="9:13" x14ac:dyDescent="0.25">
      <c r="I10029" t="s">
        <v>15153</v>
      </c>
      <c r="J10029" s="161" t="s">
        <v>19202</v>
      </c>
      <c r="K10029" t="s">
        <v>19203</v>
      </c>
      <c r="L10029" t="s">
        <v>15152</v>
      </c>
      <c r="M10029" s="161" t="s">
        <v>19202</v>
      </c>
    </row>
    <row r="10030" spans="9:13" x14ac:dyDescent="0.25">
      <c r="I10030" t="s">
        <v>15072</v>
      </c>
      <c r="J10030" s="161" t="s">
        <v>19202</v>
      </c>
      <c r="K10030" t="s">
        <v>19203</v>
      </c>
      <c r="L10030" t="s">
        <v>15071</v>
      </c>
      <c r="M10030" s="161" t="s">
        <v>19202</v>
      </c>
    </row>
    <row r="10031" spans="9:13" x14ac:dyDescent="0.25">
      <c r="I10031" t="s">
        <v>21037</v>
      </c>
      <c r="J10031" s="161" t="s">
        <v>19994</v>
      </c>
      <c r="K10031" t="s">
        <v>19203</v>
      </c>
      <c r="L10031" t="s">
        <v>21038</v>
      </c>
      <c r="M10031" s="161" t="s">
        <v>19994</v>
      </c>
    </row>
    <row r="10032" spans="9:13" x14ac:dyDescent="0.25">
      <c r="I10032" t="s">
        <v>21039</v>
      </c>
      <c r="J10032" s="161" t="s">
        <v>19202</v>
      </c>
      <c r="K10032" t="s">
        <v>19203</v>
      </c>
      <c r="L10032" t="s">
        <v>6760</v>
      </c>
      <c r="M10032" s="161" t="s">
        <v>19202</v>
      </c>
    </row>
    <row r="10033" spans="9:13" x14ac:dyDescent="0.25">
      <c r="I10033" t="s">
        <v>4672</v>
      </c>
      <c r="J10033" s="161" t="s">
        <v>19202</v>
      </c>
      <c r="K10033" t="s">
        <v>19203</v>
      </c>
      <c r="L10033" t="s">
        <v>4671</v>
      </c>
      <c r="M10033" s="161" t="s">
        <v>19202</v>
      </c>
    </row>
    <row r="10034" spans="9:13" x14ac:dyDescent="0.25">
      <c r="I10034" t="s">
        <v>13460</v>
      </c>
      <c r="J10034" s="161" t="s">
        <v>19202</v>
      </c>
      <c r="K10034" t="s">
        <v>19203</v>
      </c>
      <c r="L10034" t="s">
        <v>13459</v>
      </c>
      <c r="M10034" s="161" t="s">
        <v>19202</v>
      </c>
    </row>
    <row r="10035" spans="9:13" x14ac:dyDescent="0.25">
      <c r="I10035" t="s">
        <v>13077</v>
      </c>
      <c r="J10035" s="161" t="s">
        <v>19202</v>
      </c>
      <c r="K10035" t="s">
        <v>19203</v>
      </c>
      <c r="L10035" t="s">
        <v>2388</v>
      </c>
      <c r="M10035" s="161" t="s">
        <v>19202</v>
      </c>
    </row>
    <row r="10036" spans="9:13" x14ac:dyDescent="0.25">
      <c r="I10036" t="s">
        <v>12717</v>
      </c>
      <c r="J10036" s="161" t="s">
        <v>19202</v>
      </c>
      <c r="K10036" t="s">
        <v>19203</v>
      </c>
      <c r="L10036" t="s">
        <v>12716</v>
      </c>
      <c r="M10036" s="161" t="s">
        <v>19202</v>
      </c>
    </row>
    <row r="10037" spans="9:13" x14ac:dyDescent="0.25">
      <c r="I10037" t="s">
        <v>12715</v>
      </c>
      <c r="J10037" s="161" t="s">
        <v>19202</v>
      </c>
      <c r="K10037" t="s">
        <v>19203</v>
      </c>
      <c r="L10037" t="s">
        <v>12714</v>
      </c>
      <c r="M10037" s="161" t="s">
        <v>19202</v>
      </c>
    </row>
    <row r="10038" spans="9:13" x14ac:dyDescent="0.25">
      <c r="I10038" t="s">
        <v>4971</v>
      </c>
      <c r="J10038" s="161" t="s">
        <v>19202</v>
      </c>
      <c r="K10038" t="s">
        <v>19203</v>
      </c>
      <c r="L10038" t="s">
        <v>4970</v>
      </c>
      <c r="M10038" s="161" t="s">
        <v>19202</v>
      </c>
    </row>
    <row r="10039" spans="9:13" x14ac:dyDescent="0.25">
      <c r="I10039" t="s">
        <v>4670</v>
      </c>
      <c r="J10039" s="161" t="s">
        <v>19202</v>
      </c>
      <c r="K10039" t="s">
        <v>19203</v>
      </c>
      <c r="L10039" t="s">
        <v>4669</v>
      </c>
      <c r="M10039" s="161" t="s">
        <v>19202</v>
      </c>
    </row>
    <row r="10040" spans="9:13" x14ac:dyDescent="0.25">
      <c r="I10040" t="s">
        <v>3480</v>
      </c>
      <c r="J10040" s="161" t="s">
        <v>19202</v>
      </c>
      <c r="K10040" t="s">
        <v>19203</v>
      </c>
      <c r="L10040" t="s">
        <v>1108</v>
      </c>
      <c r="M10040" s="161" t="s">
        <v>19202</v>
      </c>
    </row>
    <row r="10041" spans="9:13" x14ac:dyDescent="0.25">
      <c r="I10041" t="s">
        <v>3479</v>
      </c>
      <c r="J10041" s="161" t="s">
        <v>19202</v>
      </c>
      <c r="K10041" t="s">
        <v>19203</v>
      </c>
      <c r="L10041" t="s">
        <v>440</v>
      </c>
      <c r="M10041" s="161" t="s">
        <v>19202</v>
      </c>
    </row>
    <row r="10042" spans="9:13" x14ac:dyDescent="0.25">
      <c r="I10042" t="s">
        <v>390</v>
      </c>
      <c r="J10042" s="161" t="s">
        <v>19202</v>
      </c>
      <c r="K10042" t="s">
        <v>19203</v>
      </c>
      <c r="L10042" t="s">
        <v>389</v>
      </c>
      <c r="M10042" s="161" t="s">
        <v>19202</v>
      </c>
    </row>
    <row r="10043" spans="9:13" x14ac:dyDescent="0.25">
      <c r="I10043" t="s">
        <v>21040</v>
      </c>
      <c r="J10043" s="161" t="s">
        <v>19994</v>
      </c>
      <c r="K10043" t="s">
        <v>19203</v>
      </c>
      <c r="L10043" t="s">
        <v>21041</v>
      </c>
      <c r="M10043" s="161" t="s">
        <v>19994</v>
      </c>
    </row>
    <row r="10044" spans="9:13" x14ac:dyDescent="0.25">
      <c r="I10044" t="s">
        <v>21042</v>
      </c>
      <c r="J10044" s="161" t="s">
        <v>19202</v>
      </c>
      <c r="K10044" t="s">
        <v>19203</v>
      </c>
      <c r="L10044" t="s">
        <v>21043</v>
      </c>
      <c r="M10044" s="161" t="s">
        <v>19202</v>
      </c>
    </row>
    <row r="10045" spans="9:13" x14ac:dyDescent="0.25">
      <c r="I10045" t="s">
        <v>2550</v>
      </c>
      <c r="J10045" s="161" t="s">
        <v>19202</v>
      </c>
      <c r="K10045" t="s">
        <v>19203</v>
      </c>
      <c r="L10045" t="s">
        <v>2549</v>
      </c>
      <c r="M10045" s="161" t="s">
        <v>19202</v>
      </c>
    </row>
    <row r="10046" spans="9:13" x14ac:dyDescent="0.25">
      <c r="I10046" t="s">
        <v>13785</v>
      </c>
      <c r="J10046" s="161" t="s">
        <v>19202</v>
      </c>
      <c r="K10046" t="s">
        <v>19203</v>
      </c>
      <c r="L10046" t="s">
        <v>6028</v>
      </c>
      <c r="M10046" s="161" t="s">
        <v>19202</v>
      </c>
    </row>
    <row r="10047" spans="9:13" x14ac:dyDescent="0.25">
      <c r="I10047" t="s">
        <v>21044</v>
      </c>
      <c r="J10047" s="161" t="s">
        <v>19202</v>
      </c>
      <c r="K10047" t="s">
        <v>19203</v>
      </c>
      <c r="L10047" t="s">
        <v>123</v>
      </c>
      <c r="M10047" s="161" t="s">
        <v>19202</v>
      </c>
    </row>
    <row r="10048" spans="9:13" x14ac:dyDescent="0.25">
      <c r="I10048" t="s">
        <v>11490</v>
      </c>
      <c r="J10048" s="161" t="s">
        <v>19202</v>
      </c>
      <c r="K10048" t="s">
        <v>19203</v>
      </c>
      <c r="L10048" t="s">
        <v>11489</v>
      </c>
      <c r="M10048" s="161" t="s">
        <v>19202</v>
      </c>
    </row>
    <row r="10049" spans="9:13" x14ac:dyDescent="0.25">
      <c r="I10049" t="s">
        <v>10222</v>
      </c>
      <c r="J10049" s="161" t="s">
        <v>19994</v>
      </c>
      <c r="K10049" t="s">
        <v>19203</v>
      </c>
      <c r="L10049" t="s">
        <v>10221</v>
      </c>
      <c r="M10049" s="161" t="s">
        <v>19994</v>
      </c>
    </row>
    <row r="10050" spans="9:13" x14ac:dyDescent="0.25">
      <c r="I10050" t="s">
        <v>10212</v>
      </c>
      <c r="J10050" s="161" t="s">
        <v>19202</v>
      </c>
      <c r="K10050" t="s">
        <v>19203</v>
      </c>
      <c r="L10050" t="s">
        <v>4216</v>
      </c>
      <c r="M10050" s="161" t="s">
        <v>19202</v>
      </c>
    </row>
    <row r="10051" spans="9:13" x14ac:dyDescent="0.25">
      <c r="I10051" t="s">
        <v>11857</v>
      </c>
      <c r="J10051" s="161" t="s">
        <v>19202</v>
      </c>
      <c r="K10051" t="s">
        <v>19203</v>
      </c>
      <c r="L10051" t="s">
        <v>11856</v>
      </c>
      <c r="M10051" s="161" t="s">
        <v>19202</v>
      </c>
    </row>
    <row r="10052" spans="9:13" x14ac:dyDescent="0.25">
      <c r="I10052" t="s">
        <v>17092</v>
      </c>
      <c r="J10052" s="161" t="s">
        <v>19994</v>
      </c>
      <c r="K10052" t="s">
        <v>19203</v>
      </c>
      <c r="L10052" t="s">
        <v>17091</v>
      </c>
      <c r="M10052" s="161" t="s">
        <v>19994</v>
      </c>
    </row>
    <row r="10053" spans="9:13" x14ac:dyDescent="0.25">
      <c r="I10053" t="s">
        <v>5620</v>
      </c>
      <c r="J10053" s="161" t="s">
        <v>19994</v>
      </c>
      <c r="K10053" t="s">
        <v>19203</v>
      </c>
      <c r="L10053" t="s">
        <v>5619</v>
      </c>
      <c r="M10053" s="161" t="s">
        <v>19994</v>
      </c>
    </row>
    <row r="10054" spans="9:13" x14ac:dyDescent="0.25">
      <c r="I10054" t="s">
        <v>2805</v>
      </c>
      <c r="J10054" s="161" t="s">
        <v>19202</v>
      </c>
      <c r="K10054" t="s">
        <v>19203</v>
      </c>
      <c r="L10054" t="s">
        <v>2804</v>
      </c>
      <c r="M10054" s="161" t="s">
        <v>19202</v>
      </c>
    </row>
    <row r="10055" spans="9:13" x14ac:dyDescent="0.25">
      <c r="I10055" t="s">
        <v>2801</v>
      </c>
      <c r="J10055" s="161" t="s">
        <v>19202</v>
      </c>
      <c r="K10055" t="s">
        <v>19203</v>
      </c>
      <c r="L10055" t="s">
        <v>2800</v>
      </c>
      <c r="M10055" s="161" t="s">
        <v>19202</v>
      </c>
    </row>
    <row r="10056" spans="9:13" x14ac:dyDescent="0.25">
      <c r="I10056" t="s">
        <v>2739</v>
      </c>
      <c r="J10056" s="161" t="s">
        <v>19994</v>
      </c>
      <c r="K10056" t="s">
        <v>19203</v>
      </c>
      <c r="L10056" t="s">
        <v>2738</v>
      </c>
      <c r="M10056" s="161" t="s">
        <v>19994</v>
      </c>
    </row>
    <row r="10057" spans="9:13" x14ac:dyDescent="0.25">
      <c r="I10057" t="s">
        <v>2737</v>
      </c>
      <c r="J10057" s="161" t="s">
        <v>19994</v>
      </c>
      <c r="K10057" t="s">
        <v>19203</v>
      </c>
      <c r="L10057" t="s">
        <v>2736</v>
      </c>
      <c r="M10057" s="161" t="s">
        <v>19994</v>
      </c>
    </row>
    <row r="10058" spans="9:13" x14ac:dyDescent="0.25">
      <c r="I10058" t="s">
        <v>21045</v>
      </c>
      <c r="J10058" s="161" t="s">
        <v>19994</v>
      </c>
      <c r="K10058" t="s">
        <v>19203</v>
      </c>
      <c r="L10058" t="s">
        <v>21046</v>
      </c>
      <c r="M10058" s="161" t="s">
        <v>19994</v>
      </c>
    </row>
    <row r="10059" spans="9:13" x14ac:dyDescent="0.25">
      <c r="I10059" t="s">
        <v>21047</v>
      </c>
      <c r="J10059" s="161" t="s">
        <v>19994</v>
      </c>
      <c r="K10059" t="s">
        <v>19203</v>
      </c>
      <c r="L10059" t="s">
        <v>13725</v>
      </c>
      <c r="M10059" s="161" t="s">
        <v>19994</v>
      </c>
    </row>
    <row r="10060" spans="9:13" x14ac:dyDescent="0.25">
      <c r="I10060" t="s">
        <v>16923</v>
      </c>
      <c r="J10060" s="161" t="s">
        <v>19202</v>
      </c>
      <c r="K10060" t="s">
        <v>19203</v>
      </c>
      <c r="L10060" t="s">
        <v>4668</v>
      </c>
      <c r="M10060" s="161" t="s">
        <v>19202</v>
      </c>
    </row>
    <row r="10061" spans="9:13" x14ac:dyDescent="0.25">
      <c r="I10061" t="s">
        <v>15916</v>
      </c>
      <c r="J10061" s="161" t="s">
        <v>19994</v>
      </c>
      <c r="K10061" t="s">
        <v>19203</v>
      </c>
      <c r="L10061" t="s">
        <v>4819</v>
      </c>
      <c r="M10061" s="161" t="s">
        <v>19994</v>
      </c>
    </row>
    <row r="10062" spans="9:13" x14ac:dyDescent="0.25">
      <c r="I10062" t="s">
        <v>21048</v>
      </c>
      <c r="J10062" s="161" t="s">
        <v>19202</v>
      </c>
      <c r="K10062" t="s">
        <v>19203</v>
      </c>
      <c r="L10062" t="s">
        <v>21049</v>
      </c>
      <c r="M10062" s="161" t="s">
        <v>19202</v>
      </c>
    </row>
    <row r="10063" spans="9:13" x14ac:dyDescent="0.25">
      <c r="I10063" t="s">
        <v>11826</v>
      </c>
      <c r="J10063" s="161" t="s">
        <v>19202</v>
      </c>
      <c r="K10063" t="s">
        <v>19203</v>
      </c>
      <c r="L10063" t="s">
        <v>11825</v>
      </c>
      <c r="M10063" s="161" t="s">
        <v>19202</v>
      </c>
    </row>
    <row r="10064" spans="9:13" x14ac:dyDescent="0.25">
      <c r="I10064" t="s">
        <v>15775</v>
      </c>
      <c r="J10064" s="161" t="s">
        <v>19202</v>
      </c>
      <c r="K10064" t="s">
        <v>19203</v>
      </c>
      <c r="L10064" t="s">
        <v>14179</v>
      </c>
      <c r="M10064" s="161" t="s">
        <v>19202</v>
      </c>
    </row>
    <row r="10065" spans="9:13" x14ac:dyDescent="0.25">
      <c r="I10065" t="s">
        <v>14887</v>
      </c>
      <c r="J10065" s="161" t="s">
        <v>19202</v>
      </c>
      <c r="K10065" t="s">
        <v>19203</v>
      </c>
      <c r="L10065" t="s">
        <v>14886</v>
      </c>
      <c r="M10065" s="161" t="s">
        <v>19202</v>
      </c>
    </row>
    <row r="10066" spans="9:13" x14ac:dyDescent="0.25">
      <c r="I10066" t="s">
        <v>21050</v>
      </c>
      <c r="J10066" s="161" t="s">
        <v>19202</v>
      </c>
      <c r="K10066" t="s">
        <v>19203</v>
      </c>
      <c r="L10066" t="s">
        <v>21051</v>
      </c>
      <c r="M10066" s="161" t="s">
        <v>19202</v>
      </c>
    </row>
    <row r="10067" spans="9:13" x14ac:dyDescent="0.25">
      <c r="I10067" t="s">
        <v>21052</v>
      </c>
      <c r="J10067" s="161" t="s">
        <v>19994</v>
      </c>
      <c r="K10067" t="s">
        <v>19203</v>
      </c>
      <c r="L10067" t="s">
        <v>21053</v>
      </c>
      <c r="M10067" s="161" t="s">
        <v>19994</v>
      </c>
    </row>
    <row r="10068" spans="9:13" x14ac:dyDescent="0.25">
      <c r="I10068" t="s">
        <v>9152</v>
      </c>
      <c r="J10068" s="161" t="s">
        <v>19202</v>
      </c>
      <c r="K10068" t="s">
        <v>19203</v>
      </c>
      <c r="L10068" t="s">
        <v>9151</v>
      </c>
      <c r="M10068" s="161" t="s">
        <v>19202</v>
      </c>
    </row>
    <row r="10069" spans="9:13" x14ac:dyDescent="0.25">
      <c r="I10069" t="s">
        <v>8804</v>
      </c>
      <c r="J10069" s="161" t="s">
        <v>19202</v>
      </c>
      <c r="K10069" t="s">
        <v>19203</v>
      </c>
      <c r="L10069" t="s">
        <v>8803</v>
      </c>
      <c r="M10069" s="161" t="s">
        <v>19202</v>
      </c>
    </row>
    <row r="10070" spans="9:13" x14ac:dyDescent="0.25">
      <c r="I10070" t="s">
        <v>11824</v>
      </c>
      <c r="J10070" s="161" t="s">
        <v>19202</v>
      </c>
      <c r="K10070" t="s">
        <v>19203</v>
      </c>
      <c r="L10070" t="s">
        <v>11823</v>
      </c>
      <c r="M10070" s="161" t="s">
        <v>19202</v>
      </c>
    </row>
    <row r="10071" spans="9:13" x14ac:dyDescent="0.25">
      <c r="I10071" t="s">
        <v>435</v>
      </c>
      <c r="J10071" s="161" t="s">
        <v>19202</v>
      </c>
      <c r="K10071" t="s">
        <v>19203</v>
      </c>
      <c r="L10071" t="s">
        <v>363</v>
      </c>
      <c r="M10071" s="161" t="s">
        <v>19202</v>
      </c>
    </row>
    <row r="10072" spans="9:13" x14ac:dyDescent="0.25">
      <c r="I10072" t="s">
        <v>21054</v>
      </c>
      <c r="J10072" s="161" t="s">
        <v>19202</v>
      </c>
      <c r="K10072" t="s">
        <v>19203</v>
      </c>
      <c r="L10072" t="s">
        <v>21055</v>
      </c>
      <c r="M10072" s="161" t="s">
        <v>19202</v>
      </c>
    </row>
    <row r="10073" spans="9:13" x14ac:dyDescent="0.25">
      <c r="I10073" t="s">
        <v>12300</v>
      </c>
      <c r="J10073" s="161" t="s">
        <v>19202</v>
      </c>
      <c r="K10073" t="s">
        <v>19203</v>
      </c>
      <c r="L10073" t="s">
        <v>12299</v>
      </c>
      <c r="M10073" s="161" t="s">
        <v>19202</v>
      </c>
    </row>
    <row r="10074" spans="9:13" x14ac:dyDescent="0.25">
      <c r="I10074" t="s">
        <v>4175</v>
      </c>
      <c r="J10074" s="161" t="s">
        <v>19202</v>
      </c>
      <c r="K10074" t="s">
        <v>19203</v>
      </c>
      <c r="L10074" t="s">
        <v>4174</v>
      </c>
      <c r="M10074" s="161" t="s">
        <v>19202</v>
      </c>
    </row>
    <row r="10075" spans="9:13" x14ac:dyDescent="0.25">
      <c r="I10075" t="s">
        <v>4171</v>
      </c>
      <c r="J10075" s="161" t="s">
        <v>19202</v>
      </c>
      <c r="K10075" t="s">
        <v>19203</v>
      </c>
      <c r="L10075" t="s">
        <v>4170</v>
      </c>
      <c r="M10075" s="161" t="s">
        <v>19202</v>
      </c>
    </row>
    <row r="10076" spans="9:13" x14ac:dyDescent="0.25">
      <c r="I10076" t="s">
        <v>4169</v>
      </c>
      <c r="J10076" s="161" t="s">
        <v>19994</v>
      </c>
      <c r="K10076" t="s">
        <v>19203</v>
      </c>
      <c r="L10076" t="s">
        <v>861</v>
      </c>
      <c r="M10076" s="161" t="s">
        <v>19994</v>
      </c>
    </row>
    <row r="10077" spans="9:13" x14ac:dyDescent="0.25">
      <c r="I10077" t="s">
        <v>16286</v>
      </c>
      <c r="J10077" s="161" t="s">
        <v>19202</v>
      </c>
      <c r="K10077" t="s">
        <v>19203</v>
      </c>
      <c r="L10077" t="s">
        <v>2635</v>
      </c>
      <c r="M10077" s="161" t="s">
        <v>19202</v>
      </c>
    </row>
    <row r="10078" spans="9:13" x14ac:dyDescent="0.25">
      <c r="I10078" t="s">
        <v>7839</v>
      </c>
      <c r="J10078" s="161" t="s">
        <v>19202</v>
      </c>
      <c r="K10078" t="s">
        <v>19203</v>
      </c>
      <c r="L10078" t="s">
        <v>7838</v>
      </c>
      <c r="M10078" s="161" t="s">
        <v>19202</v>
      </c>
    </row>
    <row r="10079" spans="9:13" x14ac:dyDescent="0.25">
      <c r="I10079" t="s">
        <v>6963</v>
      </c>
      <c r="J10079" s="161" t="s">
        <v>19202</v>
      </c>
      <c r="K10079" t="s">
        <v>19203</v>
      </c>
      <c r="L10079" t="s">
        <v>6962</v>
      </c>
      <c r="M10079" s="161" t="s">
        <v>19202</v>
      </c>
    </row>
    <row r="10080" spans="9:13" x14ac:dyDescent="0.25">
      <c r="I10080" t="s">
        <v>6961</v>
      </c>
      <c r="J10080" s="161" t="s">
        <v>19994</v>
      </c>
      <c r="K10080" t="s">
        <v>19203</v>
      </c>
      <c r="L10080" t="s">
        <v>6960</v>
      </c>
      <c r="M10080" s="161" t="s">
        <v>19994</v>
      </c>
    </row>
    <row r="10081" spans="9:13" x14ac:dyDescent="0.25">
      <c r="I10081" t="s">
        <v>21056</v>
      </c>
      <c r="J10081" s="161" t="s">
        <v>19202</v>
      </c>
      <c r="K10081" t="s">
        <v>19203</v>
      </c>
      <c r="L10081" t="s">
        <v>21057</v>
      </c>
      <c r="M10081" s="161" t="s">
        <v>19202</v>
      </c>
    </row>
    <row r="10082" spans="9:13" x14ac:dyDescent="0.25">
      <c r="I10082" t="s">
        <v>16921</v>
      </c>
      <c r="J10082" s="161" t="s">
        <v>19202</v>
      </c>
      <c r="K10082" t="s">
        <v>19203</v>
      </c>
      <c r="L10082" t="s">
        <v>16920</v>
      </c>
      <c r="M10082" s="161" t="s">
        <v>19202</v>
      </c>
    </row>
    <row r="10083" spans="9:13" x14ac:dyDescent="0.25">
      <c r="I10083" t="s">
        <v>16660</v>
      </c>
      <c r="J10083" s="161" t="s">
        <v>19202</v>
      </c>
      <c r="K10083" t="s">
        <v>19203</v>
      </c>
      <c r="L10083" t="s">
        <v>13565</v>
      </c>
      <c r="M10083" s="161" t="s">
        <v>19202</v>
      </c>
    </row>
    <row r="10084" spans="9:13" x14ac:dyDescent="0.25">
      <c r="I10084" t="s">
        <v>16250</v>
      </c>
      <c r="J10084" s="161" t="s">
        <v>19202</v>
      </c>
      <c r="K10084" t="s">
        <v>19203</v>
      </c>
      <c r="L10084" t="s">
        <v>1676</v>
      </c>
      <c r="M10084" s="161" t="s">
        <v>19202</v>
      </c>
    </row>
    <row r="10085" spans="9:13" x14ac:dyDescent="0.25">
      <c r="I10085" t="s">
        <v>16166</v>
      </c>
      <c r="J10085" s="161" t="s">
        <v>19202</v>
      </c>
      <c r="K10085" t="s">
        <v>19203</v>
      </c>
      <c r="L10085" t="s">
        <v>842</v>
      </c>
      <c r="M10085" s="161" t="s">
        <v>19202</v>
      </c>
    </row>
    <row r="10086" spans="9:13" x14ac:dyDescent="0.25">
      <c r="I10086" t="s">
        <v>12083</v>
      </c>
      <c r="J10086" s="161" t="s">
        <v>19202</v>
      </c>
      <c r="K10086" t="s">
        <v>19203</v>
      </c>
      <c r="L10086" t="s">
        <v>12082</v>
      </c>
      <c r="M10086" s="161" t="s">
        <v>19202</v>
      </c>
    </row>
    <row r="10087" spans="9:13" x14ac:dyDescent="0.25">
      <c r="I10087" t="s">
        <v>5618</v>
      </c>
      <c r="J10087" s="161" t="s">
        <v>19994</v>
      </c>
      <c r="K10087" t="s">
        <v>19203</v>
      </c>
      <c r="L10087" t="s">
        <v>5617</v>
      </c>
      <c r="M10087" s="161" t="s">
        <v>19994</v>
      </c>
    </row>
    <row r="10088" spans="9:13" x14ac:dyDescent="0.25">
      <c r="I10088" t="s">
        <v>17086</v>
      </c>
      <c r="J10088" s="161" t="s">
        <v>19202</v>
      </c>
      <c r="K10088" t="s">
        <v>19203</v>
      </c>
      <c r="L10088" t="s">
        <v>17085</v>
      </c>
      <c r="M10088" s="161" t="s">
        <v>19202</v>
      </c>
    </row>
    <row r="10089" spans="9:13" x14ac:dyDescent="0.25">
      <c r="I10089" t="s">
        <v>21058</v>
      </c>
      <c r="J10089" s="161" t="s">
        <v>19202</v>
      </c>
      <c r="K10089" t="s">
        <v>19203</v>
      </c>
      <c r="L10089" t="s">
        <v>21059</v>
      </c>
      <c r="M10089" s="161" t="s">
        <v>19202</v>
      </c>
    </row>
    <row r="10090" spans="9:13" x14ac:dyDescent="0.25">
      <c r="I10090" t="s">
        <v>15777</v>
      </c>
      <c r="J10090" s="161" t="s">
        <v>19202</v>
      </c>
      <c r="K10090" t="s">
        <v>19203</v>
      </c>
      <c r="L10090" t="s">
        <v>15776</v>
      </c>
      <c r="M10090" s="161" t="s">
        <v>19202</v>
      </c>
    </row>
    <row r="10091" spans="9:13" x14ac:dyDescent="0.25">
      <c r="I10091" t="s">
        <v>15642</v>
      </c>
      <c r="J10091" s="161" t="s">
        <v>19202</v>
      </c>
      <c r="K10091" t="s">
        <v>19203</v>
      </c>
      <c r="L10091" t="s">
        <v>15641</v>
      </c>
      <c r="M10091" s="161" t="s">
        <v>19202</v>
      </c>
    </row>
    <row r="10092" spans="9:13" x14ac:dyDescent="0.25">
      <c r="I10092" t="s">
        <v>6226</v>
      </c>
      <c r="J10092" s="161" t="s">
        <v>19202</v>
      </c>
      <c r="K10092" t="s">
        <v>19203</v>
      </c>
      <c r="L10092" t="s">
        <v>6225</v>
      </c>
      <c r="M10092" s="161" t="s">
        <v>19202</v>
      </c>
    </row>
    <row r="10093" spans="9:13" x14ac:dyDescent="0.25">
      <c r="I10093" t="s">
        <v>6678</v>
      </c>
      <c r="J10093" s="161" t="s">
        <v>19994</v>
      </c>
      <c r="K10093" t="s">
        <v>19203</v>
      </c>
      <c r="L10093" t="s">
        <v>6677</v>
      </c>
      <c r="M10093" s="161" t="s">
        <v>19994</v>
      </c>
    </row>
    <row r="10094" spans="9:13" x14ac:dyDescent="0.25">
      <c r="I10094" t="s">
        <v>17088</v>
      </c>
      <c r="J10094" s="161" t="s">
        <v>19202</v>
      </c>
      <c r="K10094" t="s">
        <v>19203</v>
      </c>
      <c r="L10094" t="s">
        <v>17087</v>
      </c>
      <c r="M10094" s="161" t="s">
        <v>19202</v>
      </c>
    </row>
    <row r="10095" spans="9:13" x14ac:dyDescent="0.25">
      <c r="I10095" t="s">
        <v>21060</v>
      </c>
      <c r="J10095" s="161" t="s">
        <v>19202</v>
      </c>
      <c r="K10095" t="s">
        <v>19203</v>
      </c>
      <c r="L10095" t="s">
        <v>21061</v>
      </c>
      <c r="M10095" s="161" t="s">
        <v>19202</v>
      </c>
    </row>
    <row r="10096" spans="9:13" x14ac:dyDescent="0.25">
      <c r="I10096" t="s">
        <v>21062</v>
      </c>
      <c r="J10096" s="161" t="s">
        <v>19994</v>
      </c>
      <c r="K10096" t="s">
        <v>19203</v>
      </c>
      <c r="L10096" t="s">
        <v>21063</v>
      </c>
      <c r="M10096" s="161" t="s">
        <v>19994</v>
      </c>
    </row>
    <row r="10097" spans="9:13" x14ac:dyDescent="0.25">
      <c r="I10097" t="s">
        <v>6181</v>
      </c>
      <c r="J10097" s="161" t="s">
        <v>19202</v>
      </c>
      <c r="K10097" t="s">
        <v>19203</v>
      </c>
      <c r="L10097" t="s">
        <v>6180</v>
      </c>
      <c r="M10097" s="161" t="s">
        <v>19202</v>
      </c>
    </row>
    <row r="10098" spans="9:13" x14ac:dyDescent="0.25">
      <c r="I10098" t="s">
        <v>2823</v>
      </c>
      <c r="J10098" s="161" t="s">
        <v>19994</v>
      </c>
      <c r="K10098" t="s">
        <v>19203</v>
      </c>
      <c r="L10098" t="s">
        <v>2822</v>
      </c>
      <c r="M10098" s="161" t="s">
        <v>19994</v>
      </c>
    </row>
    <row r="10099" spans="9:13" x14ac:dyDescent="0.25">
      <c r="I10099" t="s">
        <v>2807</v>
      </c>
      <c r="J10099" s="161" t="s">
        <v>19202</v>
      </c>
      <c r="K10099" t="s">
        <v>19203</v>
      </c>
      <c r="L10099" t="s">
        <v>2806</v>
      </c>
      <c r="M10099" s="161" t="s">
        <v>19202</v>
      </c>
    </row>
    <row r="10100" spans="9:13" x14ac:dyDescent="0.25">
      <c r="I10100" t="s">
        <v>2803</v>
      </c>
      <c r="J10100" s="161" t="s">
        <v>19202</v>
      </c>
      <c r="K10100" t="s">
        <v>19203</v>
      </c>
      <c r="L10100" t="s">
        <v>2802</v>
      </c>
      <c r="M10100" s="161" t="s">
        <v>19202</v>
      </c>
    </row>
    <row r="10101" spans="9:13" x14ac:dyDescent="0.25">
      <c r="I10101" t="s">
        <v>2713</v>
      </c>
      <c r="J10101" s="161" t="s">
        <v>19202</v>
      </c>
      <c r="K10101" t="s">
        <v>19203</v>
      </c>
      <c r="L10101" t="s">
        <v>2712</v>
      </c>
      <c r="M10101" s="161" t="s">
        <v>19202</v>
      </c>
    </row>
    <row r="10102" spans="9:13" x14ac:dyDescent="0.25">
      <c r="I10102" t="s">
        <v>2776</v>
      </c>
      <c r="J10102" s="161" t="s">
        <v>19202</v>
      </c>
      <c r="K10102" t="s">
        <v>19203</v>
      </c>
      <c r="L10102" t="s">
        <v>2775</v>
      </c>
      <c r="M10102" s="161" t="s">
        <v>19202</v>
      </c>
    </row>
    <row r="10103" spans="9:13" x14ac:dyDescent="0.25">
      <c r="I10103" t="s">
        <v>15691</v>
      </c>
      <c r="J10103" s="161" t="s">
        <v>19202</v>
      </c>
      <c r="K10103" t="s">
        <v>19203</v>
      </c>
      <c r="L10103" t="s">
        <v>15495</v>
      </c>
      <c r="M10103" s="161" t="s">
        <v>19202</v>
      </c>
    </row>
    <row r="10104" spans="9:13" x14ac:dyDescent="0.25">
      <c r="I10104" t="s">
        <v>11448</v>
      </c>
      <c r="J10104" s="161" t="s">
        <v>19994</v>
      </c>
      <c r="K10104" t="s">
        <v>19203</v>
      </c>
      <c r="L10104" t="s">
        <v>11447</v>
      </c>
      <c r="M10104" s="161" t="s">
        <v>19994</v>
      </c>
    </row>
    <row r="10105" spans="9:13" x14ac:dyDescent="0.25">
      <c r="I10105" t="s">
        <v>21064</v>
      </c>
      <c r="J10105" s="161" t="s">
        <v>19994</v>
      </c>
      <c r="K10105" t="s">
        <v>19203</v>
      </c>
      <c r="L10105" t="s">
        <v>475</v>
      </c>
      <c r="M10105" s="161" t="s">
        <v>19994</v>
      </c>
    </row>
    <row r="10106" spans="9:13" x14ac:dyDescent="0.25">
      <c r="I10106" t="s">
        <v>2437</v>
      </c>
      <c r="J10106" s="161" t="s">
        <v>19202</v>
      </c>
      <c r="K10106" t="s">
        <v>19203</v>
      </c>
      <c r="L10106" t="s">
        <v>2436</v>
      </c>
      <c r="M10106" s="161" t="s">
        <v>19202</v>
      </c>
    </row>
    <row r="10107" spans="9:13" x14ac:dyDescent="0.25">
      <c r="I10107" t="s">
        <v>21065</v>
      </c>
      <c r="J10107" s="161" t="s">
        <v>19202</v>
      </c>
      <c r="K10107" t="s">
        <v>19203</v>
      </c>
      <c r="L10107" t="s">
        <v>21066</v>
      </c>
      <c r="M10107" s="161" t="s">
        <v>19202</v>
      </c>
    </row>
    <row r="10108" spans="9:13" x14ac:dyDescent="0.25">
      <c r="I10108" t="s">
        <v>9524</v>
      </c>
      <c r="J10108" s="161" t="s">
        <v>19994</v>
      </c>
      <c r="K10108" t="s">
        <v>19203</v>
      </c>
      <c r="L10108" t="s">
        <v>9523</v>
      </c>
      <c r="M10108" s="161" t="s">
        <v>19994</v>
      </c>
    </row>
    <row r="10109" spans="9:13" x14ac:dyDescent="0.25">
      <c r="I10109" t="s">
        <v>12376</v>
      </c>
      <c r="J10109" s="161" t="s">
        <v>19202</v>
      </c>
      <c r="K10109" t="s">
        <v>19203</v>
      </c>
      <c r="L10109" t="s">
        <v>12375</v>
      </c>
      <c r="M10109" s="161" t="s">
        <v>19202</v>
      </c>
    </row>
    <row r="10110" spans="9:13" x14ac:dyDescent="0.25">
      <c r="I10110" t="s">
        <v>21067</v>
      </c>
      <c r="J10110" s="161" t="s">
        <v>19202</v>
      </c>
      <c r="K10110" t="s">
        <v>19203</v>
      </c>
      <c r="L10110" t="s">
        <v>5556</v>
      </c>
      <c r="M10110" s="161" t="s">
        <v>19202</v>
      </c>
    </row>
    <row r="10111" spans="9:13" x14ac:dyDescent="0.25">
      <c r="I10111" t="s">
        <v>66</v>
      </c>
      <c r="J10111" s="161" t="s">
        <v>19202</v>
      </c>
      <c r="K10111" t="s">
        <v>19203</v>
      </c>
      <c r="L10111" t="s">
        <v>65</v>
      </c>
      <c r="M10111" s="161" t="s">
        <v>19202</v>
      </c>
    </row>
    <row r="10112" spans="9:13" x14ac:dyDescent="0.25">
      <c r="I10112" t="s">
        <v>16435</v>
      </c>
      <c r="J10112" s="161" t="s">
        <v>19202</v>
      </c>
      <c r="K10112" t="s">
        <v>19203</v>
      </c>
      <c r="L10112" t="s">
        <v>16434</v>
      </c>
      <c r="M10112" s="161" t="s">
        <v>19202</v>
      </c>
    </row>
    <row r="10113" spans="9:13" x14ac:dyDescent="0.25">
      <c r="I10113" t="s">
        <v>11255</v>
      </c>
      <c r="J10113" s="161" t="s">
        <v>19202</v>
      </c>
      <c r="K10113" t="s">
        <v>19203</v>
      </c>
      <c r="L10113" t="s">
        <v>11254</v>
      </c>
      <c r="M10113" s="161" t="s">
        <v>19202</v>
      </c>
    </row>
    <row r="10114" spans="9:13" x14ac:dyDescent="0.25">
      <c r="I10114" t="s">
        <v>11050</v>
      </c>
      <c r="J10114" s="161" t="s">
        <v>19202</v>
      </c>
      <c r="K10114" t="s">
        <v>19203</v>
      </c>
      <c r="L10114" t="s">
        <v>11049</v>
      </c>
      <c r="M10114" s="161" t="s">
        <v>19202</v>
      </c>
    </row>
    <row r="10115" spans="9:13" x14ac:dyDescent="0.25">
      <c r="I10115" t="s">
        <v>10027</v>
      </c>
      <c r="J10115" s="161" t="s">
        <v>19202</v>
      </c>
      <c r="K10115" t="s">
        <v>19203</v>
      </c>
      <c r="L10115" t="s">
        <v>10026</v>
      </c>
      <c r="M10115" s="161" t="s">
        <v>19202</v>
      </c>
    </row>
    <row r="10116" spans="9:13" x14ac:dyDescent="0.25">
      <c r="I10116" t="s">
        <v>9160</v>
      </c>
      <c r="J10116" s="161" t="s">
        <v>19994</v>
      </c>
      <c r="K10116" t="s">
        <v>19203</v>
      </c>
      <c r="L10116" t="s">
        <v>9159</v>
      </c>
      <c r="M10116" s="161" t="s">
        <v>19994</v>
      </c>
    </row>
    <row r="10117" spans="9:13" x14ac:dyDescent="0.25">
      <c r="I10117" t="s">
        <v>2735</v>
      </c>
      <c r="J10117" s="161" t="s">
        <v>19994</v>
      </c>
      <c r="K10117" t="s">
        <v>19203</v>
      </c>
      <c r="L10117" t="s">
        <v>2734</v>
      </c>
      <c r="M10117" s="161" t="s">
        <v>19994</v>
      </c>
    </row>
    <row r="10118" spans="9:13" x14ac:dyDescent="0.25">
      <c r="I10118" t="s">
        <v>6230</v>
      </c>
      <c r="J10118" s="161" t="s">
        <v>19202</v>
      </c>
      <c r="K10118" t="s">
        <v>19203</v>
      </c>
      <c r="L10118" t="s">
        <v>6229</v>
      </c>
      <c r="M10118" s="161" t="s">
        <v>19202</v>
      </c>
    </row>
    <row r="10119" spans="9:13" x14ac:dyDescent="0.25">
      <c r="I10119" t="s">
        <v>4718</v>
      </c>
      <c r="J10119" s="161" t="s">
        <v>19202</v>
      </c>
      <c r="K10119" t="s">
        <v>19203</v>
      </c>
      <c r="L10119" t="s">
        <v>4717</v>
      </c>
      <c r="M10119" s="161" t="s">
        <v>19202</v>
      </c>
    </row>
    <row r="10120" spans="9:13" x14ac:dyDescent="0.25">
      <c r="I10120" t="s">
        <v>4376</v>
      </c>
      <c r="J10120" s="161" t="s">
        <v>19202</v>
      </c>
      <c r="K10120" t="s">
        <v>19203</v>
      </c>
      <c r="L10120" t="s">
        <v>4375</v>
      </c>
      <c r="M10120" s="161" t="s">
        <v>19202</v>
      </c>
    </row>
    <row r="10121" spans="9:13" x14ac:dyDescent="0.25">
      <c r="I10121" t="s">
        <v>3529</v>
      </c>
      <c r="J10121" s="161" t="s">
        <v>19202</v>
      </c>
      <c r="K10121" t="s">
        <v>19203</v>
      </c>
      <c r="L10121" t="s">
        <v>3528</v>
      </c>
      <c r="M10121" s="161" t="s">
        <v>19202</v>
      </c>
    </row>
    <row r="10122" spans="9:13" x14ac:dyDescent="0.25">
      <c r="I10122" t="s">
        <v>21068</v>
      </c>
      <c r="J10122" s="161" t="s">
        <v>19202</v>
      </c>
      <c r="K10122" t="s">
        <v>19203</v>
      </c>
      <c r="L10122" t="s">
        <v>21069</v>
      </c>
      <c r="M10122" s="161" t="s">
        <v>19202</v>
      </c>
    </row>
    <row r="10123" spans="9:13" x14ac:dyDescent="0.25">
      <c r="I10123" t="s">
        <v>16324</v>
      </c>
      <c r="J10123" s="161" t="s">
        <v>19994</v>
      </c>
      <c r="K10123" t="s">
        <v>19203</v>
      </c>
      <c r="L10123" t="s">
        <v>16323</v>
      </c>
      <c r="M10123" s="161" t="s">
        <v>19994</v>
      </c>
    </row>
    <row r="10124" spans="9:13" x14ac:dyDescent="0.25">
      <c r="I10124" t="s">
        <v>21070</v>
      </c>
      <c r="J10124" s="161" t="s">
        <v>19202</v>
      </c>
      <c r="K10124" t="s">
        <v>19203</v>
      </c>
      <c r="L10124" t="s">
        <v>21071</v>
      </c>
      <c r="M10124" s="161" t="s">
        <v>19202</v>
      </c>
    </row>
    <row r="10125" spans="9:13" x14ac:dyDescent="0.25">
      <c r="I10125" t="s">
        <v>2445</v>
      </c>
      <c r="J10125" s="161" t="s">
        <v>19994</v>
      </c>
      <c r="K10125" t="s">
        <v>19203</v>
      </c>
      <c r="L10125" t="s">
        <v>2444</v>
      </c>
      <c r="M10125" s="161" t="s">
        <v>19994</v>
      </c>
    </row>
    <row r="10126" spans="9:13" x14ac:dyDescent="0.25">
      <c r="I10126" t="s">
        <v>2439</v>
      </c>
      <c r="J10126" s="161" t="s">
        <v>19202</v>
      </c>
      <c r="K10126" t="s">
        <v>19203</v>
      </c>
      <c r="L10126" t="s">
        <v>2438</v>
      </c>
      <c r="M10126" s="161" t="s">
        <v>19202</v>
      </c>
    </row>
    <row r="10127" spans="9:13" x14ac:dyDescent="0.25">
      <c r="I10127" t="s">
        <v>21072</v>
      </c>
      <c r="J10127" s="161" t="s">
        <v>19202</v>
      </c>
      <c r="K10127" t="s">
        <v>19203</v>
      </c>
      <c r="L10127" t="s">
        <v>21073</v>
      </c>
      <c r="M10127" s="161" t="s">
        <v>19202</v>
      </c>
    </row>
    <row r="10128" spans="9:13" x14ac:dyDescent="0.25">
      <c r="I10128" t="s">
        <v>8966</v>
      </c>
      <c r="J10128" s="161" t="s">
        <v>19994</v>
      </c>
      <c r="K10128" t="s">
        <v>19203</v>
      </c>
      <c r="L10128" t="s">
        <v>8965</v>
      </c>
      <c r="M10128" s="161" t="s">
        <v>19994</v>
      </c>
    </row>
    <row r="10129" spans="9:13" x14ac:dyDescent="0.25">
      <c r="I10129" t="s">
        <v>21074</v>
      </c>
      <c r="J10129" s="161" t="s">
        <v>19202</v>
      </c>
      <c r="K10129" t="s">
        <v>19203</v>
      </c>
      <c r="L10129" t="s">
        <v>21075</v>
      </c>
      <c r="M10129" s="161" t="s">
        <v>19202</v>
      </c>
    </row>
    <row r="10130" spans="9:13" x14ac:dyDescent="0.25">
      <c r="I10130" t="s">
        <v>11348</v>
      </c>
      <c r="J10130" s="161" t="s">
        <v>19994</v>
      </c>
      <c r="K10130" t="s">
        <v>19203</v>
      </c>
      <c r="L10130" t="s">
        <v>11347</v>
      </c>
      <c r="M10130" s="161" t="s">
        <v>19994</v>
      </c>
    </row>
    <row r="10131" spans="9:13" x14ac:dyDescent="0.25">
      <c r="I10131" t="s">
        <v>11340</v>
      </c>
      <c r="J10131" s="161" t="s">
        <v>19202</v>
      </c>
      <c r="K10131" t="s">
        <v>19203</v>
      </c>
      <c r="L10131" t="s">
        <v>11339</v>
      </c>
      <c r="M10131" s="161" t="s">
        <v>19202</v>
      </c>
    </row>
    <row r="10132" spans="9:13" x14ac:dyDescent="0.25">
      <c r="I10132" t="s">
        <v>11338</v>
      </c>
      <c r="J10132" s="161" t="s">
        <v>19202</v>
      </c>
      <c r="K10132" t="s">
        <v>19203</v>
      </c>
      <c r="L10132" t="s">
        <v>11337</v>
      </c>
      <c r="M10132" s="161" t="s">
        <v>19202</v>
      </c>
    </row>
    <row r="10133" spans="9:13" x14ac:dyDescent="0.25">
      <c r="I10133" t="s">
        <v>11330</v>
      </c>
      <c r="J10133" s="161" t="s">
        <v>19202</v>
      </c>
      <c r="K10133" t="s">
        <v>19203</v>
      </c>
      <c r="L10133" t="s">
        <v>11329</v>
      </c>
      <c r="M10133" s="161" t="s">
        <v>19202</v>
      </c>
    </row>
    <row r="10134" spans="9:13" x14ac:dyDescent="0.25">
      <c r="I10134" t="s">
        <v>11328</v>
      </c>
      <c r="J10134" s="161" t="s">
        <v>19202</v>
      </c>
      <c r="K10134" t="s">
        <v>19203</v>
      </c>
      <c r="L10134" t="s">
        <v>11327</v>
      </c>
      <c r="M10134" s="161" t="s">
        <v>19202</v>
      </c>
    </row>
    <row r="10135" spans="9:13" x14ac:dyDescent="0.25">
      <c r="I10135" t="s">
        <v>11344</v>
      </c>
      <c r="J10135" s="161" t="s">
        <v>19202</v>
      </c>
      <c r="K10135" t="s">
        <v>19203</v>
      </c>
      <c r="L10135" t="s">
        <v>11343</v>
      </c>
      <c r="M10135" s="161" t="s">
        <v>19202</v>
      </c>
    </row>
    <row r="10136" spans="9:13" x14ac:dyDescent="0.25">
      <c r="I10136" t="s">
        <v>21076</v>
      </c>
      <c r="J10136" s="161" t="s">
        <v>19994</v>
      </c>
      <c r="K10136" t="s">
        <v>19203</v>
      </c>
      <c r="L10136" t="s">
        <v>21077</v>
      </c>
      <c r="M10136" s="161" t="s">
        <v>19994</v>
      </c>
    </row>
    <row r="10137" spans="9:13" x14ac:dyDescent="0.25">
      <c r="I10137" t="s">
        <v>21078</v>
      </c>
      <c r="J10137" s="161" t="s">
        <v>19202</v>
      </c>
      <c r="K10137" t="s">
        <v>19203</v>
      </c>
      <c r="L10137" t="s">
        <v>21079</v>
      </c>
      <c r="M10137" s="161" t="s">
        <v>19202</v>
      </c>
    </row>
    <row r="10138" spans="9:13" x14ac:dyDescent="0.25">
      <c r="I10138" t="s">
        <v>4173</v>
      </c>
      <c r="J10138" s="161" t="s">
        <v>19202</v>
      </c>
      <c r="K10138" t="s">
        <v>19203</v>
      </c>
      <c r="L10138" t="s">
        <v>4172</v>
      </c>
      <c r="M10138" s="161" t="s">
        <v>19202</v>
      </c>
    </row>
    <row r="10139" spans="9:13" x14ac:dyDescent="0.25">
      <c r="I10139" t="s">
        <v>2787</v>
      </c>
      <c r="J10139" s="161" t="s">
        <v>19202</v>
      </c>
      <c r="K10139" t="s">
        <v>19203</v>
      </c>
      <c r="L10139" t="s">
        <v>2786</v>
      </c>
      <c r="M10139" s="161" t="s">
        <v>19202</v>
      </c>
    </row>
    <row r="10140" spans="9:13" x14ac:dyDescent="0.25">
      <c r="I10140" t="s">
        <v>3957</v>
      </c>
      <c r="J10140" s="161" t="s">
        <v>19203</v>
      </c>
      <c r="K10140" t="s">
        <v>19203</v>
      </c>
      <c r="L10140" t="s">
        <v>1520</v>
      </c>
      <c r="M10140" s="161" t="s">
        <v>19203</v>
      </c>
    </row>
    <row r="10141" spans="9:13" x14ac:dyDescent="0.25">
      <c r="I10141" t="s">
        <v>3478</v>
      </c>
      <c r="J10141" s="161" t="s">
        <v>19202</v>
      </c>
      <c r="K10141" t="s">
        <v>19203</v>
      </c>
      <c r="L10141" t="s">
        <v>1409</v>
      </c>
      <c r="M10141" s="161" t="s">
        <v>19202</v>
      </c>
    </row>
    <row r="10142" spans="9:13" x14ac:dyDescent="0.25">
      <c r="I10142" t="s">
        <v>68</v>
      </c>
      <c r="J10142" s="161" t="s">
        <v>19202</v>
      </c>
      <c r="K10142" t="s">
        <v>19203</v>
      </c>
      <c r="L10142" t="s">
        <v>67</v>
      </c>
      <c r="M10142" s="161" t="s">
        <v>19202</v>
      </c>
    </row>
    <row r="10143" spans="9:13" x14ac:dyDescent="0.25">
      <c r="I10143" t="s">
        <v>2783</v>
      </c>
      <c r="J10143" s="161" t="s">
        <v>19202</v>
      </c>
      <c r="K10143" t="s">
        <v>19203</v>
      </c>
      <c r="L10143" t="s">
        <v>2782</v>
      </c>
      <c r="M10143" s="161" t="s">
        <v>19202</v>
      </c>
    </row>
    <row r="10144" spans="9:13" x14ac:dyDescent="0.25">
      <c r="I10144" t="s">
        <v>2731</v>
      </c>
      <c r="J10144" s="161" t="s">
        <v>19994</v>
      </c>
      <c r="K10144" t="s">
        <v>19203</v>
      </c>
      <c r="L10144" t="s">
        <v>2730</v>
      </c>
      <c r="M10144" s="161" t="s">
        <v>19994</v>
      </c>
    </row>
    <row r="10145" spans="9:13" x14ac:dyDescent="0.25">
      <c r="I10145" t="s">
        <v>21080</v>
      </c>
      <c r="J10145" s="161" t="s">
        <v>19994</v>
      </c>
      <c r="K10145" t="s">
        <v>19203</v>
      </c>
      <c r="L10145" t="s">
        <v>21081</v>
      </c>
      <c r="M10145" s="161" t="s">
        <v>19994</v>
      </c>
    </row>
    <row r="10146" spans="9:13" x14ac:dyDescent="0.25">
      <c r="I10146" t="s">
        <v>4596</v>
      </c>
      <c r="J10146" s="161" t="s">
        <v>19202</v>
      </c>
      <c r="K10146" t="s">
        <v>19203</v>
      </c>
      <c r="L10146" t="s">
        <v>4595</v>
      </c>
      <c r="M10146" s="161" t="s">
        <v>19202</v>
      </c>
    </row>
    <row r="10147" spans="9:13" x14ac:dyDescent="0.25">
      <c r="I10147" t="s">
        <v>258</v>
      </c>
      <c r="J10147" s="161" t="s">
        <v>19994</v>
      </c>
      <c r="K10147" t="s">
        <v>19203</v>
      </c>
      <c r="L10147" t="s">
        <v>257</v>
      </c>
      <c r="M10147" s="161" t="s">
        <v>19994</v>
      </c>
    </row>
    <row r="10148" spans="9:13" x14ac:dyDescent="0.25">
      <c r="I10148" t="s">
        <v>6775</v>
      </c>
      <c r="J10148" s="161" t="s">
        <v>19202</v>
      </c>
      <c r="K10148" t="s">
        <v>19203</v>
      </c>
      <c r="L10148" t="s">
        <v>370</v>
      </c>
      <c r="M10148" s="161" t="s">
        <v>19202</v>
      </c>
    </row>
    <row r="10149" spans="9:13" x14ac:dyDescent="0.25">
      <c r="I10149" t="s">
        <v>6391</v>
      </c>
      <c r="J10149" s="161" t="s">
        <v>19994</v>
      </c>
      <c r="K10149" t="s">
        <v>19203</v>
      </c>
      <c r="L10149" t="s">
        <v>6390</v>
      </c>
      <c r="M10149" s="161" t="s">
        <v>19994</v>
      </c>
    </row>
    <row r="10150" spans="9:13" x14ac:dyDescent="0.25">
      <c r="I10150" t="s">
        <v>21082</v>
      </c>
      <c r="J10150" s="161" t="s">
        <v>19202</v>
      </c>
      <c r="K10150" t="s">
        <v>19203</v>
      </c>
      <c r="L10150" t="s">
        <v>21083</v>
      </c>
      <c r="M10150" s="161" t="s">
        <v>19202</v>
      </c>
    </row>
    <row r="10151" spans="9:13" x14ac:dyDescent="0.25">
      <c r="I10151" t="s">
        <v>1524</v>
      </c>
      <c r="J10151" s="161" t="s">
        <v>19203</v>
      </c>
      <c r="K10151" t="s">
        <v>19203</v>
      </c>
      <c r="L10151" t="s">
        <v>1523</v>
      </c>
      <c r="M10151" s="161" t="s">
        <v>19203</v>
      </c>
    </row>
    <row r="10152" spans="9:13" x14ac:dyDescent="0.25">
      <c r="I10152" t="s">
        <v>14706</v>
      </c>
      <c r="J10152" s="161" t="s">
        <v>19994</v>
      </c>
      <c r="K10152" t="s">
        <v>19203</v>
      </c>
      <c r="L10152" t="s">
        <v>14705</v>
      </c>
      <c r="M10152" s="161" t="s">
        <v>19994</v>
      </c>
    </row>
    <row r="10153" spans="9:13" x14ac:dyDescent="0.25">
      <c r="I10153" t="s">
        <v>2447</v>
      </c>
      <c r="J10153" s="161" t="s">
        <v>19994</v>
      </c>
      <c r="K10153" t="s">
        <v>19203</v>
      </c>
      <c r="L10153" t="s">
        <v>2446</v>
      </c>
      <c r="M10153" s="161" t="s">
        <v>19994</v>
      </c>
    </row>
    <row r="10154" spans="9:13" x14ac:dyDescent="0.25">
      <c r="I10154" t="s">
        <v>6740</v>
      </c>
      <c r="J10154" s="161" t="s">
        <v>19202</v>
      </c>
      <c r="K10154" t="s">
        <v>19203</v>
      </c>
      <c r="L10154" t="s">
        <v>6739</v>
      </c>
      <c r="M10154" s="161" t="s">
        <v>19202</v>
      </c>
    </row>
    <row r="10155" spans="9:13" x14ac:dyDescent="0.25">
      <c r="I10155" t="s">
        <v>21084</v>
      </c>
      <c r="J10155" s="167" t="s">
        <v>19994</v>
      </c>
      <c r="K10155" t="s">
        <v>19203</v>
      </c>
      <c r="L10155" t="s">
        <v>21085</v>
      </c>
      <c r="M10155" s="167" t="s">
        <v>19994</v>
      </c>
    </row>
    <row r="10156" spans="9:13" x14ac:dyDescent="0.25">
      <c r="I10156" t="s">
        <v>10214</v>
      </c>
      <c r="J10156" s="161" t="s">
        <v>19202</v>
      </c>
      <c r="K10156" t="s">
        <v>19203</v>
      </c>
      <c r="L10156" t="s">
        <v>10213</v>
      </c>
      <c r="M10156" s="161" t="s">
        <v>19202</v>
      </c>
    </row>
    <row r="10157" spans="9:13" x14ac:dyDescent="0.25">
      <c r="I10157" t="s">
        <v>21086</v>
      </c>
      <c r="J10157" s="161" t="s">
        <v>19202</v>
      </c>
      <c r="K10157" t="s">
        <v>19203</v>
      </c>
      <c r="L10157" t="s">
        <v>21087</v>
      </c>
      <c r="M10157" s="161" t="s">
        <v>19202</v>
      </c>
    </row>
    <row r="10158" spans="9:13" x14ac:dyDescent="0.25">
      <c r="I10158" t="s">
        <v>13782</v>
      </c>
      <c r="J10158" s="161" t="s">
        <v>19202</v>
      </c>
      <c r="K10158" t="s">
        <v>19203</v>
      </c>
      <c r="L10158" t="s">
        <v>13781</v>
      </c>
      <c r="M10158" s="161" t="s">
        <v>19202</v>
      </c>
    </row>
    <row r="10159" spans="9:13" x14ac:dyDescent="0.25">
      <c r="I10159" t="s">
        <v>13778</v>
      </c>
      <c r="J10159" s="161" t="s">
        <v>19994</v>
      </c>
      <c r="K10159" t="s">
        <v>19203</v>
      </c>
      <c r="L10159" t="s">
        <v>13777</v>
      </c>
      <c r="M10159" s="161" t="s">
        <v>19994</v>
      </c>
    </row>
    <row r="10160" spans="9:13" x14ac:dyDescent="0.25">
      <c r="I10160" t="s">
        <v>16361</v>
      </c>
      <c r="J10160" s="161" t="s">
        <v>19202</v>
      </c>
      <c r="K10160" t="s">
        <v>19203</v>
      </c>
      <c r="L10160" t="s">
        <v>11396</v>
      </c>
      <c r="M10160" s="161" t="s">
        <v>19202</v>
      </c>
    </row>
    <row r="10161" spans="9:13" x14ac:dyDescent="0.25">
      <c r="I10161" t="s">
        <v>11048</v>
      </c>
      <c r="J10161" s="161" t="s">
        <v>19202</v>
      </c>
      <c r="K10161" t="s">
        <v>19203</v>
      </c>
      <c r="L10161" t="s">
        <v>11047</v>
      </c>
      <c r="M10161" s="161" t="s">
        <v>19202</v>
      </c>
    </row>
    <row r="10162" spans="9:13" x14ac:dyDescent="0.25">
      <c r="I10162" t="s">
        <v>10888</v>
      </c>
      <c r="J10162" s="161" t="s">
        <v>19202</v>
      </c>
      <c r="K10162" t="s">
        <v>19203</v>
      </c>
      <c r="L10162" t="s">
        <v>189</v>
      </c>
      <c r="M10162" s="161" t="s">
        <v>19202</v>
      </c>
    </row>
    <row r="10163" spans="9:13" x14ac:dyDescent="0.25">
      <c r="I10163" t="s">
        <v>10803</v>
      </c>
      <c r="J10163" s="161" t="s">
        <v>19202</v>
      </c>
      <c r="K10163" t="s">
        <v>19203</v>
      </c>
      <c r="L10163" t="s">
        <v>10802</v>
      </c>
      <c r="M10163" s="161" t="s">
        <v>19202</v>
      </c>
    </row>
    <row r="10164" spans="9:13" x14ac:dyDescent="0.25">
      <c r="I10164" t="s">
        <v>10685</v>
      </c>
      <c r="J10164" s="161" t="s">
        <v>19202</v>
      </c>
      <c r="K10164" t="s">
        <v>19203</v>
      </c>
      <c r="L10164" t="s">
        <v>10684</v>
      </c>
      <c r="M10164" s="161" t="s">
        <v>19202</v>
      </c>
    </row>
    <row r="10165" spans="9:13" x14ac:dyDescent="0.25">
      <c r="I10165" t="s">
        <v>10041</v>
      </c>
      <c r="J10165" s="161" t="s">
        <v>19994</v>
      </c>
      <c r="K10165" t="s">
        <v>19203</v>
      </c>
      <c r="L10165" t="s">
        <v>10040</v>
      </c>
      <c r="M10165" s="161" t="s">
        <v>19994</v>
      </c>
    </row>
    <row r="10166" spans="9:13" x14ac:dyDescent="0.25">
      <c r="I10166" t="s">
        <v>21088</v>
      </c>
      <c r="J10166" s="161" t="s">
        <v>19994</v>
      </c>
      <c r="K10166" t="s">
        <v>19203</v>
      </c>
      <c r="L10166" t="s">
        <v>21089</v>
      </c>
      <c r="M10166" s="161" t="s">
        <v>19994</v>
      </c>
    </row>
    <row r="10167" spans="9:13" x14ac:dyDescent="0.25">
      <c r="I10167" t="s">
        <v>21090</v>
      </c>
      <c r="J10167" s="161" t="s">
        <v>19994</v>
      </c>
      <c r="K10167" t="s">
        <v>19203</v>
      </c>
      <c r="L10167" t="s">
        <v>21091</v>
      </c>
      <c r="M10167" s="161" t="s">
        <v>19994</v>
      </c>
    </row>
    <row r="10168" spans="9:13" x14ac:dyDescent="0.25">
      <c r="I10168" t="s">
        <v>4176</v>
      </c>
      <c r="J10168" s="161" t="s">
        <v>19202</v>
      </c>
      <c r="K10168" t="s">
        <v>19203</v>
      </c>
      <c r="L10168" t="s">
        <v>646</v>
      </c>
      <c r="M10168" s="161" t="s">
        <v>19202</v>
      </c>
    </row>
    <row r="10169" spans="9:13" x14ac:dyDescent="0.25">
      <c r="I10169" t="s">
        <v>11685</v>
      </c>
      <c r="J10169" s="161" t="s">
        <v>19202</v>
      </c>
      <c r="K10169" t="s">
        <v>19203</v>
      </c>
      <c r="L10169" t="s">
        <v>11684</v>
      </c>
      <c r="M10169" s="161" t="s">
        <v>19202</v>
      </c>
    </row>
    <row r="10170" spans="9:13" x14ac:dyDescent="0.25">
      <c r="I10170" t="s">
        <v>21092</v>
      </c>
      <c r="J10170" s="161" t="s">
        <v>19202</v>
      </c>
      <c r="K10170" t="s">
        <v>19203</v>
      </c>
      <c r="L10170" t="s">
        <v>21093</v>
      </c>
      <c r="M10170" s="161" t="s">
        <v>19202</v>
      </c>
    </row>
    <row r="10171" spans="9:13" x14ac:dyDescent="0.25">
      <c r="I10171" t="s">
        <v>6393</v>
      </c>
      <c r="J10171" s="161" t="s">
        <v>19994</v>
      </c>
      <c r="K10171" t="s">
        <v>19203</v>
      </c>
      <c r="L10171" t="s">
        <v>6392</v>
      </c>
      <c r="M10171" s="161" t="s">
        <v>19994</v>
      </c>
    </row>
    <row r="10172" spans="9:13" x14ac:dyDescent="0.25">
      <c r="I10172" t="s">
        <v>10051</v>
      </c>
      <c r="J10172" s="161" t="s">
        <v>19202</v>
      </c>
      <c r="K10172" t="s">
        <v>19203</v>
      </c>
      <c r="L10172" t="s">
        <v>10050</v>
      </c>
      <c r="M10172" s="161" t="s">
        <v>19202</v>
      </c>
    </row>
    <row r="10173" spans="9:13" x14ac:dyDescent="0.25">
      <c r="I10173" t="s">
        <v>6223</v>
      </c>
      <c r="J10173" s="161" t="s">
        <v>19994</v>
      </c>
      <c r="K10173" t="s">
        <v>19203</v>
      </c>
      <c r="L10173" t="s">
        <v>6222</v>
      </c>
      <c r="M10173" s="161" t="s">
        <v>19994</v>
      </c>
    </row>
    <row r="10174" spans="9:13" x14ac:dyDescent="0.25">
      <c r="I10174" t="s">
        <v>16855</v>
      </c>
      <c r="J10174" s="161" t="s">
        <v>19202</v>
      </c>
      <c r="K10174" t="s">
        <v>19203</v>
      </c>
      <c r="L10174" t="s">
        <v>16854</v>
      </c>
      <c r="M10174" s="161" t="s">
        <v>19202</v>
      </c>
    </row>
    <row r="10175" spans="9:13" x14ac:dyDescent="0.25">
      <c r="I10175" t="s">
        <v>13786</v>
      </c>
      <c r="J10175" s="161" t="s">
        <v>19202</v>
      </c>
      <c r="K10175" t="s">
        <v>19203</v>
      </c>
      <c r="L10175" t="s">
        <v>6290</v>
      </c>
      <c r="M10175" s="161" t="s">
        <v>19202</v>
      </c>
    </row>
    <row r="10176" spans="9:13" x14ac:dyDescent="0.25">
      <c r="I10176" t="s">
        <v>12713</v>
      </c>
      <c r="J10176" s="161" t="s">
        <v>19994</v>
      </c>
      <c r="K10176" t="s">
        <v>19203</v>
      </c>
      <c r="L10176" t="s">
        <v>12712</v>
      </c>
      <c r="M10176" s="161" t="s">
        <v>19994</v>
      </c>
    </row>
    <row r="10177" spans="9:13" x14ac:dyDescent="0.25">
      <c r="I10177" t="s">
        <v>2795</v>
      </c>
      <c r="J10177" s="161" t="s">
        <v>19202</v>
      </c>
      <c r="K10177" t="s">
        <v>19203</v>
      </c>
      <c r="L10177" t="s">
        <v>2794</v>
      </c>
      <c r="M10177" s="161" t="s">
        <v>19202</v>
      </c>
    </row>
    <row r="10178" spans="9:13" x14ac:dyDescent="0.25">
      <c r="I10178" t="s">
        <v>2721</v>
      </c>
      <c r="J10178" s="161" t="s">
        <v>19202</v>
      </c>
      <c r="K10178" t="s">
        <v>19203</v>
      </c>
      <c r="L10178" t="s">
        <v>2720</v>
      </c>
      <c r="M10178" s="161" t="s">
        <v>19202</v>
      </c>
    </row>
    <row r="10179" spans="9:13" x14ac:dyDescent="0.25">
      <c r="I10179" t="s">
        <v>3477</v>
      </c>
      <c r="J10179" s="161" t="s">
        <v>19994</v>
      </c>
      <c r="K10179" t="s">
        <v>19203</v>
      </c>
      <c r="L10179" t="s">
        <v>1520</v>
      </c>
      <c r="M10179" s="161" t="s">
        <v>19994</v>
      </c>
    </row>
    <row r="10180" spans="9:13" x14ac:dyDescent="0.25">
      <c r="I10180" t="s">
        <v>16358</v>
      </c>
      <c r="J10180" s="161" t="s">
        <v>19202</v>
      </c>
      <c r="K10180" t="s">
        <v>19203</v>
      </c>
      <c r="L10180" t="s">
        <v>16357</v>
      </c>
      <c r="M10180" s="161" t="s">
        <v>19202</v>
      </c>
    </row>
    <row r="10181" spans="9:13" x14ac:dyDescent="0.25">
      <c r="I10181" t="s">
        <v>12895</v>
      </c>
      <c r="J10181" s="161" t="s">
        <v>19994</v>
      </c>
      <c r="K10181" t="s">
        <v>19203</v>
      </c>
      <c r="L10181" t="s">
        <v>12894</v>
      </c>
      <c r="M10181" s="161" t="s">
        <v>19994</v>
      </c>
    </row>
    <row r="10182" spans="9:13" x14ac:dyDescent="0.25">
      <c r="I10182" t="s">
        <v>11683</v>
      </c>
      <c r="J10182" s="161" t="s">
        <v>19202</v>
      </c>
      <c r="K10182" t="s">
        <v>19203</v>
      </c>
      <c r="L10182" t="s">
        <v>11682</v>
      </c>
      <c r="M10182" s="161" t="s">
        <v>19202</v>
      </c>
    </row>
    <row r="10183" spans="9:13" x14ac:dyDescent="0.25">
      <c r="I10183" t="s">
        <v>11326</v>
      </c>
      <c r="J10183" s="161" t="s">
        <v>19202</v>
      </c>
      <c r="K10183" t="s">
        <v>19203</v>
      </c>
      <c r="L10183" t="s">
        <v>11325</v>
      </c>
      <c r="M10183" s="161" t="s">
        <v>19202</v>
      </c>
    </row>
    <row r="10184" spans="9:13" x14ac:dyDescent="0.25">
      <c r="I10184" t="s">
        <v>4305</v>
      </c>
      <c r="J10184" s="161" t="s">
        <v>19202</v>
      </c>
      <c r="K10184" t="s">
        <v>19203</v>
      </c>
      <c r="L10184" t="s">
        <v>4304</v>
      </c>
      <c r="M10184" s="161" t="s">
        <v>19202</v>
      </c>
    </row>
    <row r="10185" spans="9:13" x14ac:dyDescent="0.25">
      <c r="I10185" t="s">
        <v>3566</v>
      </c>
      <c r="J10185" s="161" t="s">
        <v>19202</v>
      </c>
      <c r="K10185" t="s">
        <v>19203</v>
      </c>
      <c r="L10185" t="s">
        <v>3565</v>
      </c>
      <c r="M10185" s="161" t="s">
        <v>19202</v>
      </c>
    </row>
    <row r="10186" spans="9:13" x14ac:dyDescent="0.25">
      <c r="I10186" t="s">
        <v>74</v>
      </c>
      <c r="J10186" s="161" t="s">
        <v>19202</v>
      </c>
      <c r="K10186" t="s">
        <v>19203</v>
      </c>
      <c r="L10186" t="s">
        <v>73</v>
      </c>
      <c r="M10186" s="161" t="s">
        <v>19202</v>
      </c>
    </row>
    <row r="10187" spans="9:13" x14ac:dyDescent="0.25">
      <c r="I10187" t="s">
        <v>21094</v>
      </c>
      <c r="J10187" s="161" t="s">
        <v>19202</v>
      </c>
      <c r="K10187" t="s">
        <v>19203</v>
      </c>
      <c r="L10187" t="s">
        <v>21095</v>
      </c>
      <c r="M10187" s="161" t="s">
        <v>19202</v>
      </c>
    </row>
    <row r="10188" spans="9:13" x14ac:dyDescent="0.25">
      <c r="I10188" t="s">
        <v>6228</v>
      </c>
      <c r="J10188" s="161" t="s">
        <v>19202</v>
      </c>
      <c r="K10188" t="s">
        <v>19203</v>
      </c>
      <c r="L10188" t="s">
        <v>6227</v>
      </c>
      <c r="M10188" s="161" t="s">
        <v>19202</v>
      </c>
    </row>
    <row r="10189" spans="9:13" x14ac:dyDescent="0.25">
      <c r="I10189" t="s">
        <v>2793</v>
      </c>
      <c r="J10189" s="161" t="s">
        <v>19202</v>
      </c>
      <c r="K10189" t="s">
        <v>19203</v>
      </c>
      <c r="L10189" t="s">
        <v>2792</v>
      </c>
      <c r="M10189" s="161" t="s">
        <v>19202</v>
      </c>
    </row>
    <row r="10190" spans="9:13" x14ac:dyDescent="0.25">
      <c r="I10190" t="s">
        <v>21096</v>
      </c>
      <c r="J10190" s="161" t="s">
        <v>19202</v>
      </c>
      <c r="K10190" t="s">
        <v>19203</v>
      </c>
      <c r="L10190" t="s">
        <v>21097</v>
      </c>
      <c r="M10190" s="161" t="s">
        <v>19202</v>
      </c>
    </row>
    <row r="10191" spans="9:13" x14ac:dyDescent="0.25">
      <c r="I10191" t="s">
        <v>21098</v>
      </c>
      <c r="J10191" s="161" t="s">
        <v>19202</v>
      </c>
      <c r="K10191" t="s">
        <v>19203</v>
      </c>
      <c r="L10191" t="s">
        <v>21099</v>
      </c>
      <c r="M10191" s="161" t="s">
        <v>19202</v>
      </c>
    </row>
    <row r="10192" spans="9:13" x14ac:dyDescent="0.25">
      <c r="I10192" t="s">
        <v>21100</v>
      </c>
      <c r="J10192" s="161" t="s">
        <v>19202</v>
      </c>
      <c r="K10192" t="s">
        <v>19203</v>
      </c>
      <c r="L10192" t="s">
        <v>21101</v>
      </c>
      <c r="M10192" s="161" t="s">
        <v>19202</v>
      </c>
    </row>
    <row r="10193" spans="9:13" x14ac:dyDescent="0.25">
      <c r="I10193" t="s">
        <v>11470</v>
      </c>
      <c r="J10193" s="161" t="s">
        <v>19202</v>
      </c>
      <c r="K10193" t="s">
        <v>19203</v>
      </c>
      <c r="L10193" t="s">
        <v>11469</v>
      </c>
      <c r="M10193" s="161" t="s">
        <v>19202</v>
      </c>
    </row>
    <row r="10194" spans="9:13" x14ac:dyDescent="0.25">
      <c r="I10194" t="s">
        <v>9969</v>
      </c>
      <c r="J10194" s="161" t="s">
        <v>19202</v>
      </c>
      <c r="K10194" t="s">
        <v>19203</v>
      </c>
      <c r="L10194" t="s">
        <v>9968</v>
      </c>
      <c r="M10194" s="161" t="s">
        <v>19202</v>
      </c>
    </row>
    <row r="10195" spans="9:13" x14ac:dyDescent="0.25">
      <c r="I10195" t="s">
        <v>2733</v>
      </c>
      <c r="J10195" s="161" t="s">
        <v>19994</v>
      </c>
      <c r="K10195" t="s">
        <v>19203</v>
      </c>
      <c r="L10195" t="s">
        <v>2732</v>
      </c>
      <c r="M10195" s="161" t="s">
        <v>19994</v>
      </c>
    </row>
    <row r="10196" spans="9:13" x14ac:dyDescent="0.25">
      <c r="I10196" t="s">
        <v>9212</v>
      </c>
      <c r="J10196" s="161" t="s">
        <v>19994</v>
      </c>
      <c r="K10196" t="s">
        <v>19203</v>
      </c>
      <c r="L10196" t="s">
        <v>9211</v>
      </c>
      <c r="M10196" s="161" t="s">
        <v>19994</v>
      </c>
    </row>
    <row r="10197" spans="9:13" x14ac:dyDescent="0.25">
      <c r="I10197" t="s">
        <v>16360</v>
      </c>
      <c r="J10197" s="161" t="s">
        <v>19202</v>
      </c>
      <c r="K10197" t="s">
        <v>19203</v>
      </c>
      <c r="L10197" t="s">
        <v>16359</v>
      </c>
      <c r="M10197" s="161" t="s">
        <v>19202</v>
      </c>
    </row>
    <row r="10198" spans="9:13" x14ac:dyDescent="0.25">
      <c r="I10198" t="s">
        <v>16356</v>
      </c>
      <c r="J10198" s="161" t="s">
        <v>19202</v>
      </c>
      <c r="K10198" t="s">
        <v>19203</v>
      </c>
      <c r="L10198" t="s">
        <v>1520</v>
      </c>
      <c r="M10198" s="161" t="s">
        <v>19202</v>
      </c>
    </row>
    <row r="10199" spans="9:13" x14ac:dyDescent="0.25">
      <c r="I10199" t="s">
        <v>15690</v>
      </c>
      <c r="J10199" s="161" t="s">
        <v>19202</v>
      </c>
      <c r="K10199" t="s">
        <v>19203</v>
      </c>
      <c r="L10199" t="s">
        <v>15689</v>
      </c>
      <c r="M10199" s="161" t="s">
        <v>19202</v>
      </c>
    </row>
    <row r="10200" spans="9:13" x14ac:dyDescent="0.25">
      <c r="I10200" t="s">
        <v>21102</v>
      </c>
      <c r="J10200" s="161" t="s">
        <v>19202</v>
      </c>
      <c r="K10200" t="s">
        <v>19203</v>
      </c>
      <c r="L10200" t="s">
        <v>21103</v>
      </c>
      <c r="M10200" s="161" t="s">
        <v>19202</v>
      </c>
    </row>
    <row r="10201" spans="9:13" x14ac:dyDescent="0.25">
      <c r="I10201" t="s">
        <v>21104</v>
      </c>
      <c r="J10201" s="161" t="s">
        <v>19202</v>
      </c>
      <c r="K10201" t="s">
        <v>19203</v>
      </c>
      <c r="L10201" t="s">
        <v>21105</v>
      </c>
      <c r="M10201" s="161" t="s">
        <v>19202</v>
      </c>
    </row>
    <row r="10202" spans="9:13" x14ac:dyDescent="0.25">
      <c r="I10202" t="s">
        <v>3527</v>
      </c>
      <c r="J10202" s="161" t="s">
        <v>19202</v>
      </c>
      <c r="K10202" t="s">
        <v>19203</v>
      </c>
      <c r="L10202" t="s">
        <v>3526</v>
      </c>
      <c r="M10202" s="161" t="s">
        <v>19202</v>
      </c>
    </row>
    <row r="10203" spans="9:13" x14ac:dyDescent="0.25">
      <c r="I10203" t="s">
        <v>145</v>
      </c>
      <c r="J10203" s="161" t="s">
        <v>19994</v>
      </c>
      <c r="K10203" t="s">
        <v>19203</v>
      </c>
      <c r="L10203" t="s">
        <v>144</v>
      </c>
      <c r="M10203" s="161" t="s">
        <v>19994</v>
      </c>
    </row>
    <row r="10204" spans="9:13" x14ac:dyDescent="0.25">
      <c r="I10204" t="s">
        <v>5796</v>
      </c>
      <c r="J10204" s="161" t="s">
        <v>19994</v>
      </c>
      <c r="K10204" t="s">
        <v>19203</v>
      </c>
      <c r="L10204" t="s">
        <v>5795</v>
      </c>
      <c r="M10204" s="161" t="s">
        <v>19994</v>
      </c>
    </row>
    <row r="10205" spans="9:13" x14ac:dyDescent="0.25">
      <c r="I10205" t="s">
        <v>21106</v>
      </c>
      <c r="J10205" s="161" t="s">
        <v>19202</v>
      </c>
      <c r="K10205" t="s">
        <v>19203</v>
      </c>
      <c r="L10205" t="s">
        <v>656</v>
      </c>
      <c r="M10205" s="161" t="s">
        <v>19202</v>
      </c>
    </row>
    <row r="10206" spans="9:13" x14ac:dyDescent="0.25">
      <c r="I10206" t="s">
        <v>8492</v>
      </c>
      <c r="J10206" s="161" t="s">
        <v>19202</v>
      </c>
      <c r="K10206" t="s">
        <v>19203</v>
      </c>
      <c r="L10206" t="s">
        <v>8491</v>
      </c>
      <c r="M10206" s="161" t="s">
        <v>19202</v>
      </c>
    </row>
    <row r="10207" spans="9:13" x14ac:dyDescent="0.25">
      <c r="I10207" t="s">
        <v>13799</v>
      </c>
      <c r="J10207" s="161" t="s">
        <v>19994</v>
      </c>
      <c r="K10207" t="s">
        <v>19203</v>
      </c>
      <c r="L10207" t="s">
        <v>904</v>
      </c>
      <c r="M10207" s="161" t="s">
        <v>19994</v>
      </c>
    </row>
    <row r="10208" spans="9:13" x14ac:dyDescent="0.25">
      <c r="I10208" t="s">
        <v>13798</v>
      </c>
      <c r="J10208" s="161" t="s">
        <v>19994</v>
      </c>
      <c r="K10208" t="s">
        <v>19203</v>
      </c>
      <c r="L10208" t="s">
        <v>13797</v>
      </c>
      <c r="M10208" s="161" t="s">
        <v>19994</v>
      </c>
    </row>
    <row r="10209" spans="9:13" x14ac:dyDescent="0.25">
      <c r="I10209" t="s">
        <v>13796</v>
      </c>
      <c r="J10209" s="161" t="s">
        <v>19994</v>
      </c>
      <c r="K10209" t="s">
        <v>19203</v>
      </c>
      <c r="L10209" t="s">
        <v>3995</v>
      </c>
      <c r="M10209" s="161" t="s">
        <v>19994</v>
      </c>
    </row>
    <row r="10210" spans="9:13" x14ac:dyDescent="0.25">
      <c r="I10210" t="s">
        <v>13795</v>
      </c>
      <c r="J10210" s="161" t="s">
        <v>19994</v>
      </c>
      <c r="K10210" t="s">
        <v>19203</v>
      </c>
      <c r="L10210" t="s">
        <v>13794</v>
      </c>
      <c r="M10210" s="161" t="s">
        <v>19994</v>
      </c>
    </row>
    <row r="10211" spans="9:13" x14ac:dyDescent="0.25">
      <c r="I10211" t="s">
        <v>13789</v>
      </c>
      <c r="J10211" s="161" t="s">
        <v>19202</v>
      </c>
      <c r="K10211" t="s">
        <v>19203</v>
      </c>
      <c r="L10211" t="s">
        <v>968</v>
      </c>
      <c r="M10211" s="161" t="s">
        <v>19202</v>
      </c>
    </row>
    <row r="10212" spans="9:13" x14ac:dyDescent="0.25">
      <c r="I10212" t="s">
        <v>13783</v>
      </c>
      <c r="J10212" s="161" t="s">
        <v>19202</v>
      </c>
      <c r="K10212" t="s">
        <v>19203</v>
      </c>
      <c r="L10212" t="s">
        <v>550</v>
      </c>
      <c r="M10212" s="161" t="s">
        <v>19202</v>
      </c>
    </row>
    <row r="10213" spans="9:13" x14ac:dyDescent="0.25">
      <c r="I10213" t="s">
        <v>13780</v>
      </c>
      <c r="J10213" s="161" t="s">
        <v>19202</v>
      </c>
      <c r="K10213" t="s">
        <v>19203</v>
      </c>
      <c r="L10213" t="s">
        <v>13779</v>
      </c>
      <c r="M10213" s="161" t="s">
        <v>19202</v>
      </c>
    </row>
    <row r="10214" spans="9:13" x14ac:dyDescent="0.25">
      <c r="I10214" t="s">
        <v>21107</v>
      </c>
      <c r="J10214" s="161" t="s">
        <v>19994</v>
      </c>
      <c r="K10214" t="s">
        <v>19203</v>
      </c>
      <c r="L10214" t="s">
        <v>185</v>
      </c>
      <c r="M10214" s="161" t="s">
        <v>19994</v>
      </c>
    </row>
    <row r="10215" spans="9:13" x14ac:dyDescent="0.25">
      <c r="I10215" t="s">
        <v>2797</v>
      </c>
      <c r="J10215" s="161" t="s">
        <v>19202</v>
      </c>
      <c r="K10215" t="s">
        <v>19203</v>
      </c>
      <c r="L10215" t="s">
        <v>2796</v>
      </c>
      <c r="M10215" s="161" t="s">
        <v>19202</v>
      </c>
    </row>
    <row r="10216" spans="9:13" x14ac:dyDescent="0.25">
      <c r="I10216" t="s">
        <v>11855</v>
      </c>
      <c r="J10216" s="161" t="s">
        <v>19202</v>
      </c>
      <c r="K10216" t="s">
        <v>19203</v>
      </c>
      <c r="L10216" t="s">
        <v>11854</v>
      </c>
      <c r="M10216" s="161" t="s">
        <v>19202</v>
      </c>
    </row>
    <row r="10217" spans="9:13" x14ac:dyDescent="0.25">
      <c r="I10217" t="s">
        <v>12409</v>
      </c>
      <c r="J10217" s="161" t="s">
        <v>19994</v>
      </c>
      <c r="K10217" t="s">
        <v>19203</v>
      </c>
      <c r="L10217" t="s">
        <v>12408</v>
      </c>
      <c r="M10217" s="161" t="s">
        <v>19994</v>
      </c>
    </row>
    <row r="10218" spans="9:13" x14ac:dyDescent="0.25">
      <c r="I10218" t="s">
        <v>21108</v>
      </c>
      <c r="J10218" s="161" t="s">
        <v>19994</v>
      </c>
      <c r="K10218" t="s">
        <v>19203</v>
      </c>
      <c r="L10218" t="s">
        <v>21109</v>
      </c>
      <c r="M10218" s="161" t="s">
        <v>19994</v>
      </c>
    </row>
    <row r="10219" spans="9:13" x14ac:dyDescent="0.25">
      <c r="I10219" t="s">
        <v>21110</v>
      </c>
      <c r="J10219" s="161" t="s">
        <v>19202</v>
      </c>
      <c r="K10219" t="s">
        <v>19203</v>
      </c>
      <c r="L10219" t="s">
        <v>21111</v>
      </c>
      <c r="M10219" s="161" t="s">
        <v>19202</v>
      </c>
    </row>
    <row r="10220" spans="9:13" x14ac:dyDescent="0.25">
      <c r="I10220" t="s">
        <v>21112</v>
      </c>
      <c r="J10220" s="161" t="s">
        <v>19202</v>
      </c>
      <c r="K10220" t="s">
        <v>19203</v>
      </c>
      <c r="L10220" t="s">
        <v>21113</v>
      </c>
      <c r="M10220" s="161" t="s">
        <v>19202</v>
      </c>
    </row>
    <row r="10221" spans="9:13" x14ac:dyDescent="0.25">
      <c r="I10221" t="s">
        <v>21114</v>
      </c>
      <c r="J10221" s="161" t="s">
        <v>19994</v>
      </c>
      <c r="K10221" t="s">
        <v>19203</v>
      </c>
      <c r="L10221" t="s">
        <v>21115</v>
      </c>
      <c r="M10221" s="161" t="s">
        <v>19994</v>
      </c>
    </row>
    <row r="10222" spans="9:13" x14ac:dyDescent="0.25">
      <c r="I10222" t="s">
        <v>2256</v>
      </c>
      <c r="J10222" s="161" t="s">
        <v>19994</v>
      </c>
      <c r="K10222" t="s">
        <v>19203</v>
      </c>
      <c r="L10222" t="s">
        <v>2255</v>
      </c>
      <c r="M10222" s="161" t="s">
        <v>19994</v>
      </c>
    </row>
    <row r="10223" spans="9:13" x14ac:dyDescent="0.25">
      <c r="I10223" t="s">
        <v>908</v>
      </c>
      <c r="J10223" s="161" t="s">
        <v>19994</v>
      </c>
      <c r="K10223" t="s">
        <v>19203</v>
      </c>
      <c r="L10223" t="s">
        <v>907</v>
      </c>
      <c r="M10223" s="161" t="s">
        <v>19994</v>
      </c>
    </row>
    <row r="10224" spans="9:13" x14ac:dyDescent="0.25">
      <c r="I10224" t="s">
        <v>906</v>
      </c>
      <c r="J10224" s="161" t="s">
        <v>19994</v>
      </c>
      <c r="K10224" t="s">
        <v>19203</v>
      </c>
      <c r="L10224" t="s">
        <v>905</v>
      </c>
      <c r="M10224" s="161" t="s">
        <v>19994</v>
      </c>
    </row>
    <row r="10225" spans="9:13" x14ac:dyDescent="0.25">
      <c r="I10225" t="s">
        <v>21116</v>
      </c>
      <c r="J10225" s="161" t="s">
        <v>19202</v>
      </c>
      <c r="K10225" t="s">
        <v>19203</v>
      </c>
      <c r="L10225" t="s">
        <v>21117</v>
      </c>
      <c r="M10225" s="161" t="s">
        <v>19202</v>
      </c>
    </row>
    <row r="10226" spans="9:13" x14ac:dyDescent="0.25">
      <c r="I10226" t="s">
        <v>2431</v>
      </c>
      <c r="J10226" s="161" t="s">
        <v>19202</v>
      </c>
      <c r="K10226" t="s">
        <v>19203</v>
      </c>
      <c r="L10226" t="s">
        <v>2430</v>
      </c>
      <c r="M10226" s="161" t="s">
        <v>19202</v>
      </c>
    </row>
    <row r="10227" spans="9:13" x14ac:dyDescent="0.25">
      <c r="I10227" t="s">
        <v>2425</v>
      </c>
      <c r="J10227" s="161" t="s">
        <v>19202</v>
      </c>
      <c r="K10227" t="s">
        <v>19203</v>
      </c>
      <c r="L10227" t="s">
        <v>2424</v>
      </c>
      <c r="M10227" s="161" t="s">
        <v>19202</v>
      </c>
    </row>
    <row r="10228" spans="9:13" x14ac:dyDescent="0.25">
      <c r="I10228" t="s">
        <v>21118</v>
      </c>
      <c r="J10228" s="161" t="s">
        <v>19202</v>
      </c>
      <c r="K10228" t="s">
        <v>19203</v>
      </c>
      <c r="L10228" t="s">
        <v>21119</v>
      </c>
      <c r="M10228" s="161" t="s">
        <v>19202</v>
      </c>
    </row>
    <row r="10229" spans="9:13" x14ac:dyDescent="0.25">
      <c r="I10229" t="s">
        <v>21120</v>
      </c>
      <c r="J10229" s="161" t="s">
        <v>19994</v>
      </c>
      <c r="K10229" t="s">
        <v>19203</v>
      </c>
      <c r="L10229" t="s">
        <v>21121</v>
      </c>
      <c r="M10229" s="161" t="s">
        <v>19994</v>
      </c>
    </row>
    <row r="10230" spans="9:13" x14ac:dyDescent="0.25">
      <c r="I10230" t="s">
        <v>10324</v>
      </c>
      <c r="J10230" s="161" t="s">
        <v>19202</v>
      </c>
      <c r="K10230" t="s">
        <v>19203</v>
      </c>
      <c r="L10230" t="s">
        <v>10323</v>
      </c>
      <c r="M10230" s="161" t="s">
        <v>19202</v>
      </c>
    </row>
    <row r="10231" spans="9:13" x14ac:dyDescent="0.25">
      <c r="I10231" t="s">
        <v>21122</v>
      </c>
      <c r="J10231" s="161" t="s">
        <v>19994</v>
      </c>
      <c r="K10231" t="s">
        <v>19203</v>
      </c>
      <c r="L10231" t="s">
        <v>6241</v>
      </c>
      <c r="M10231" s="161" t="s">
        <v>19994</v>
      </c>
    </row>
    <row r="10232" spans="9:13" x14ac:dyDescent="0.25">
      <c r="I10232" t="s">
        <v>11444</v>
      </c>
      <c r="J10232" s="161" t="s">
        <v>19994</v>
      </c>
      <c r="K10232" t="s">
        <v>19203</v>
      </c>
      <c r="L10232" t="s">
        <v>11443</v>
      </c>
      <c r="M10232" s="161" t="s">
        <v>19994</v>
      </c>
    </row>
    <row r="10233" spans="9:13" x14ac:dyDescent="0.25">
      <c r="I10233" t="s">
        <v>21123</v>
      </c>
      <c r="J10233" s="161" t="s">
        <v>19994</v>
      </c>
      <c r="K10233" t="s">
        <v>19203</v>
      </c>
      <c r="L10233" t="s">
        <v>21124</v>
      </c>
      <c r="M10233" s="161" t="s">
        <v>19994</v>
      </c>
    </row>
    <row r="10234" spans="9:13" x14ac:dyDescent="0.25">
      <c r="I10234" t="s">
        <v>2741</v>
      </c>
      <c r="J10234" s="161" t="s">
        <v>19994</v>
      </c>
      <c r="K10234" t="s">
        <v>19203</v>
      </c>
      <c r="L10234" t="s">
        <v>2740</v>
      </c>
      <c r="M10234" s="161" t="s">
        <v>19994</v>
      </c>
    </row>
    <row r="10235" spans="9:13" x14ac:dyDescent="0.25">
      <c r="I10235" t="s">
        <v>3149</v>
      </c>
      <c r="J10235" s="161" t="s">
        <v>19202</v>
      </c>
      <c r="K10235" t="s">
        <v>19203</v>
      </c>
      <c r="L10235" t="s">
        <v>3148</v>
      </c>
      <c r="M10235" s="161" t="s">
        <v>19202</v>
      </c>
    </row>
    <row r="10236" spans="9:13" x14ac:dyDescent="0.25">
      <c r="I10236" t="s">
        <v>17090</v>
      </c>
      <c r="J10236" s="161" t="s">
        <v>19994</v>
      </c>
      <c r="K10236" t="s">
        <v>19203</v>
      </c>
      <c r="L10236" t="s">
        <v>17089</v>
      </c>
      <c r="M10236" s="161" t="s">
        <v>19994</v>
      </c>
    </row>
    <row r="10237" spans="9:13" x14ac:dyDescent="0.25">
      <c r="I10237" t="s">
        <v>15188</v>
      </c>
      <c r="J10237" s="161" t="s">
        <v>19994</v>
      </c>
      <c r="K10237" t="s">
        <v>19203</v>
      </c>
      <c r="L10237" t="s">
        <v>15187</v>
      </c>
      <c r="M10237" s="161" t="s">
        <v>19994</v>
      </c>
    </row>
    <row r="10238" spans="9:13" x14ac:dyDescent="0.25">
      <c r="I10238" t="s">
        <v>21125</v>
      </c>
      <c r="J10238" s="161" t="s">
        <v>19202</v>
      </c>
      <c r="K10238" t="s">
        <v>19203</v>
      </c>
      <c r="L10238" t="s">
        <v>21126</v>
      </c>
      <c r="M10238" s="161" t="s">
        <v>19202</v>
      </c>
    </row>
    <row r="10239" spans="9:13" x14ac:dyDescent="0.25">
      <c r="I10239" t="s">
        <v>12158</v>
      </c>
      <c r="J10239" s="161" t="s">
        <v>19202</v>
      </c>
      <c r="K10239" t="s">
        <v>19203</v>
      </c>
      <c r="L10239" t="s">
        <v>12157</v>
      </c>
      <c r="M10239" s="161" t="s">
        <v>19202</v>
      </c>
    </row>
    <row r="10240" spans="9:13" x14ac:dyDescent="0.25">
      <c r="I10240" t="s">
        <v>16615</v>
      </c>
      <c r="J10240" s="161" t="s">
        <v>19202</v>
      </c>
      <c r="K10240" t="s">
        <v>19203</v>
      </c>
      <c r="L10240" t="s">
        <v>15820</v>
      </c>
      <c r="M10240" s="161" t="s">
        <v>19202</v>
      </c>
    </row>
    <row r="10241" spans="9:13" x14ac:dyDescent="0.25">
      <c r="I10241" t="s">
        <v>15151</v>
      </c>
      <c r="J10241" s="161" t="s">
        <v>19994</v>
      </c>
      <c r="K10241" t="s">
        <v>19203</v>
      </c>
      <c r="L10241" t="s">
        <v>15150</v>
      </c>
      <c r="M10241" s="161" t="s">
        <v>19994</v>
      </c>
    </row>
    <row r="10242" spans="9:13" x14ac:dyDescent="0.25">
      <c r="I10242" t="s">
        <v>15028</v>
      </c>
      <c r="J10242" s="161" t="s">
        <v>19202</v>
      </c>
      <c r="K10242" t="s">
        <v>19203</v>
      </c>
      <c r="L10242" t="s">
        <v>14849</v>
      </c>
      <c r="M10242" s="161" t="s">
        <v>19202</v>
      </c>
    </row>
    <row r="10243" spans="9:13" x14ac:dyDescent="0.25">
      <c r="I10243" t="s">
        <v>21127</v>
      </c>
      <c r="J10243" s="161" t="s">
        <v>19994</v>
      </c>
      <c r="K10243" t="s">
        <v>19203</v>
      </c>
      <c r="L10243" t="s">
        <v>5275</v>
      </c>
      <c r="M10243" s="161" t="s">
        <v>19994</v>
      </c>
    </row>
    <row r="10244" spans="9:13" x14ac:dyDescent="0.25">
      <c r="I10244" t="s">
        <v>21128</v>
      </c>
      <c r="J10244" s="161" t="s">
        <v>19202</v>
      </c>
      <c r="K10244" t="s">
        <v>19203</v>
      </c>
      <c r="L10244" t="s">
        <v>21129</v>
      </c>
      <c r="M10244" s="161" t="s">
        <v>19202</v>
      </c>
    </row>
    <row r="10245" spans="9:13" x14ac:dyDescent="0.25">
      <c r="I10245" t="s">
        <v>21130</v>
      </c>
      <c r="J10245" s="161" t="s">
        <v>19994</v>
      </c>
      <c r="K10245" t="s">
        <v>19203</v>
      </c>
      <c r="L10245" t="s">
        <v>13735</v>
      </c>
      <c r="M10245" s="161" t="s">
        <v>19994</v>
      </c>
    </row>
    <row r="10246" spans="9:13" x14ac:dyDescent="0.25">
      <c r="I10246" t="s">
        <v>15539</v>
      </c>
      <c r="J10246" s="161" t="s">
        <v>19994</v>
      </c>
      <c r="K10246" t="s">
        <v>19203</v>
      </c>
      <c r="L10246" t="s">
        <v>6247</v>
      </c>
      <c r="M10246" s="161" t="s">
        <v>19994</v>
      </c>
    </row>
    <row r="10247" spans="9:13" x14ac:dyDescent="0.25">
      <c r="I10247" t="s">
        <v>5890</v>
      </c>
      <c r="J10247" s="161" t="s">
        <v>19202</v>
      </c>
      <c r="K10247" t="s">
        <v>19203</v>
      </c>
      <c r="L10247" t="s">
        <v>5889</v>
      </c>
      <c r="M10247" s="161" t="s">
        <v>19202</v>
      </c>
    </row>
    <row r="10248" spans="9:13" x14ac:dyDescent="0.25">
      <c r="I10248" t="s">
        <v>8546</v>
      </c>
      <c r="J10248" s="161" t="s">
        <v>19202</v>
      </c>
      <c r="K10248" t="s">
        <v>19203</v>
      </c>
      <c r="L10248" t="s">
        <v>8545</v>
      </c>
      <c r="M10248" s="161" t="s">
        <v>19202</v>
      </c>
    </row>
    <row r="10249" spans="9:13" x14ac:dyDescent="0.25">
      <c r="I10249" t="s">
        <v>21131</v>
      </c>
      <c r="J10249" s="161" t="s">
        <v>19994</v>
      </c>
      <c r="K10249" t="s">
        <v>19203</v>
      </c>
      <c r="L10249" t="s">
        <v>21132</v>
      </c>
      <c r="M10249" s="161" t="s">
        <v>19994</v>
      </c>
    </row>
    <row r="10250" spans="9:13" x14ac:dyDescent="0.25">
      <c r="I10250" t="s">
        <v>21133</v>
      </c>
      <c r="J10250" s="161" t="s">
        <v>19202</v>
      </c>
      <c r="K10250" t="s">
        <v>19203</v>
      </c>
      <c r="L10250" t="s">
        <v>21134</v>
      </c>
      <c r="M10250" s="161" t="s">
        <v>19202</v>
      </c>
    </row>
    <row r="10251" spans="9:13" x14ac:dyDescent="0.25">
      <c r="I10251" t="s">
        <v>2747</v>
      </c>
      <c r="J10251" s="161" t="s">
        <v>19994</v>
      </c>
      <c r="K10251" t="s">
        <v>19203</v>
      </c>
      <c r="L10251" t="s">
        <v>2746</v>
      </c>
      <c r="M10251" s="161" t="s">
        <v>19994</v>
      </c>
    </row>
    <row r="10252" spans="9:13" x14ac:dyDescent="0.25">
      <c r="I10252" t="s">
        <v>21135</v>
      </c>
      <c r="J10252" s="167" t="s">
        <v>19994</v>
      </c>
      <c r="K10252" t="s">
        <v>19203</v>
      </c>
      <c r="L10252" t="s">
        <v>237</v>
      </c>
      <c r="M10252" s="167" t="s">
        <v>19994</v>
      </c>
    </row>
    <row r="10253" spans="9:13" x14ac:dyDescent="0.25">
      <c r="I10253" t="s">
        <v>21136</v>
      </c>
      <c r="J10253" s="161" t="s">
        <v>19994</v>
      </c>
      <c r="K10253" t="s">
        <v>19203</v>
      </c>
      <c r="L10253" t="s">
        <v>21137</v>
      </c>
      <c r="M10253" s="161" t="s">
        <v>19994</v>
      </c>
    </row>
    <row r="10254" spans="9:13" x14ac:dyDescent="0.25">
      <c r="I10254" t="s">
        <v>12081</v>
      </c>
      <c r="J10254" s="161" t="s">
        <v>19994</v>
      </c>
      <c r="K10254" t="s">
        <v>19203</v>
      </c>
      <c r="L10254" t="s">
        <v>12080</v>
      </c>
      <c r="M10254" s="161" t="s">
        <v>19994</v>
      </c>
    </row>
    <row r="10255" spans="9:13" x14ac:dyDescent="0.25">
      <c r="I10255" t="s">
        <v>13928</v>
      </c>
      <c r="J10255" s="161" t="s">
        <v>19994</v>
      </c>
      <c r="K10255" t="s">
        <v>19203</v>
      </c>
      <c r="L10255" t="s">
        <v>656</v>
      </c>
      <c r="M10255" s="161" t="s">
        <v>19994</v>
      </c>
    </row>
    <row r="10256" spans="9:13" x14ac:dyDescent="0.25">
      <c r="I10256" t="s">
        <v>13925</v>
      </c>
      <c r="J10256" s="161" t="s">
        <v>19994</v>
      </c>
      <c r="K10256" t="s">
        <v>19203</v>
      </c>
      <c r="L10256" t="s">
        <v>13924</v>
      </c>
      <c r="M10256" s="161" t="s">
        <v>19994</v>
      </c>
    </row>
    <row r="10257" spans="9:13" x14ac:dyDescent="0.25">
      <c r="I10257" t="s">
        <v>13776</v>
      </c>
      <c r="J10257" s="161" t="s">
        <v>19202</v>
      </c>
      <c r="K10257" t="s">
        <v>19203</v>
      </c>
      <c r="L10257" t="s">
        <v>13775</v>
      </c>
      <c r="M10257" s="161" t="s">
        <v>19202</v>
      </c>
    </row>
    <row r="10258" spans="9:13" x14ac:dyDescent="0.25">
      <c r="I10258" t="s">
        <v>14647</v>
      </c>
      <c r="J10258" s="161" t="s">
        <v>19202</v>
      </c>
      <c r="K10258" t="s">
        <v>19203</v>
      </c>
      <c r="L10258" t="s">
        <v>14646</v>
      </c>
      <c r="M10258" s="161" t="s">
        <v>19202</v>
      </c>
    </row>
    <row r="10259" spans="9:13" x14ac:dyDescent="0.25">
      <c r="I10259" t="s">
        <v>17084</v>
      </c>
      <c r="J10259" s="161" t="s">
        <v>19202</v>
      </c>
      <c r="K10259" t="s">
        <v>19203</v>
      </c>
      <c r="L10259" t="s">
        <v>17083</v>
      </c>
      <c r="M10259" s="161" t="s">
        <v>19202</v>
      </c>
    </row>
    <row r="10260" spans="9:13" x14ac:dyDescent="0.25">
      <c r="I10260" t="s">
        <v>11367</v>
      </c>
      <c r="J10260" s="161" t="s">
        <v>19202</v>
      </c>
      <c r="K10260" t="s">
        <v>19203</v>
      </c>
      <c r="L10260" t="s">
        <v>11366</v>
      </c>
      <c r="M10260" s="161" t="s">
        <v>19202</v>
      </c>
    </row>
    <row r="10261" spans="9:13" x14ac:dyDescent="0.25">
      <c r="I10261" t="s">
        <v>21138</v>
      </c>
      <c r="J10261" s="161" t="s">
        <v>19202</v>
      </c>
      <c r="K10261" t="s">
        <v>19203</v>
      </c>
      <c r="L10261" t="s">
        <v>21139</v>
      </c>
      <c r="M10261" s="161" t="s">
        <v>19202</v>
      </c>
    </row>
    <row r="10262" spans="9:13" x14ac:dyDescent="0.25">
      <c r="I10262" t="s">
        <v>2548</v>
      </c>
      <c r="J10262" s="161" t="s">
        <v>19202</v>
      </c>
      <c r="K10262" t="s">
        <v>19203</v>
      </c>
      <c r="L10262" t="s">
        <v>2547</v>
      </c>
      <c r="M10262" s="161" t="s">
        <v>19202</v>
      </c>
    </row>
    <row r="10263" spans="9:13" x14ac:dyDescent="0.25">
      <c r="I10263" t="s">
        <v>5252</v>
      </c>
      <c r="J10263" s="161" t="s">
        <v>19994</v>
      </c>
      <c r="K10263" t="s">
        <v>19203</v>
      </c>
      <c r="L10263" t="s">
        <v>5251</v>
      </c>
      <c r="M10263" s="161" t="s">
        <v>19994</v>
      </c>
    </row>
    <row r="10264" spans="9:13" x14ac:dyDescent="0.25">
      <c r="I10264" t="s">
        <v>21140</v>
      </c>
      <c r="J10264" s="161" t="s">
        <v>19202</v>
      </c>
      <c r="K10264" t="s">
        <v>19203</v>
      </c>
      <c r="L10264" t="s">
        <v>21141</v>
      </c>
      <c r="M10264" s="161" t="s">
        <v>19202</v>
      </c>
    </row>
    <row r="10265" spans="9:13" x14ac:dyDescent="0.25">
      <c r="I10265" t="s">
        <v>17228</v>
      </c>
      <c r="J10265" s="161" t="s">
        <v>19994</v>
      </c>
      <c r="K10265" t="s">
        <v>19203</v>
      </c>
      <c r="L10265" t="s">
        <v>17227</v>
      </c>
      <c r="M10265" s="161" t="s">
        <v>19994</v>
      </c>
    </row>
    <row r="10266" spans="9:13" x14ac:dyDescent="0.25">
      <c r="I10266" t="s">
        <v>21142</v>
      </c>
      <c r="J10266" s="161" t="s">
        <v>19202</v>
      </c>
      <c r="K10266" t="s">
        <v>19203</v>
      </c>
      <c r="L10266" t="s">
        <v>10316</v>
      </c>
      <c r="M10266" s="161" t="s">
        <v>19202</v>
      </c>
    </row>
    <row r="10267" spans="9:13" x14ac:dyDescent="0.25">
      <c r="I10267" t="s">
        <v>21143</v>
      </c>
      <c r="J10267" s="161" t="s">
        <v>19202</v>
      </c>
      <c r="K10267" t="s">
        <v>19203</v>
      </c>
      <c r="L10267" t="s">
        <v>21144</v>
      </c>
      <c r="M10267" s="161" t="s">
        <v>19202</v>
      </c>
    </row>
    <row r="10268" spans="9:13" x14ac:dyDescent="0.25">
      <c r="I10268" t="s">
        <v>14847</v>
      </c>
      <c r="J10268" s="161" t="s">
        <v>19202</v>
      </c>
      <c r="K10268" t="s">
        <v>19203</v>
      </c>
      <c r="L10268" t="s">
        <v>14846</v>
      </c>
      <c r="M10268" s="161" t="s">
        <v>19202</v>
      </c>
    </row>
    <row r="10269" spans="9:13" x14ac:dyDescent="0.25">
      <c r="I10269" t="s">
        <v>11438</v>
      </c>
      <c r="J10269" s="161" t="s">
        <v>19202</v>
      </c>
      <c r="K10269" t="s">
        <v>19203</v>
      </c>
      <c r="L10269" t="s">
        <v>11437</v>
      </c>
      <c r="M10269" s="161" t="s">
        <v>19202</v>
      </c>
    </row>
    <row r="10270" spans="9:13" x14ac:dyDescent="0.25">
      <c r="I10270" t="s">
        <v>6282</v>
      </c>
      <c r="J10270" s="161" t="s">
        <v>19202</v>
      </c>
      <c r="K10270" t="s">
        <v>19203</v>
      </c>
      <c r="L10270" t="s">
        <v>6281</v>
      </c>
      <c r="M10270" s="161" t="s">
        <v>19202</v>
      </c>
    </row>
    <row r="10271" spans="9:13" x14ac:dyDescent="0.25">
      <c r="I10271" t="s">
        <v>21145</v>
      </c>
      <c r="J10271" s="161" t="s">
        <v>19202</v>
      </c>
      <c r="K10271" t="s">
        <v>19203</v>
      </c>
      <c r="L10271" t="s">
        <v>21146</v>
      </c>
      <c r="M10271" s="161" t="s">
        <v>19202</v>
      </c>
    </row>
    <row r="10272" spans="9:13" x14ac:dyDescent="0.25">
      <c r="I10272" t="s">
        <v>21147</v>
      </c>
      <c r="J10272" s="161" t="s">
        <v>19202</v>
      </c>
      <c r="K10272" t="s">
        <v>19203</v>
      </c>
      <c r="L10272" t="s">
        <v>21148</v>
      </c>
      <c r="M10272" s="161" t="s">
        <v>19202</v>
      </c>
    </row>
    <row r="10273" spans="9:13" x14ac:dyDescent="0.25">
      <c r="I10273" t="s">
        <v>10029</v>
      </c>
      <c r="J10273" s="161" t="s">
        <v>19202</v>
      </c>
      <c r="K10273" t="s">
        <v>19203</v>
      </c>
      <c r="L10273" t="s">
        <v>10028</v>
      </c>
      <c r="M10273" s="161" t="s">
        <v>19202</v>
      </c>
    </row>
    <row r="10274" spans="9:13" x14ac:dyDescent="0.25">
      <c r="I10274" t="s">
        <v>11484</v>
      </c>
      <c r="J10274" s="161" t="s">
        <v>19202</v>
      </c>
      <c r="K10274" t="s">
        <v>19203</v>
      </c>
      <c r="L10274" t="s">
        <v>11483</v>
      </c>
      <c r="M10274" s="161" t="s">
        <v>19202</v>
      </c>
    </row>
    <row r="10275" spans="9:13" x14ac:dyDescent="0.25">
      <c r="I10275" t="s">
        <v>6319</v>
      </c>
      <c r="J10275" s="161" t="s">
        <v>19202</v>
      </c>
      <c r="K10275" t="s">
        <v>19203</v>
      </c>
      <c r="L10275" t="s">
        <v>6318</v>
      </c>
      <c r="M10275" s="161" t="s">
        <v>19202</v>
      </c>
    </row>
    <row r="10276" spans="9:13" x14ac:dyDescent="0.25">
      <c r="I10276" t="s">
        <v>8436</v>
      </c>
      <c r="J10276" s="161" t="s">
        <v>19202</v>
      </c>
      <c r="K10276" t="s">
        <v>19203</v>
      </c>
      <c r="L10276" t="s">
        <v>8435</v>
      </c>
      <c r="M10276" s="161" t="s">
        <v>19202</v>
      </c>
    </row>
    <row r="10277" spans="9:13" x14ac:dyDescent="0.25">
      <c r="I10277" t="s">
        <v>7730</v>
      </c>
      <c r="J10277" s="161" t="s">
        <v>19202</v>
      </c>
      <c r="K10277" t="s">
        <v>19203</v>
      </c>
      <c r="L10277" t="s">
        <v>7729</v>
      </c>
      <c r="M10277" s="161" t="s">
        <v>19202</v>
      </c>
    </row>
    <row r="10278" spans="9:13" x14ac:dyDescent="0.25">
      <c r="I10278" t="s">
        <v>6959</v>
      </c>
      <c r="J10278" s="161" t="s">
        <v>19202</v>
      </c>
      <c r="K10278" t="s">
        <v>19203</v>
      </c>
      <c r="L10278" t="s">
        <v>6958</v>
      </c>
      <c r="M10278" s="161" t="s">
        <v>19202</v>
      </c>
    </row>
    <row r="10279" spans="9:13" x14ac:dyDescent="0.25">
      <c r="I10279" t="s">
        <v>21149</v>
      </c>
      <c r="J10279" s="161" t="s">
        <v>19994</v>
      </c>
      <c r="K10279" t="s">
        <v>19203</v>
      </c>
      <c r="L10279" t="s">
        <v>21150</v>
      </c>
      <c r="M10279" s="161" t="s">
        <v>19994</v>
      </c>
    </row>
    <row r="10280" spans="9:13" x14ac:dyDescent="0.25">
      <c r="I10280" t="s">
        <v>21151</v>
      </c>
      <c r="J10280" s="161" t="s">
        <v>19202</v>
      </c>
      <c r="K10280" t="s">
        <v>19203</v>
      </c>
      <c r="L10280" t="s">
        <v>21152</v>
      </c>
      <c r="M10280" s="161" t="s">
        <v>19202</v>
      </c>
    </row>
    <row r="10281" spans="9:13" x14ac:dyDescent="0.25">
      <c r="I10281" t="s">
        <v>15995</v>
      </c>
      <c r="J10281" s="161" t="s">
        <v>19994</v>
      </c>
      <c r="K10281" t="s">
        <v>19203</v>
      </c>
      <c r="L10281" t="s">
        <v>15994</v>
      </c>
      <c r="M10281" s="161" t="s">
        <v>19994</v>
      </c>
    </row>
    <row r="10282" spans="9:13" x14ac:dyDescent="0.25">
      <c r="I10282" t="s">
        <v>14877</v>
      </c>
      <c r="J10282" s="161" t="s">
        <v>19994</v>
      </c>
      <c r="K10282" t="s">
        <v>19203</v>
      </c>
      <c r="L10282" t="s">
        <v>14876</v>
      </c>
      <c r="M10282" s="161" t="s">
        <v>19994</v>
      </c>
    </row>
    <row r="10283" spans="9:13" x14ac:dyDescent="0.25">
      <c r="I10283" t="s">
        <v>5570</v>
      </c>
      <c r="J10283" s="161" t="s">
        <v>19994</v>
      </c>
      <c r="K10283" t="s">
        <v>19203</v>
      </c>
      <c r="L10283" t="s">
        <v>5569</v>
      </c>
      <c r="M10283" s="161" t="s">
        <v>19994</v>
      </c>
    </row>
    <row r="10284" spans="9:13" x14ac:dyDescent="0.25">
      <c r="I10284" t="s">
        <v>5568</v>
      </c>
      <c r="J10284" s="161" t="s">
        <v>19202</v>
      </c>
      <c r="K10284" t="s">
        <v>19203</v>
      </c>
      <c r="L10284" t="s">
        <v>5567</v>
      </c>
      <c r="M10284" s="161" t="s">
        <v>19202</v>
      </c>
    </row>
    <row r="10285" spans="9:13" x14ac:dyDescent="0.25">
      <c r="I10285" t="s">
        <v>14643</v>
      </c>
      <c r="J10285" s="161" t="s">
        <v>19202</v>
      </c>
      <c r="K10285" t="s">
        <v>19203</v>
      </c>
      <c r="L10285" t="s">
        <v>14642</v>
      </c>
      <c r="M10285" s="161" t="s">
        <v>19202</v>
      </c>
    </row>
    <row r="10286" spans="9:13" x14ac:dyDescent="0.25">
      <c r="I10286" t="s">
        <v>10613</v>
      </c>
      <c r="J10286" s="161" t="s">
        <v>19994</v>
      </c>
      <c r="K10286" t="s">
        <v>19203</v>
      </c>
      <c r="L10286" t="s">
        <v>10612</v>
      </c>
      <c r="M10286" s="161" t="s">
        <v>19994</v>
      </c>
    </row>
    <row r="10287" spans="9:13" x14ac:dyDescent="0.25">
      <c r="I10287" t="s">
        <v>2709</v>
      </c>
      <c r="J10287" s="161" t="s">
        <v>19202</v>
      </c>
      <c r="K10287" t="s">
        <v>19203</v>
      </c>
      <c r="L10287" t="s">
        <v>2708</v>
      </c>
      <c r="M10287" s="161" t="s">
        <v>19202</v>
      </c>
    </row>
    <row r="10288" spans="9:13" x14ac:dyDescent="0.25">
      <c r="I10288" t="s">
        <v>2579</v>
      </c>
      <c r="J10288" s="161" t="s">
        <v>19202</v>
      </c>
      <c r="K10288" t="s">
        <v>19203</v>
      </c>
      <c r="L10288" t="s">
        <v>824</v>
      </c>
      <c r="M10288" s="161" t="s">
        <v>19202</v>
      </c>
    </row>
    <row r="10289" spans="9:13" x14ac:dyDescent="0.25">
      <c r="I10289" t="s">
        <v>14500</v>
      </c>
      <c r="J10289" s="161" t="s">
        <v>19202</v>
      </c>
      <c r="K10289" t="s">
        <v>19203</v>
      </c>
      <c r="L10289" t="s">
        <v>14499</v>
      </c>
      <c r="M10289" s="161" t="s">
        <v>19202</v>
      </c>
    </row>
    <row r="10290" spans="9:13" x14ac:dyDescent="0.25">
      <c r="I10290" t="s">
        <v>21153</v>
      </c>
      <c r="J10290" s="161" t="s">
        <v>19202</v>
      </c>
      <c r="K10290" t="s">
        <v>19203</v>
      </c>
      <c r="L10290" t="s">
        <v>12907</v>
      </c>
      <c r="M10290" s="161" t="s">
        <v>19202</v>
      </c>
    </row>
    <row r="10291" spans="9:13" x14ac:dyDescent="0.25">
      <c r="I10291" t="s">
        <v>5523</v>
      </c>
      <c r="J10291" s="161" t="s">
        <v>19994</v>
      </c>
      <c r="K10291" t="s">
        <v>19203</v>
      </c>
      <c r="L10291" t="s">
        <v>5522</v>
      </c>
      <c r="M10291" s="161" t="s">
        <v>19994</v>
      </c>
    </row>
    <row r="10292" spans="9:13" x14ac:dyDescent="0.25">
      <c r="I10292" t="s">
        <v>13774</v>
      </c>
      <c r="J10292" s="161" t="s">
        <v>19994</v>
      </c>
      <c r="K10292" t="s">
        <v>19203</v>
      </c>
      <c r="L10292" t="s">
        <v>13773</v>
      </c>
      <c r="M10292" s="161" t="s">
        <v>19994</v>
      </c>
    </row>
    <row r="10293" spans="9:13" x14ac:dyDescent="0.25">
      <c r="I10293" t="s">
        <v>13767</v>
      </c>
      <c r="J10293" s="161" t="s">
        <v>19994</v>
      </c>
      <c r="K10293" t="s">
        <v>19203</v>
      </c>
      <c r="L10293" t="s">
        <v>13766</v>
      </c>
      <c r="M10293" s="161" t="s">
        <v>19994</v>
      </c>
    </row>
    <row r="10294" spans="9:13" x14ac:dyDescent="0.25">
      <c r="I10294" t="s">
        <v>21154</v>
      </c>
      <c r="J10294" s="161" t="s">
        <v>19202</v>
      </c>
      <c r="K10294" t="s">
        <v>19203</v>
      </c>
      <c r="L10294" t="s">
        <v>21155</v>
      </c>
      <c r="M10294" s="161" t="s">
        <v>19202</v>
      </c>
    </row>
    <row r="10295" spans="9:13" x14ac:dyDescent="0.25">
      <c r="I10295" t="s">
        <v>14875</v>
      </c>
      <c r="J10295" s="161" t="s">
        <v>19202</v>
      </c>
      <c r="K10295" t="s">
        <v>19203</v>
      </c>
      <c r="L10295" t="s">
        <v>14874</v>
      </c>
      <c r="M10295" s="161" t="s">
        <v>19202</v>
      </c>
    </row>
    <row r="10296" spans="9:13" x14ac:dyDescent="0.25">
      <c r="I10296" t="s">
        <v>21156</v>
      </c>
      <c r="J10296" s="161" t="s">
        <v>19202</v>
      </c>
      <c r="K10296" t="s">
        <v>19203</v>
      </c>
      <c r="L10296" t="s">
        <v>21157</v>
      </c>
      <c r="M10296" s="161" t="s">
        <v>19202</v>
      </c>
    </row>
    <row r="10297" spans="9:13" x14ac:dyDescent="0.25">
      <c r="I10297" t="s">
        <v>21158</v>
      </c>
      <c r="J10297" s="161" t="s">
        <v>19202</v>
      </c>
      <c r="K10297" t="s">
        <v>19203</v>
      </c>
      <c r="L10297" t="s">
        <v>21159</v>
      </c>
      <c r="M10297" s="161" t="s">
        <v>19202</v>
      </c>
    </row>
    <row r="10298" spans="9:13" x14ac:dyDescent="0.25">
      <c r="I10298" t="s">
        <v>14879</v>
      </c>
      <c r="J10298" s="161" t="s">
        <v>19994</v>
      </c>
      <c r="K10298" t="s">
        <v>19203</v>
      </c>
      <c r="L10298" t="s">
        <v>14878</v>
      </c>
      <c r="M10298" s="161" t="s">
        <v>19994</v>
      </c>
    </row>
    <row r="10299" spans="9:13" x14ac:dyDescent="0.25">
      <c r="I10299" t="s">
        <v>14845</v>
      </c>
      <c r="J10299" s="161" t="s">
        <v>19202</v>
      </c>
      <c r="K10299" t="s">
        <v>19203</v>
      </c>
      <c r="L10299" t="s">
        <v>14844</v>
      </c>
      <c r="M10299" s="161" t="s">
        <v>19202</v>
      </c>
    </row>
    <row r="10300" spans="9:13" x14ac:dyDescent="0.25">
      <c r="I10300" t="s">
        <v>16124</v>
      </c>
      <c r="J10300" s="161" t="s">
        <v>19994</v>
      </c>
      <c r="K10300" t="s">
        <v>19203</v>
      </c>
      <c r="L10300" t="s">
        <v>16123</v>
      </c>
      <c r="M10300" s="161" t="s">
        <v>19994</v>
      </c>
    </row>
    <row r="10301" spans="9:13" x14ac:dyDescent="0.25">
      <c r="I10301" t="s">
        <v>16122</v>
      </c>
      <c r="J10301" s="161" t="s">
        <v>19994</v>
      </c>
      <c r="K10301" t="s">
        <v>19203</v>
      </c>
      <c r="L10301" t="s">
        <v>1541</v>
      </c>
      <c r="M10301" s="161" t="s">
        <v>19994</v>
      </c>
    </row>
    <row r="10302" spans="9:13" x14ac:dyDescent="0.25">
      <c r="I10302" t="s">
        <v>17132</v>
      </c>
      <c r="J10302" s="161" t="s">
        <v>19994</v>
      </c>
      <c r="K10302" t="s">
        <v>19203</v>
      </c>
      <c r="L10302" t="s">
        <v>17131</v>
      </c>
      <c r="M10302" s="161" t="s">
        <v>19994</v>
      </c>
    </row>
    <row r="10303" spans="9:13" x14ac:dyDescent="0.25">
      <c r="I10303" t="s">
        <v>9689</v>
      </c>
      <c r="J10303" s="161" t="s">
        <v>19994</v>
      </c>
      <c r="K10303" t="s">
        <v>19203</v>
      </c>
      <c r="L10303" t="s">
        <v>9688</v>
      </c>
      <c r="M10303" s="161" t="s">
        <v>19994</v>
      </c>
    </row>
    <row r="10304" spans="9:13" x14ac:dyDescent="0.25">
      <c r="I10304" t="s">
        <v>21160</v>
      </c>
      <c r="J10304" s="161" t="s">
        <v>19202</v>
      </c>
      <c r="K10304" t="s">
        <v>19203</v>
      </c>
      <c r="L10304" t="s">
        <v>21161</v>
      </c>
      <c r="M10304" s="161" t="s">
        <v>19202</v>
      </c>
    </row>
    <row r="10305" spans="9:13" x14ac:dyDescent="0.25">
      <c r="I10305" t="s">
        <v>9210</v>
      </c>
      <c r="J10305" s="161" t="s">
        <v>19202</v>
      </c>
      <c r="K10305" t="s">
        <v>19203</v>
      </c>
      <c r="L10305" t="s">
        <v>9209</v>
      </c>
      <c r="M10305" s="161" t="s">
        <v>19202</v>
      </c>
    </row>
    <row r="10306" spans="9:13" x14ac:dyDescent="0.25">
      <c r="I10306" t="s">
        <v>21162</v>
      </c>
      <c r="J10306" s="161" t="s">
        <v>19202</v>
      </c>
      <c r="K10306" t="s">
        <v>19203</v>
      </c>
      <c r="L10306" t="s">
        <v>21163</v>
      </c>
      <c r="M10306" s="161" t="s">
        <v>19202</v>
      </c>
    </row>
    <row r="10307" spans="9:13" x14ac:dyDescent="0.25">
      <c r="I10307" t="s">
        <v>2781</v>
      </c>
      <c r="J10307" s="161" t="s">
        <v>19202</v>
      </c>
      <c r="K10307" t="s">
        <v>19203</v>
      </c>
      <c r="L10307" t="s">
        <v>2780</v>
      </c>
      <c r="M10307" s="161" t="s">
        <v>19202</v>
      </c>
    </row>
    <row r="10308" spans="9:13" x14ac:dyDescent="0.25">
      <c r="I10308" t="s">
        <v>2779</v>
      </c>
      <c r="J10308" s="161" t="s">
        <v>19202</v>
      </c>
      <c r="K10308" t="s">
        <v>19203</v>
      </c>
      <c r="L10308" t="s">
        <v>2758</v>
      </c>
      <c r="M10308" s="161" t="s">
        <v>19202</v>
      </c>
    </row>
    <row r="10309" spans="9:13" x14ac:dyDescent="0.25">
      <c r="I10309" t="s">
        <v>2770</v>
      </c>
      <c r="J10309" s="161" t="s">
        <v>19202</v>
      </c>
      <c r="K10309" t="s">
        <v>19203</v>
      </c>
      <c r="L10309" t="s">
        <v>2769</v>
      </c>
      <c r="M10309" s="161" t="s">
        <v>19202</v>
      </c>
    </row>
    <row r="10310" spans="9:13" x14ac:dyDescent="0.25">
      <c r="I10310" t="s">
        <v>11253</v>
      </c>
      <c r="J10310" s="161" t="s">
        <v>19994</v>
      </c>
      <c r="K10310" t="s">
        <v>19203</v>
      </c>
      <c r="L10310" t="s">
        <v>11252</v>
      </c>
      <c r="M10310" s="161" t="s">
        <v>19994</v>
      </c>
    </row>
    <row r="10311" spans="9:13" x14ac:dyDescent="0.25">
      <c r="I10311" t="s">
        <v>14935</v>
      </c>
      <c r="J10311" s="161" t="s">
        <v>19994</v>
      </c>
      <c r="K10311" t="s">
        <v>19203</v>
      </c>
      <c r="L10311" t="s">
        <v>14934</v>
      </c>
      <c r="M10311" s="161" t="s">
        <v>19994</v>
      </c>
    </row>
    <row r="10312" spans="9:13" x14ac:dyDescent="0.25">
      <c r="I10312" t="s">
        <v>14883</v>
      </c>
      <c r="J10312" s="161" t="s">
        <v>19994</v>
      </c>
      <c r="K10312" t="s">
        <v>19203</v>
      </c>
      <c r="L10312" t="s">
        <v>14882</v>
      </c>
      <c r="M10312" s="161" t="s">
        <v>19994</v>
      </c>
    </row>
    <row r="10313" spans="9:13" x14ac:dyDescent="0.25">
      <c r="I10313" t="s">
        <v>21164</v>
      </c>
      <c r="J10313" s="161" t="s">
        <v>19994</v>
      </c>
      <c r="K10313" t="s">
        <v>19203</v>
      </c>
      <c r="L10313" t="s">
        <v>21165</v>
      </c>
      <c r="M10313" s="161" t="s">
        <v>19994</v>
      </c>
    </row>
    <row r="10314" spans="9:13" x14ac:dyDescent="0.25">
      <c r="I10314" t="s">
        <v>21166</v>
      </c>
      <c r="J10314" s="161" t="s">
        <v>19994</v>
      </c>
      <c r="K10314" t="s">
        <v>19203</v>
      </c>
      <c r="L10314" t="s">
        <v>21167</v>
      </c>
      <c r="M10314" s="161" t="s">
        <v>19994</v>
      </c>
    </row>
    <row r="10315" spans="9:13" x14ac:dyDescent="0.25">
      <c r="I10315" t="s">
        <v>11482</v>
      </c>
      <c r="J10315" s="161" t="s">
        <v>19202</v>
      </c>
      <c r="K10315" t="s">
        <v>19203</v>
      </c>
      <c r="L10315" t="s">
        <v>11481</v>
      </c>
      <c r="M10315" s="161" t="s">
        <v>19202</v>
      </c>
    </row>
    <row r="10316" spans="9:13" x14ac:dyDescent="0.25">
      <c r="I10316" t="s">
        <v>15149</v>
      </c>
      <c r="J10316" s="161" t="s">
        <v>19994</v>
      </c>
      <c r="K10316" t="s">
        <v>19203</v>
      </c>
      <c r="L10316" t="s">
        <v>6385</v>
      </c>
      <c r="M10316" s="161" t="s">
        <v>19994</v>
      </c>
    </row>
    <row r="10317" spans="9:13" x14ac:dyDescent="0.25">
      <c r="I10317" t="s">
        <v>13975</v>
      </c>
      <c r="J10317" s="161" t="s">
        <v>19202</v>
      </c>
      <c r="K10317" t="s">
        <v>19203</v>
      </c>
      <c r="L10317" t="s">
        <v>13974</v>
      </c>
      <c r="M10317" s="161" t="s">
        <v>19202</v>
      </c>
    </row>
    <row r="10318" spans="9:13" x14ac:dyDescent="0.25">
      <c r="I10318" t="s">
        <v>10068</v>
      </c>
      <c r="J10318" s="161" t="s">
        <v>19203</v>
      </c>
      <c r="K10318" t="s">
        <v>19203</v>
      </c>
      <c r="L10318" t="s">
        <v>10067</v>
      </c>
      <c r="M10318" s="161" t="s">
        <v>19203</v>
      </c>
    </row>
    <row r="10319" spans="9:13" x14ac:dyDescent="0.25">
      <c r="I10319" t="s">
        <v>2723</v>
      </c>
      <c r="J10319" s="161" t="s">
        <v>19994</v>
      </c>
      <c r="K10319" t="s">
        <v>19203</v>
      </c>
      <c r="L10319" t="s">
        <v>2722</v>
      </c>
      <c r="M10319" s="161" t="s">
        <v>19994</v>
      </c>
    </row>
    <row r="10320" spans="9:13" x14ac:dyDescent="0.25">
      <c r="I10320" t="s">
        <v>21168</v>
      </c>
      <c r="J10320" s="161" t="s">
        <v>19202</v>
      </c>
      <c r="K10320" t="s">
        <v>19203</v>
      </c>
      <c r="L10320" t="s">
        <v>21169</v>
      </c>
      <c r="M10320" s="161" t="s">
        <v>19202</v>
      </c>
    </row>
    <row r="10321" spans="9:13" x14ac:dyDescent="0.25">
      <c r="I10321" t="s">
        <v>16988</v>
      </c>
      <c r="J10321" s="161" t="s">
        <v>19994</v>
      </c>
      <c r="K10321" t="s">
        <v>19203</v>
      </c>
      <c r="L10321" t="s">
        <v>331</v>
      </c>
      <c r="M10321" s="161" t="s">
        <v>19994</v>
      </c>
    </row>
    <row r="10322" spans="9:13" x14ac:dyDescent="0.25">
      <c r="I10322" t="s">
        <v>16125</v>
      </c>
      <c r="J10322" s="161" t="s">
        <v>19202</v>
      </c>
      <c r="K10322" t="s">
        <v>19203</v>
      </c>
      <c r="L10322" t="s">
        <v>3266</v>
      </c>
      <c r="M10322" s="161" t="s">
        <v>19202</v>
      </c>
    </row>
    <row r="10323" spans="9:13" x14ac:dyDescent="0.25">
      <c r="I10323" t="s">
        <v>6221</v>
      </c>
      <c r="J10323" s="161" t="s">
        <v>19994</v>
      </c>
      <c r="K10323" t="s">
        <v>19203</v>
      </c>
      <c r="L10323" t="s">
        <v>6220</v>
      </c>
      <c r="M10323" s="161" t="s">
        <v>19994</v>
      </c>
    </row>
    <row r="10324" spans="9:13" x14ac:dyDescent="0.25">
      <c r="I10324" t="s">
        <v>13927</v>
      </c>
      <c r="J10324" s="161" t="s">
        <v>19994</v>
      </c>
      <c r="K10324" t="s">
        <v>19203</v>
      </c>
      <c r="L10324" t="s">
        <v>13926</v>
      </c>
      <c r="M10324" s="161" t="s">
        <v>19994</v>
      </c>
    </row>
    <row r="10325" spans="9:13" x14ac:dyDescent="0.25">
      <c r="I10325" t="s">
        <v>21170</v>
      </c>
      <c r="J10325" s="161" t="s">
        <v>19202</v>
      </c>
      <c r="K10325" t="s">
        <v>19203</v>
      </c>
      <c r="L10325" t="s">
        <v>1546</v>
      </c>
      <c r="M10325" s="161" t="s">
        <v>19202</v>
      </c>
    </row>
    <row r="10326" spans="9:13" x14ac:dyDescent="0.25">
      <c r="I10326" t="s">
        <v>21171</v>
      </c>
      <c r="J10326" s="161" t="s">
        <v>19994</v>
      </c>
      <c r="K10326" t="s">
        <v>19203</v>
      </c>
      <c r="L10326" t="s">
        <v>21172</v>
      </c>
      <c r="M10326" s="161" t="s">
        <v>19994</v>
      </c>
    </row>
    <row r="10327" spans="9:13" x14ac:dyDescent="0.25">
      <c r="I10327" t="s">
        <v>2624</v>
      </c>
      <c r="J10327" s="161" t="s">
        <v>19994</v>
      </c>
      <c r="K10327" t="s">
        <v>19203</v>
      </c>
      <c r="L10327" t="s">
        <v>2623</v>
      </c>
      <c r="M10327" s="161" t="s">
        <v>19994</v>
      </c>
    </row>
    <row r="10328" spans="9:13" x14ac:dyDescent="0.25">
      <c r="I10328" t="s">
        <v>2144</v>
      </c>
      <c r="J10328" s="161" t="s">
        <v>19994</v>
      </c>
      <c r="K10328" t="s">
        <v>19203</v>
      </c>
      <c r="L10328" t="s">
        <v>2143</v>
      </c>
      <c r="M10328" s="161" t="s">
        <v>19994</v>
      </c>
    </row>
    <row r="10329" spans="9:13" x14ac:dyDescent="0.25">
      <c r="I10329" t="s">
        <v>113</v>
      </c>
      <c r="J10329" s="161" t="s">
        <v>19202</v>
      </c>
      <c r="K10329" t="s">
        <v>19203</v>
      </c>
      <c r="L10329" t="s">
        <v>112</v>
      </c>
      <c r="M10329" s="161" t="s">
        <v>19202</v>
      </c>
    </row>
    <row r="10330" spans="9:13" x14ac:dyDescent="0.25">
      <c r="I10330" t="s">
        <v>21173</v>
      </c>
      <c r="J10330" s="161" t="s">
        <v>19202</v>
      </c>
      <c r="K10330" t="s">
        <v>19203</v>
      </c>
      <c r="L10330" t="s">
        <v>21174</v>
      </c>
      <c r="M10330" s="161" t="s">
        <v>19202</v>
      </c>
    </row>
    <row r="10331" spans="9:13" x14ac:dyDescent="0.25">
      <c r="I10331" t="s">
        <v>14881</v>
      </c>
      <c r="J10331" s="161" t="s">
        <v>19994</v>
      </c>
      <c r="K10331" t="s">
        <v>19203</v>
      </c>
      <c r="L10331" t="s">
        <v>14880</v>
      </c>
      <c r="M10331" s="161" t="s">
        <v>19994</v>
      </c>
    </row>
    <row r="10332" spans="9:13" x14ac:dyDescent="0.25">
      <c r="I10332" t="s">
        <v>21175</v>
      </c>
      <c r="J10332" s="161" t="s">
        <v>19202</v>
      </c>
      <c r="K10332" t="s">
        <v>19203</v>
      </c>
      <c r="L10332" t="s">
        <v>21176</v>
      </c>
      <c r="M10332" s="161" t="s">
        <v>19202</v>
      </c>
    </row>
    <row r="10333" spans="9:13" x14ac:dyDescent="0.25">
      <c r="I10333" t="s">
        <v>16565</v>
      </c>
      <c r="J10333" s="161" t="s">
        <v>19994</v>
      </c>
      <c r="K10333" t="s">
        <v>19203</v>
      </c>
      <c r="L10333" t="s">
        <v>16564</v>
      </c>
      <c r="M10333" s="161" t="s">
        <v>19994</v>
      </c>
    </row>
    <row r="10334" spans="9:13" x14ac:dyDescent="0.25">
      <c r="I10334" t="s">
        <v>16563</v>
      </c>
      <c r="J10334" s="161" t="s">
        <v>19994</v>
      </c>
      <c r="K10334" t="s">
        <v>19203</v>
      </c>
      <c r="L10334" t="s">
        <v>16562</v>
      </c>
      <c r="M10334" s="161" t="s">
        <v>19994</v>
      </c>
    </row>
    <row r="10335" spans="9:13" x14ac:dyDescent="0.25">
      <c r="I10335" t="s">
        <v>16355</v>
      </c>
      <c r="J10335" s="161" t="s">
        <v>19994</v>
      </c>
      <c r="K10335" t="s">
        <v>19203</v>
      </c>
      <c r="L10335" t="s">
        <v>16354</v>
      </c>
      <c r="M10335" s="161" t="s">
        <v>19994</v>
      </c>
    </row>
    <row r="10336" spans="9:13" x14ac:dyDescent="0.25">
      <c r="I10336" t="s">
        <v>16164</v>
      </c>
      <c r="J10336" s="161" t="s">
        <v>19202</v>
      </c>
      <c r="K10336" t="s">
        <v>19203</v>
      </c>
      <c r="L10336" t="s">
        <v>16163</v>
      </c>
      <c r="M10336" s="161" t="s">
        <v>19202</v>
      </c>
    </row>
    <row r="10337" spans="9:13" x14ac:dyDescent="0.25">
      <c r="I10337" t="s">
        <v>16160</v>
      </c>
      <c r="J10337" s="161" t="s">
        <v>19202</v>
      </c>
      <c r="K10337" t="s">
        <v>19203</v>
      </c>
      <c r="L10337" t="s">
        <v>13703</v>
      </c>
      <c r="M10337" s="161" t="s">
        <v>19202</v>
      </c>
    </row>
    <row r="10338" spans="9:13" x14ac:dyDescent="0.25">
      <c r="I10338" t="s">
        <v>16127</v>
      </c>
      <c r="J10338" s="161" t="s">
        <v>19994</v>
      </c>
      <c r="K10338" t="s">
        <v>19203</v>
      </c>
      <c r="L10338" t="s">
        <v>16126</v>
      </c>
      <c r="M10338" s="161" t="s">
        <v>19994</v>
      </c>
    </row>
    <row r="10339" spans="9:13" x14ac:dyDescent="0.25">
      <c r="I10339" t="s">
        <v>21177</v>
      </c>
      <c r="J10339" s="161" t="s">
        <v>19994</v>
      </c>
      <c r="K10339" t="s">
        <v>19203</v>
      </c>
      <c r="L10339" t="s">
        <v>934</v>
      </c>
      <c r="M10339" s="161" t="s">
        <v>19994</v>
      </c>
    </row>
    <row r="10340" spans="9:13" x14ac:dyDescent="0.25">
      <c r="I10340" t="s">
        <v>21178</v>
      </c>
      <c r="J10340" s="161" t="s">
        <v>19994</v>
      </c>
      <c r="K10340" t="s">
        <v>19203</v>
      </c>
      <c r="L10340" t="s">
        <v>21179</v>
      </c>
      <c r="M10340" s="161" t="s">
        <v>19994</v>
      </c>
    </row>
    <row r="10341" spans="9:13" x14ac:dyDescent="0.25">
      <c r="I10341" t="s">
        <v>2296</v>
      </c>
      <c r="J10341" s="161" t="s">
        <v>19202</v>
      </c>
      <c r="K10341" t="s">
        <v>19203</v>
      </c>
      <c r="L10341" t="s">
        <v>2295</v>
      </c>
      <c r="M10341" s="161" t="s">
        <v>19202</v>
      </c>
    </row>
    <row r="10342" spans="9:13" x14ac:dyDescent="0.25">
      <c r="I10342" t="s">
        <v>5549</v>
      </c>
      <c r="J10342" s="161" t="s">
        <v>19202</v>
      </c>
      <c r="K10342" t="s">
        <v>19203</v>
      </c>
      <c r="L10342" t="s">
        <v>5548</v>
      </c>
      <c r="M10342" s="161" t="s">
        <v>19202</v>
      </c>
    </row>
    <row r="10343" spans="9:13" x14ac:dyDescent="0.25">
      <c r="I10343" t="s">
        <v>11397</v>
      </c>
      <c r="J10343" s="161" t="s">
        <v>19202</v>
      </c>
      <c r="K10343" t="s">
        <v>19203</v>
      </c>
      <c r="L10343" t="s">
        <v>11396</v>
      </c>
      <c r="M10343" s="161" t="s">
        <v>19202</v>
      </c>
    </row>
    <row r="10344" spans="9:13" x14ac:dyDescent="0.25">
      <c r="I10344" t="s">
        <v>21180</v>
      </c>
      <c r="J10344" s="161" t="s">
        <v>19202</v>
      </c>
      <c r="K10344" t="s">
        <v>19203</v>
      </c>
      <c r="L10344" t="s">
        <v>21181</v>
      </c>
      <c r="M10344" s="161" t="s">
        <v>19202</v>
      </c>
    </row>
    <row r="10345" spans="9:13" x14ac:dyDescent="0.25">
      <c r="I10345" t="s">
        <v>21182</v>
      </c>
      <c r="J10345" s="161" t="s">
        <v>19994</v>
      </c>
      <c r="K10345" t="s">
        <v>19203</v>
      </c>
      <c r="L10345" t="s">
        <v>21183</v>
      </c>
      <c r="M10345" s="161" t="s">
        <v>19994</v>
      </c>
    </row>
    <row r="10346" spans="9:13" x14ac:dyDescent="0.25">
      <c r="I10346" t="s">
        <v>6738</v>
      </c>
      <c r="J10346" s="161" t="s">
        <v>19994</v>
      </c>
      <c r="K10346" t="s">
        <v>19203</v>
      </c>
      <c r="L10346" t="s">
        <v>6737</v>
      </c>
      <c r="M10346" s="161" t="s">
        <v>19994</v>
      </c>
    </row>
    <row r="10347" spans="9:13" x14ac:dyDescent="0.25">
      <c r="I10347" t="s">
        <v>2768</v>
      </c>
      <c r="J10347" s="161" t="s">
        <v>19994</v>
      </c>
      <c r="K10347" t="s">
        <v>19203</v>
      </c>
      <c r="L10347" t="s">
        <v>2767</v>
      </c>
      <c r="M10347" s="161" t="s">
        <v>19994</v>
      </c>
    </row>
    <row r="10348" spans="9:13" x14ac:dyDescent="0.25">
      <c r="I10348" t="s">
        <v>13901</v>
      </c>
      <c r="J10348" s="161" t="s">
        <v>19202</v>
      </c>
      <c r="K10348" t="s">
        <v>19203</v>
      </c>
      <c r="L10348" t="s">
        <v>13900</v>
      </c>
      <c r="M10348" s="161" t="s">
        <v>19202</v>
      </c>
    </row>
    <row r="10349" spans="9:13" x14ac:dyDescent="0.25">
      <c r="I10349" t="s">
        <v>13772</v>
      </c>
      <c r="J10349" s="161" t="s">
        <v>19994</v>
      </c>
      <c r="K10349" t="s">
        <v>19203</v>
      </c>
      <c r="L10349" t="s">
        <v>150</v>
      </c>
      <c r="M10349" s="161" t="s">
        <v>19994</v>
      </c>
    </row>
    <row r="10350" spans="9:13" x14ac:dyDescent="0.25">
      <c r="I10350" t="s">
        <v>13771</v>
      </c>
      <c r="J10350" s="161" t="s">
        <v>19994</v>
      </c>
      <c r="K10350" t="s">
        <v>19203</v>
      </c>
      <c r="L10350" t="s">
        <v>13770</v>
      </c>
      <c r="M10350" s="161" t="s">
        <v>19994</v>
      </c>
    </row>
    <row r="10351" spans="9:13" x14ac:dyDescent="0.25">
      <c r="I10351" t="s">
        <v>2429</v>
      </c>
      <c r="J10351" s="161" t="s">
        <v>19202</v>
      </c>
      <c r="K10351" t="s">
        <v>19203</v>
      </c>
      <c r="L10351" t="s">
        <v>2428</v>
      </c>
      <c r="M10351" s="161" t="s">
        <v>19202</v>
      </c>
    </row>
    <row r="10352" spans="9:13" x14ac:dyDescent="0.25">
      <c r="I10352" t="s">
        <v>21184</v>
      </c>
      <c r="J10352" s="161" t="s">
        <v>19994</v>
      </c>
      <c r="K10352" t="s">
        <v>19203</v>
      </c>
      <c r="L10352" t="s">
        <v>21185</v>
      </c>
      <c r="M10352" s="161" t="s">
        <v>19994</v>
      </c>
    </row>
    <row r="10353" spans="9:13" x14ac:dyDescent="0.25">
      <c r="I10353" t="s">
        <v>13073</v>
      </c>
      <c r="J10353" s="161" t="s">
        <v>19202</v>
      </c>
      <c r="K10353" t="s">
        <v>19203</v>
      </c>
      <c r="L10353" t="s">
        <v>13072</v>
      </c>
      <c r="M10353" s="161" t="s">
        <v>19202</v>
      </c>
    </row>
    <row r="10354" spans="9:13" x14ac:dyDescent="0.25">
      <c r="I10354" t="s">
        <v>10720</v>
      </c>
      <c r="J10354" s="161" t="s">
        <v>19994</v>
      </c>
      <c r="K10354" t="s">
        <v>19203</v>
      </c>
      <c r="L10354" t="s">
        <v>10719</v>
      </c>
      <c r="M10354" s="161" t="s">
        <v>19994</v>
      </c>
    </row>
    <row r="10355" spans="9:13" x14ac:dyDescent="0.25">
      <c r="I10355" t="s">
        <v>599</v>
      </c>
      <c r="J10355" s="161" t="s">
        <v>19994</v>
      </c>
      <c r="K10355" t="s">
        <v>19203</v>
      </c>
      <c r="L10355" t="s">
        <v>598</v>
      </c>
      <c r="M10355" s="161" t="s">
        <v>19994</v>
      </c>
    </row>
    <row r="10356" spans="9:13" x14ac:dyDescent="0.25">
      <c r="I10356" t="s">
        <v>595</v>
      </c>
      <c r="J10356" s="161" t="s">
        <v>19994</v>
      </c>
      <c r="K10356" t="s">
        <v>19203</v>
      </c>
      <c r="L10356" t="s">
        <v>594</v>
      </c>
      <c r="M10356" s="161" t="s">
        <v>19994</v>
      </c>
    </row>
    <row r="10357" spans="9:13" x14ac:dyDescent="0.25">
      <c r="I10357" t="s">
        <v>14148</v>
      </c>
      <c r="J10357" s="161" t="s">
        <v>19202</v>
      </c>
      <c r="K10357" t="s">
        <v>19203</v>
      </c>
      <c r="L10357" t="s">
        <v>463</v>
      </c>
      <c r="M10357" s="161" t="s">
        <v>19202</v>
      </c>
    </row>
    <row r="10358" spans="9:13" x14ac:dyDescent="0.25">
      <c r="I10358" t="s">
        <v>11442</v>
      </c>
      <c r="J10358" s="161" t="s">
        <v>19202</v>
      </c>
      <c r="K10358" t="s">
        <v>19203</v>
      </c>
      <c r="L10358" t="s">
        <v>11441</v>
      </c>
      <c r="M10358" s="161" t="s">
        <v>19202</v>
      </c>
    </row>
    <row r="10359" spans="9:13" x14ac:dyDescent="0.25">
      <c r="I10359" t="s">
        <v>11430</v>
      </c>
      <c r="J10359" s="161" t="s">
        <v>19994</v>
      </c>
      <c r="K10359" t="s">
        <v>19203</v>
      </c>
      <c r="L10359" t="s">
        <v>11429</v>
      </c>
      <c r="M10359" s="161" t="s">
        <v>19994</v>
      </c>
    </row>
    <row r="10360" spans="9:13" x14ac:dyDescent="0.25">
      <c r="I10360" t="s">
        <v>11428</v>
      </c>
      <c r="J10360" s="161" t="s">
        <v>19994</v>
      </c>
      <c r="K10360" t="s">
        <v>19203</v>
      </c>
      <c r="L10360" t="s">
        <v>11427</v>
      </c>
      <c r="M10360" s="161" t="s">
        <v>19994</v>
      </c>
    </row>
    <row r="10361" spans="9:13" x14ac:dyDescent="0.25">
      <c r="I10361" t="s">
        <v>10209</v>
      </c>
      <c r="J10361" s="161" t="s">
        <v>19202</v>
      </c>
      <c r="K10361" t="s">
        <v>19203</v>
      </c>
      <c r="L10361" t="s">
        <v>10208</v>
      </c>
      <c r="M10361" s="161" t="s">
        <v>19202</v>
      </c>
    </row>
    <row r="10362" spans="9:13" x14ac:dyDescent="0.25">
      <c r="I10362" t="s">
        <v>10207</v>
      </c>
      <c r="J10362" s="161" t="s">
        <v>19202</v>
      </c>
      <c r="K10362" t="s">
        <v>19203</v>
      </c>
      <c r="L10362" t="s">
        <v>10206</v>
      </c>
      <c r="M10362" s="161" t="s">
        <v>19202</v>
      </c>
    </row>
    <row r="10363" spans="9:13" x14ac:dyDescent="0.25">
      <c r="I10363" t="s">
        <v>10205</v>
      </c>
      <c r="J10363" s="161" t="s">
        <v>19202</v>
      </c>
      <c r="K10363" t="s">
        <v>19203</v>
      </c>
      <c r="L10363" t="s">
        <v>10204</v>
      </c>
      <c r="M10363" s="161" t="s">
        <v>19202</v>
      </c>
    </row>
    <row r="10364" spans="9:13" x14ac:dyDescent="0.25">
      <c r="I10364" t="s">
        <v>6073</v>
      </c>
      <c r="J10364" s="161" t="s">
        <v>19994</v>
      </c>
      <c r="K10364" t="s">
        <v>19203</v>
      </c>
      <c r="L10364" t="s">
        <v>6072</v>
      </c>
      <c r="M10364" s="161" t="s">
        <v>19994</v>
      </c>
    </row>
    <row r="10365" spans="9:13" x14ac:dyDescent="0.25">
      <c r="I10365" t="s">
        <v>6071</v>
      </c>
      <c r="J10365" s="161" t="s">
        <v>19994</v>
      </c>
      <c r="K10365" t="s">
        <v>19203</v>
      </c>
      <c r="L10365" t="s">
        <v>6070</v>
      </c>
      <c r="M10365" s="161" t="s">
        <v>19994</v>
      </c>
    </row>
    <row r="10366" spans="9:13" x14ac:dyDescent="0.25">
      <c r="I10366" t="s">
        <v>6069</v>
      </c>
      <c r="J10366" s="161" t="s">
        <v>19994</v>
      </c>
      <c r="K10366" t="s">
        <v>19203</v>
      </c>
      <c r="L10366" t="s">
        <v>826</v>
      </c>
      <c r="M10366" s="161" t="s">
        <v>19994</v>
      </c>
    </row>
    <row r="10367" spans="9:13" x14ac:dyDescent="0.25">
      <c r="I10367" t="s">
        <v>6068</v>
      </c>
      <c r="J10367" s="161" t="s">
        <v>19994</v>
      </c>
      <c r="K10367" t="s">
        <v>19203</v>
      </c>
      <c r="L10367" t="s">
        <v>6067</v>
      </c>
      <c r="M10367" s="161" t="s">
        <v>19994</v>
      </c>
    </row>
    <row r="10368" spans="9:13" x14ac:dyDescent="0.25">
      <c r="I10368" t="s">
        <v>21186</v>
      </c>
      <c r="J10368" s="161" t="s">
        <v>19994</v>
      </c>
      <c r="K10368" t="s">
        <v>19203</v>
      </c>
      <c r="L10368" t="s">
        <v>21187</v>
      </c>
      <c r="M10368" s="161" t="s">
        <v>19994</v>
      </c>
    </row>
    <row r="10369" spans="9:13" x14ac:dyDescent="0.25">
      <c r="I10369" t="s">
        <v>21188</v>
      </c>
      <c r="J10369" s="161" t="s">
        <v>19202</v>
      </c>
      <c r="K10369" t="s">
        <v>19203</v>
      </c>
      <c r="L10369" t="s">
        <v>2388</v>
      </c>
      <c r="M10369" s="161" t="s">
        <v>19202</v>
      </c>
    </row>
    <row r="10370" spans="9:13" x14ac:dyDescent="0.25">
      <c r="I10370" t="s">
        <v>4344</v>
      </c>
      <c r="J10370" s="161" t="s">
        <v>19202</v>
      </c>
      <c r="K10370" t="s">
        <v>19203</v>
      </c>
      <c r="L10370" t="s">
        <v>4113</v>
      </c>
      <c r="M10370" s="161" t="s">
        <v>19202</v>
      </c>
    </row>
    <row r="10371" spans="9:13" x14ac:dyDescent="0.25">
      <c r="I10371" t="s">
        <v>5886</v>
      </c>
      <c r="J10371" s="161" t="s">
        <v>19994</v>
      </c>
      <c r="K10371" t="s">
        <v>19203</v>
      </c>
      <c r="L10371" t="s">
        <v>5885</v>
      </c>
      <c r="M10371" s="161" t="s">
        <v>19994</v>
      </c>
    </row>
    <row r="10372" spans="9:13" x14ac:dyDescent="0.25">
      <c r="I10372" t="s">
        <v>21189</v>
      </c>
      <c r="J10372" s="161" t="s">
        <v>19202</v>
      </c>
      <c r="K10372" t="s">
        <v>19203</v>
      </c>
      <c r="L10372" t="s">
        <v>21190</v>
      </c>
      <c r="M10372" s="161" t="s">
        <v>19202</v>
      </c>
    </row>
    <row r="10373" spans="9:13" x14ac:dyDescent="0.25">
      <c r="I10373" t="s">
        <v>11111</v>
      </c>
      <c r="J10373" s="161" t="s">
        <v>19202</v>
      </c>
      <c r="K10373" t="s">
        <v>19203</v>
      </c>
      <c r="L10373" t="s">
        <v>11110</v>
      </c>
      <c r="M10373" s="161" t="s">
        <v>19202</v>
      </c>
    </row>
    <row r="10374" spans="9:13" x14ac:dyDescent="0.25">
      <c r="I10374" t="s">
        <v>10564</v>
      </c>
      <c r="J10374" s="161" t="s">
        <v>19202</v>
      </c>
      <c r="K10374" t="s">
        <v>19203</v>
      </c>
      <c r="L10374" t="s">
        <v>10563</v>
      </c>
      <c r="M10374" s="161" t="s">
        <v>19202</v>
      </c>
    </row>
    <row r="10375" spans="9:13" x14ac:dyDescent="0.25">
      <c r="I10375" t="s">
        <v>5553</v>
      </c>
      <c r="J10375" s="161" t="s">
        <v>19994</v>
      </c>
      <c r="K10375" t="s">
        <v>19203</v>
      </c>
      <c r="L10375" t="s">
        <v>5552</v>
      </c>
      <c r="M10375" s="161" t="s">
        <v>19994</v>
      </c>
    </row>
    <row r="10376" spans="9:13" x14ac:dyDescent="0.25">
      <c r="I10376" t="s">
        <v>15688</v>
      </c>
      <c r="J10376" s="161" t="s">
        <v>19994</v>
      </c>
      <c r="K10376" t="s">
        <v>19203</v>
      </c>
      <c r="L10376" t="s">
        <v>15687</v>
      </c>
      <c r="M10376" s="161" t="s">
        <v>19994</v>
      </c>
    </row>
    <row r="10377" spans="9:13" x14ac:dyDescent="0.25">
      <c r="I10377" t="s">
        <v>4772</v>
      </c>
      <c r="J10377" s="161" t="s">
        <v>19994</v>
      </c>
      <c r="K10377" t="s">
        <v>19203</v>
      </c>
      <c r="L10377" t="s">
        <v>3888</v>
      </c>
      <c r="M10377" s="161" t="s">
        <v>19994</v>
      </c>
    </row>
    <row r="10378" spans="9:13" x14ac:dyDescent="0.25">
      <c r="I10378" t="s">
        <v>659</v>
      </c>
      <c r="J10378" s="161" t="s">
        <v>19994</v>
      </c>
      <c r="K10378" t="s">
        <v>19203</v>
      </c>
      <c r="L10378" t="s">
        <v>658</v>
      </c>
      <c r="M10378" s="161" t="s">
        <v>19994</v>
      </c>
    </row>
    <row r="10379" spans="9:13" x14ac:dyDescent="0.25">
      <c r="I10379" t="s">
        <v>597</v>
      </c>
      <c r="J10379" s="161" t="s">
        <v>19202</v>
      </c>
      <c r="K10379" t="s">
        <v>19203</v>
      </c>
      <c r="L10379" t="s">
        <v>596</v>
      </c>
      <c r="M10379" s="161" t="s">
        <v>19202</v>
      </c>
    </row>
    <row r="10380" spans="9:13" x14ac:dyDescent="0.25">
      <c r="I10380" t="s">
        <v>434</v>
      </c>
      <c r="J10380" s="161" t="s">
        <v>19994</v>
      </c>
      <c r="K10380" t="s">
        <v>19203</v>
      </c>
      <c r="L10380" t="s">
        <v>433</v>
      </c>
      <c r="M10380" s="161" t="s">
        <v>19994</v>
      </c>
    </row>
    <row r="10381" spans="9:13" x14ac:dyDescent="0.25">
      <c r="I10381" t="s">
        <v>21191</v>
      </c>
      <c r="J10381" s="161" t="s">
        <v>19202</v>
      </c>
      <c r="K10381" t="s">
        <v>19203</v>
      </c>
      <c r="L10381" t="s">
        <v>21192</v>
      </c>
      <c r="M10381" s="161" t="s">
        <v>19202</v>
      </c>
    </row>
    <row r="10382" spans="9:13" x14ac:dyDescent="0.25">
      <c r="I10382" t="s">
        <v>8166</v>
      </c>
      <c r="J10382" s="161" t="s">
        <v>19202</v>
      </c>
      <c r="K10382" t="s">
        <v>19203</v>
      </c>
      <c r="L10382" t="s">
        <v>8165</v>
      </c>
      <c r="M10382" s="161" t="s">
        <v>19202</v>
      </c>
    </row>
    <row r="10383" spans="9:13" x14ac:dyDescent="0.25">
      <c r="I10383" t="s">
        <v>7835</v>
      </c>
      <c r="J10383" s="161" t="s">
        <v>19202</v>
      </c>
      <c r="K10383" t="s">
        <v>19203</v>
      </c>
      <c r="L10383" t="s">
        <v>7834</v>
      </c>
      <c r="M10383" s="161" t="s">
        <v>19202</v>
      </c>
    </row>
    <row r="10384" spans="9:13" x14ac:dyDescent="0.25">
      <c r="I10384" t="s">
        <v>7833</v>
      </c>
      <c r="J10384" s="161" t="s">
        <v>19202</v>
      </c>
      <c r="K10384" t="s">
        <v>19203</v>
      </c>
      <c r="L10384" t="s">
        <v>7832</v>
      </c>
      <c r="M10384" s="161" t="s">
        <v>19202</v>
      </c>
    </row>
    <row r="10385" spans="9:13" x14ac:dyDescent="0.25">
      <c r="I10385" t="s">
        <v>6323</v>
      </c>
      <c r="J10385" s="161" t="s">
        <v>19202</v>
      </c>
      <c r="K10385" t="s">
        <v>19203</v>
      </c>
      <c r="L10385" t="s">
        <v>6322</v>
      </c>
      <c r="M10385" s="161" t="s">
        <v>19202</v>
      </c>
    </row>
    <row r="10386" spans="9:13" x14ac:dyDescent="0.25">
      <c r="I10386" t="s">
        <v>6321</v>
      </c>
      <c r="J10386" s="161" t="s">
        <v>19202</v>
      </c>
      <c r="K10386" t="s">
        <v>19203</v>
      </c>
      <c r="L10386" t="s">
        <v>6320</v>
      </c>
      <c r="M10386" s="161" t="s">
        <v>19202</v>
      </c>
    </row>
    <row r="10387" spans="9:13" x14ac:dyDescent="0.25">
      <c r="I10387" t="s">
        <v>15993</v>
      </c>
      <c r="J10387" s="161" t="s">
        <v>19994</v>
      </c>
      <c r="K10387" t="s">
        <v>19203</v>
      </c>
      <c r="L10387" t="s">
        <v>4134</v>
      </c>
      <c r="M10387" s="161" t="s">
        <v>19994</v>
      </c>
    </row>
    <row r="10388" spans="9:13" x14ac:dyDescent="0.25">
      <c r="I10388" t="s">
        <v>11432</v>
      </c>
      <c r="J10388" s="161" t="s">
        <v>19994</v>
      </c>
      <c r="K10388" t="s">
        <v>19203</v>
      </c>
      <c r="L10388" t="s">
        <v>11431</v>
      </c>
      <c r="M10388" s="161" t="s">
        <v>19994</v>
      </c>
    </row>
    <row r="10389" spans="9:13" x14ac:dyDescent="0.25">
      <c r="I10389" t="s">
        <v>134</v>
      </c>
      <c r="J10389" s="161" t="s">
        <v>19994</v>
      </c>
      <c r="K10389" t="s">
        <v>19203</v>
      </c>
      <c r="L10389" t="s">
        <v>133</v>
      </c>
      <c r="M10389" s="161" t="s">
        <v>19994</v>
      </c>
    </row>
    <row r="10390" spans="9:13" x14ac:dyDescent="0.25">
      <c r="I10390" t="s">
        <v>4064</v>
      </c>
      <c r="J10390" s="161" t="s">
        <v>19994</v>
      </c>
      <c r="K10390" t="s">
        <v>19203</v>
      </c>
      <c r="L10390" t="s">
        <v>4063</v>
      </c>
      <c r="M10390" s="161" t="s">
        <v>19994</v>
      </c>
    </row>
    <row r="10391" spans="9:13" x14ac:dyDescent="0.25">
      <c r="I10391" t="s">
        <v>21193</v>
      </c>
      <c r="J10391" s="167" t="s">
        <v>19994</v>
      </c>
      <c r="K10391" t="s">
        <v>19203</v>
      </c>
      <c r="L10391" t="s">
        <v>21194</v>
      </c>
      <c r="M10391" s="167" t="s">
        <v>19994</v>
      </c>
    </row>
    <row r="10392" spans="9:13" x14ac:dyDescent="0.25">
      <c r="I10392" t="s">
        <v>13679</v>
      </c>
      <c r="J10392" s="161" t="s">
        <v>19994</v>
      </c>
      <c r="K10392" t="s">
        <v>19203</v>
      </c>
      <c r="L10392" t="s">
        <v>1520</v>
      </c>
      <c r="M10392" s="161" t="s">
        <v>19994</v>
      </c>
    </row>
    <row r="10393" spans="9:13" x14ac:dyDescent="0.25">
      <c r="I10393" t="s">
        <v>21195</v>
      </c>
      <c r="J10393" s="161" t="s">
        <v>19994</v>
      </c>
      <c r="K10393" t="s">
        <v>19203</v>
      </c>
      <c r="L10393" t="s">
        <v>21196</v>
      </c>
      <c r="M10393" s="161" t="s">
        <v>19994</v>
      </c>
    </row>
    <row r="10394" spans="9:13" x14ac:dyDescent="0.25">
      <c r="I10394" t="s">
        <v>14933</v>
      </c>
      <c r="J10394" s="161" t="s">
        <v>19202</v>
      </c>
      <c r="K10394" t="s">
        <v>19203</v>
      </c>
      <c r="L10394" t="s">
        <v>14932</v>
      </c>
      <c r="M10394" s="161" t="s">
        <v>19202</v>
      </c>
    </row>
    <row r="10395" spans="9:13" x14ac:dyDescent="0.25">
      <c r="I10395" t="s">
        <v>3384</v>
      </c>
      <c r="J10395" s="161" t="s">
        <v>19994</v>
      </c>
      <c r="K10395" t="s">
        <v>19203</v>
      </c>
      <c r="L10395" t="s">
        <v>3383</v>
      </c>
      <c r="M10395" s="161" t="s">
        <v>19994</v>
      </c>
    </row>
    <row r="10396" spans="9:13" x14ac:dyDescent="0.25">
      <c r="I10396" t="s">
        <v>507</v>
      </c>
      <c r="J10396" s="161" t="s">
        <v>19202</v>
      </c>
      <c r="K10396" t="s">
        <v>19203</v>
      </c>
      <c r="L10396" t="s">
        <v>506</v>
      </c>
      <c r="M10396" s="161" t="s">
        <v>19202</v>
      </c>
    </row>
    <row r="10397" spans="9:13" x14ac:dyDescent="0.25">
      <c r="I10397" t="s">
        <v>195</v>
      </c>
      <c r="J10397" s="161" t="s">
        <v>19994</v>
      </c>
      <c r="K10397" t="s">
        <v>19203</v>
      </c>
      <c r="L10397" t="s">
        <v>194</v>
      </c>
      <c r="M10397" s="161" t="s">
        <v>19994</v>
      </c>
    </row>
    <row r="10398" spans="9:13" x14ac:dyDescent="0.25">
      <c r="I10398" t="s">
        <v>21197</v>
      </c>
      <c r="J10398" s="161" t="s">
        <v>19202</v>
      </c>
      <c r="K10398" t="s">
        <v>19203</v>
      </c>
      <c r="L10398" t="s">
        <v>21198</v>
      </c>
      <c r="M10398" s="161" t="s">
        <v>19202</v>
      </c>
    </row>
    <row r="10399" spans="9:13" x14ac:dyDescent="0.25">
      <c r="I10399" t="s">
        <v>12115</v>
      </c>
      <c r="J10399" s="161" t="s">
        <v>19202</v>
      </c>
      <c r="K10399" t="s">
        <v>19203</v>
      </c>
      <c r="L10399" t="s">
        <v>12114</v>
      </c>
      <c r="M10399" s="161" t="s">
        <v>19202</v>
      </c>
    </row>
    <row r="10400" spans="9:13" x14ac:dyDescent="0.25">
      <c r="I10400" t="s">
        <v>11963</v>
      </c>
      <c r="J10400" s="161" t="s">
        <v>19202</v>
      </c>
      <c r="K10400" t="s">
        <v>19203</v>
      </c>
      <c r="L10400" t="s">
        <v>11962</v>
      </c>
      <c r="M10400" s="161" t="s">
        <v>19202</v>
      </c>
    </row>
    <row r="10401" spans="9:13" x14ac:dyDescent="0.25">
      <c r="I10401" t="s">
        <v>16659</v>
      </c>
      <c r="J10401" s="161" t="s">
        <v>19994</v>
      </c>
      <c r="K10401" t="s">
        <v>19203</v>
      </c>
      <c r="L10401" t="s">
        <v>15418</v>
      </c>
      <c r="M10401" s="161" t="s">
        <v>19994</v>
      </c>
    </row>
    <row r="10402" spans="9:13" x14ac:dyDescent="0.25">
      <c r="I10402" t="s">
        <v>16162</v>
      </c>
      <c r="J10402" s="161" t="s">
        <v>19202</v>
      </c>
      <c r="K10402" t="s">
        <v>19203</v>
      </c>
      <c r="L10402" t="s">
        <v>16161</v>
      </c>
      <c r="M10402" s="161" t="s">
        <v>19202</v>
      </c>
    </row>
    <row r="10403" spans="9:13" x14ac:dyDescent="0.25">
      <c r="I10403" t="s">
        <v>16084</v>
      </c>
      <c r="J10403" s="161" t="s">
        <v>19994</v>
      </c>
      <c r="K10403" t="s">
        <v>19203</v>
      </c>
      <c r="L10403" t="s">
        <v>16083</v>
      </c>
      <c r="M10403" s="161" t="s">
        <v>19994</v>
      </c>
    </row>
    <row r="10404" spans="9:13" x14ac:dyDescent="0.25">
      <c r="I10404" t="s">
        <v>15148</v>
      </c>
      <c r="J10404" s="161" t="s">
        <v>19994</v>
      </c>
      <c r="K10404" t="s">
        <v>19203</v>
      </c>
      <c r="L10404" t="s">
        <v>15147</v>
      </c>
      <c r="M10404" s="161" t="s">
        <v>19994</v>
      </c>
    </row>
    <row r="10405" spans="9:13" x14ac:dyDescent="0.25">
      <c r="I10405" t="s">
        <v>655</v>
      </c>
      <c r="J10405" s="161" t="s">
        <v>19994</v>
      </c>
      <c r="K10405" t="s">
        <v>19203</v>
      </c>
      <c r="L10405" t="s">
        <v>331</v>
      </c>
      <c r="M10405" s="161" t="s">
        <v>19994</v>
      </c>
    </row>
    <row r="10406" spans="9:13" x14ac:dyDescent="0.25">
      <c r="I10406" t="s">
        <v>650</v>
      </c>
      <c r="J10406" s="161" t="s">
        <v>19202</v>
      </c>
      <c r="K10406" t="s">
        <v>19203</v>
      </c>
      <c r="L10406" t="s">
        <v>649</v>
      </c>
      <c r="M10406" s="161" t="s">
        <v>19202</v>
      </c>
    </row>
    <row r="10407" spans="9:13" x14ac:dyDescent="0.25">
      <c r="I10407" t="s">
        <v>648</v>
      </c>
      <c r="J10407" s="161" t="s">
        <v>19202</v>
      </c>
      <c r="K10407" t="s">
        <v>19203</v>
      </c>
      <c r="L10407" t="s">
        <v>647</v>
      </c>
      <c r="M10407" s="161" t="s">
        <v>19202</v>
      </c>
    </row>
    <row r="10408" spans="9:13" x14ac:dyDescent="0.25">
      <c r="I10408" t="s">
        <v>4258</v>
      </c>
      <c r="J10408" s="161" t="s">
        <v>19994</v>
      </c>
      <c r="K10408" t="s">
        <v>19203</v>
      </c>
      <c r="L10408" t="s">
        <v>4257</v>
      </c>
      <c r="M10408" s="161" t="s">
        <v>19994</v>
      </c>
    </row>
    <row r="10409" spans="9:13" x14ac:dyDescent="0.25">
      <c r="I10409" t="s">
        <v>4594</v>
      </c>
      <c r="J10409" s="161" t="s">
        <v>19994</v>
      </c>
      <c r="K10409" t="s">
        <v>19203</v>
      </c>
      <c r="L10409" t="s">
        <v>4593</v>
      </c>
      <c r="M10409" s="161" t="s">
        <v>19994</v>
      </c>
    </row>
    <row r="10410" spans="9:13" x14ac:dyDescent="0.25">
      <c r="I10410" t="s">
        <v>7837</v>
      </c>
      <c r="J10410" s="161" t="s">
        <v>19202</v>
      </c>
      <c r="K10410" t="s">
        <v>19203</v>
      </c>
      <c r="L10410" t="s">
        <v>7836</v>
      </c>
      <c r="M10410" s="161" t="s">
        <v>19202</v>
      </c>
    </row>
    <row r="10411" spans="9:13" x14ac:dyDescent="0.25">
      <c r="I10411" t="s">
        <v>8434</v>
      </c>
      <c r="J10411" s="161" t="s">
        <v>19994</v>
      </c>
      <c r="K10411" t="s">
        <v>19203</v>
      </c>
      <c r="L10411" t="s">
        <v>8433</v>
      </c>
      <c r="M10411" s="161" t="s">
        <v>19994</v>
      </c>
    </row>
    <row r="10412" spans="9:13" x14ac:dyDescent="0.25">
      <c r="I10412" t="s">
        <v>8164</v>
      </c>
      <c r="J10412" s="161" t="s">
        <v>19994</v>
      </c>
      <c r="K10412" t="s">
        <v>19203</v>
      </c>
      <c r="L10412" t="s">
        <v>8163</v>
      </c>
      <c r="M10412" s="161" t="s">
        <v>19994</v>
      </c>
    </row>
    <row r="10413" spans="9:13" x14ac:dyDescent="0.25">
      <c r="I10413" t="s">
        <v>21199</v>
      </c>
      <c r="J10413" s="161" t="s">
        <v>19202</v>
      </c>
      <c r="K10413" t="s">
        <v>19203</v>
      </c>
      <c r="L10413" t="s">
        <v>4060</v>
      </c>
      <c r="M10413" s="161" t="s">
        <v>19202</v>
      </c>
    </row>
    <row r="10414" spans="9:13" x14ac:dyDescent="0.25">
      <c r="I10414" t="s">
        <v>13769</v>
      </c>
      <c r="J10414" s="161" t="s">
        <v>19994</v>
      </c>
      <c r="K10414" t="s">
        <v>19203</v>
      </c>
      <c r="L10414" t="s">
        <v>13768</v>
      </c>
      <c r="M10414" s="161" t="s">
        <v>19994</v>
      </c>
    </row>
    <row r="10415" spans="9:13" x14ac:dyDescent="0.25">
      <c r="I10415" t="s">
        <v>13765</v>
      </c>
      <c r="J10415" s="161" t="s">
        <v>19994</v>
      </c>
      <c r="K10415" t="s">
        <v>19203</v>
      </c>
      <c r="L10415" t="s">
        <v>13764</v>
      </c>
      <c r="M10415" s="161" t="s">
        <v>19994</v>
      </c>
    </row>
    <row r="10416" spans="9:13" x14ac:dyDescent="0.25">
      <c r="I10416" t="s">
        <v>13763</v>
      </c>
      <c r="J10416" s="161" t="s">
        <v>19994</v>
      </c>
      <c r="K10416" t="s">
        <v>19203</v>
      </c>
      <c r="L10416" t="s">
        <v>6262</v>
      </c>
      <c r="M10416" s="161" t="s">
        <v>19994</v>
      </c>
    </row>
    <row r="10417" spans="9:13" x14ac:dyDescent="0.25">
      <c r="I10417" t="s">
        <v>21200</v>
      </c>
      <c r="J10417" s="161" t="s">
        <v>19202</v>
      </c>
      <c r="K10417" t="s">
        <v>19203</v>
      </c>
      <c r="L10417" t="s">
        <v>21201</v>
      </c>
      <c r="M10417" s="161" t="s">
        <v>19202</v>
      </c>
    </row>
    <row r="10418" spans="9:13" x14ac:dyDescent="0.25">
      <c r="I10418" t="s">
        <v>5547</v>
      </c>
      <c r="J10418" s="161" t="s">
        <v>19202</v>
      </c>
      <c r="K10418" t="s">
        <v>19203</v>
      </c>
      <c r="L10418" t="s">
        <v>5546</v>
      </c>
      <c r="M10418" s="161" t="s">
        <v>19202</v>
      </c>
    </row>
    <row r="10419" spans="9:13" x14ac:dyDescent="0.25">
      <c r="I10419" t="s">
        <v>2785</v>
      </c>
      <c r="J10419" s="161" t="s">
        <v>19202</v>
      </c>
      <c r="K10419" t="s">
        <v>19203</v>
      </c>
      <c r="L10419" t="s">
        <v>2784</v>
      </c>
      <c r="M10419" s="161" t="s">
        <v>19202</v>
      </c>
    </row>
    <row r="10420" spans="9:13" x14ac:dyDescent="0.25">
      <c r="I10420" t="s">
        <v>21202</v>
      </c>
      <c r="J10420" s="161" t="s">
        <v>19994</v>
      </c>
      <c r="K10420" t="s">
        <v>19203</v>
      </c>
      <c r="L10420" t="s">
        <v>21203</v>
      </c>
      <c r="M10420" s="161" t="s">
        <v>19994</v>
      </c>
    </row>
    <row r="10421" spans="9:13" x14ac:dyDescent="0.25">
      <c r="I10421" t="s">
        <v>21204</v>
      </c>
      <c r="J10421" s="161" t="s">
        <v>19202</v>
      </c>
      <c r="K10421" t="s">
        <v>19203</v>
      </c>
      <c r="L10421" t="s">
        <v>21205</v>
      </c>
      <c r="M10421" s="161" t="s">
        <v>19202</v>
      </c>
    </row>
    <row r="10422" spans="9:13" x14ac:dyDescent="0.25">
      <c r="I10422" t="s">
        <v>21206</v>
      </c>
      <c r="J10422" s="161" t="s">
        <v>19202</v>
      </c>
      <c r="K10422" t="s">
        <v>19203</v>
      </c>
      <c r="L10422" t="s">
        <v>3797</v>
      </c>
      <c r="M10422" s="161" t="s">
        <v>19202</v>
      </c>
    </row>
    <row r="10423" spans="9:13" x14ac:dyDescent="0.25">
      <c r="I10423" t="s">
        <v>21207</v>
      </c>
      <c r="J10423" s="161" t="s">
        <v>19202</v>
      </c>
      <c r="K10423" t="s">
        <v>19203</v>
      </c>
      <c r="L10423" t="s">
        <v>13678</v>
      </c>
      <c r="M10423" s="161" t="s">
        <v>19202</v>
      </c>
    </row>
    <row r="10424" spans="9:13" x14ac:dyDescent="0.25">
      <c r="I10424" t="s">
        <v>11436</v>
      </c>
      <c r="J10424" s="161" t="s">
        <v>19994</v>
      </c>
      <c r="K10424" t="s">
        <v>19203</v>
      </c>
      <c r="L10424" t="s">
        <v>11435</v>
      </c>
      <c r="M10424" s="161" t="s">
        <v>19994</v>
      </c>
    </row>
    <row r="10425" spans="9:13" x14ac:dyDescent="0.25">
      <c r="I10425" t="s">
        <v>21208</v>
      </c>
      <c r="J10425" s="161" t="s">
        <v>19994</v>
      </c>
      <c r="K10425" t="s">
        <v>19203</v>
      </c>
      <c r="L10425" t="s">
        <v>21209</v>
      </c>
      <c r="M10425" s="161" t="s">
        <v>19994</v>
      </c>
    </row>
    <row r="10426" spans="9:13" x14ac:dyDescent="0.25">
      <c r="I10426" t="s">
        <v>11422</v>
      </c>
      <c r="J10426" s="161" t="s">
        <v>19994</v>
      </c>
      <c r="K10426" t="s">
        <v>19203</v>
      </c>
      <c r="L10426" t="s">
        <v>11421</v>
      </c>
      <c r="M10426" s="161" t="s">
        <v>19994</v>
      </c>
    </row>
    <row r="10427" spans="9:13" x14ac:dyDescent="0.25">
      <c r="I10427" t="s">
        <v>21210</v>
      </c>
      <c r="J10427" s="161" t="s">
        <v>19202</v>
      </c>
      <c r="K10427" t="s">
        <v>19203</v>
      </c>
      <c r="L10427" t="s">
        <v>11361</v>
      </c>
      <c r="M10427" s="161" t="s">
        <v>19202</v>
      </c>
    </row>
    <row r="10428" spans="9:13" x14ac:dyDescent="0.25">
      <c r="I10428" t="s">
        <v>11318</v>
      </c>
      <c r="J10428" s="161" t="s">
        <v>19994</v>
      </c>
      <c r="K10428" t="s">
        <v>19203</v>
      </c>
      <c r="L10428" t="s">
        <v>11317</v>
      </c>
      <c r="M10428" s="161" t="s">
        <v>19994</v>
      </c>
    </row>
    <row r="10429" spans="9:13" x14ac:dyDescent="0.25">
      <c r="I10429" t="s">
        <v>11314</v>
      </c>
      <c r="J10429" s="161" t="s">
        <v>19994</v>
      </c>
      <c r="K10429" t="s">
        <v>19203</v>
      </c>
      <c r="L10429" t="s">
        <v>11313</v>
      </c>
      <c r="M10429" s="161" t="s">
        <v>19994</v>
      </c>
    </row>
    <row r="10430" spans="9:13" x14ac:dyDescent="0.25">
      <c r="I10430" t="s">
        <v>11312</v>
      </c>
      <c r="J10430" s="161" t="s">
        <v>19994</v>
      </c>
      <c r="K10430" t="s">
        <v>19203</v>
      </c>
      <c r="L10430" t="s">
        <v>11311</v>
      </c>
      <c r="M10430" s="161" t="s">
        <v>19994</v>
      </c>
    </row>
    <row r="10431" spans="9:13" x14ac:dyDescent="0.25">
      <c r="I10431" t="s">
        <v>16656</v>
      </c>
      <c r="J10431" s="161" t="s">
        <v>19994</v>
      </c>
      <c r="K10431" t="s">
        <v>19203</v>
      </c>
      <c r="L10431" t="s">
        <v>5296</v>
      </c>
      <c r="M10431" s="161" t="s">
        <v>19994</v>
      </c>
    </row>
    <row r="10432" spans="9:13" x14ac:dyDescent="0.25">
      <c r="I10432" t="s">
        <v>14840</v>
      </c>
      <c r="J10432" s="161" t="s">
        <v>19994</v>
      </c>
      <c r="K10432" t="s">
        <v>19203</v>
      </c>
      <c r="L10432" t="s">
        <v>14839</v>
      </c>
      <c r="M10432" s="161" t="s">
        <v>19994</v>
      </c>
    </row>
    <row r="10433" spans="9:13" x14ac:dyDescent="0.25">
      <c r="I10433" t="s">
        <v>14838</v>
      </c>
      <c r="J10433" s="161" t="s">
        <v>19994</v>
      </c>
      <c r="K10433" t="s">
        <v>19203</v>
      </c>
      <c r="L10433" t="s">
        <v>14837</v>
      </c>
      <c r="M10433" s="161" t="s">
        <v>19994</v>
      </c>
    </row>
    <row r="10434" spans="9:13" x14ac:dyDescent="0.25">
      <c r="I10434" t="s">
        <v>14836</v>
      </c>
      <c r="J10434" s="161" t="s">
        <v>19994</v>
      </c>
      <c r="K10434" t="s">
        <v>19203</v>
      </c>
      <c r="L10434" t="s">
        <v>13426</v>
      </c>
      <c r="M10434" s="161" t="s">
        <v>19994</v>
      </c>
    </row>
    <row r="10435" spans="9:13" x14ac:dyDescent="0.25">
      <c r="I10435" t="s">
        <v>21211</v>
      </c>
      <c r="J10435" s="161" t="s">
        <v>19994</v>
      </c>
      <c r="K10435" t="s">
        <v>19203</v>
      </c>
      <c r="L10435" t="s">
        <v>21212</v>
      </c>
      <c r="M10435" s="161" t="s">
        <v>19994</v>
      </c>
    </row>
    <row r="10436" spans="9:13" x14ac:dyDescent="0.25">
      <c r="I10436" t="s">
        <v>21213</v>
      </c>
      <c r="J10436" s="161" t="s">
        <v>19994</v>
      </c>
      <c r="K10436" t="s">
        <v>19203</v>
      </c>
      <c r="L10436" t="s">
        <v>21214</v>
      </c>
      <c r="M10436" s="161" t="s">
        <v>19994</v>
      </c>
    </row>
    <row r="10437" spans="9:13" x14ac:dyDescent="0.25">
      <c r="I10437" t="s">
        <v>5384</v>
      </c>
      <c r="J10437" s="161" t="s">
        <v>19994</v>
      </c>
      <c r="K10437" t="s">
        <v>19203</v>
      </c>
      <c r="L10437" t="s">
        <v>5383</v>
      </c>
      <c r="M10437" s="161" t="s">
        <v>19994</v>
      </c>
    </row>
    <row r="10438" spans="9:13" x14ac:dyDescent="0.25">
      <c r="I10438" t="s">
        <v>509</v>
      </c>
      <c r="J10438" s="161" t="s">
        <v>19202</v>
      </c>
      <c r="K10438" t="s">
        <v>19203</v>
      </c>
      <c r="L10438" t="s">
        <v>508</v>
      </c>
      <c r="M10438" s="161" t="s">
        <v>19202</v>
      </c>
    </row>
    <row r="10439" spans="9:13" x14ac:dyDescent="0.25">
      <c r="I10439" t="s">
        <v>657</v>
      </c>
      <c r="J10439" s="161" t="s">
        <v>19994</v>
      </c>
      <c r="K10439" t="s">
        <v>19203</v>
      </c>
      <c r="L10439" t="s">
        <v>656</v>
      </c>
      <c r="M10439" s="161" t="s">
        <v>19994</v>
      </c>
    </row>
    <row r="10440" spans="9:13" x14ac:dyDescent="0.25">
      <c r="I10440" t="s">
        <v>652</v>
      </c>
      <c r="J10440" s="161" t="s">
        <v>19994</v>
      </c>
      <c r="K10440" t="s">
        <v>19203</v>
      </c>
      <c r="L10440" t="s">
        <v>651</v>
      </c>
      <c r="M10440" s="161" t="s">
        <v>19994</v>
      </c>
    </row>
    <row r="10441" spans="9:13" x14ac:dyDescent="0.25">
      <c r="I10441" t="s">
        <v>4374</v>
      </c>
      <c r="J10441" s="161" t="s">
        <v>19994</v>
      </c>
      <c r="K10441" t="s">
        <v>19203</v>
      </c>
      <c r="L10441" t="s">
        <v>4373</v>
      </c>
      <c r="M10441" s="161" t="s">
        <v>19994</v>
      </c>
    </row>
    <row r="10442" spans="9:13" x14ac:dyDescent="0.25">
      <c r="I10442" t="s">
        <v>21215</v>
      </c>
      <c r="J10442" s="161" t="s">
        <v>19202</v>
      </c>
      <c r="K10442" t="s">
        <v>19203</v>
      </c>
      <c r="L10442" t="s">
        <v>21216</v>
      </c>
      <c r="M10442" s="161" t="s">
        <v>19202</v>
      </c>
    </row>
    <row r="10443" spans="9:13" x14ac:dyDescent="0.25">
      <c r="I10443" t="s">
        <v>21217</v>
      </c>
      <c r="J10443" s="161" t="s">
        <v>19202</v>
      </c>
      <c r="K10443" t="s">
        <v>19203</v>
      </c>
      <c r="L10443" t="s">
        <v>21218</v>
      </c>
      <c r="M10443" s="161" t="s">
        <v>19202</v>
      </c>
    </row>
    <row r="10444" spans="9:13" x14ac:dyDescent="0.25">
      <c r="I10444" t="s">
        <v>2778</v>
      </c>
      <c r="J10444" s="161" t="s">
        <v>19202</v>
      </c>
      <c r="K10444" t="s">
        <v>19203</v>
      </c>
      <c r="L10444" t="s">
        <v>2777</v>
      </c>
      <c r="M10444" s="161" t="s">
        <v>19202</v>
      </c>
    </row>
    <row r="10445" spans="9:13" x14ac:dyDescent="0.25">
      <c r="I10445" t="s">
        <v>2772</v>
      </c>
      <c r="J10445" s="161" t="s">
        <v>19202</v>
      </c>
      <c r="K10445" t="s">
        <v>19203</v>
      </c>
      <c r="L10445" t="s">
        <v>2771</v>
      </c>
      <c r="M10445" s="161" t="s">
        <v>19202</v>
      </c>
    </row>
    <row r="10446" spans="9:13" x14ac:dyDescent="0.25">
      <c r="I10446" t="s">
        <v>2764</v>
      </c>
      <c r="J10446" s="161" t="s">
        <v>19994</v>
      </c>
      <c r="K10446" t="s">
        <v>19203</v>
      </c>
      <c r="L10446" t="s">
        <v>2763</v>
      </c>
      <c r="M10446" s="161" t="s">
        <v>19994</v>
      </c>
    </row>
    <row r="10447" spans="9:13" x14ac:dyDescent="0.25">
      <c r="I10447" t="s">
        <v>13075</v>
      </c>
      <c r="J10447" s="161" t="s">
        <v>19202</v>
      </c>
      <c r="K10447" t="s">
        <v>19203</v>
      </c>
      <c r="L10447" t="s">
        <v>13074</v>
      </c>
      <c r="M10447" s="161" t="s">
        <v>19202</v>
      </c>
    </row>
    <row r="10448" spans="9:13" x14ac:dyDescent="0.25">
      <c r="I10448" t="s">
        <v>21219</v>
      </c>
      <c r="J10448" s="161" t="s">
        <v>19202</v>
      </c>
      <c r="K10448" t="s">
        <v>19203</v>
      </c>
      <c r="L10448" t="s">
        <v>21220</v>
      </c>
      <c r="M10448" s="161" t="s">
        <v>19202</v>
      </c>
    </row>
    <row r="10449" spans="9:13" x14ac:dyDescent="0.25">
      <c r="I10449" t="s">
        <v>11480</v>
      </c>
      <c r="J10449" s="161" t="s">
        <v>19994</v>
      </c>
      <c r="K10449" t="s">
        <v>19203</v>
      </c>
      <c r="L10449" t="s">
        <v>11479</v>
      </c>
      <c r="M10449" s="161" t="s">
        <v>19994</v>
      </c>
    </row>
    <row r="10450" spans="9:13" x14ac:dyDescent="0.25">
      <c r="I10450" t="s">
        <v>15992</v>
      </c>
      <c r="J10450" s="161" t="s">
        <v>19994</v>
      </c>
      <c r="K10450" t="s">
        <v>19203</v>
      </c>
      <c r="L10450" t="s">
        <v>15991</v>
      </c>
      <c r="M10450" s="161" t="s">
        <v>19994</v>
      </c>
    </row>
    <row r="10451" spans="9:13" x14ac:dyDescent="0.25">
      <c r="I10451" t="s">
        <v>21221</v>
      </c>
      <c r="J10451" s="161" t="s">
        <v>19994</v>
      </c>
      <c r="K10451" t="s">
        <v>19203</v>
      </c>
      <c r="L10451" t="s">
        <v>13224</v>
      </c>
      <c r="M10451" s="161" t="s">
        <v>19994</v>
      </c>
    </row>
    <row r="10452" spans="9:13" x14ac:dyDescent="0.25">
      <c r="I10452" t="s">
        <v>111</v>
      </c>
      <c r="J10452" s="161" t="s">
        <v>19203</v>
      </c>
      <c r="K10452" t="s">
        <v>19203</v>
      </c>
      <c r="L10452" t="s">
        <v>110</v>
      </c>
      <c r="M10452" s="161" t="s">
        <v>19203</v>
      </c>
    </row>
    <row r="10453" spans="9:13" x14ac:dyDescent="0.25">
      <c r="I10453" t="s">
        <v>6274</v>
      </c>
      <c r="J10453" s="161" t="s">
        <v>19994</v>
      </c>
      <c r="K10453" t="s">
        <v>19203</v>
      </c>
      <c r="L10453" t="s">
        <v>6273</v>
      </c>
      <c r="M10453" s="161" t="s">
        <v>19994</v>
      </c>
    </row>
    <row r="10454" spans="9:13" x14ac:dyDescent="0.25">
      <c r="I10454" t="s">
        <v>6272</v>
      </c>
      <c r="J10454" s="161" t="s">
        <v>19994</v>
      </c>
      <c r="K10454" t="s">
        <v>19203</v>
      </c>
      <c r="L10454" t="s">
        <v>6271</v>
      </c>
      <c r="M10454" s="161" t="s">
        <v>19994</v>
      </c>
    </row>
    <row r="10455" spans="9:13" x14ac:dyDescent="0.25">
      <c r="I10455" t="s">
        <v>17993</v>
      </c>
      <c r="J10455" s="161" t="s">
        <v>19994</v>
      </c>
      <c r="K10455" t="s">
        <v>19203</v>
      </c>
      <c r="L10455" t="s">
        <v>17992</v>
      </c>
      <c r="M10455" s="161" t="s">
        <v>19994</v>
      </c>
    </row>
    <row r="10456" spans="9:13" x14ac:dyDescent="0.25">
      <c r="I10456" t="s">
        <v>13899</v>
      </c>
      <c r="J10456" s="161" t="s">
        <v>19994</v>
      </c>
      <c r="K10456" t="s">
        <v>19203</v>
      </c>
      <c r="L10456" t="s">
        <v>902</v>
      </c>
      <c r="M10456" s="161" t="s">
        <v>19994</v>
      </c>
    </row>
    <row r="10457" spans="9:13" x14ac:dyDescent="0.25">
      <c r="I10457" t="s">
        <v>5836</v>
      </c>
      <c r="J10457" s="161" t="s">
        <v>19202</v>
      </c>
      <c r="K10457" t="s">
        <v>19203</v>
      </c>
      <c r="L10457" t="s">
        <v>5835</v>
      </c>
      <c r="M10457" s="161" t="s">
        <v>19202</v>
      </c>
    </row>
    <row r="10458" spans="9:13" x14ac:dyDescent="0.25">
      <c r="I10458" t="s">
        <v>21222</v>
      </c>
      <c r="J10458" s="161" t="s">
        <v>19202</v>
      </c>
      <c r="K10458" t="s">
        <v>19203</v>
      </c>
      <c r="L10458" t="s">
        <v>14609</v>
      </c>
      <c r="M10458" s="161" t="s">
        <v>19202</v>
      </c>
    </row>
    <row r="10459" spans="9:13" x14ac:dyDescent="0.25">
      <c r="I10459" t="s">
        <v>11420</v>
      </c>
      <c r="J10459" s="161" t="s">
        <v>19202</v>
      </c>
      <c r="K10459" t="s">
        <v>19203</v>
      </c>
      <c r="L10459" t="s">
        <v>11419</v>
      </c>
      <c r="M10459" s="161" t="s">
        <v>19202</v>
      </c>
    </row>
    <row r="10460" spans="9:13" x14ac:dyDescent="0.25">
      <c r="I10460" t="s">
        <v>9522</v>
      </c>
      <c r="J10460" s="161" t="s">
        <v>19202</v>
      </c>
      <c r="K10460" t="s">
        <v>19203</v>
      </c>
      <c r="L10460" t="s">
        <v>9521</v>
      </c>
      <c r="M10460" s="161" t="s">
        <v>19202</v>
      </c>
    </row>
    <row r="10461" spans="9:13" x14ac:dyDescent="0.25">
      <c r="I10461" t="s">
        <v>21223</v>
      </c>
      <c r="J10461" s="161" t="s">
        <v>19202</v>
      </c>
      <c r="K10461" t="s">
        <v>19203</v>
      </c>
      <c r="L10461" t="s">
        <v>21224</v>
      </c>
      <c r="M10461" s="161" t="s">
        <v>19202</v>
      </c>
    </row>
    <row r="10462" spans="9:13" x14ac:dyDescent="0.25">
      <c r="I10462" t="s">
        <v>3388</v>
      </c>
      <c r="J10462" s="161" t="s">
        <v>19994</v>
      </c>
      <c r="K10462" t="s">
        <v>19203</v>
      </c>
      <c r="L10462" t="s">
        <v>3387</v>
      </c>
      <c r="M10462" s="161" t="s">
        <v>19994</v>
      </c>
    </row>
    <row r="10463" spans="9:13" x14ac:dyDescent="0.25">
      <c r="I10463" t="s">
        <v>394</v>
      </c>
      <c r="J10463" s="161" t="s">
        <v>19202</v>
      </c>
      <c r="K10463" t="s">
        <v>19203</v>
      </c>
      <c r="L10463" t="s">
        <v>393</v>
      </c>
      <c r="M10463" s="161" t="s">
        <v>19202</v>
      </c>
    </row>
    <row r="10464" spans="9:13" x14ac:dyDescent="0.25">
      <c r="I10464" t="s">
        <v>21225</v>
      </c>
      <c r="J10464" s="161" t="s">
        <v>19202</v>
      </c>
      <c r="K10464" t="s">
        <v>19203</v>
      </c>
      <c r="L10464" t="s">
        <v>21226</v>
      </c>
      <c r="M10464" s="161" t="s">
        <v>19202</v>
      </c>
    </row>
    <row r="10465" spans="9:13" x14ac:dyDescent="0.25">
      <c r="I10465" t="s">
        <v>132</v>
      </c>
      <c r="J10465" s="161" t="s">
        <v>19994</v>
      </c>
      <c r="K10465" t="s">
        <v>19203</v>
      </c>
      <c r="L10465" t="s">
        <v>131</v>
      </c>
      <c r="M10465" s="161" t="s">
        <v>19994</v>
      </c>
    </row>
    <row r="10466" spans="9:13" x14ac:dyDescent="0.25">
      <c r="I10466" t="s">
        <v>21227</v>
      </c>
      <c r="J10466" s="161" t="s">
        <v>19202</v>
      </c>
      <c r="K10466" t="s">
        <v>19203</v>
      </c>
      <c r="L10466" t="s">
        <v>21228</v>
      </c>
      <c r="M10466" s="161" t="s">
        <v>19202</v>
      </c>
    </row>
    <row r="10467" spans="9:13" x14ac:dyDescent="0.25">
      <c r="I10467" t="s">
        <v>16658</v>
      </c>
      <c r="J10467" s="161" t="s">
        <v>19994</v>
      </c>
      <c r="K10467" t="s">
        <v>19203</v>
      </c>
      <c r="L10467" t="s">
        <v>16657</v>
      </c>
      <c r="M10467" s="161" t="s">
        <v>19994</v>
      </c>
    </row>
    <row r="10468" spans="9:13" x14ac:dyDescent="0.25">
      <c r="I10468" t="s">
        <v>7127</v>
      </c>
      <c r="J10468" s="161" t="s">
        <v>19202</v>
      </c>
      <c r="K10468" t="s">
        <v>19203</v>
      </c>
      <c r="L10468" t="s">
        <v>7126</v>
      </c>
      <c r="M10468" s="161" t="s">
        <v>19202</v>
      </c>
    </row>
    <row r="10469" spans="9:13" x14ac:dyDescent="0.25">
      <c r="I10469" t="s">
        <v>4260</v>
      </c>
      <c r="J10469" s="161" t="s">
        <v>19994</v>
      </c>
      <c r="K10469" t="s">
        <v>19203</v>
      </c>
      <c r="L10469" t="s">
        <v>4259</v>
      </c>
      <c r="M10469" s="161" t="s">
        <v>19994</v>
      </c>
    </row>
    <row r="10470" spans="9:13" x14ac:dyDescent="0.25">
      <c r="I10470" t="s">
        <v>4716</v>
      </c>
      <c r="J10470" s="161" t="s">
        <v>19202</v>
      </c>
      <c r="K10470" t="s">
        <v>19203</v>
      </c>
      <c r="L10470" t="s">
        <v>500</v>
      </c>
      <c r="M10470" s="161" t="s">
        <v>19202</v>
      </c>
    </row>
    <row r="10471" spans="9:13" x14ac:dyDescent="0.25">
      <c r="I10471" t="s">
        <v>8160</v>
      </c>
      <c r="J10471" s="161" t="s">
        <v>19994</v>
      </c>
      <c r="K10471" t="s">
        <v>19203</v>
      </c>
      <c r="L10471" t="s">
        <v>8159</v>
      </c>
      <c r="M10471" s="161" t="s">
        <v>19994</v>
      </c>
    </row>
    <row r="10472" spans="9:13" x14ac:dyDescent="0.25">
      <c r="I10472" t="s">
        <v>8158</v>
      </c>
      <c r="J10472" s="161" t="s">
        <v>19994</v>
      </c>
      <c r="K10472" t="s">
        <v>19203</v>
      </c>
      <c r="L10472" t="s">
        <v>8157</v>
      </c>
      <c r="M10472" s="161" t="s">
        <v>19994</v>
      </c>
    </row>
    <row r="10473" spans="9:13" x14ac:dyDescent="0.25">
      <c r="I10473" t="s">
        <v>8156</v>
      </c>
      <c r="J10473" s="161" t="s">
        <v>19994</v>
      </c>
      <c r="K10473" t="s">
        <v>19203</v>
      </c>
      <c r="L10473" t="s">
        <v>8155</v>
      </c>
      <c r="M10473" s="161" t="s">
        <v>19994</v>
      </c>
    </row>
    <row r="10474" spans="9:13" x14ac:dyDescent="0.25">
      <c r="I10474" t="s">
        <v>7883</v>
      </c>
      <c r="J10474" s="161" t="s">
        <v>19202</v>
      </c>
      <c r="K10474" t="s">
        <v>19203</v>
      </c>
      <c r="L10474" t="s">
        <v>7882</v>
      </c>
      <c r="M10474" s="161" t="s">
        <v>19202</v>
      </c>
    </row>
    <row r="10475" spans="9:13" x14ac:dyDescent="0.25">
      <c r="I10475" t="s">
        <v>13684</v>
      </c>
      <c r="J10475" s="161" t="s">
        <v>19202</v>
      </c>
      <c r="K10475" t="s">
        <v>19203</v>
      </c>
      <c r="L10475" t="s">
        <v>13683</v>
      </c>
      <c r="M10475" s="161" t="s">
        <v>19202</v>
      </c>
    </row>
    <row r="10476" spans="9:13" x14ac:dyDescent="0.25">
      <c r="I10476" t="s">
        <v>6152</v>
      </c>
      <c r="J10476" s="161" t="s">
        <v>19994</v>
      </c>
      <c r="K10476" t="s">
        <v>19203</v>
      </c>
      <c r="L10476" t="s">
        <v>6151</v>
      </c>
      <c r="M10476" s="161" t="s">
        <v>19994</v>
      </c>
    </row>
    <row r="10477" spans="9:13" x14ac:dyDescent="0.25">
      <c r="I10477" t="s">
        <v>3386</v>
      </c>
      <c r="J10477" s="161" t="s">
        <v>19994</v>
      </c>
      <c r="K10477" t="s">
        <v>19203</v>
      </c>
      <c r="L10477" t="s">
        <v>3385</v>
      </c>
      <c r="M10477" s="161" t="s">
        <v>19994</v>
      </c>
    </row>
    <row r="10478" spans="9:13" x14ac:dyDescent="0.25">
      <c r="I10478" t="s">
        <v>21229</v>
      </c>
      <c r="J10478" s="161" t="s">
        <v>19202</v>
      </c>
      <c r="K10478" t="s">
        <v>19203</v>
      </c>
      <c r="L10478" t="s">
        <v>21230</v>
      </c>
      <c r="M10478" s="161" t="s">
        <v>19202</v>
      </c>
    </row>
    <row r="10479" spans="9:13" x14ac:dyDescent="0.25">
      <c r="I10479" t="s">
        <v>11681</v>
      </c>
      <c r="J10479" s="161" t="s">
        <v>19994</v>
      </c>
      <c r="K10479" t="s">
        <v>19203</v>
      </c>
      <c r="L10479" t="s">
        <v>11680</v>
      </c>
      <c r="M10479" s="161" t="s">
        <v>19994</v>
      </c>
    </row>
    <row r="10480" spans="9:13" x14ac:dyDescent="0.25">
      <c r="I10480" t="s">
        <v>14546</v>
      </c>
      <c r="J10480" s="161" t="s">
        <v>19202</v>
      </c>
      <c r="K10480" t="s">
        <v>19203</v>
      </c>
      <c r="L10480" t="s">
        <v>14545</v>
      </c>
      <c r="M10480" s="161" t="s">
        <v>19202</v>
      </c>
    </row>
    <row r="10481" spans="9:13" x14ac:dyDescent="0.25">
      <c r="I10481" t="s">
        <v>14931</v>
      </c>
      <c r="J10481" s="161" t="s">
        <v>19994</v>
      </c>
      <c r="K10481" t="s">
        <v>19203</v>
      </c>
      <c r="L10481" t="s">
        <v>14930</v>
      </c>
      <c r="M10481" s="161" t="s">
        <v>19994</v>
      </c>
    </row>
    <row r="10482" spans="9:13" x14ac:dyDescent="0.25">
      <c r="I10482" t="s">
        <v>21231</v>
      </c>
      <c r="J10482" s="161" t="s">
        <v>19202</v>
      </c>
      <c r="K10482" t="s">
        <v>19203</v>
      </c>
      <c r="L10482" t="s">
        <v>6547</v>
      </c>
      <c r="M10482" s="161" t="s">
        <v>19202</v>
      </c>
    </row>
    <row r="10483" spans="9:13" x14ac:dyDescent="0.25">
      <c r="I10483" t="s">
        <v>5250</v>
      </c>
      <c r="J10483" s="161" t="s">
        <v>19994</v>
      </c>
      <c r="K10483" t="s">
        <v>19203</v>
      </c>
      <c r="L10483" t="s">
        <v>5249</v>
      </c>
      <c r="M10483" s="161" t="s">
        <v>19994</v>
      </c>
    </row>
    <row r="10484" spans="9:13" x14ac:dyDescent="0.25">
      <c r="I10484" t="s">
        <v>21232</v>
      </c>
      <c r="J10484" s="161" t="s">
        <v>19994</v>
      </c>
      <c r="K10484" t="s">
        <v>19203</v>
      </c>
      <c r="L10484" t="s">
        <v>6289</v>
      </c>
      <c r="M10484" s="161" t="s">
        <v>19994</v>
      </c>
    </row>
    <row r="10485" spans="9:13" x14ac:dyDescent="0.25">
      <c r="I10485" t="s">
        <v>21233</v>
      </c>
      <c r="J10485" s="161" t="s">
        <v>19202</v>
      </c>
      <c r="K10485" t="s">
        <v>19203</v>
      </c>
      <c r="L10485" t="s">
        <v>5234</v>
      </c>
      <c r="M10485" s="161" t="s">
        <v>19202</v>
      </c>
    </row>
    <row r="10486" spans="9:13" x14ac:dyDescent="0.25">
      <c r="I10486" t="s">
        <v>16088</v>
      </c>
      <c r="J10486" s="161" t="s">
        <v>19994</v>
      </c>
      <c r="K10486" t="s">
        <v>19203</v>
      </c>
      <c r="L10486" t="s">
        <v>16087</v>
      </c>
      <c r="M10486" s="161" t="s">
        <v>19994</v>
      </c>
    </row>
    <row r="10487" spans="9:13" x14ac:dyDescent="0.25">
      <c r="I10487" t="s">
        <v>16086</v>
      </c>
      <c r="J10487" s="161" t="s">
        <v>19994</v>
      </c>
      <c r="K10487" t="s">
        <v>19203</v>
      </c>
      <c r="L10487" t="s">
        <v>16085</v>
      </c>
      <c r="M10487" s="161" t="s">
        <v>19994</v>
      </c>
    </row>
    <row r="10488" spans="9:13" x14ac:dyDescent="0.25">
      <c r="I10488" t="s">
        <v>14841</v>
      </c>
      <c r="J10488" s="161" t="s">
        <v>19994</v>
      </c>
      <c r="K10488" t="s">
        <v>19203</v>
      </c>
      <c r="L10488" t="s">
        <v>14833</v>
      </c>
      <c r="M10488" s="161" t="s">
        <v>19994</v>
      </c>
    </row>
    <row r="10489" spans="9:13" x14ac:dyDescent="0.25">
      <c r="I10489" t="s">
        <v>16476</v>
      </c>
      <c r="J10489" s="161" t="s">
        <v>19994</v>
      </c>
      <c r="K10489" t="s">
        <v>19203</v>
      </c>
      <c r="L10489" t="s">
        <v>261</v>
      </c>
      <c r="M10489" s="161" t="s">
        <v>19994</v>
      </c>
    </row>
    <row r="10490" spans="9:13" x14ac:dyDescent="0.25">
      <c r="I10490" t="s">
        <v>16473</v>
      </c>
      <c r="J10490" s="161" t="s">
        <v>19994</v>
      </c>
      <c r="K10490" t="s">
        <v>19203</v>
      </c>
      <c r="L10490" t="s">
        <v>16472</v>
      </c>
      <c r="M10490" s="161" t="s">
        <v>19994</v>
      </c>
    </row>
    <row r="10491" spans="9:13" x14ac:dyDescent="0.25">
      <c r="I10491" t="s">
        <v>16475</v>
      </c>
      <c r="J10491" s="161" t="s">
        <v>19994</v>
      </c>
      <c r="K10491" t="s">
        <v>19203</v>
      </c>
      <c r="L10491" t="s">
        <v>16474</v>
      </c>
      <c r="M10491" s="161" t="s">
        <v>19994</v>
      </c>
    </row>
    <row r="10492" spans="9:13" x14ac:dyDescent="0.25">
      <c r="I10492" t="s">
        <v>17938</v>
      </c>
      <c r="J10492" s="161" t="s">
        <v>19994</v>
      </c>
      <c r="K10492" t="s">
        <v>19203</v>
      </c>
      <c r="L10492" t="s">
        <v>1541</v>
      </c>
      <c r="M10492" s="161" t="s">
        <v>19994</v>
      </c>
    </row>
    <row r="10493" spans="9:13" x14ac:dyDescent="0.25">
      <c r="I10493" t="s">
        <v>21234</v>
      </c>
      <c r="J10493" s="161" t="s">
        <v>19994</v>
      </c>
      <c r="K10493" t="s">
        <v>19203</v>
      </c>
      <c r="L10493" t="s">
        <v>21235</v>
      </c>
      <c r="M10493" s="161" t="s">
        <v>19994</v>
      </c>
    </row>
    <row r="10494" spans="9:13" x14ac:dyDescent="0.25">
      <c r="I10494" t="s">
        <v>11418</v>
      </c>
      <c r="J10494" s="161" t="s">
        <v>19994</v>
      </c>
      <c r="K10494" t="s">
        <v>19203</v>
      </c>
      <c r="L10494" t="s">
        <v>11417</v>
      </c>
      <c r="M10494" s="161" t="s">
        <v>19994</v>
      </c>
    </row>
    <row r="10495" spans="9:13" x14ac:dyDescent="0.25">
      <c r="I10495" t="s">
        <v>21236</v>
      </c>
      <c r="J10495" s="161" t="s">
        <v>19202</v>
      </c>
      <c r="K10495" t="s">
        <v>19203</v>
      </c>
      <c r="L10495" t="s">
        <v>21237</v>
      </c>
      <c r="M10495" s="161" t="s">
        <v>19202</v>
      </c>
    </row>
    <row r="10496" spans="9:13" x14ac:dyDescent="0.25">
      <c r="I10496" t="s">
        <v>21238</v>
      </c>
      <c r="J10496" s="161" t="s">
        <v>19202</v>
      </c>
      <c r="K10496" t="s">
        <v>19203</v>
      </c>
      <c r="L10496" t="s">
        <v>21239</v>
      </c>
      <c r="M10496" s="161" t="s">
        <v>19202</v>
      </c>
    </row>
    <row r="10497" spans="9:13" x14ac:dyDescent="0.25">
      <c r="I10497" t="s">
        <v>14784</v>
      </c>
      <c r="J10497" s="161" t="s">
        <v>19202</v>
      </c>
      <c r="K10497" t="s">
        <v>19203</v>
      </c>
      <c r="L10497" t="s">
        <v>14783</v>
      </c>
      <c r="M10497" s="161" t="s">
        <v>19202</v>
      </c>
    </row>
    <row r="10498" spans="9:13" x14ac:dyDescent="0.25">
      <c r="I10498" t="s">
        <v>11365</v>
      </c>
      <c r="J10498" s="161" t="s">
        <v>19994</v>
      </c>
      <c r="K10498" t="s">
        <v>19203</v>
      </c>
      <c r="L10498" t="s">
        <v>11364</v>
      </c>
      <c r="M10498" s="161" t="s">
        <v>19994</v>
      </c>
    </row>
    <row r="10499" spans="9:13" x14ac:dyDescent="0.25">
      <c r="I10499" t="s">
        <v>11322</v>
      </c>
      <c r="J10499" s="161" t="s">
        <v>19994</v>
      </c>
      <c r="K10499" t="s">
        <v>19203</v>
      </c>
      <c r="L10499" t="s">
        <v>11321</v>
      </c>
      <c r="M10499" s="161" t="s">
        <v>19994</v>
      </c>
    </row>
    <row r="10500" spans="9:13" x14ac:dyDescent="0.25">
      <c r="I10500" t="s">
        <v>21240</v>
      </c>
      <c r="J10500" s="161" t="s">
        <v>19994</v>
      </c>
      <c r="K10500" t="s">
        <v>19203</v>
      </c>
      <c r="L10500" t="s">
        <v>21241</v>
      </c>
      <c r="M10500" s="161" t="s">
        <v>19994</v>
      </c>
    </row>
    <row r="10501" spans="9:13" x14ac:dyDescent="0.25">
      <c r="I10501" t="s">
        <v>11999</v>
      </c>
      <c r="J10501" s="161" t="s">
        <v>19202</v>
      </c>
      <c r="K10501" t="s">
        <v>19203</v>
      </c>
      <c r="L10501" t="s">
        <v>11998</v>
      </c>
      <c r="M10501" s="161" t="s">
        <v>19202</v>
      </c>
    </row>
    <row r="10502" spans="9:13" x14ac:dyDescent="0.25">
      <c r="I10502" t="s">
        <v>8162</v>
      </c>
      <c r="J10502" s="161" t="s">
        <v>19994</v>
      </c>
      <c r="K10502" t="s">
        <v>19203</v>
      </c>
      <c r="L10502" t="s">
        <v>8161</v>
      </c>
      <c r="M10502" s="161" t="s">
        <v>19994</v>
      </c>
    </row>
    <row r="10503" spans="9:13" x14ac:dyDescent="0.25">
      <c r="I10503" t="s">
        <v>21242</v>
      </c>
      <c r="J10503" s="161" t="s">
        <v>19202</v>
      </c>
      <c r="K10503" t="s">
        <v>19203</v>
      </c>
      <c r="L10503" t="s">
        <v>21243</v>
      </c>
      <c r="M10503" s="161" t="s">
        <v>19202</v>
      </c>
    </row>
    <row r="10504" spans="9:13" x14ac:dyDescent="0.25">
      <c r="I10504" t="s">
        <v>21244</v>
      </c>
      <c r="J10504" s="161" t="s">
        <v>19994</v>
      </c>
      <c r="K10504" t="s">
        <v>19203</v>
      </c>
      <c r="L10504" t="s">
        <v>21245</v>
      </c>
      <c r="M10504" s="161" t="s">
        <v>19994</v>
      </c>
    </row>
    <row r="10505" spans="9:13" x14ac:dyDescent="0.25">
      <c r="I10505" t="s">
        <v>21246</v>
      </c>
      <c r="J10505" s="161" t="s">
        <v>19202</v>
      </c>
      <c r="K10505" t="s">
        <v>19203</v>
      </c>
      <c r="L10505" t="s">
        <v>21247</v>
      </c>
      <c r="M10505" s="161" t="s">
        <v>19202</v>
      </c>
    </row>
    <row r="10506" spans="9:13" x14ac:dyDescent="0.25">
      <c r="I10506" t="s">
        <v>21248</v>
      </c>
      <c r="J10506" s="161" t="s">
        <v>19994</v>
      </c>
      <c r="K10506" t="s">
        <v>19203</v>
      </c>
      <c r="L10506" t="s">
        <v>21249</v>
      </c>
      <c r="M10506" s="161" t="s">
        <v>19994</v>
      </c>
    </row>
    <row r="10507" spans="9:13" x14ac:dyDescent="0.25">
      <c r="I10507" t="s">
        <v>5566</v>
      </c>
      <c r="J10507" s="161" t="s">
        <v>19994</v>
      </c>
      <c r="K10507" t="s">
        <v>19203</v>
      </c>
      <c r="L10507" t="s">
        <v>5565</v>
      </c>
      <c r="M10507" s="161" t="s">
        <v>19994</v>
      </c>
    </row>
    <row r="10508" spans="9:13" x14ac:dyDescent="0.25">
      <c r="I10508" t="s">
        <v>5564</v>
      </c>
      <c r="J10508" s="161" t="s">
        <v>19994</v>
      </c>
      <c r="K10508" t="s">
        <v>19203</v>
      </c>
      <c r="L10508" t="s">
        <v>5563</v>
      </c>
      <c r="M10508" s="161" t="s">
        <v>19994</v>
      </c>
    </row>
    <row r="10509" spans="9:13" x14ac:dyDescent="0.25">
      <c r="I10509" t="s">
        <v>5578</v>
      </c>
      <c r="J10509" s="161" t="s">
        <v>19994</v>
      </c>
      <c r="K10509" t="s">
        <v>19203</v>
      </c>
      <c r="L10509" t="s">
        <v>5577</v>
      </c>
      <c r="M10509" s="161" t="s">
        <v>19994</v>
      </c>
    </row>
    <row r="10510" spans="9:13" x14ac:dyDescent="0.25">
      <c r="I10510" t="s">
        <v>21250</v>
      </c>
      <c r="J10510" s="161" t="s">
        <v>19202</v>
      </c>
      <c r="K10510" t="s">
        <v>19203</v>
      </c>
      <c r="L10510" t="s">
        <v>21251</v>
      </c>
      <c r="M10510" s="161" t="s">
        <v>19202</v>
      </c>
    </row>
    <row r="10511" spans="9:13" x14ac:dyDescent="0.25">
      <c r="I10511" t="s">
        <v>6388</v>
      </c>
      <c r="J10511" s="161" t="s">
        <v>19994</v>
      </c>
      <c r="K10511" t="s">
        <v>19203</v>
      </c>
      <c r="L10511" t="s">
        <v>6387</v>
      </c>
      <c r="M10511" s="161" t="s">
        <v>19994</v>
      </c>
    </row>
    <row r="10512" spans="9:13" x14ac:dyDescent="0.25">
      <c r="I10512" t="s">
        <v>11893</v>
      </c>
      <c r="J10512" s="161" t="s">
        <v>19202</v>
      </c>
      <c r="K10512" t="s">
        <v>19203</v>
      </c>
      <c r="L10512" t="s">
        <v>11892</v>
      </c>
      <c r="M10512" s="161" t="s">
        <v>19202</v>
      </c>
    </row>
    <row r="10513" spans="9:13" x14ac:dyDescent="0.25">
      <c r="I10513" t="s">
        <v>5576</v>
      </c>
      <c r="J10513" s="161" t="s">
        <v>19994</v>
      </c>
      <c r="K10513" t="s">
        <v>19203</v>
      </c>
      <c r="L10513" t="s">
        <v>5575</v>
      </c>
      <c r="M10513" s="161" t="s">
        <v>19994</v>
      </c>
    </row>
    <row r="10514" spans="9:13" x14ac:dyDescent="0.25">
      <c r="I10514" t="s">
        <v>3604</v>
      </c>
      <c r="J10514" s="161" t="s">
        <v>19994</v>
      </c>
      <c r="K10514" t="s">
        <v>19203</v>
      </c>
      <c r="L10514" t="s">
        <v>3603</v>
      </c>
      <c r="M10514" s="161" t="s">
        <v>19994</v>
      </c>
    </row>
    <row r="10515" spans="9:13" x14ac:dyDescent="0.25">
      <c r="I10515" t="s">
        <v>16033</v>
      </c>
      <c r="J10515" s="161" t="s">
        <v>19994</v>
      </c>
      <c r="K10515" t="s">
        <v>19203</v>
      </c>
      <c r="L10515" t="s">
        <v>1520</v>
      </c>
      <c r="M10515" s="161" t="s">
        <v>19994</v>
      </c>
    </row>
    <row r="10516" spans="9:13" x14ac:dyDescent="0.25">
      <c r="I10516" t="s">
        <v>21252</v>
      </c>
      <c r="J10516" s="161" t="s">
        <v>19994</v>
      </c>
      <c r="K10516" t="s">
        <v>19203</v>
      </c>
      <c r="L10516" t="s">
        <v>21253</v>
      </c>
      <c r="M10516" s="161" t="s">
        <v>19994</v>
      </c>
    </row>
    <row r="10517" spans="9:13" x14ac:dyDescent="0.25">
      <c r="I10517" t="s">
        <v>5888</v>
      </c>
      <c r="J10517" s="161" t="s">
        <v>19994</v>
      </c>
      <c r="K10517" t="s">
        <v>19203</v>
      </c>
      <c r="L10517" t="s">
        <v>5887</v>
      </c>
      <c r="M10517" s="161" t="s">
        <v>19994</v>
      </c>
    </row>
    <row r="10518" spans="9:13" x14ac:dyDescent="0.25">
      <c r="I10518" t="s">
        <v>12001</v>
      </c>
      <c r="J10518" s="161" t="s">
        <v>19994</v>
      </c>
      <c r="K10518" t="s">
        <v>19203</v>
      </c>
      <c r="L10518" t="s">
        <v>12000</v>
      </c>
      <c r="M10518" s="161" t="s">
        <v>19994</v>
      </c>
    </row>
    <row r="10519" spans="9:13" x14ac:dyDescent="0.25">
      <c r="I10519" t="s">
        <v>11476</v>
      </c>
      <c r="J10519" s="161" t="s">
        <v>19994</v>
      </c>
      <c r="K10519" t="s">
        <v>19203</v>
      </c>
      <c r="L10519" t="s">
        <v>11475</v>
      </c>
      <c r="M10519" s="161" t="s">
        <v>19994</v>
      </c>
    </row>
    <row r="10520" spans="9:13" x14ac:dyDescent="0.25">
      <c r="I10520" t="s">
        <v>21254</v>
      </c>
      <c r="J10520" s="161" t="s">
        <v>19994</v>
      </c>
      <c r="K10520" t="s">
        <v>19203</v>
      </c>
      <c r="L10520" t="s">
        <v>21255</v>
      </c>
      <c r="M10520" s="161" t="s">
        <v>19994</v>
      </c>
    </row>
    <row r="10521" spans="9:13" x14ac:dyDescent="0.25">
      <c r="I10521" t="s">
        <v>13784</v>
      </c>
      <c r="J10521" s="161" t="s">
        <v>19202</v>
      </c>
      <c r="K10521" t="s">
        <v>19203</v>
      </c>
      <c r="L10521" t="s">
        <v>13681</v>
      </c>
      <c r="M10521" s="161" t="s">
        <v>19202</v>
      </c>
    </row>
    <row r="10522" spans="9:13" x14ac:dyDescent="0.25">
      <c r="I10522" t="s">
        <v>21256</v>
      </c>
      <c r="J10522" s="161" t="s">
        <v>19202</v>
      </c>
      <c r="K10522" t="s">
        <v>19203</v>
      </c>
      <c r="L10522" t="s">
        <v>21257</v>
      </c>
      <c r="M10522" s="161" t="s">
        <v>19202</v>
      </c>
    </row>
    <row r="10523" spans="9:13" x14ac:dyDescent="0.25">
      <c r="I10523" t="s">
        <v>2433</v>
      </c>
      <c r="J10523" s="161" t="s">
        <v>19202</v>
      </c>
      <c r="K10523" t="s">
        <v>19203</v>
      </c>
      <c r="L10523" t="s">
        <v>2432</v>
      </c>
      <c r="M10523" s="161" t="s">
        <v>19202</v>
      </c>
    </row>
    <row r="10524" spans="9:13" x14ac:dyDescent="0.25">
      <c r="I10524" t="s">
        <v>252</v>
      </c>
      <c r="J10524" s="161" t="s">
        <v>19994</v>
      </c>
      <c r="K10524" t="s">
        <v>19203</v>
      </c>
      <c r="L10524" t="s">
        <v>251</v>
      </c>
      <c r="M10524" s="161" t="s">
        <v>19994</v>
      </c>
    </row>
    <row r="10525" spans="9:13" x14ac:dyDescent="0.25">
      <c r="I10525" t="s">
        <v>10655</v>
      </c>
      <c r="J10525" s="161" t="s">
        <v>19994</v>
      </c>
      <c r="K10525" t="s">
        <v>19203</v>
      </c>
      <c r="L10525" t="s">
        <v>10654</v>
      </c>
      <c r="M10525" s="161" t="s">
        <v>19994</v>
      </c>
    </row>
    <row r="10526" spans="9:13" x14ac:dyDescent="0.25">
      <c r="I10526" t="s">
        <v>3525</v>
      </c>
      <c r="J10526" s="161" t="s">
        <v>19994</v>
      </c>
      <c r="K10526" t="s">
        <v>19203</v>
      </c>
      <c r="L10526" t="s">
        <v>3524</v>
      </c>
      <c r="M10526" s="161" t="s">
        <v>19994</v>
      </c>
    </row>
    <row r="10527" spans="9:13" x14ac:dyDescent="0.25">
      <c r="I10527" t="s">
        <v>7942</v>
      </c>
      <c r="J10527" s="161" t="s">
        <v>19994</v>
      </c>
      <c r="K10527" t="s">
        <v>19203</v>
      </c>
      <c r="L10527" t="s">
        <v>7941</v>
      </c>
      <c r="M10527" s="161" t="s">
        <v>19994</v>
      </c>
    </row>
    <row r="10528" spans="9:13" x14ac:dyDescent="0.25">
      <c r="I10528" t="s">
        <v>21258</v>
      </c>
      <c r="J10528" s="161" t="s">
        <v>19202</v>
      </c>
      <c r="K10528" t="s">
        <v>19203</v>
      </c>
      <c r="L10528" t="s">
        <v>21259</v>
      </c>
      <c r="M10528" s="161" t="s">
        <v>19202</v>
      </c>
    </row>
    <row r="10529" spans="9:13" x14ac:dyDescent="0.25">
      <c r="I10529" t="s">
        <v>14708</v>
      </c>
      <c r="J10529" s="161" t="s">
        <v>19994</v>
      </c>
      <c r="K10529" t="s">
        <v>19203</v>
      </c>
      <c r="L10529" t="s">
        <v>14707</v>
      </c>
      <c r="M10529" s="161" t="s">
        <v>19994</v>
      </c>
    </row>
    <row r="10530" spans="9:13" x14ac:dyDescent="0.25">
      <c r="I10530" t="s">
        <v>21260</v>
      </c>
      <c r="J10530" s="161" t="s">
        <v>19202</v>
      </c>
      <c r="K10530" t="s">
        <v>19203</v>
      </c>
      <c r="L10530" t="s">
        <v>21261</v>
      </c>
      <c r="M10530" s="161" t="s">
        <v>19202</v>
      </c>
    </row>
    <row r="10531" spans="9:13" x14ac:dyDescent="0.25">
      <c r="I10531" t="s">
        <v>21262</v>
      </c>
      <c r="J10531" s="161" t="s">
        <v>19202</v>
      </c>
      <c r="K10531" t="s">
        <v>19203</v>
      </c>
      <c r="L10531" t="s">
        <v>21263</v>
      </c>
      <c r="M10531" s="161" t="s">
        <v>19202</v>
      </c>
    </row>
    <row r="10532" spans="9:13" x14ac:dyDescent="0.25">
      <c r="I10532" t="s">
        <v>14843</v>
      </c>
      <c r="J10532" s="161" t="s">
        <v>19994</v>
      </c>
      <c r="K10532" t="s">
        <v>19203</v>
      </c>
      <c r="L10532" t="s">
        <v>14842</v>
      </c>
      <c r="M10532" s="161" t="s">
        <v>19994</v>
      </c>
    </row>
    <row r="10533" spans="9:13" x14ac:dyDescent="0.25">
      <c r="I10533" t="s">
        <v>14835</v>
      </c>
      <c r="J10533" s="161" t="s">
        <v>19994</v>
      </c>
      <c r="K10533" t="s">
        <v>19203</v>
      </c>
      <c r="L10533" t="s">
        <v>346</v>
      </c>
      <c r="M10533" s="161" t="s">
        <v>19994</v>
      </c>
    </row>
    <row r="10534" spans="9:13" x14ac:dyDescent="0.25">
      <c r="I10534" t="s">
        <v>21264</v>
      </c>
      <c r="J10534" s="161" t="s">
        <v>19994</v>
      </c>
      <c r="K10534" t="s">
        <v>19203</v>
      </c>
      <c r="L10534" t="s">
        <v>21265</v>
      </c>
      <c r="M10534" s="161" t="s">
        <v>19994</v>
      </c>
    </row>
    <row r="10535" spans="9:13" x14ac:dyDescent="0.25">
      <c r="I10535" t="s">
        <v>21266</v>
      </c>
      <c r="J10535" s="161" t="s">
        <v>19202</v>
      </c>
      <c r="K10535" t="s">
        <v>19203</v>
      </c>
      <c r="L10535" t="s">
        <v>21267</v>
      </c>
      <c r="M10535" s="161" t="s">
        <v>19202</v>
      </c>
    </row>
    <row r="10536" spans="9:13" x14ac:dyDescent="0.25">
      <c r="I10536" t="s">
        <v>2774</v>
      </c>
      <c r="J10536" s="161" t="s">
        <v>19202</v>
      </c>
      <c r="K10536" t="s">
        <v>19203</v>
      </c>
      <c r="L10536" t="s">
        <v>2773</v>
      </c>
      <c r="M10536" s="161" t="s">
        <v>19202</v>
      </c>
    </row>
    <row r="10537" spans="9:13" x14ac:dyDescent="0.25">
      <c r="I10537" t="s">
        <v>21268</v>
      </c>
      <c r="J10537" s="161" t="s">
        <v>19994</v>
      </c>
      <c r="K10537" t="s">
        <v>19203</v>
      </c>
      <c r="L10537" t="s">
        <v>21269</v>
      </c>
      <c r="M10537" s="161" t="s">
        <v>19994</v>
      </c>
    </row>
    <row r="10538" spans="9:13" x14ac:dyDescent="0.25">
      <c r="I10538" t="s">
        <v>21270</v>
      </c>
      <c r="J10538" s="161" t="s">
        <v>19202</v>
      </c>
      <c r="K10538" t="s">
        <v>19203</v>
      </c>
      <c r="L10538" t="s">
        <v>21271</v>
      </c>
      <c r="M10538" s="161" t="s">
        <v>19202</v>
      </c>
    </row>
    <row r="10539" spans="9:13" x14ac:dyDescent="0.25">
      <c r="I10539" t="s">
        <v>21272</v>
      </c>
      <c r="J10539" s="161" t="s">
        <v>19994</v>
      </c>
      <c r="K10539" t="s">
        <v>19203</v>
      </c>
      <c r="L10539" t="s">
        <v>21273</v>
      </c>
      <c r="M10539" s="161" t="s">
        <v>19994</v>
      </c>
    </row>
    <row r="10540" spans="9:13" x14ac:dyDescent="0.25">
      <c r="I10540" t="s">
        <v>2766</v>
      </c>
      <c r="J10540" s="161" t="s">
        <v>19994</v>
      </c>
      <c r="K10540" t="s">
        <v>19203</v>
      </c>
      <c r="L10540" t="s">
        <v>2765</v>
      </c>
      <c r="M10540" s="161" t="s">
        <v>19994</v>
      </c>
    </row>
    <row r="10541" spans="9:13" x14ac:dyDescent="0.25">
      <c r="I10541" t="s">
        <v>21274</v>
      </c>
      <c r="J10541" s="161" t="s">
        <v>19994</v>
      </c>
      <c r="K10541" t="s">
        <v>19203</v>
      </c>
      <c r="L10541" t="s">
        <v>21275</v>
      </c>
      <c r="M10541" s="161" t="s">
        <v>19994</v>
      </c>
    </row>
    <row r="10542" spans="9:13" x14ac:dyDescent="0.25">
      <c r="I10542" t="s">
        <v>11679</v>
      </c>
      <c r="J10542" s="161" t="s">
        <v>19994</v>
      </c>
      <c r="K10542" t="s">
        <v>19203</v>
      </c>
      <c r="L10542" t="s">
        <v>11678</v>
      </c>
      <c r="M10542" s="161" t="s">
        <v>19994</v>
      </c>
    </row>
    <row r="10543" spans="9:13" x14ac:dyDescent="0.25">
      <c r="I10543" t="s">
        <v>21276</v>
      </c>
      <c r="J10543" s="161" t="s">
        <v>19994</v>
      </c>
      <c r="K10543" t="s">
        <v>19203</v>
      </c>
      <c r="L10543" t="s">
        <v>21277</v>
      </c>
      <c r="M10543" s="161" t="s">
        <v>19994</v>
      </c>
    </row>
    <row r="10544" spans="9:13" x14ac:dyDescent="0.25">
      <c r="I10544" t="s">
        <v>11486</v>
      </c>
      <c r="J10544" s="161" t="s">
        <v>19202</v>
      </c>
      <c r="K10544" t="s">
        <v>19203</v>
      </c>
      <c r="L10544" t="s">
        <v>11485</v>
      </c>
      <c r="M10544" s="161" t="s">
        <v>19202</v>
      </c>
    </row>
    <row r="10545" spans="9:13" x14ac:dyDescent="0.25">
      <c r="I10545" t="s">
        <v>2485</v>
      </c>
      <c r="J10545" s="161" t="s">
        <v>19994</v>
      </c>
      <c r="K10545" t="s">
        <v>19203</v>
      </c>
      <c r="L10545" t="s">
        <v>2484</v>
      </c>
      <c r="M10545" s="161" t="s">
        <v>19994</v>
      </c>
    </row>
    <row r="10546" spans="9:13" x14ac:dyDescent="0.25">
      <c r="I10546" t="s">
        <v>654</v>
      </c>
      <c r="J10546" s="161" t="s">
        <v>19994</v>
      </c>
      <c r="K10546" t="s">
        <v>19203</v>
      </c>
      <c r="L10546" t="s">
        <v>653</v>
      </c>
      <c r="M10546" s="161" t="s">
        <v>19994</v>
      </c>
    </row>
    <row r="10547" spans="9:13" x14ac:dyDescent="0.25">
      <c r="I10547" t="s">
        <v>13762</v>
      </c>
      <c r="J10547" s="161" t="s">
        <v>19994</v>
      </c>
      <c r="K10547" t="s">
        <v>19203</v>
      </c>
      <c r="L10547" t="s">
        <v>13761</v>
      </c>
      <c r="M10547" s="161" t="s">
        <v>19994</v>
      </c>
    </row>
    <row r="10548" spans="9:13" x14ac:dyDescent="0.25">
      <c r="I10548" t="s">
        <v>21278</v>
      </c>
      <c r="J10548" s="161" t="s">
        <v>19994</v>
      </c>
      <c r="K10548" t="s">
        <v>19203</v>
      </c>
      <c r="L10548" t="s">
        <v>21279</v>
      </c>
      <c r="M10548" s="161" t="s">
        <v>19994</v>
      </c>
    </row>
    <row r="10549" spans="9:13" x14ac:dyDescent="0.25">
      <c r="I10549" t="s">
        <v>21280</v>
      </c>
      <c r="J10549" s="161" t="s">
        <v>19994</v>
      </c>
      <c r="K10549" t="s">
        <v>19203</v>
      </c>
      <c r="L10549" t="s">
        <v>21281</v>
      </c>
      <c r="M10549" s="161" t="s">
        <v>19994</v>
      </c>
    </row>
    <row r="10550" spans="9:13" x14ac:dyDescent="0.25">
      <c r="I10550" t="s">
        <v>21282</v>
      </c>
      <c r="J10550" s="161" t="s">
        <v>19202</v>
      </c>
      <c r="K10550" t="s">
        <v>19203</v>
      </c>
      <c r="L10550" t="s">
        <v>21283</v>
      </c>
      <c r="M10550" s="161" t="s">
        <v>19202</v>
      </c>
    </row>
    <row r="10551" spans="9:13" x14ac:dyDescent="0.25">
      <c r="I10551" t="s">
        <v>21284</v>
      </c>
      <c r="J10551" s="161" t="s">
        <v>19202</v>
      </c>
      <c r="K10551" t="s">
        <v>19203</v>
      </c>
      <c r="L10551" t="s">
        <v>21285</v>
      </c>
      <c r="M10551" s="161" t="s">
        <v>19202</v>
      </c>
    </row>
    <row r="10552" spans="9:13" x14ac:dyDescent="0.25">
      <c r="I10552" t="s">
        <v>2705</v>
      </c>
      <c r="J10552" s="161" t="s">
        <v>19202</v>
      </c>
      <c r="K10552" t="s">
        <v>19203</v>
      </c>
      <c r="L10552" t="s">
        <v>2704</v>
      </c>
      <c r="M10552" s="161" t="s">
        <v>19202</v>
      </c>
    </row>
    <row r="10553" spans="9:13" x14ac:dyDescent="0.25">
      <c r="I10553" t="s">
        <v>2435</v>
      </c>
      <c r="J10553" s="161" t="s">
        <v>19202</v>
      </c>
      <c r="K10553" t="s">
        <v>19203</v>
      </c>
      <c r="L10553" t="s">
        <v>2434</v>
      </c>
      <c r="M10553" s="161" t="s">
        <v>19202</v>
      </c>
    </row>
    <row r="10554" spans="9:13" x14ac:dyDescent="0.25">
      <c r="I10554" t="s">
        <v>14652</v>
      </c>
      <c r="J10554" s="161" t="s">
        <v>19994</v>
      </c>
      <c r="K10554" t="s">
        <v>19203</v>
      </c>
      <c r="L10554" t="s">
        <v>14651</v>
      </c>
      <c r="M10554" s="161" t="s">
        <v>19994</v>
      </c>
    </row>
    <row r="10555" spans="9:13" x14ac:dyDescent="0.25">
      <c r="I10555" t="s">
        <v>21286</v>
      </c>
      <c r="J10555" s="161" t="s">
        <v>19202</v>
      </c>
      <c r="K10555" t="s">
        <v>19203</v>
      </c>
      <c r="L10555" t="s">
        <v>21287</v>
      </c>
      <c r="M10555" s="161" t="s">
        <v>19202</v>
      </c>
    </row>
    <row r="10556" spans="9:13" x14ac:dyDescent="0.25">
      <c r="I10556" t="s">
        <v>11426</v>
      </c>
      <c r="J10556" s="161" t="s">
        <v>19994</v>
      </c>
      <c r="K10556" t="s">
        <v>19203</v>
      </c>
      <c r="L10556" t="s">
        <v>11425</v>
      </c>
      <c r="M10556" s="161" t="s">
        <v>19994</v>
      </c>
    </row>
    <row r="10557" spans="9:13" x14ac:dyDescent="0.25">
      <c r="I10557" t="s">
        <v>11316</v>
      </c>
      <c r="J10557" s="161" t="s">
        <v>19994</v>
      </c>
      <c r="K10557" t="s">
        <v>19203</v>
      </c>
      <c r="L10557" t="s">
        <v>11315</v>
      </c>
      <c r="M10557" s="161" t="s">
        <v>19994</v>
      </c>
    </row>
    <row r="10558" spans="9:13" x14ac:dyDescent="0.25">
      <c r="I10558" t="s">
        <v>15498</v>
      </c>
      <c r="J10558" s="161" t="s">
        <v>19994</v>
      </c>
      <c r="K10558" t="s">
        <v>19203</v>
      </c>
      <c r="L10558" t="s">
        <v>15497</v>
      </c>
      <c r="M10558" s="161" t="s">
        <v>19994</v>
      </c>
    </row>
    <row r="10559" spans="9:13" x14ac:dyDescent="0.25">
      <c r="I10559" t="s">
        <v>21288</v>
      </c>
      <c r="J10559" s="161" t="s">
        <v>19202</v>
      </c>
      <c r="K10559" t="s">
        <v>19203</v>
      </c>
      <c r="L10559" t="s">
        <v>21289</v>
      </c>
      <c r="M10559" s="161" t="s">
        <v>19202</v>
      </c>
    </row>
    <row r="10560" spans="9:13" x14ac:dyDescent="0.25">
      <c r="I10560" t="s">
        <v>11424</v>
      </c>
      <c r="J10560" s="161" t="s">
        <v>19202</v>
      </c>
      <c r="K10560" t="s">
        <v>19203</v>
      </c>
      <c r="L10560" t="s">
        <v>11423</v>
      </c>
      <c r="M10560" s="161" t="s">
        <v>19202</v>
      </c>
    </row>
    <row r="10561" spans="9:13" x14ac:dyDescent="0.25">
      <c r="I10561" t="s">
        <v>11363</v>
      </c>
      <c r="J10561" s="161" t="s">
        <v>19202</v>
      </c>
      <c r="K10561" t="s">
        <v>19203</v>
      </c>
      <c r="L10561" t="s">
        <v>11362</v>
      </c>
      <c r="M10561" s="161" t="s">
        <v>19202</v>
      </c>
    </row>
    <row r="10562" spans="9:13" x14ac:dyDescent="0.25">
      <c r="I10562" t="s">
        <v>21290</v>
      </c>
      <c r="J10562" s="161" t="s">
        <v>19994</v>
      </c>
      <c r="K10562" t="s">
        <v>19203</v>
      </c>
      <c r="L10562" t="s">
        <v>21291</v>
      </c>
      <c r="M10562" s="161" t="s">
        <v>19994</v>
      </c>
    </row>
    <row r="10563" spans="9:13" x14ac:dyDescent="0.25">
      <c r="I10563" t="s">
        <v>21292</v>
      </c>
      <c r="J10563" s="161" t="s">
        <v>19202</v>
      </c>
      <c r="K10563" t="s">
        <v>19203</v>
      </c>
      <c r="L10563" t="s">
        <v>21293</v>
      </c>
      <c r="M10563" s="161" t="s">
        <v>19202</v>
      </c>
    </row>
    <row r="10564" spans="9:13" x14ac:dyDescent="0.25">
      <c r="I10564" t="s">
        <v>21294</v>
      </c>
      <c r="J10564" s="161" t="s">
        <v>19994</v>
      </c>
      <c r="K10564" t="s">
        <v>19203</v>
      </c>
      <c r="L10564" t="s">
        <v>21295</v>
      </c>
      <c r="M10564" s="161" t="s">
        <v>19994</v>
      </c>
    </row>
    <row r="10565" spans="9:13" x14ac:dyDescent="0.25">
      <c r="I10565" t="s">
        <v>21296</v>
      </c>
      <c r="J10565" s="161" t="s">
        <v>19202</v>
      </c>
      <c r="K10565" t="s">
        <v>19203</v>
      </c>
      <c r="L10565" t="s">
        <v>21297</v>
      </c>
      <c r="M10565" s="161" t="s">
        <v>19202</v>
      </c>
    </row>
    <row r="10566" spans="9:13" x14ac:dyDescent="0.25">
      <c r="I10566" t="s">
        <v>21298</v>
      </c>
      <c r="J10566" s="161" t="s">
        <v>19994</v>
      </c>
      <c r="K10566" t="s">
        <v>19203</v>
      </c>
      <c r="L10566" t="s">
        <v>21299</v>
      </c>
      <c r="M10566" s="161" t="s">
        <v>19994</v>
      </c>
    </row>
    <row r="10567" spans="9:13" x14ac:dyDescent="0.25">
      <c r="I10567" t="s">
        <v>21300</v>
      </c>
      <c r="J10567" s="161" t="s">
        <v>19994</v>
      </c>
      <c r="K10567" t="s">
        <v>19203</v>
      </c>
      <c r="L10567" t="s">
        <v>10915</v>
      </c>
      <c r="M10567" s="161" t="s">
        <v>19994</v>
      </c>
    </row>
    <row r="10568" spans="9:13" x14ac:dyDescent="0.25">
      <c r="I10568" t="s">
        <v>21301</v>
      </c>
      <c r="J10568" s="161" t="s">
        <v>19994</v>
      </c>
      <c r="K10568" t="s">
        <v>19203</v>
      </c>
      <c r="L10568" t="s">
        <v>21302</v>
      </c>
      <c r="M10568" s="161" t="s">
        <v>19994</v>
      </c>
    </row>
    <row r="10569" spans="9:13" x14ac:dyDescent="0.25">
      <c r="I10569" t="s">
        <v>21303</v>
      </c>
      <c r="J10569" s="161" t="s">
        <v>19994</v>
      </c>
      <c r="K10569" t="s">
        <v>19203</v>
      </c>
      <c r="L10569" t="s">
        <v>15227</v>
      </c>
      <c r="M10569" s="161" t="s">
        <v>19994</v>
      </c>
    </row>
    <row r="10570" spans="9:13" x14ac:dyDescent="0.25">
      <c r="I10570" t="s">
        <v>4423</v>
      </c>
      <c r="J10570" s="161" t="s">
        <v>19994</v>
      </c>
      <c r="K10570" t="s">
        <v>19203</v>
      </c>
      <c r="L10570" t="s">
        <v>4422</v>
      </c>
      <c r="M10570" s="161" t="s">
        <v>19994</v>
      </c>
    </row>
    <row r="10571" spans="9:13" x14ac:dyDescent="0.25">
      <c r="I10571" t="s">
        <v>13022</v>
      </c>
      <c r="J10571" s="161" t="s">
        <v>19202</v>
      </c>
      <c r="K10571" t="s">
        <v>19203</v>
      </c>
      <c r="L10571" t="s">
        <v>13021</v>
      </c>
      <c r="M10571" s="161" t="s">
        <v>19202</v>
      </c>
    </row>
    <row r="10572" spans="9:13" x14ac:dyDescent="0.25">
      <c r="I10572" t="s">
        <v>21304</v>
      </c>
      <c r="J10572" s="161" t="s">
        <v>19994</v>
      </c>
      <c r="K10572" t="s">
        <v>19203</v>
      </c>
      <c r="L10572" t="s">
        <v>3575</v>
      </c>
      <c r="M10572" s="161" t="s">
        <v>19994</v>
      </c>
    </row>
    <row r="10573" spans="9:13" x14ac:dyDescent="0.25">
      <c r="I10573" t="s">
        <v>8275</v>
      </c>
      <c r="J10573" s="161" t="s">
        <v>19994</v>
      </c>
      <c r="K10573" t="s">
        <v>19203</v>
      </c>
      <c r="L10573" t="s">
        <v>8274</v>
      </c>
      <c r="M10573" s="161" t="s">
        <v>19994</v>
      </c>
    </row>
    <row r="10574" spans="9:13" x14ac:dyDescent="0.25">
      <c r="I10574" t="s">
        <v>7206</v>
      </c>
      <c r="J10574" s="161" t="s">
        <v>19202</v>
      </c>
      <c r="K10574" t="s">
        <v>19203</v>
      </c>
      <c r="L10574" t="s">
        <v>7205</v>
      </c>
      <c r="M10574" s="161" t="s">
        <v>19202</v>
      </c>
    </row>
    <row r="10575" spans="9:13" x14ac:dyDescent="0.25">
      <c r="I10575" t="s">
        <v>21305</v>
      </c>
      <c r="J10575" s="161" t="s">
        <v>19202</v>
      </c>
      <c r="K10575" t="s">
        <v>19203</v>
      </c>
      <c r="L10575" t="s">
        <v>21306</v>
      </c>
      <c r="M10575" s="161" t="s">
        <v>19202</v>
      </c>
    </row>
    <row r="10576" spans="9:13" x14ac:dyDescent="0.25">
      <c r="I10576" t="s">
        <v>21307</v>
      </c>
      <c r="J10576" s="161" t="s">
        <v>19994</v>
      </c>
      <c r="K10576" t="s">
        <v>19203</v>
      </c>
      <c r="L10576" t="s">
        <v>21308</v>
      </c>
      <c r="M10576" s="161" t="s">
        <v>19994</v>
      </c>
    </row>
    <row r="10577" spans="9:13" x14ac:dyDescent="0.25">
      <c r="I10577" t="s">
        <v>21309</v>
      </c>
      <c r="J10577" s="161" t="s">
        <v>19994</v>
      </c>
      <c r="K10577" t="s">
        <v>19203</v>
      </c>
      <c r="L10577" t="s">
        <v>21310</v>
      </c>
      <c r="M10577" s="161" t="s">
        <v>19994</v>
      </c>
    </row>
    <row r="10578" spans="9:13" x14ac:dyDescent="0.25">
      <c r="I10578" t="s">
        <v>21311</v>
      </c>
      <c r="J10578" s="161" t="s">
        <v>19994</v>
      </c>
      <c r="K10578" t="s">
        <v>19203</v>
      </c>
      <c r="L10578" t="s">
        <v>21312</v>
      </c>
      <c r="M10578" s="161" t="s">
        <v>19994</v>
      </c>
    </row>
    <row r="10579" spans="9:13" x14ac:dyDescent="0.25">
      <c r="I10579" t="s">
        <v>14645</v>
      </c>
      <c r="J10579" s="161" t="s">
        <v>19994</v>
      </c>
      <c r="K10579" t="s">
        <v>19203</v>
      </c>
      <c r="L10579" t="s">
        <v>14644</v>
      </c>
      <c r="M10579" s="161" t="s">
        <v>19994</v>
      </c>
    </row>
    <row r="10580" spans="9:13" x14ac:dyDescent="0.25">
      <c r="I10580" t="s">
        <v>14641</v>
      </c>
      <c r="J10580" s="161" t="s">
        <v>19994</v>
      </c>
      <c r="K10580" t="s">
        <v>19203</v>
      </c>
      <c r="L10580" t="s">
        <v>14640</v>
      </c>
      <c r="M10580" s="161" t="s">
        <v>19994</v>
      </c>
    </row>
    <row r="10581" spans="9:13" x14ac:dyDescent="0.25">
      <c r="I10581" t="s">
        <v>14637</v>
      </c>
      <c r="J10581" s="161" t="s">
        <v>19202</v>
      </c>
      <c r="K10581" t="s">
        <v>19203</v>
      </c>
      <c r="L10581" t="s">
        <v>14636</v>
      </c>
      <c r="M10581" s="161" t="s">
        <v>19202</v>
      </c>
    </row>
    <row r="10582" spans="9:13" x14ac:dyDescent="0.25">
      <c r="I10582" t="s">
        <v>16614</v>
      </c>
      <c r="J10582" s="161" t="s">
        <v>19994</v>
      </c>
      <c r="K10582" t="s">
        <v>19203</v>
      </c>
      <c r="L10582" t="s">
        <v>16613</v>
      </c>
      <c r="M10582" s="161" t="s">
        <v>19994</v>
      </c>
    </row>
    <row r="10583" spans="9:13" x14ac:dyDescent="0.25">
      <c r="I10583" t="s">
        <v>21313</v>
      </c>
      <c r="J10583" s="161" t="s">
        <v>19994</v>
      </c>
      <c r="K10583" t="s">
        <v>19203</v>
      </c>
      <c r="L10583" t="s">
        <v>21314</v>
      </c>
      <c r="M10583" s="161" t="s">
        <v>19994</v>
      </c>
    </row>
    <row r="10584" spans="9:13" x14ac:dyDescent="0.25">
      <c r="I10584" t="s">
        <v>15462</v>
      </c>
      <c r="J10584" s="161" t="s">
        <v>19994</v>
      </c>
      <c r="K10584" t="s">
        <v>19203</v>
      </c>
      <c r="L10584" t="s">
        <v>4634</v>
      </c>
      <c r="M10584" s="161" t="s">
        <v>19994</v>
      </c>
    </row>
    <row r="10585" spans="9:13" x14ac:dyDescent="0.25">
      <c r="I10585" t="s">
        <v>14834</v>
      </c>
      <c r="J10585" s="161" t="s">
        <v>19994</v>
      </c>
      <c r="K10585" t="s">
        <v>19203</v>
      </c>
      <c r="L10585" t="s">
        <v>14833</v>
      </c>
      <c r="M10585" s="161" t="s">
        <v>19994</v>
      </c>
    </row>
    <row r="10586" spans="9:13" x14ac:dyDescent="0.25">
      <c r="I10586" t="s">
        <v>21315</v>
      </c>
      <c r="J10586" s="161" t="s">
        <v>19994</v>
      </c>
      <c r="K10586" t="s">
        <v>19203</v>
      </c>
      <c r="L10586" t="s">
        <v>21316</v>
      </c>
      <c r="M10586" s="161" t="s">
        <v>19994</v>
      </c>
    </row>
    <row r="10587" spans="9:13" x14ac:dyDescent="0.25">
      <c r="I10587" t="s">
        <v>10135</v>
      </c>
      <c r="J10587" s="161" t="s">
        <v>19202</v>
      </c>
      <c r="K10587" t="s">
        <v>19203</v>
      </c>
      <c r="L10587" t="s">
        <v>10134</v>
      </c>
      <c r="M10587" s="161" t="s">
        <v>19202</v>
      </c>
    </row>
    <row r="10588" spans="9:13" x14ac:dyDescent="0.25">
      <c r="I10588" t="s">
        <v>6424</v>
      </c>
      <c r="J10588" s="161" t="s">
        <v>20648</v>
      </c>
      <c r="K10588" t="s">
        <v>19203</v>
      </c>
      <c r="L10588" t="s">
        <v>6423</v>
      </c>
      <c r="M10588" s="161" t="s">
        <v>20648</v>
      </c>
    </row>
    <row r="10589" spans="9:13" x14ac:dyDescent="0.25">
      <c r="I10589" t="s">
        <v>2206</v>
      </c>
      <c r="J10589" s="161" t="s">
        <v>20648</v>
      </c>
      <c r="K10589" t="s">
        <v>19203</v>
      </c>
      <c r="L10589" t="s">
        <v>2205</v>
      </c>
      <c r="M10589" s="161" t="s">
        <v>20648</v>
      </c>
    </row>
    <row r="10590" spans="9:13" x14ac:dyDescent="0.25">
      <c r="I10590" t="s">
        <v>2142</v>
      </c>
      <c r="J10590" s="161" t="s">
        <v>19202</v>
      </c>
      <c r="K10590" t="s">
        <v>19203</v>
      </c>
      <c r="L10590" t="s">
        <v>2141</v>
      </c>
      <c r="M10590" s="161" t="s">
        <v>19202</v>
      </c>
    </row>
    <row r="10591" spans="9:13" x14ac:dyDescent="0.25">
      <c r="I10591" t="s">
        <v>21317</v>
      </c>
      <c r="J10591" s="161" t="s">
        <v>19202</v>
      </c>
      <c r="K10591" t="s">
        <v>19203</v>
      </c>
      <c r="L10591" t="s">
        <v>14946</v>
      </c>
      <c r="M10591" s="161" t="s">
        <v>19202</v>
      </c>
    </row>
    <row r="10592" spans="9:13" x14ac:dyDescent="0.25">
      <c r="I10592" t="s">
        <v>21318</v>
      </c>
      <c r="J10592" s="161" t="s">
        <v>19994</v>
      </c>
      <c r="K10592" t="s">
        <v>19203</v>
      </c>
      <c r="L10592" t="s">
        <v>21319</v>
      </c>
      <c r="M10592" s="161" t="s">
        <v>19994</v>
      </c>
    </row>
    <row r="10593" spans="9:13" x14ac:dyDescent="0.25">
      <c r="I10593" t="s">
        <v>2760</v>
      </c>
      <c r="J10593" s="161" t="s">
        <v>19994</v>
      </c>
      <c r="K10593" t="s">
        <v>19203</v>
      </c>
      <c r="L10593" t="s">
        <v>2759</v>
      </c>
      <c r="M10593" s="161" t="s">
        <v>19994</v>
      </c>
    </row>
    <row r="10594" spans="9:13" x14ac:dyDescent="0.25">
      <c r="I10594" t="s">
        <v>21320</v>
      </c>
      <c r="J10594" s="161" t="s">
        <v>19994</v>
      </c>
      <c r="K10594" t="s">
        <v>19203</v>
      </c>
      <c r="L10594" t="s">
        <v>21321</v>
      </c>
      <c r="M10594" s="161" t="s">
        <v>19994</v>
      </c>
    </row>
    <row r="10595" spans="9:13" x14ac:dyDescent="0.25">
      <c r="I10595" t="s">
        <v>2719</v>
      </c>
      <c r="J10595" s="161" t="s">
        <v>19994</v>
      </c>
      <c r="K10595" t="s">
        <v>19203</v>
      </c>
      <c r="L10595" t="s">
        <v>2718</v>
      </c>
      <c r="M10595" s="161" t="s">
        <v>19994</v>
      </c>
    </row>
    <row r="10596" spans="9:13" x14ac:dyDescent="0.25">
      <c r="I10596" t="s">
        <v>21322</v>
      </c>
      <c r="J10596" s="161" t="s">
        <v>19994</v>
      </c>
      <c r="K10596" t="s">
        <v>19203</v>
      </c>
      <c r="L10596" t="s">
        <v>17245</v>
      </c>
      <c r="M10596" s="161" t="s">
        <v>19994</v>
      </c>
    </row>
    <row r="10597" spans="9:13" x14ac:dyDescent="0.25">
      <c r="I10597" t="s">
        <v>2789</v>
      </c>
      <c r="J10597" s="161" t="s">
        <v>19994</v>
      </c>
      <c r="K10597" t="s">
        <v>19203</v>
      </c>
      <c r="L10597" t="s">
        <v>2788</v>
      </c>
      <c r="M10597" s="161" t="s">
        <v>19994</v>
      </c>
    </row>
    <row r="10598" spans="9:13" x14ac:dyDescent="0.25">
      <c r="I10598" t="s">
        <v>8746</v>
      </c>
      <c r="J10598" s="161" t="s">
        <v>19994</v>
      </c>
      <c r="K10598" t="s">
        <v>19203</v>
      </c>
      <c r="L10598" t="s">
        <v>8745</v>
      </c>
      <c r="M10598" s="161" t="s">
        <v>19994</v>
      </c>
    </row>
    <row r="10599" spans="9:13" x14ac:dyDescent="0.25">
      <c r="I10599" t="s">
        <v>9250</v>
      </c>
      <c r="J10599" s="161" t="s">
        <v>19202</v>
      </c>
      <c r="K10599" t="s">
        <v>19203</v>
      </c>
      <c r="L10599" t="s">
        <v>9249</v>
      </c>
      <c r="M10599" s="161" t="s">
        <v>19202</v>
      </c>
    </row>
    <row r="10600" spans="9:13" x14ac:dyDescent="0.25">
      <c r="I10600" t="s">
        <v>21323</v>
      </c>
      <c r="J10600" s="161" t="s">
        <v>19202</v>
      </c>
      <c r="K10600" t="s">
        <v>19203</v>
      </c>
      <c r="L10600" t="s">
        <v>21324</v>
      </c>
      <c r="M10600" s="161" t="s">
        <v>19202</v>
      </c>
    </row>
    <row r="10601" spans="9:13" x14ac:dyDescent="0.25">
      <c r="I10601" t="s">
        <v>21325</v>
      </c>
      <c r="J10601" s="161" t="s">
        <v>19994</v>
      </c>
      <c r="K10601" t="s">
        <v>19203</v>
      </c>
      <c r="L10601" t="s">
        <v>21326</v>
      </c>
      <c r="M10601" s="161" t="s">
        <v>19994</v>
      </c>
    </row>
    <row r="10602" spans="9:13" x14ac:dyDescent="0.25">
      <c r="I10602" t="s">
        <v>11478</v>
      </c>
      <c r="J10602" s="161" t="s">
        <v>19994</v>
      </c>
      <c r="K10602" t="s">
        <v>19203</v>
      </c>
      <c r="L10602" t="s">
        <v>11477</v>
      </c>
      <c r="M10602" s="161" t="s">
        <v>19994</v>
      </c>
    </row>
    <row r="10603" spans="9:13" x14ac:dyDescent="0.25">
      <c r="I10603" t="s">
        <v>547</v>
      </c>
      <c r="J10603" s="161" t="s">
        <v>19994</v>
      </c>
      <c r="K10603" t="s">
        <v>19203</v>
      </c>
      <c r="L10603" t="s">
        <v>546</v>
      </c>
      <c r="M10603" s="161" t="s">
        <v>19994</v>
      </c>
    </row>
    <row r="10604" spans="9:13" x14ac:dyDescent="0.25">
      <c r="I10604" t="s">
        <v>21327</v>
      </c>
      <c r="J10604" s="161" t="s">
        <v>19202</v>
      </c>
      <c r="K10604" t="s">
        <v>19203</v>
      </c>
      <c r="L10604" t="s">
        <v>21328</v>
      </c>
      <c r="M10604" s="161" t="s">
        <v>19202</v>
      </c>
    </row>
    <row r="10605" spans="9:13" x14ac:dyDescent="0.25">
      <c r="I10605" t="s">
        <v>5521</v>
      </c>
      <c r="J10605" s="161" t="s">
        <v>19202</v>
      </c>
      <c r="K10605" t="s">
        <v>19203</v>
      </c>
      <c r="L10605" t="s">
        <v>5520</v>
      </c>
      <c r="M10605" s="161" t="s">
        <v>19202</v>
      </c>
    </row>
    <row r="10606" spans="9:13" x14ac:dyDescent="0.25">
      <c r="I10606" t="s">
        <v>21329</v>
      </c>
      <c r="J10606" s="161" t="s">
        <v>19202</v>
      </c>
      <c r="K10606" t="s">
        <v>19203</v>
      </c>
      <c r="L10606" t="s">
        <v>21330</v>
      </c>
      <c r="M10606" s="161" t="s">
        <v>19202</v>
      </c>
    </row>
    <row r="10607" spans="9:13" x14ac:dyDescent="0.25">
      <c r="I10607" t="s">
        <v>21331</v>
      </c>
      <c r="J10607" s="161" t="s">
        <v>19202</v>
      </c>
      <c r="K10607" t="s">
        <v>19203</v>
      </c>
      <c r="L10607" t="s">
        <v>21332</v>
      </c>
      <c r="M10607" s="161" t="s">
        <v>19202</v>
      </c>
    </row>
    <row r="10608" spans="9:13" x14ac:dyDescent="0.25">
      <c r="I10608" t="s">
        <v>21333</v>
      </c>
      <c r="J10608" s="161" t="s">
        <v>19202</v>
      </c>
      <c r="K10608" t="s">
        <v>19203</v>
      </c>
      <c r="L10608" t="s">
        <v>3505</v>
      </c>
      <c r="M10608" s="161" t="s">
        <v>19202</v>
      </c>
    </row>
    <row r="10609" spans="9:13" x14ac:dyDescent="0.25">
      <c r="I10609" t="s">
        <v>21334</v>
      </c>
      <c r="J10609" s="161" t="s">
        <v>19994</v>
      </c>
      <c r="K10609" t="s">
        <v>19203</v>
      </c>
      <c r="L10609" t="s">
        <v>21335</v>
      </c>
      <c r="M10609" s="161" t="s">
        <v>19994</v>
      </c>
    </row>
    <row r="10610" spans="9:13" x14ac:dyDescent="0.25">
      <c r="I10610" t="s">
        <v>14147</v>
      </c>
      <c r="J10610" s="161" t="s">
        <v>19994</v>
      </c>
      <c r="K10610" t="s">
        <v>19203</v>
      </c>
      <c r="L10610" t="s">
        <v>14146</v>
      </c>
      <c r="M10610" s="161" t="s">
        <v>19994</v>
      </c>
    </row>
    <row r="10611" spans="9:13" x14ac:dyDescent="0.25">
      <c r="I10611" t="s">
        <v>15990</v>
      </c>
      <c r="J10611" s="161" t="s">
        <v>19994</v>
      </c>
      <c r="K10611" t="s">
        <v>19203</v>
      </c>
      <c r="L10611" t="s">
        <v>861</v>
      </c>
      <c r="M10611" s="161" t="s">
        <v>19994</v>
      </c>
    </row>
    <row r="10612" spans="9:13" x14ac:dyDescent="0.25">
      <c r="I10612" t="s">
        <v>21336</v>
      </c>
      <c r="J10612" s="161" t="s">
        <v>19994</v>
      </c>
      <c r="K10612" t="s">
        <v>19203</v>
      </c>
      <c r="L10612" t="s">
        <v>21337</v>
      </c>
      <c r="M10612" s="161" t="s">
        <v>19994</v>
      </c>
    </row>
    <row r="10613" spans="9:13" x14ac:dyDescent="0.25">
      <c r="I10613" t="s">
        <v>21338</v>
      </c>
      <c r="J10613" s="161" t="s">
        <v>19202</v>
      </c>
      <c r="K10613" t="s">
        <v>19203</v>
      </c>
      <c r="L10613" t="s">
        <v>21339</v>
      </c>
      <c r="M10613" s="161" t="s">
        <v>19202</v>
      </c>
    </row>
    <row r="10614" spans="9:13" x14ac:dyDescent="0.25">
      <c r="I10614" t="s">
        <v>21340</v>
      </c>
      <c r="J10614" s="161" t="s">
        <v>19994</v>
      </c>
      <c r="K10614" t="s">
        <v>19203</v>
      </c>
      <c r="L10614" t="s">
        <v>6291</v>
      </c>
      <c r="M10614" s="161" t="s">
        <v>19994</v>
      </c>
    </row>
    <row r="10615" spans="9:13" x14ac:dyDescent="0.25">
      <c r="I10615" t="s">
        <v>21341</v>
      </c>
      <c r="J10615" s="161" t="s">
        <v>19994</v>
      </c>
      <c r="K10615" t="s">
        <v>19203</v>
      </c>
      <c r="L10615" t="s">
        <v>21342</v>
      </c>
      <c r="M10615" s="161" t="s">
        <v>19994</v>
      </c>
    </row>
    <row r="10616" spans="9:13" x14ac:dyDescent="0.25">
      <c r="I10616" t="s">
        <v>21343</v>
      </c>
      <c r="J10616" s="161" t="s">
        <v>19994</v>
      </c>
      <c r="K10616" t="s">
        <v>19203</v>
      </c>
      <c r="L10616" t="s">
        <v>21344</v>
      </c>
      <c r="M10616" s="161" t="s">
        <v>19994</v>
      </c>
    </row>
    <row r="10617" spans="9:13" x14ac:dyDescent="0.25">
      <c r="I10617" t="s">
        <v>21345</v>
      </c>
      <c r="J10617" s="161" t="s">
        <v>19202</v>
      </c>
      <c r="K10617" t="s">
        <v>19203</v>
      </c>
      <c r="L10617" t="s">
        <v>21346</v>
      </c>
      <c r="M10617" s="161" t="s">
        <v>19202</v>
      </c>
    </row>
    <row r="10618" spans="9:13" x14ac:dyDescent="0.25">
      <c r="I10618" t="s">
        <v>21347</v>
      </c>
      <c r="J10618" s="161" t="s">
        <v>19994</v>
      </c>
      <c r="K10618" t="s">
        <v>19203</v>
      </c>
      <c r="L10618" t="s">
        <v>21348</v>
      </c>
      <c r="M10618" s="161" t="s">
        <v>19994</v>
      </c>
    </row>
    <row r="10619" spans="9:13" x14ac:dyDescent="0.25">
      <c r="I10619" t="s">
        <v>21349</v>
      </c>
      <c r="J10619" s="161" t="s">
        <v>19202</v>
      </c>
      <c r="K10619" t="s">
        <v>19203</v>
      </c>
      <c r="L10619" t="s">
        <v>21350</v>
      </c>
      <c r="M10619" s="161" t="s">
        <v>19202</v>
      </c>
    </row>
    <row r="10620" spans="9:13" x14ac:dyDescent="0.25">
      <c r="I10620" t="s">
        <v>3794</v>
      </c>
      <c r="J10620" s="161" t="s">
        <v>19202</v>
      </c>
      <c r="K10620" t="s">
        <v>19203</v>
      </c>
      <c r="L10620" t="s">
        <v>3793</v>
      </c>
      <c r="M10620" s="161" t="s">
        <v>19202</v>
      </c>
    </row>
    <row r="10621" spans="9:13" x14ac:dyDescent="0.25">
      <c r="I10621" t="s">
        <v>21351</v>
      </c>
      <c r="J10621" s="161" t="s">
        <v>19202</v>
      </c>
      <c r="K10621" t="s">
        <v>19203</v>
      </c>
      <c r="L10621" t="s">
        <v>6084</v>
      </c>
      <c r="M10621" s="161" t="s">
        <v>19202</v>
      </c>
    </row>
    <row r="10622" spans="9:13" x14ac:dyDescent="0.25">
      <c r="I10622" t="s">
        <v>21352</v>
      </c>
      <c r="J10622" s="161" t="s">
        <v>19202</v>
      </c>
      <c r="K10622" t="s">
        <v>19203</v>
      </c>
      <c r="L10622" t="s">
        <v>21353</v>
      </c>
      <c r="M10622" s="161" t="s">
        <v>19202</v>
      </c>
    </row>
    <row r="10623" spans="9:13" x14ac:dyDescent="0.25">
      <c r="I10623" t="s">
        <v>21354</v>
      </c>
      <c r="J10623" s="161" t="s">
        <v>19202</v>
      </c>
      <c r="K10623" t="s">
        <v>19203</v>
      </c>
      <c r="L10623" t="s">
        <v>3943</v>
      </c>
      <c r="M10623" s="161" t="s">
        <v>19202</v>
      </c>
    </row>
    <row r="10624" spans="9:13" x14ac:dyDescent="0.25">
      <c r="I10624" t="s">
        <v>11895</v>
      </c>
      <c r="J10624" s="161" t="s">
        <v>19202</v>
      </c>
      <c r="K10624" t="s">
        <v>19203</v>
      </c>
      <c r="L10624" t="s">
        <v>11894</v>
      </c>
      <c r="M10624" s="161" t="s">
        <v>19202</v>
      </c>
    </row>
    <row r="10625" spans="9:13" x14ac:dyDescent="0.25">
      <c r="I10625" t="s">
        <v>193</v>
      </c>
      <c r="J10625" s="161" t="s">
        <v>19202</v>
      </c>
      <c r="K10625" t="s">
        <v>19203</v>
      </c>
      <c r="L10625" t="s">
        <v>192</v>
      </c>
      <c r="M10625" s="161" t="s">
        <v>19202</v>
      </c>
    </row>
    <row r="10626" spans="9:13" x14ac:dyDescent="0.25">
      <c r="I10626" t="s">
        <v>10137</v>
      </c>
      <c r="J10626" s="161" t="s">
        <v>19202</v>
      </c>
      <c r="K10626" t="s">
        <v>19203</v>
      </c>
      <c r="L10626" t="s">
        <v>10136</v>
      </c>
      <c r="M10626" s="161" t="s">
        <v>19202</v>
      </c>
    </row>
    <row r="10627" spans="9:13" x14ac:dyDescent="0.25">
      <c r="I10627" t="s">
        <v>21355</v>
      </c>
      <c r="J10627" s="161" t="s">
        <v>19994</v>
      </c>
      <c r="K10627" t="s">
        <v>19203</v>
      </c>
      <c r="L10627" t="s">
        <v>21356</v>
      </c>
      <c r="M10627" s="161" t="s">
        <v>19994</v>
      </c>
    </row>
    <row r="10628" spans="9:13" x14ac:dyDescent="0.25">
      <c r="I10628" t="s">
        <v>21357</v>
      </c>
      <c r="J10628" s="161" t="s">
        <v>19994</v>
      </c>
      <c r="K10628" t="s">
        <v>19203</v>
      </c>
      <c r="L10628" t="s">
        <v>21358</v>
      </c>
      <c r="M10628" s="161" t="s">
        <v>19994</v>
      </c>
    </row>
    <row r="10629" spans="9:13" x14ac:dyDescent="0.25">
      <c r="I10629" t="s">
        <v>21359</v>
      </c>
      <c r="J10629" s="161" t="s">
        <v>19202</v>
      </c>
      <c r="K10629" t="s">
        <v>19203</v>
      </c>
      <c r="L10629" t="s">
        <v>21360</v>
      </c>
      <c r="M10629" s="161" t="s">
        <v>19202</v>
      </c>
    </row>
    <row r="10630" spans="9:13" x14ac:dyDescent="0.25">
      <c r="I10630" t="s">
        <v>5551</v>
      </c>
      <c r="J10630" s="161" t="s">
        <v>19202</v>
      </c>
      <c r="K10630" t="s">
        <v>19203</v>
      </c>
      <c r="L10630" t="s">
        <v>5550</v>
      </c>
      <c r="M10630" s="161" t="s">
        <v>19202</v>
      </c>
    </row>
    <row r="10631" spans="9:13" x14ac:dyDescent="0.25">
      <c r="I10631" t="s">
        <v>21361</v>
      </c>
      <c r="J10631" s="161" t="s">
        <v>19202</v>
      </c>
      <c r="K10631" t="s">
        <v>19203</v>
      </c>
      <c r="L10631" t="s">
        <v>21362</v>
      </c>
      <c r="M10631" s="161" t="s">
        <v>19202</v>
      </c>
    </row>
    <row r="10632" spans="9:13" x14ac:dyDescent="0.25">
      <c r="I10632" t="s">
        <v>5545</v>
      </c>
      <c r="J10632" s="161" t="s">
        <v>19994</v>
      </c>
      <c r="K10632" t="s">
        <v>19203</v>
      </c>
      <c r="L10632" t="s">
        <v>5544</v>
      </c>
      <c r="M10632" s="161" t="s">
        <v>19994</v>
      </c>
    </row>
    <row r="10633" spans="9:13" x14ac:dyDescent="0.25">
      <c r="I10633" t="s">
        <v>72</v>
      </c>
      <c r="J10633" s="161" t="s">
        <v>19202</v>
      </c>
      <c r="K10633" t="s">
        <v>19203</v>
      </c>
      <c r="L10633" t="s">
        <v>71</v>
      </c>
      <c r="M10633" s="161" t="s">
        <v>19202</v>
      </c>
    </row>
    <row r="10634" spans="9:13" x14ac:dyDescent="0.25">
      <c r="I10634" t="s">
        <v>4968</v>
      </c>
      <c r="J10634" s="161" t="s">
        <v>19202</v>
      </c>
      <c r="K10634" t="s">
        <v>19203</v>
      </c>
      <c r="L10634" t="s">
        <v>4967</v>
      </c>
      <c r="M10634" s="161" t="s">
        <v>19202</v>
      </c>
    </row>
    <row r="10635" spans="9:13" x14ac:dyDescent="0.25">
      <c r="I10635" t="s">
        <v>11434</v>
      </c>
      <c r="J10635" s="161" t="s">
        <v>19994</v>
      </c>
      <c r="K10635" t="s">
        <v>19203</v>
      </c>
      <c r="L10635" t="s">
        <v>11433</v>
      </c>
      <c r="M10635" s="161" t="s">
        <v>19994</v>
      </c>
    </row>
    <row r="10636" spans="9:13" x14ac:dyDescent="0.25">
      <c r="I10636" t="s">
        <v>11395</v>
      </c>
      <c r="J10636" s="161" t="s">
        <v>19202</v>
      </c>
      <c r="K10636" t="s">
        <v>19203</v>
      </c>
      <c r="L10636" t="s">
        <v>11394</v>
      </c>
      <c r="M10636" s="161" t="s">
        <v>19202</v>
      </c>
    </row>
    <row r="10637" spans="9:13" x14ac:dyDescent="0.25">
      <c r="I10637" t="s">
        <v>21363</v>
      </c>
      <c r="J10637" s="161" t="s">
        <v>19202</v>
      </c>
      <c r="K10637" t="s">
        <v>19203</v>
      </c>
      <c r="L10637" t="s">
        <v>21364</v>
      </c>
      <c r="M10637" s="161" t="s">
        <v>19202</v>
      </c>
    </row>
    <row r="10638" spans="9:13" x14ac:dyDescent="0.25">
      <c r="I10638" t="s">
        <v>21365</v>
      </c>
      <c r="J10638" s="161" t="s">
        <v>19202</v>
      </c>
      <c r="K10638" t="s">
        <v>19203</v>
      </c>
      <c r="L10638" t="s">
        <v>21366</v>
      </c>
      <c r="M10638" s="161" t="s">
        <v>19202</v>
      </c>
    </row>
    <row r="10639" spans="9:13" x14ac:dyDescent="0.25">
      <c r="I10639" t="s">
        <v>21367</v>
      </c>
      <c r="J10639" s="161" t="s">
        <v>19202</v>
      </c>
      <c r="K10639" t="s">
        <v>19203</v>
      </c>
      <c r="L10639" t="s">
        <v>21368</v>
      </c>
      <c r="M10639" s="161" t="s">
        <v>19202</v>
      </c>
    </row>
    <row r="10640" spans="9:13" x14ac:dyDescent="0.25">
      <c r="I10640" t="s">
        <v>11320</v>
      </c>
      <c r="J10640" s="161" t="s">
        <v>19994</v>
      </c>
      <c r="K10640" t="s">
        <v>19203</v>
      </c>
      <c r="L10640" t="s">
        <v>11319</v>
      </c>
      <c r="M10640" s="161" t="s">
        <v>19994</v>
      </c>
    </row>
    <row r="10641" spans="9:13" x14ac:dyDescent="0.25">
      <c r="I10641" t="s">
        <v>21369</v>
      </c>
      <c r="J10641" s="161" t="s">
        <v>19994</v>
      </c>
      <c r="K10641" t="s">
        <v>19203</v>
      </c>
      <c r="L10641" t="s">
        <v>21370</v>
      </c>
      <c r="M10641" s="161" t="s">
        <v>19994</v>
      </c>
    </row>
    <row r="10642" spans="9:13" x14ac:dyDescent="0.25">
      <c r="I10642" t="s">
        <v>21371</v>
      </c>
      <c r="J10642" s="161" t="s">
        <v>19994</v>
      </c>
      <c r="K10642" t="s">
        <v>19203</v>
      </c>
      <c r="L10642" t="s">
        <v>21372</v>
      </c>
      <c r="M10642" s="161" t="s">
        <v>19994</v>
      </c>
    </row>
    <row r="10643" spans="9:13" x14ac:dyDescent="0.25">
      <c r="I10643" t="s">
        <v>21373</v>
      </c>
      <c r="J10643" s="161" t="s">
        <v>19994</v>
      </c>
      <c r="K10643" t="s">
        <v>19203</v>
      </c>
      <c r="L10643" t="s">
        <v>21374</v>
      </c>
      <c r="M10643" s="161" t="s">
        <v>19994</v>
      </c>
    </row>
    <row r="10644" spans="9:13" x14ac:dyDescent="0.25">
      <c r="I10644" t="s">
        <v>21375</v>
      </c>
      <c r="J10644" s="161" t="s">
        <v>19994</v>
      </c>
      <c r="K10644" t="s">
        <v>19203</v>
      </c>
      <c r="L10644" t="s">
        <v>14242</v>
      </c>
      <c r="M10644" s="161" t="s">
        <v>19994</v>
      </c>
    </row>
    <row r="10645" spans="9:13" x14ac:dyDescent="0.25">
      <c r="I10645" t="s">
        <v>11440</v>
      </c>
      <c r="J10645" s="161" t="s">
        <v>19202</v>
      </c>
      <c r="K10645" t="s">
        <v>19203</v>
      </c>
      <c r="L10645" t="s">
        <v>11439</v>
      </c>
      <c r="M10645" s="161" t="s">
        <v>19202</v>
      </c>
    </row>
    <row r="10646" spans="9:13" x14ac:dyDescent="0.25">
      <c r="I10646" t="s">
        <v>11413</v>
      </c>
      <c r="J10646" s="161" t="s">
        <v>19994</v>
      </c>
      <c r="K10646" t="s">
        <v>19203</v>
      </c>
      <c r="L10646" t="s">
        <v>11412</v>
      </c>
      <c r="M10646" s="161" t="s">
        <v>19994</v>
      </c>
    </row>
    <row r="10647" spans="9:13" x14ac:dyDescent="0.25">
      <c r="I10647" t="s">
        <v>21376</v>
      </c>
      <c r="J10647" s="161" t="s">
        <v>19202</v>
      </c>
      <c r="K10647" t="s">
        <v>19203</v>
      </c>
      <c r="L10647" t="s">
        <v>21377</v>
      </c>
      <c r="M10647" s="161" t="s">
        <v>19202</v>
      </c>
    </row>
    <row r="10648" spans="9:13" x14ac:dyDescent="0.25">
      <c r="I10648" t="s">
        <v>5562</v>
      </c>
      <c r="J10648" s="161" t="s">
        <v>19202</v>
      </c>
      <c r="K10648" t="s">
        <v>19203</v>
      </c>
      <c r="L10648" t="s">
        <v>5561</v>
      </c>
      <c r="M10648" s="161" t="s">
        <v>19202</v>
      </c>
    </row>
    <row r="10649" spans="9:13" x14ac:dyDescent="0.25">
      <c r="I10649" t="s">
        <v>21378</v>
      </c>
      <c r="J10649" s="161" t="s">
        <v>19994</v>
      </c>
      <c r="K10649" t="s">
        <v>19203</v>
      </c>
      <c r="L10649" t="s">
        <v>21379</v>
      </c>
      <c r="M10649" s="161" t="s">
        <v>19994</v>
      </c>
    </row>
    <row r="10650" spans="9:13" x14ac:dyDescent="0.25">
      <c r="I10650" t="s">
        <v>8630</v>
      </c>
      <c r="J10650" s="161" t="s">
        <v>19994</v>
      </c>
      <c r="K10650" t="s">
        <v>19203</v>
      </c>
      <c r="L10650" t="s">
        <v>8629</v>
      </c>
      <c r="M10650" s="161" t="s">
        <v>19994</v>
      </c>
    </row>
    <row r="10651" spans="9:13" x14ac:dyDescent="0.25">
      <c r="I10651" t="s">
        <v>6280</v>
      </c>
      <c r="J10651" s="161" t="s">
        <v>19994</v>
      </c>
      <c r="K10651" t="s">
        <v>19203</v>
      </c>
      <c r="L10651" t="s">
        <v>6241</v>
      </c>
      <c r="M10651" s="161" t="s">
        <v>19994</v>
      </c>
    </row>
    <row r="10652" spans="9:13" x14ac:dyDescent="0.25">
      <c r="I10652" t="s">
        <v>21380</v>
      </c>
      <c r="J10652" s="161" t="s">
        <v>19202</v>
      </c>
      <c r="K10652" t="s">
        <v>19203</v>
      </c>
      <c r="L10652" t="s">
        <v>21381</v>
      </c>
      <c r="M10652" s="161" t="s">
        <v>19202</v>
      </c>
    </row>
    <row r="10653" spans="9:13" x14ac:dyDescent="0.25">
      <c r="I10653" t="s">
        <v>130</v>
      </c>
      <c r="J10653" s="161" t="s">
        <v>19994</v>
      </c>
      <c r="K10653" t="s">
        <v>19203</v>
      </c>
      <c r="L10653" t="s">
        <v>129</v>
      </c>
      <c r="M10653" s="161" t="s">
        <v>19994</v>
      </c>
    </row>
    <row r="10654" spans="9:13" x14ac:dyDescent="0.25">
      <c r="I10654" t="s">
        <v>21382</v>
      </c>
      <c r="J10654" s="161" t="s">
        <v>19994</v>
      </c>
      <c r="K10654" t="s">
        <v>19203</v>
      </c>
      <c r="L10654" t="s">
        <v>21383</v>
      </c>
      <c r="M10654" s="161" t="s">
        <v>19994</v>
      </c>
    </row>
    <row r="10655" spans="9:13" x14ac:dyDescent="0.25">
      <c r="I10655" t="s">
        <v>21384</v>
      </c>
      <c r="J10655" s="161" t="s">
        <v>19994</v>
      </c>
      <c r="K10655" t="s">
        <v>19203</v>
      </c>
      <c r="L10655" t="s">
        <v>21385</v>
      </c>
      <c r="M10655" s="161" t="s">
        <v>19994</v>
      </c>
    </row>
    <row r="10656" spans="9:13" x14ac:dyDescent="0.25">
      <c r="I10656" t="s">
        <v>2762</v>
      </c>
      <c r="J10656" s="161" t="s">
        <v>19994</v>
      </c>
      <c r="K10656" t="s">
        <v>19203</v>
      </c>
      <c r="L10656" t="s">
        <v>2761</v>
      </c>
      <c r="M10656" s="161" t="s">
        <v>19994</v>
      </c>
    </row>
    <row r="10657" spans="9:13" x14ac:dyDescent="0.25">
      <c r="I10657" t="s">
        <v>21386</v>
      </c>
      <c r="J10657" s="161" t="s">
        <v>19994</v>
      </c>
      <c r="K10657" t="s">
        <v>19203</v>
      </c>
      <c r="L10657" t="s">
        <v>21387</v>
      </c>
      <c r="M10657" s="161" t="s">
        <v>19994</v>
      </c>
    </row>
    <row r="10658" spans="9:13" x14ac:dyDescent="0.25">
      <c r="I10658" t="s">
        <v>21388</v>
      </c>
      <c r="J10658" s="161" t="s">
        <v>19994</v>
      </c>
      <c r="K10658" t="s">
        <v>19203</v>
      </c>
      <c r="L10658" t="s">
        <v>21389</v>
      </c>
      <c r="M10658" s="161" t="s">
        <v>19994</v>
      </c>
    </row>
    <row r="10659" spans="9:13" x14ac:dyDescent="0.25">
      <c r="I10659" t="s">
        <v>10025</v>
      </c>
      <c r="J10659" s="161" t="s">
        <v>19994</v>
      </c>
      <c r="K10659" t="s">
        <v>19203</v>
      </c>
      <c r="L10659" t="s">
        <v>10024</v>
      </c>
      <c r="M10659" s="161" t="s">
        <v>19994</v>
      </c>
    </row>
    <row r="10660" spans="9:13" x14ac:dyDescent="0.25">
      <c r="I10660" t="s">
        <v>10023</v>
      </c>
      <c r="J10660" s="161" t="s">
        <v>19202</v>
      </c>
      <c r="K10660" t="s">
        <v>19203</v>
      </c>
      <c r="L10660" t="s">
        <v>10022</v>
      </c>
      <c r="M10660" s="161" t="s">
        <v>19202</v>
      </c>
    </row>
    <row r="10661" spans="9:13" x14ac:dyDescent="0.25">
      <c r="I10661" t="s">
        <v>21390</v>
      </c>
      <c r="J10661" s="161" t="s">
        <v>19202</v>
      </c>
      <c r="K10661" t="s">
        <v>19203</v>
      </c>
      <c r="L10661" t="s">
        <v>1031</v>
      </c>
      <c r="M10661" s="161" t="s">
        <v>19202</v>
      </c>
    </row>
    <row r="10662" spans="9:13" x14ac:dyDescent="0.25">
      <c r="I10662" t="s">
        <v>21391</v>
      </c>
      <c r="J10662" s="161" t="s">
        <v>19994</v>
      </c>
      <c r="K10662" t="s">
        <v>19203</v>
      </c>
      <c r="L10662" t="s">
        <v>21392</v>
      </c>
      <c r="M10662" s="161" t="s">
        <v>19994</v>
      </c>
    </row>
    <row r="10663" spans="9:13" x14ac:dyDescent="0.25">
      <c r="I10663" t="s">
        <v>21393</v>
      </c>
      <c r="J10663" s="161" t="s">
        <v>19994</v>
      </c>
      <c r="K10663" t="s">
        <v>19203</v>
      </c>
      <c r="L10663" t="s">
        <v>8161</v>
      </c>
      <c r="M10663" s="161" t="s">
        <v>19994</v>
      </c>
    </row>
    <row r="10664" spans="9:13" x14ac:dyDescent="0.25">
      <c r="I10664" t="s">
        <v>21394</v>
      </c>
      <c r="J10664" s="161" t="s">
        <v>19994</v>
      </c>
      <c r="K10664" t="s">
        <v>19203</v>
      </c>
      <c r="L10664" t="s">
        <v>21395</v>
      </c>
      <c r="M10664" s="161" t="s">
        <v>19994</v>
      </c>
    </row>
    <row r="10665" spans="9:13" x14ac:dyDescent="0.25">
      <c r="I10665" t="s">
        <v>21396</v>
      </c>
      <c r="J10665" s="161" t="s">
        <v>19202</v>
      </c>
      <c r="K10665" t="s">
        <v>19203</v>
      </c>
      <c r="L10665" t="s">
        <v>21397</v>
      </c>
      <c r="M10665" s="161" t="s">
        <v>19202</v>
      </c>
    </row>
    <row r="10666" spans="9:13" x14ac:dyDescent="0.25">
      <c r="I10666" t="s">
        <v>14639</v>
      </c>
      <c r="J10666" s="161" t="s">
        <v>19994</v>
      </c>
      <c r="K10666" t="s">
        <v>19203</v>
      </c>
      <c r="L10666" t="s">
        <v>14638</v>
      </c>
      <c r="M10666" s="161" t="s">
        <v>19994</v>
      </c>
    </row>
    <row r="10667" spans="9:13" x14ac:dyDescent="0.25">
      <c r="I10667" t="s">
        <v>21398</v>
      </c>
      <c r="J10667" s="161" t="s">
        <v>19202</v>
      </c>
      <c r="K10667" t="s">
        <v>19203</v>
      </c>
      <c r="L10667" t="s">
        <v>21399</v>
      </c>
      <c r="M10667" s="161" t="s">
        <v>19202</v>
      </c>
    </row>
    <row r="10668" spans="9:13" x14ac:dyDescent="0.25">
      <c r="I10668" t="s">
        <v>21400</v>
      </c>
      <c r="J10668" s="161" t="s">
        <v>19202</v>
      </c>
      <c r="K10668" t="s">
        <v>19203</v>
      </c>
      <c r="L10668" t="s">
        <v>21401</v>
      </c>
      <c r="M10668" s="161" t="s">
        <v>19202</v>
      </c>
    </row>
    <row r="10669" spans="9:13" x14ac:dyDescent="0.25">
      <c r="I10669" t="s">
        <v>21402</v>
      </c>
      <c r="J10669" s="161" t="s">
        <v>19202</v>
      </c>
      <c r="K10669" t="s">
        <v>19203</v>
      </c>
      <c r="L10669" t="s">
        <v>21403</v>
      </c>
      <c r="M10669" s="161" t="s">
        <v>19202</v>
      </c>
    </row>
    <row r="10670" spans="9:13" x14ac:dyDescent="0.25">
      <c r="I10670" t="s">
        <v>21404</v>
      </c>
      <c r="J10670" s="161" t="s">
        <v>19202</v>
      </c>
      <c r="K10670" t="s">
        <v>19203</v>
      </c>
      <c r="L10670" t="s">
        <v>21405</v>
      </c>
      <c r="M10670" s="161" t="s">
        <v>19202</v>
      </c>
    </row>
    <row r="10671" spans="9:13" x14ac:dyDescent="0.25">
      <c r="I10671" t="s">
        <v>16406</v>
      </c>
      <c r="J10671" s="161" t="s">
        <v>19994</v>
      </c>
      <c r="K10671" t="s">
        <v>19203</v>
      </c>
      <c r="L10671" t="s">
        <v>16405</v>
      </c>
      <c r="M10671" s="161" t="s">
        <v>19994</v>
      </c>
    </row>
    <row r="10672" spans="9:13" x14ac:dyDescent="0.25">
      <c r="I10672" t="s">
        <v>16404</v>
      </c>
      <c r="J10672" s="161" t="s">
        <v>19994</v>
      </c>
      <c r="K10672" t="s">
        <v>19203</v>
      </c>
      <c r="L10672" t="s">
        <v>16403</v>
      </c>
      <c r="M10672" s="161" t="s">
        <v>19994</v>
      </c>
    </row>
    <row r="10673" spans="9:13" x14ac:dyDescent="0.25">
      <c r="I10673" t="s">
        <v>21406</v>
      </c>
      <c r="J10673" s="161" t="s">
        <v>19202</v>
      </c>
      <c r="K10673" t="s">
        <v>19203</v>
      </c>
      <c r="L10673" t="s">
        <v>5221</v>
      </c>
      <c r="M10673" s="161" t="s">
        <v>19202</v>
      </c>
    </row>
    <row r="10674" spans="9:13" x14ac:dyDescent="0.25">
      <c r="I10674" t="s">
        <v>21407</v>
      </c>
      <c r="J10674" s="161" t="s">
        <v>19202</v>
      </c>
      <c r="K10674" t="s">
        <v>19203</v>
      </c>
      <c r="L10674" t="s">
        <v>16323</v>
      </c>
      <c r="M10674" s="161" t="s">
        <v>19202</v>
      </c>
    </row>
    <row r="10675" spans="9:13" x14ac:dyDescent="0.25">
      <c r="I10675" t="s">
        <v>21408</v>
      </c>
      <c r="J10675" s="161" t="s">
        <v>19202</v>
      </c>
      <c r="K10675" t="s">
        <v>19203</v>
      </c>
      <c r="L10675" t="s">
        <v>21409</v>
      </c>
      <c r="M10675" s="161" t="s">
        <v>19202</v>
      </c>
    </row>
    <row r="10676" spans="9:13" x14ac:dyDescent="0.25">
      <c r="I10676" t="s">
        <v>21410</v>
      </c>
      <c r="J10676" s="161" t="s">
        <v>19994</v>
      </c>
      <c r="K10676" t="s">
        <v>19203</v>
      </c>
      <c r="L10676" t="s">
        <v>21411</v>
      </c>
      <c r="M10676" s="161" t="s">
        <v>19994</v>
      </c>
    </row>
    <row r="10677" spans="9:13" x14ac:dyDescent="0.25">
      <c r="I10677" t="s">
        <v>21412</v>
      </c>
      <c r="J10677" s="161" t="s">
        <v>19994</v>
      </c>
      <c r="K10677" t="s">
        <v>19203</v>
      </c>
      <c r="L10677" t="s">
        <v>15270</v>
      </c>
      <c r="M10677" s="161" t="s">
        <v>19994</v>
      </c>
    </row>
    <row r="10678" spans="9:13" x14ac:dyDescent="0.25">
      <c r="I10678" t="s">
        <v>21413</v>
      </c>
      <c r="J10678" s="161" t="s">
        <v>19994</v>
      </c>
      <c r="K10678" t="s">
        <v>19203</v>
      </c>
      <c r="L10678" t="s">
        <v>21414</v>
      </c>
      <c r="M10678" s="161" t="s">
        <v>19994</v>
      </c>
    </row>
    <row r="10679" spans="9:13" x14ac:dyDescent="0.25">
      <c r="I10679" t="s">
        <v>21415</v>
      </c>
      <c r="J10679" s="161" t="s">
        <v>19202</v>
      </c>
      <c r="K10679" t="s">
        <v>19203</v>
      </c>
      <c r="L10679" t="s">
        <v>21416</v>
      </c>
      <c r="M10679" s="161" t="s">
        <v>19202</v>
      </c>
    </row>
    <row r="10680" spans="9:13" x14ac:dyDescent="0.25">
      <c r="I10680" t="s">
        <v>3014</v>
      </c>
      <c r="J10680" s="161" t="s">
        <v>19994</v>
      </c>
      <c r="K10680" t="s">
        <v>19203</v>
      </c>
      <c r="L10680" t="s">
        <v>3013</v>
      </c>
      <c r="M10680" s="161" t="s">
        <v>19994</v>
      </c>
    </row>
    <row r="10681" spans="9:13" x14ac:dyDescent="0.25">
      <c r="I10681" t="s">
        <v>21417</v>
      </c>
      <c r="J10681" s="161" t="s">
        <v>19202</v>
      </c>
      <c r="K10681" t="s">
        <v>19203</v>
      </c>
      <c r="L10681" t="s">
        <v>21418</v>
      </c>
      <c r="M10681" s="161" t="s">
        <v>19202</v>
      </c>
    </row>
    <row r="10682" spans="9:13" x14ac:dyDescent="0.25">
      <c r="I10682" t="s">
        <v>21419</v>
      </c>
      <c r="J10682" s="161" t="s">
        <v>19202</v>
      </c>
      <c r="K10682" t="s">
        <v>19203</v>
      </c>
      <c r="L10682" t="s">
        <v>21420</v>
      </c>
      <c r="M10682" s="161" t="s">
        <v>19202</v>
      </c>
    </row>
    <row r="10683" spans="9:13" x14ac:dyDescent="0.25">
      <c r="I10683" t="s">
        <v>21421</v>
      </c>
      <c r="J10683" s="161" t="s">
        <v>19202</v>
      </c>
      <c r="K10683" t="s">
        <v>19203</v>
      </c>
      <c r="L10683" t="s">
        <v>2716</v>
      </c>
      <c r="M10683" s="161" t="s">
        <v>19202</v>
      </c>
    </row>
    <row r="10684" spans="9:13" x14ac:dyDescent="0.25">
      <c r="I10684" t="s">
        <v>21422</v>
      </c>
      <c r="J10684" s="161" t="s">
        <v>19202</v>
      </c>
      <c r="K10684" t="s">
        <v>19203</v>
      </c>
      <c r="L10684" t="s">
        <v>21423</v>
      </c>
      <c r="M10684" s="161" t="s">
        <v>19202</v>
      </c>
    </row>
    <row r="10685" spans="9:13" x14ac:dyDescent="0.25">
      <c r="I10685" t="s">
        <v>21424</v>
      </c>
      <c r="J10685" s="161" t="s">
        <v>19994</v>
      </c>
      <c r="K10685" t="s">
        <v>19203</v>
      </c>
      <c r="L10685" t="s">
        <v>21425</v>
      </c>
      <c r="M10685" s="161" t="s">
        <v>19994</v>
      </c>
    </row>
    <row r="10686" spans="9:13" x14ac:dyDescent="0.25">
      <c r="I10686" t="s">
        <v>21426</v>
      </c>
      <c r="J10686" s="161" t="s">
        <v>19994</v>
      </c>
      <c r="K10686" t="s">
        <v>19203</v>
      </c>
      <c r="L10686" t="s">
        <v>21427</v>
      </c>
      <c r="M10686" s="161" t="s">
        <v>19994</v>
      </c>
    </row>
    <row r="10687" spans="9:13" x14ac:dyDescent="0.25">
      <c r="I10687" t="s">
        <v>21428</v>
      </c>
      <c r="J10687" s="161" t="s">
        <v>19994</v>
      </c>
      <c r="K10687" t="s">
        <v>19203</v>
      </c>
      <c r="L10687" t="s">
        <v>21429</v>
      </c>
      <c r="M10687" s="161" t="s">
        <v>19994</v>
      </c>
    </row>
    <row r="10688" spans="9:13" x14ac:dyDescent="0.25">
      <c r="I10688" t="s">
        <v>21430</v>
      </c>
      <c r="J10688" s="161" t="s">
        <v>19202</v>
      </c>
      <c r="K10688" t="s">
        <v>19203</v>
      </c>
      <c r="L10688" t="s">
        <v>21431</v>
      </c>
      <c r="M10688" s="161" t="s">
        <v>19202</v>
      </c>
    </row>
    <row r="10689" spans="9:13" x14ac:dyDescent="0.25">
      <c r="I10689" t="s">
        <v>21432</v>
      </c>
      <c r="J10689" s="161" t="s">
        <v>19994</v>
      </c>
      <c r="K10689" t="s">
        <v>19203</v>
      </c>
      <c r="L10689" t="s">
        <v>3512</v>
      </c>
      <c r="M10689" s="161" t="s">
        <v>19994</v>
      </c>
    </row>
    <row r="10690" spans="9:13" x14ac:dyDescent="0.25">
      <c r="I10690" t="s">
        <v>13973</v>
      </c>
      <c r="J10690" s="161" t="s">
        <v>19202</v>
      </c>
      <c r="K10690" t="s">
        <v>19203</v>
      </c>
      <c r="L10690" t="s">
        <v>13972</v>
      </c>
      <c r="M10690" s="161" t="s">
        <v>19202</v>
      </c>
    </row>
    <row r="10691" spans="9:13" x14ac:dyDescent="0.25">
      <c r="I10691" t="s">
        <v>13971</v>
      </c>
      <c r="J10691" s="161" t="s">
        <v>19202</v>
      </c>
      <c r="K10691" t="s">
        <v>19203</v>
      </c>
      <c r="L10691" t="s">
        <v>13970</v>
      </c>
      <c r="M10691" s="161" t="s">
        <v>19202</v>
      </c>
    </row>
    <row r="10692" spans="9:13" x14ac:dyDescent="0.25">
      <c r="I10692" t="s">
        <v>21433</v>
      </c>
      <c r="J10692" s="161" t="s">
        <v>19202</v>
      </c>
      <c r="K10692" t="s">
        <v>19203</v>
      </c>
      <c r="L10692" t="s">
        <v>21434</v>
      </c>
      <c r="M10692" s="161" t="s">
        <v>19202</v>
      </c>
    </row>
    <row r="10693" spans="9:13" x14ac:dyDescent="0.25">
      <c r="I10693" t="s">
        <v>21435</v>
      </c>
      <c r="J10693" s="161" t="s">
        <v>19994</v>
      </c>
      <c r="K10693" t="s">
        <v>19203</v>
      </c>
      <c r="L10693" t="s">
        <v>21436</v>
      </c>
      <c r="M10693" s="161" t="s">
        <v>19994</v>
      </c>
    </row>
    <row r="10694" spans="9:13" x14ac:dyDescent="0.25">
      <c r="I10694" t="s">
        <v>9052</v>
      </c>
      <c r="J10694" s="161" t="s">
        <v>19994</v>
      </c>
      <c r="K10694" t="s">
        <v>19203</v>
      </c>
      <c r="L10694" t="s">
        <v>9051</v>
      </c>
      <c r="M10694" s="161" t="s">
        <v>19994</v>
      </c>
    </row>
    <row r="10695" spans="9:13" x14ac:dyDescent="0.25">
      <c r="I10695" t="s">
        <v>12985</v>
      </c>
      <c r="J10695" s="161" t="s">
        <v>19202</v>
      </c>
      <c r="K10695" t="s">
        <v>19203</v>
      </c>
      <c r="L10695" t="s">
        <v>12984</v>
      </c>
      <c r="M10695" s="161" t="s">
        <v>19202</v>
      </c>
    </row>
    <row r="10696" spans="9:13" x14ac:dyDescent="0.25">
      <c r="I10696" t="s">
        <v>21437</v>
      </c>
      <c r="J10696" s="161" t="s">
        <v>19202</v>
      </c>
      <c r="K10696" t="s">
        <v>19203</v>
      </c>
      <c r="L10696" t="s">
        <v>21438</v>
      </c>
      <c r="M10696" s="161" t="s">
        <v>19202</v>
      </c>
    </row>
    <row r="10697" spans="9:13" x14ac:dyDescent="0.25">
      <c r="I10697" t="s">
        <v>21439</v>
      </c>
      <c r="J10697" s="161" t="s">
        <v>19994</v>
      </c>
      <c r="K10697" t="s">
        <v>19203</v>
      </c>
      <c r="L10697" t="s">
        <v>21440</v>
      </c>
      <c r="M10697" s="161" t="s">
        <v>19994</v>
      </c>
    </row>
    <row r="10698" spans="9:13" x14ac:dyDescent="0.25">
      <c r="I10698" t="s">
        <v>21441</v>
      </c>
      <c r="J10698" s="161" t="s">
        <v>19994</v>
      </c>
      <c r="K10698" t="s">
        <v>19203</v>
      </c>
      <c r="L10698" t="s">
        <v>21442</v>
      </c>
      <c r="M10698" s="161" t="s">
        <v>19994</v>
      </c>
    </row>
    <row r="10699" spans="9:13" x14ac:dyDescent="0.25">
      <c r="I10699" t="s">
        <v>21443</v>
      </c>
      <c r="J10699" s="161" t="s">
        <v>19994</v>
      </c>
      <c r="K10699" t="s">
        <v>19203</v>
      </c>
      <c r="L10699" t="s">
        <v>21444</v>
      </c>
      <c r="M10699" s="161" t="s">
        <v>19994</v>
      </c>
    </row>
    <row r="10700" spans="9:13" x14ac:dyDescent="0.25">
      <c r="I10700" t="s">
        <v>21445</v>
      </c>
      <c r="J10700" s="161" t="s">
        <v>19202</v>
      </c>
      <c r="K10700" t="s">
        <v>19203</v>
      </c>
      <c r="L10700" t="s">
        <v>21446</v>
      </c>
      <c r="M10700" s="161" t="s">
        <v>19202</v>
      </c>
    </row>
    <row r="10701" spans="9:13" x14ac:dyDescent="0.25">
      <c r="I10701" t="s">
        <v>4104</v>
      </c>
      <c r="J10701" s="161" t="s">
        <v>19994</v>
      </c>
      <c r="K10701" t="s">
        <v>19203</v>
      </c>
      <c r="L10701" t="s">
        <v>1031</v>
      </c>
      <c r="M10701" s="161" t="s">
        <v>19994</v>
      </c>
    </row>
    <row r="10702" spans="9:13" x14ac:dyDescent="0.25">
      <c r="I10702" t="s">
        <v>21447</v>
      </c>
      <c r="J10702" s="161" t="s">
        <v>19994</v>
      </c>
      <c r="K10702" t="s">
        <v>19203</v>
      </c>
      <c r="L10702" t="s">
        <v>21448</v>
      </c>
      <c r="M10702" s="161" t="s">
        <v>19994</v>
      </c>
    </row>
    <row r="10703" spans="9:13" x14ac:dyDescent="0.25">
      <c r="I10703" t="s">
        <v>21449</v>
      </c>
      <c r="J10703" s="161" t="s">
        <v>19202</v>
      </c>
      <c r="K10703" t="s">
        <v>19203</v>
      </c>
      <c r="L10703" t="s">
        <v>21450</v>
      </c>
      <c r="M10703" s="161" t="s">
        <v>19202</v>
      </c>
    </row>
    <row r="10704" spans="9:13" x14ac:dyDescent="0.25">
      <c r="I10704" t="s">
        <v>16655</v>
      </c>
      <c r="J10704" s="161" t="s">
        <v>19994</v>
      </c>
      <c r="K10704" t="s">
        <v>19203</v>
      </c>
      <c r="L10704" t="s">
        <v>16616</v>
      </c>
      <c r="M10704" s="161" t="s">
        <v>19994</v>
      </c>
    </row>
    <row r="10705" spans="9:13" x14ac:dyDescent="0.25">
      <c r="I10705" t="s">
        <v>21451</v>
      </c>
      <c r="J10705" s="161" t="s">
        <v>19994</v>
      </c>
      <c r="K10705" t="s">
        <v>19203</v>
      </c>
      <c r="L10705" t="s">
        <v>21452</v>
      </c>
      <c r="M10705" s="161" t="s">
        <v>19994</v>
      </c>
    </row>
    <row r="10706" spans="9:13" x14ac:dyDescent="0.25">
      <c r="I10706" t="s">
        <v>14832</v>
      </c>
      <c r="J10706" s="161" t="s">
        <v>19994</v>
      </c>
      <c r="K10706" t="s">
        <v>19203</v>
      </c>
      <c r="L10706" t="s">
        <v>13703</v>
      </c>
      <c r="M10706" s="161" t="s">
        <v>19994</v>
      </c>
    </row>
    <row r="10707" spans="9:13" x14ac:dyDescent="0.25">
      <c r="I10707" t="s">
        <v>21453</v>
      </c>
      <c r="J10707" s="161" t="s">
        <v>19202</v>
      </c>
      <c r="K10707" t="s">
        <v>19203</v>
      </c>
      <c r="L10707" t="s">
        <v>1208</v>
      </c>
      <c r="M10707" s="161" t="s">
        <v>19202</v>
      </c>
    </row>
    <row r="10708" spans="9:13" x14ac:dyDescent="0.25">
      <c r="I10708" t="s">
        <v>21454</v>
      </c>
      <c r="J10708" s="161" t="s">
        <v>19994</v>
      </c>
      <c r="K10708" t="s">
        <v>19203</v>
      </c>
      <c r="L10708" t="s">
        <v>21455</v>
      </c>
      <c r="M10708" s="161" t="s">
        <v>19994</v>
      </c>
    </row>
    <row r="10709" spans="9:13" x14ac:dyDescent="0.25">
      <c r="I10709" t="s">
        <v>21456</v>
      </c>
      <c r="J10709" s="161" t="s">
        <v>19202</v>
      </c>
      <c r="K10709" t="s">
        <v>19203</v>
      </c>
      <c r="L10709" t="s">
        <v>14899</v>
      </c>
      <c r="M10709" s="161" t="s">
        <v>19202</v>
      </c>
    </row>
    <row r="10710" spans="9:13" x14ac:dyDescent="0.25">
      <c r="I10710" t="s">
        <v>21457</v>
      </c>
      <c r="J10710" s="161" t="s">
        <v>19202</v>
      </c>
      <c r="K10710" t="s">
        <v>19203</v>
      </c>
      <c r="L10710" t="s">
        <v>21458</v>
      </c>
      <c r="M10710" s="161" t="s">
        <v>19202</v>
      </c>
    </row>
    <row r="10711" spans="9:13" x14ac:dyDescent="0.25">
      <c r="I10711" t="s">
        <v>3012</v>
      </c>
      <c r="J10711" s="161" t="s">
        <v>19994</v>
      </c>
      <c r="K10711" t="s">
        <v>19203</v>
      </c>
      <c r="L10711" t="s">
        <v>3011</v>
      </c>
      <c r="M10711" s="161" t="s">
        <v>19994</v>
      </c>
    </row>
    <row r="10712" spans="9:13" x14ac:dyDescent="0.25">
      <c r="I10712" t="s">
        <v>21459</v>
      </c>
      <c r="J10712" s="161" t="s">
        <v>19994</v>
      </c>
      <c r="K10712" t="s">
        <v>19203</v>
      </c>
      <c r="L10712" t="s">
        <v>21460</v>
      </c>
      <c r="M10712" s="161" t="s">
        <v>19994</v>
      </c>
    </row>
  </sheetData>
  <autoFilter ref="A2:L10789" xr:uid="{B1B38738-5F96-4EB9-BE74-6CB5F05BCD16}"/>
  <conditionalFormatting sqref="B104:B105 B99:B102">
    <cfRule type="cellIs" dxfId="6" priority="4" operator="equal">
      <formula>"VACANT"</formula>
    </cfRule>
  </conditionalFormatting>
  <conditionalFormatting sqref="B92:B127">
    <cfRule type="duplicateValues" dxfId="5" priority="5"/>
  </conditionalFormatting>
  <conditionalFormatting sqref="A92:A127">
    <cfRule type="duplicateValues" dxfId="4" priority="6"/>
  </conditionalFormatting>
  <conditionalFormatting sqref="A130:A135">
    <cfRule type="duplicateValues" dxfId="3" priority="7"/>
  </conditionalFormatting>
  <conditionalFormatting sqref="F104:F105 F99:F101">
    <cfRule type="cellIs" dxfId="2" priority="2" operator="equal">
      <formula>"VACANT"</formula>
    </cfRule>
  </conditionalFormatting>
  <conditionalFormatting sqref="F128">
    <cfRule type="duplicateValues" dxfId="1" priority="1"/>
  </conditionalFormatting>
  <conditionalFormatting sqref="F92:F97 F104:F107 F110:F115 F99:F101 F117:F120 F122:F12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6CF5-F02E-4227-B60B-8C814B57722A}">
  <sheetPr codeName="Sheet25"/>
  <dimension ref="A1:J443"/>
  <sheetViews>
    <sheetView topLeftCell="A111" workbookViewId="0">
      <selection activeCell="D147" sqref="D147"/>
    </sheetView>
  </sheetViews>
  <sheetFormatPr defaultRowHeight="15" x14ac:dyDescent="0.25"/>
  <cols>
    <col min="5" max="5" width="1.140625" customWidth="1"/>
    <col min="6" max="6" width="8.28515625" bestFit="1" customWidth="1"/>
    <col min="7" max="7" width="13.140625" bestFit="1" customWidth="1"/>
    <col min="8" max="8" width="39.7109375" bestFit="1" customWidth="1"/>
    <col min="9" max="9" width="6.5703125" bestFit="1" customWidth="1"/>
    <col min="10" max="10" width="1.42578125" customWidth="1"/>
  </cols>
  <sheetData>
    <row r="1" spans="1:10" x14ac:dyDescent="0.25">
      <c r="A1" s="143" t="s">
        <v>18391</v>
      </c>
      <c r="B1" s="143"/>
      <c r="C1" s="143"/>
      <c r="D1" s="143"/>
      <c r="E1" s="144"/>
      <c r="F1" s="145" t="s">
        <v>18392</v>
      </c>
      <c r="G1" s="145"/>
      <c r="H1" s="145"/>
      <c r="I1" s="145"/>
      <c r="J1" s="144"/>
    </row>
    <row r="2" spans="1:10" x14ac:dyDescent="0.25">
      <c r="A2" s="146" t="s">
        <v>18393</v>
      </c>
      <c r="B2" s="146" t="s">
        <v>18394</v>
      </c>
      <c r="C2" s="146" t="s">
        <v>18395</v>
      </c>
      <c r="D2" s="146" t="s">
        <v>18396</v>
      </c>
      <c r="E2" s="144"/>
      <c r="F2" s="146" t="s">
        <v>18397</v>
      </c>
      <c r="G2" s="146" t="s">
        <v>18398</v>
      </c>
      <c r="H2" s="146" t="s">
        <v>18399</v>
      </c>
      <c r="I2" s="146" t="s">
        <v>18279</v>
      </c>
      <c r="J2" s="144"/>
    </row>
    <row r="3" spans="1:10" x14ac:dyDescent="0.25">
      <c r="A3" s="147"/>
      <c r="B3" s="147"/>
      <c r="C3" s="147"/>
      <c r="D3" s="147"/>
      <c r="E3" s="144"/>
      <c r="F3" t="s">
        <v>1915</v>
      </c>
      <c r="G3" t="s">
        <v>1913</v>
      </c>
      <c r="H3" t="s">
        <v>1914</v>
      </c>
      <c r="I3" t="s">
        <v>18400</v>
      </c>
      <c r="J3" s="144"/>
    </row>
    <row r="4" spans="1:10" x14ac:dyDescent="0.25">
      <c r="A4" s="147"/>
      <c r="B4" s="147"/>
      <c r="C4" s="147"/>
      <c r="D4" s="147"/>
      <c r="E4" s="144"/>
      <c r="F4" t="s">
        <v>1912</v>
      </c>
      <c r="G4" t="s">
        <v>1910</v>
      </c>
      <c r="H4" t="s">
        <v>1911</v>
      </c>
      <c r="I4" t="s">
        <v>18400</v>
      </c>
      <c r="J4" s="144"/>
    </row>
    <row r="5" spans="1:10" x14ac:dyDescent="0.25">
      <c r="A5" s="148"/>
      <c r="B5" s="148"/>
      <c r="C5" s="148"/>
      <c r="D5" s="148"/>
      <c r="E5" s="144"/>
      <c r="F5" t="s">
        <v>18401</v>
      </c>
      <c r="G5" t="s">
        <v>18402</v>
      </c>
      <c r="H5" t="s">
        <v>18403</v>
      </c>
      <c r="I5" t="s">
        <v>18400</v>
      </c>
      <c r="J5" s="144"/>
    </row>
    <row r="6" spans="1:10" x14ac:dyDescent="0.25">
      <c r="A6" s="149" t="s">
        <v>18404</v>
      </c>
      <c r="B6" s="149" t="s">
        <v>18405</v>
      </c>
      <c r="C6" s="149" t="s">
        <v>12</v>
      </c>
      <c r="D6" s="149" t="s">
        <v>18406</v>
      </c>
      <c r="E6" s="144"/>
      <c r="F6" t="s">
        <v>17784</v>
      </c>
      <c r="G6" t="s">
        <v>17782</v>
      </c>
      <c r="H6" t="s">
        <v>17783</v>
      </c>
      <c r="I6" t="s">
        <v>18400</v>
      </c>
      <c r="J6" s="144"/>
    </row>
    <row r="7" spans="1:10" x14ac:dyDescent="0.25">
      <c r="A7" s="149" t="s">
        <v>18407</v>
      </c>
      <c r="B7" s="149" t="s">
        <v>18408</v>
      </c>
      <c r="C7" s="149" t="s">
        <v>12</v>
      </c>
      <c r="D7" s="149" t="s">
        <v>18406</v>
      </c>
      <c r="E7" s="144"/>
      <c r="F7" t="s">
        <v>1395</v>
      </c>
      <c r="G7" t="s">
        <v>1393</v>
      </c>
      <c r="H7" t="s">
        <v>1394</v>
      </c>
      <c r="I7" t="s">
        <v>18400</v>
      </c>
      <c r="J7" s="144"/>
    </row>
    <row r="8" spans="1:10" x14ac:dyDescent="0.25">
      <c r="A8" s="149" t="s">
        <v>18409</v>
      </c>
      <c r="B8" s="149" t="s">
        <v>18410</v>
      </c>
      <c r="C8" s="149" t="s">
        <v>18411</v>
      </c>
      <c r="D8" s="149" t="s">
        <v>18406</v>
      </c>
      <c r="E8" s="144"/>
      <c r="F8" t="s">
        <v>17781</v>
      </c>
      <c r="G8" t="s">
        <v>17780</v>
      </c>
      <c r="H8" t="s">
        <v>15628</v>
      </c>
      <c r="I8" t="s">
        <v>18400</v>
      </c>
      <c r="J8" s="144"/>
    </row>
    <row r="9" spans="1:10" x14ac:dyDescent="0.25">
      <c r="A9" s="149" t="s">
        <v>18412</v>
      </c>
      <c r="B9" s="149" t="s">
        <v>18413</v>
      </c>
      <c r="C9" s="149" t="s">
        <v>12</v>
      </c>
      <c r="D9" s="149" t="s">
        <v>18406</v>
      </c>
      <c r="E9" s="144"/>
      <c r="F9" t="s">
        <v>17378</v>
      </c>
      <c r="G9" t="s">
        <v>17377</v>
      </c>
      <c r="H9" t="s">
        <v>3799</v>
      </c>
      <c r="I9" t="s">
        <v>18400</v>
      </c>
      <c r="J9" s="144"/>
    </row>
    <row r="10" spans="1:10" x14ac:dyDescent="0.25">
      <c r="A10" s="149" t="s">
        <v>18414</v>
      </c>
      <c r="B10" s="149" t="s">
        <v>18415</v>
      </c>
      <c r="C10" s="149" t="s">
        <v>12</v>
      </c>
      <c r="D10" s="149" t="s">
        <v>18406</v>
      </c>
      <c r="E10" s="144"/>
      <c r="F10" t="s">
        <v>17779</v>
      </c>
      <c r="G10" t="s">
        <v>17777</v>
      </c>
      <c r="H10" t="s">
        <v>17778</v>
      </c>
      <c r="I10" t="s">
        <v>18400</v>
      </c>
      <c r="J10" s="144"/>
    </row>
    <row r="11" spans="1:10" x14ac:dyDescent="0.25">
      <c r="A11" s="150" t="s">
        <v>18416</v>
      </c>
      <c r="B11" s="150" t="s">
        <v>18028</v>
      </c>
      <c r="C11" s="150" t="s">
        <v>12</v>
      </c>
      <c r="D11" s="150" t="s">
        <v>18417</v>
      </c>
      <c r="E11" s="144"/>
      <c r="F11" t="s">
        <v>1909</v>
      </c>
      <c r="G11" t="s">
        <v>1907</v>
      </c>
      <c r="H11" t="s">
        <v>1908</v>
      </c>
      <c r="I11" t="s">
        <v>18400</v>
      </c>
      <c r="J11" s="144"/>
    </row>
    <row r="12" spans="1:10" x14ac:dyDescent="0.25">
      <c r="A12" s="150" t="s">
        <v>18418</v>
      </c>
      <c r="B12" s="150" t="s">
        <v>3943</v>
      </c>
      <c r="C12" s="150" t="s">
        <v>12</v>
      </c>
      <c r="D12" s="150" t="s">
        <v>18419</v>
      </c>
      <c r="E12" s="144"/>
      <c r="F12" t="s">
        <v>17920</v>
      </c>
      <c r="G12" t="s">
        <v>17919</v>
      </c>
      <c r="H12" t="s">
        <v>934</v>
      </c>
      <c r="I12" t="s">
        <v>18400</v>
      </c>
      <c r="J12" s="144"/>
    </row>
    <row r="13" spans="1:10" x14ac:dyDescent="0.25">
      <c r="A13" s="150" t="s">
        <v>18420</v>
      </c>
      <c r="B13" s="150" t="s">
        <v>612</v>
      </c>
      <c r="C13" s="150" t="s">
        <v>12</v>
      </c>
      <c r="D13" s="150" t="s">
        <v>18419</v>
      </c>
      <c r="E13" s="144"/>
      <c r="F13" t="s">
        <v>17776</v>
      </c>
      <c r="G13" t="s">
        <v>17775</v>
      </c>
      <c r="H13" t="s">
        <v>970</v>
      </c>
      <c r="I13" t="s">
        <v>18400</v>
      </c>
      <c r="J13" s="144"/>
    </row>
    <row r="14" spans="1:10" x14ac:dyDescent="0.25">
      <c r="A14" s="150" t="s">
        <v>18421</v>
      </c>
      <c r="B14" s="150" t="s">
        <v>18422</v>
      </c>
      <c r="C14" s="150" t="s">
        <v>12</v>
      </c>
      <c r="D14" s="150" t="s">
        <v>18419</v>
      </c>
      <c r="E14" s="144"/>
      <c r="F14" t="s">
        <v>2128</v>
      </c>
      <c r="G14" t="s">
        <v>2126</v>
      </c>
      <c r="H14" t="s">
        <v>2127</v>
      </c>
      <c r="I14" t="s">
        <v>18400</v>
      </c>
      <c r="J14" s="144"/>
    </row>
    <row r="15" spans="1:10" x14ac:dyDescent="0.25">
      <c r="A15" s="150" t="s">
        <v>18423</v>
      </c>
      <c r="B15" s="150" t="s">
        <v>18424</v>
      </c>
      <c r="C15" s="150" t="s">
        <v>12</v>
      </c>
      <c r="D15" s="150" t="s">
        <v>18419</v>
      </c>
      <c r="E15" s="144"/>
      <c r="F15" t="s">
        <v>1905</v>
      </c>
      <c r="G15" t="s">
        <v>1904</v>
      </c>
      <c r="H15" t="s">
        <v>1374</v>
      </c>
      <c r="I15" t="s">
        <v>18400</v>
      </c>
    </row>
    <row r="16" spans="1:10" x14ac:dyDescent="0.25">
      <c r="A16" s="150" t="s">
        <v>18425</v>
      </c>
      <c r="B16" s="150" t="s">
        <v>18426</v>
      </c>
      <c r="C16" s="150" t="s">
        <v>12</v>
      </c>
      <c r="D16" s="150" t="s">
        <v>18419</v>
      </c>
      <c r="E16" s="144"/>
      <c r="F16" t="s">
        <v>17771</v>
      </c>
      <c r="G16" t="s">
        <v>17770</v>
      </c>
      <c r="H16" t="s">
        <v>18427</v>
      </c>
      <c r="I16" t="s">
        <v>18400</v>
      </c>
    </row>
    <row r="17" spans="1:9" x14ac:dyDescent="0.25">
      <c r="A17" s="150" t="s">
        <v>18428</v>
      </c>
      <c r="B17" s="150" t="s">
        <v>1856</v>
      </c>
      <c r="C17" s="150" t="s">
        <v>12</v>
      </c>
      <c r="D17" s="150" t="s">
        <v>18419</v>
      </c>
      <c r="E17" s="144"/>
      <c r="F17" t="s">
        <v>1386</v>
      </c>
      <c r="G17" t="s">
        <v>1384</v>
      </c>
      <c r="H17" t="s">
        <v>1385</v>
      </c>
      <c r="I17" t="s">
        <v>18400</v>
      </c>
    </row>
    <row r="18" spans="1:9" x14ac:dyDescent="0.25">
      <c r="A18" s="150" t="s">
        <v>18429</v>
      </c>
      <c r="B18" s="150" t="s">
        <v>18430</v>
      </c>
      <c r="C18" s="150" t="s">
        <v>12</v>
      </c>
      <c r="D18" s="150" t="s">
        <v>18431</v>
      </c>
      <c r="E18" s="144"/>
      <c r="F18" t="s">
        <v>17844</v>
      </c>
      <c r="G18" t="s">
        <v>17843</v>
      </c>
      <c r="H18" t="s">
        <v>181</v>
      </c>
      <c r="I18" t="s">
        <v>18400</v>
      </c>
    </row>
    <row r="19" spans="1:9" x14ac:dyDescent="0.25">
      <c r="A19" s="150" t="s">
        <v>18432</v>
      </c>
      <c r="B19" s="150" t="s">
        <v>18433</v>
      </c>
      <c r="C19" s="150" t="s">
        <v>12</v>
      </c>
      <c r="D19" s="150" t="s">
        <v>18431</v>
      </c>
      <c r="E19" s="144"/>
      <c r="F19" t="s">
        <v>1903</v>
      </c>
      <c r="G19" t="s">
        <v>1901</v>
      </c>
      <c r="H19" t="s">
        <v>1902</v>
      </c>
      <c r="I19" t="s">
        <v>18400</v>
      </c>
    </row>
    <row r="20" spans="1:9" x14ac:dyDescent="0.25">
      <c r="A20" s="150" t="s">
        <v>18434</v>
      </c>
      <c r="B20" s="150" t="s">
        <v>18435</v>
      </c>
      <c r="C20" s="150" t="s">
        <v>12</v>
      </c>
      <c r="D20" s="150" t="s">
        <v>18431</v>
      </c>
      <c r="E20" s="144"/>
      <c r="F20" t="s">
        <v>1511</v>
      </c>
      <c r="G20" t="s">
        <v>1509</v>
      </c>
      <c r="H20" t="s">
        <v>1510</v>
      </c>
      <c r="I20" t="s">
        <v>18400</v>
      </c>
    </row>
    <row r="21" spans="1:9" x14ac:dyDescent="0.25">
      <c r="A21" s="150" t="s">
        <v>18436</v>
      </c>
      <c r="B21" s="150" t="s">
        <v>18437</v>
      </c>
      <c r="C21" s="150" t="s">
        <v>12</v>
      </c>
      <c r="D21" s="150" t="s">
        <v>18431</v>
      </c>
      <c r="E21" s="144"/>
      <c r="F21" t="s">
        <v>18102</v>
      </c>
      <c r="G21" t="s">
        <v>18100</v>
      </c>
      <c r="H21" t="s">
        <v>18101</v>
      </c>
      <c r="I21" t="s">
        <v>18400</v>
      </c>
    </row>
    <row r="22" spans="1:9" x14ac:dyDescent="0.25">
      <c r="A22" s="150" t="s">
        <v>18438</v>
      </c>
      <c r="B22" s="150" t="s">
        <v>18439</v>
      </c>
      <c r="C22" s="150" t="s">
        <v>9</v>
      </c>
      <c r="D22" s="150" t="s">
        <v>18431</v>
      </c>
      <c r="E22" s="144"/>
      <c r="F22" t="s">
        <v>1373</v>
      </c>
      <c r="G22" t="s">
        <v>1371</v>
      </c>
      <c r="H22" t="s">
        <v>1372</v>
      </c>
      <c r="I22" t="s">
        <v>18400</v>
      </c>
    </row>
    <row r="23" spans="1:9" x14ac:dyDescent="0.25">
      <c r="A23" s="150" t="s">
        <v>18440</v>
      </c>
      <c r="B23" s="150" t="s">
        <v>18441</v>
      </c>
      <c r="C23" s="150" t="s">
        <v>12</v>
      </c>
      <c r="D23" s="150" t="s">
        <v>18431</v>
      </c>
      <c r="E23" s="144"/>
      <c r="F23" t="s">
        <v>1897</v>
      </c>
      <c r="G23" t="s">
        <v>1895</v>
      </c>
      <c r="H23" t="s">
        <v>1896</v>
      </c>
      <c r="I23" t="s">
        <v>18400</v>
      </c>
    </row>
    <row r="24" spans="1:9" x14ac:dyDescent="0.25">
      <c r="A24" s="150" t="s">
        <v>18442</v>
      </c>
      <c r="B24" s="150" t="s">
        <v>18443</v>
      </c>
      <c r="C24" s="150" t="s">
        <v>9</v>
      </c>
      <c r="D24" s="150" t="s">
        <v>18431</v>
      </c>
      <c r="E24" s="144"/>
      <c r="F24" t="s">
        <v>17935</v>
      </c>
      <c r="G24" t="s">
        <v>17933</v>
      </c>
      <c r="H24" t="s">
        <v>17934</v>
      </c>
      <c r="I24" t="s">
        <v>18400</v>
      </c>
    </row>
    <row r="25" spans="1:9" x14ac:dyDescent="0.25">
      <c r="A25" s="150" t="s">
        <v>18444</v>
      </c>
      <c r="B25" s="150" t="s">
        <v>18445</v>
      </c>
      <c r="C25" s="150" t="s">
        <v>9</v>
      </c>
      <c r="D25" s="150" t="s">
        <v>18446</v>
      </c>
      <c r="E25" s="144"/>
      <c r="F25" t="s">
        <v>16841</v>
      </c>
      <c r="G25" t="s">
        <v>16839</v>
      </c>
      <c r="H25" t="s">
        <v>16840</v>
      </c>
      <c r="I25" t="s">
        <v>18400</v>
      </c>
    </row>
    <row r="26" spans="1:9" x14ac:dyDescent="0.25">
      <c r="A26" s="150" t="s">
        <v>18447</v>
      </c>
      <c r="B26" s="150" t="s">
        <v>18448</v>
      </c>
      <c r="C26" s="150" t="s">
        <v>11</v>
      </c>
      <c r="D26" s="150" t="s">
        <v>18446</v>
      </c>
      <c r="E26" s="144"/>
      <c r="F26" t="s">
        <v>18449</v>
      </c>
      <c r="G26" t="s">
        <v>18450</v>
      </c>
      <c r="H26" t="s">
        <v>18451</v>
      </c>
      <c r="I26" t="s">
        <v>18400</v>
      </c>
    </row>
    <row r="27" spans="1:9" x14ac:dyDescent="0.25">
      <c r="A27" s="150" t="s">
        <v>18452</v>
      </c>
      <c r="B27" s="150" t="s">
        <v>18453</v>
      </c>
      <c r="C27" s="150" t="s">
        <v>18454</v>
      </c>
      <c r="D27" s="150" t="s">
        <v>18446</v>
      </c>
      <c r="E27" s="144"/>
      <c r="F27" t="s">
        <v>17319</v>
      </c>
      <c r="G27" t="s">
        <v>17318</v>
      </c>
      <c r="H27" t="s">
        <v>11310</v>
      </c>
      <c r="I27" t="s">
        <v>18400</v>
      </c>
    </row>
    <row r="28" spans="1:9" x14ac:dyDescent="0.25">
      <c r="A28" s="150" t="s">
        <v>18455</v>
      </c>
      <c r="B28" s="150" t="s">
        <v>18456</v>
      </c>
      <c r="C28" s="150" t="s">
        <v>12</v>
      </c>
      <c r="D28" s="150" t="s">
        <v>18406</v>
      </c>
      <c r="E28" s="144"/>
      <c r="F28" t="s">
        <v>5518</v>
      </c>
      <c r="G28" t="s">
        <v>5516</v>
      </c>
      <c r="H28" t="s">
        <v>5517</v>
      </c>
      <c r="I28" t="s">
        <v>18400</v>
      </c>
    </row>
    <row r="29" spans="1:9" x14ac:dyDescent="0.25">
      <c r="A29" s="150" t="s">
        <v>18457</v>
      </c>
      <c r="B29" s="150" t="s">
        <v>10289</v>
      </c>
      <c r="C29" s="150" t="s">
        <v>12</v>
      </c>
      <c r="D29" s="150" t="s">
        <v>18406</v>
      </c>
      <c r="E29" s="144"/>
      <c r="F29" t="s">
        <v>1364</v>
      </c>
      <c r="G29" t="s">
        <v>1362</v>
      </c>
      <c r="H29" t="s">
        <v>1363</v>
      </c>
      <c r="I29" t="s">
        <v>18400</v>
      </c>
    </row>
    <row r="30" spans="1:9" x14ac:dyDescent="0.25">
      <c r="A30" s="150" t="s">
        <v>18458</v>
      </c>
      <c r="B30" s="150" t="s">
        <v>4345</v>
      </c>
      <c r="C30" s="150" t="s">
        <v>18459</v>
      </c>
      <c r="D30" s="150" t="s">
        <v>18406</v>
      </c>
      <c r="E30" s="144"/>
      <c r="F30" t="s">
        <v>16402</v>
      </c>
      <c r="G30" t="s">
        <v>16401</v>
      </c>
      <c r="H30" t="s">
        <v>12600</v>
      </c>
      <c r="I30" t="s">
        <v>18400</v>
      </c>
    </row>
    <row r="31" spans="1:9" x14ac:dyDescent="0.25">
      <c r="A31" s="150" t="s">
        <v>18460</v>
      </c>
      <c r="B31" s="150" t="s">
        <v>700</v>
      </c>
      <c r="C31" s="150" t="s">
        <v>9</v>
      </c>
      <c r="D31" s="150" t="s">
        <v>18461</v>
      </c>
      <c r="E31" s="144"/>
      <c r="F31" t="s">
        <v>18462</v>
      </c>
      <c r="G31" t="s">
        <v>17282</v>
      </c>
      <c r="H31" t="s">
        <v>1676</v>
      </c>
      <c r="I31" t="s">
        <v>18400</v>
      </c>
    </row>
    <row r="32" spans="1:9" x14ac:dyDescent="0.25">
      <c r="A32" s="150" t="s">
        <v>18463</v>
      </c>
      <c r="B32" s="150" t="s">
        <v>1837</v>
      </c>
      <c r="C32" s="150" t="s">
        <v>18464</v>
      </c>
      <c r="D32" s="150" t="s">
        <v>18461</v>
      </c>
      <c r="E32" s="144"/>
      <c r="F32" t="s">
        <v>2120</v>
      </c>
      <c r="G32" t="s">
        <v>2118</v>
      </c>
      <c r="H32" t="s">
        <v>2119</v>
      </c>
      <c r="I32" t="s">
        <v>18400</v>
      </c>
    </row>
    <row r="33" spans="1:9" x14ac:dyDescent="0.25">
      <c r="A33" s="150" t="s">
        <v>18465</v>
      </c>
      <c r="B33" s="150" t="s">
        <v>18466</v>
      </c>
      <c r="C33" s="150" t="s">
        <v>12</v>
      </c>
      <c r="D33" s="150" t="s">
        <v>18461</v>
      </c>
      <c r="E33" s="144"/>
      <c r="F33" t="s">
        <v>18042</v>
      </c>
      <c r="G33" t="s">
        <v>18041</v>
      </c>
      <c r="H33" t="s">
        <v>3562</v>
      </c>
      <c r="I33" t="s">
        <v>18400</v>
      </c>
    </row>
    <row r="34" spans="1:9" x14ac:dyDescent="0.25">
      <c r="A34" s="150" t="s">
        <v>18467</v>
      </c>
      <c r="B34" s="150" t="s">
        <v>18468</v>
      </c>
      <c r="C34" s="150" t="s">
        <v>9</v>
      </c>
      <c r="D34" s="150" t="s">
        <v>18461</v>
      </c>
      <c r="E34" s="144"/>
      <c r="F34" t="s">
        <v>1505</v>
      </c>
      <c r="G34" t="s">
        <v>1503</v>
      </c>
      <c r="H34" t="s">
        <v>1504</v>
      </c>
      <c r="I34" t="s">
        <v>18400</v>
      </c>
    </row>
    <row r="35" spans="1:9" x14ac:dyDescent="0.25">
      <c r="A35" s="150" t="s">
        <v>18469</v>
      </c>
      <c r="B35" s="150" t="s">
        <v>18470</v>
      </c>
      <c r="C35" s="150" t="s">
        <v>9</v>
      </c>
      <c r="D35" s="150" t="s">
        <v>18461</v>
      </c>
      <c r="E35" s="144"/>
      <c r="F35" t="s">
        <v>1502</v>
      </c>
      <c r="G35" t="s">
        <v>1500</v>
      </c>
      <c r="H35" t="s">
        <v>1501</v>
      </c>
      <c r="I35" t="s">
        <v>18400</v>
      </c>
    </row>
    <row r="36" spans="1:9" x14ac:dyDescent="0.25">
      <c r="A36" s="150" t="s">
        <v>18471</v>
      </c>
      <c r="B36" s="150" t="s">
        <v>18472</v>
      </c>
      <c r="C36" s="150" t="s">
        <v>6</v>
      </c>
      <c r="D36" s="150" t="s">
        <v>18473</v>
      </c>
      <c r="E36" s="144"/>
      <c r="F36" t="s">
        <v>18021</v>
      </c>
      <c r="G36" t="s">
        <v>18020</v>
      </c>
      <c r="H36" t="s">
        <v>758</v>
      </c>
      <c r="I36" t="s">
        <v>18400</v>
      </c>
    </row>
    <row r="37" spans="1:9" x14ac:dyDescent="0.25">
      <c r="A37" s="150" t="s">
        <v>18474</v>
      </c>
      <c r="B37" s="150" t="s">
        <v>18475</v>
      </c>
      <c r="C37" s="150" t="s">
        <v>12</v>
      </c>
      <c r="D37" s="150" t="s">
        <v>18473</v>
      </c>
      <c r="E37" s="144"/>
      <c r="F37" t="s">
        <v>1877</v>
      </c>
      <c r="G37" t="s">
        <v>1875</v>
      </c>
      <c r="H37" t="s">
        <v>1876</v>
      </c>
      <c r="I37" t="s">
        <v>18400</v>
      </c>
    </row>
    <row r="38" spans="1:9" x14ac:dyDescent="0.25">
      <c r="A38" s="150" t="s">
        <v>18476</v>
      </c>
      <c r="B38" s="150" t="s">
        <v>18477</v>
      </c>
      <c r="C38" s="150" t="s">
        <v>12</v>
      </c>
      <c r="D38" s="150" t="s">
        <v>18473</v>
      </c>
      <c r="E38" s="144"/>
      <c r="F38" t="s">
        <v>2115</v>
      </c>
      <c r="G38" t="s">
        <v>2113</v>
      </c>
      <c r="H38" t="s">
        <v>18478</v>
      </c>
      <c r="I38" t="s">
        <v>18400</v>
      </c>
    </row>
    <row r="39" spans="1:9" x14ac:dyDescent="0.25">
      <c r="A39" s="150" t="s">
        <v>18479</v>
      </c>
      <c r="B39" s="150" t="s">
        <v>18480</v>
      </c>
      <c r="C39" s="150" t="s">
        <v>11</v>
      </c>
      <c r="D39" s="150" t="s">
        <v>18473</v>
      </c>
      <c r="E39" s="144"/>
      <c r="F39" t="s">
        <v>1874</v>
      </c>
      <c r="G39" t="s">
        <v>1872</v>
      </c>
      <c r="H39" t="s">
        <v>1873</v>
      </c>
      <c r="I39" t="s">
        <v>18400</v>
      </c>
    </row>
    <row r="40" spans="1:9" x14ac:dyDescent="0.25">
      <c r="A40" s="150" t="s">
        <v>18481</v>
      </c>
      <c r="B40" s="150" t="s">
        <v>18482</v>
      </c>
      <c r="C40" s="150" t="s">
        <v>18483</v>
      </c>
      <c r="D40" s="150" t="s">
        <v>18473</v>
      </c>
      <c r="E40" s="144"/>
      <c r="F40" t="s">
        <v>18484</v>
      </c>
      <c r="G40" t="s">
        <v>18485</v>
      </c>
      <c r="H40" t="s">
        <v>1108</v>
      </c>
      <c r="I40" t="s">
        <v>18400</v>
      </c>
    </row>
    <row r="41" spans="1:9" x14ac:dyDescent="0.25">
      <c r="A41" s="150" t="s">
        <v>18486</v>
      </c>
      <c r="B41" s="150" t="s">
        <v>18487</v>
      </c>
      <c r="C41" s="150" t="s">
        <v>6</v>
      </c>
      <c r="D41" s="150" t="s">
        <v>18461</v>
      </c>
      <c r="E41" s="144"/>
      <c r="F41" t="s">
        <v>18488</v>
      </c>
      <c r="G41" t="s">
        <v>18489</v>
      </c>
      <c r="H41" t="s">
        <v>18490</v>
      </c>
      <c r="I41" t="s">
        <v>18400</v>
      </c>
    </row>
    <row r="42" spans="1:9" x14ac:dyDescent="0.25">
      <c r="A42" s="150" t="s">
        <v>18491</v>
      </c>
      <c r="B42" s="150" t="s">
        <v>18492</v>
      </c>
      <c r="C42" s="150" t="s">
        <v>18464</v>
      </c>
      <c r="D42" s="150" t="s">
        <v>18461</v>
      </c>
      <c r="E42" s="144"/>
      <c r="F42" t="s">
        <v>17746</v>
      </c>
      <c r="G42" t="s">
        <v>17745</v>
      </c>
      <c r="H42" t="s">
        <v>18493</v>
      </c>
      <c r="I42" t="s">
        <v>18400</v>
      </c>
    </row>
    <row r="43" spans="1:9" x14ac:dyDescent="0.25">
      <c r="A43" s="150" t="s">
        <v>18494</v>
      </c>
      <c r="B43" s="150" t="s">
        <v>18495</v>
      </c>
      <c r="C43" s="150" t="s">
        <v>18496</v>
      </c>
      <c r="D43" s="150" t="s">
        <v>18461</v>
      </c>
      <c r="E43" s="144"/>
      <c r="F43" t="s">
        <v>18497</v>
      </c>
      <c r="G43" t="s">
        <v>18498</v>
      </c>
      <c r="H43" t="s">
        <v>18499</v>
      </c>
      <c r="I43" t="s">
        <v>18400</v>
      </c>
    </row>
    <row r="44" spans="1:9" x14ac:dyDescent="0.25">
      <c r="A44" s="150" t="s">
        <v>18500</v>
      </c>
      <c r="B44" s="150" t="s">
        <v>18501</v>
      </c>
      <c r="C44" s="150" t="s">
        <v>12</v>
      </c>
      <c r="D44" s="150" t="s">
        <v>18461</v>
      </c>
      <c r="E44" s="144"/>
      <c r="F44" t="s">
        <v>17736</v>
      </c>
      <c r="G44" t="s">
        <v>17735</v>
      </c>
      <c r="H44" t="s">
        <v>16596</v>
      </c>
      <c r="I44" t="s">
        <v>18400</v>
      </c>
    </row>
    <row r="45" spans="1:9" x14ac:dyDescent="0.25">
      <c r="A45" s="150" t="s">
        <v>18502</v>
      </c>
      <c r="B45" s="150" t="s">
        <v>18503</v>
      </c>
      <c r="C45" s="150" t="s">
        <v>12</v>
      </c>
      <c r="D45" s="150" t="s">
        <v>18461</v>
      </c>
      <c r="E45" s="144"/>
      <c r="F45" t="s">
        <v>17734</v>
      </c>
      <c r="G45" t="s">
        <v>17732</v>
      </c>
      <c r="H45" t="s">
        <v>17733</v>
      </c>
      <c r="I45" t="s">
        <v>18400</v>
      </c>
    </row>
    <row r="46" spans="1:9" x14ac:dyDescent="0.25">
      <c r="A46" s="150" t="s">
        <v>18504</v>
      </c>
      <c r="B46" s="150" t="s">
        <v>18505</v>
      </c>
      <c r="C46" s="150" t="s">
        <v>9</v>
      </c>
      <c r="D46" s="150" t="s">
        <v>18419</v>
      </c>
      <c r="E46" s="144"/>
      <c r="F46" t="s">
        <v>1869</v>
      </c>
      <c r="G46" t="s">
        <v>1867</v>
      </c>
      <c r="H46" t="s">
        <v>1868</v>
      </c>
      <c r="I46" t="s">
        <v>18400</v>
      </c>
    </row>
    <row r="47" spans="1:9" x14ac:dyDescent="0.25">
      <c r="A47" s="150" t="s">
        <v>18506</v>
      </c>
      <c r="B47" s="150" t="s">
        <v>18507</v>
      </c>
      <c r="C47" s="150" t="s">
        <v>12</v>
      </c>
      <c r="D47" s="150" t="s">
        <v>18508</v>
      </c>
      <c r="E47" s="144"/>
      <c r="F47" t="s">
        <v>2112</v>
      </c>
      <c r="G47" t="s">
        <v>2110</v>
      </c>
      <c r="H47" t="s">
        <v>2111</v>
      </c>
      <c r="I47" t="s">
        <v>18400</v>
      </c>
    </row>
    <row r="48" spans="1:9" x14ac:dyDescent="0.25">
      <c r="A48" s="150" t="s">
        <v>18509</v>
      </c>
      <c r="B48" s="150" t="s">
        <v>18510</v>
      </c>
      <c r="C48" s="150" t="s">
        <v>9</v>
      </c>
      <c r="D48" s="150" t="s">
        <v>18419</v>
      </c>
      <c r="E48" s="144"/>
      <c r="F48" t="s">
        <v>17730</v>
      </c>
      <c r="G48" t="s">
        <v>17729</v>
      </c>
      <c r="H48" t="s">
        <v>3738</v>
      </c>
      <c r="I48" t="s">
        <v>18400</v>
      </c>
    </row>
    <row r="49" spans="1:9" x14ac:dyDescent="0.25">
      <c r="A49" s="150" t="s">
        <v>18511</v>
      </c>
      <c r="B49" s="150" t="s">
        <v>18512</v>
      </c>
      <c r="C49" s="150" t="s">
        <v>12</v>
      </c>
      <c r="D49" s="150" t="s">
        <v>18419</v>
      </c>
      <c r="E49" s="144"/>
      <c r="F49" t="s">
        <v>18513</v>
      </c>
      <c r="G49" t="s">
        <v>18514</v>
      </c>
      <c r="H49" t="s">
        <v>18515</v>
      </c>
      <c r="I49" t="s">
        <v>18400</v>
      </c>
    </row>
    <row r="50" spans="1:9" x14ac:dyDescent="0.25">
      <c r="A50" s="150" t="s">
        <v>18516</v>
      </c>
      <c r="B50" s="150" t="s">
        <v>13369</v>
      </c>
      <c r="C50" s="150" t="s">
        <v>12</v>
      </c>
      <c r="D50" s="150" t="s">
        <v>18419</v>
      </c>
      <c r="E50" s="144"/>
      <c r="F50" t="s">
        <v>17831</v>
      </c>
      <c r="G50" t="s">
        <v>17829</v>
      </c>
      <c r="H50" t="s">
        <v>17830</v>
      </c>
      <c r="I50" t="s">
        <v>18400</v>
      </c>
    </row>
    <row r="51" spans="1:9" x14ac:dyDescent="0.25">
      <c r="A51" s="150" t="s">
        <v>18517</v>
      </c>
      <c r="B51" s="150" t="s">
        <v>18518</v>
      </c>
      <c r="C51" s="150" t="s">
        <v>12</v>
      </c>
      <c r="D51" s="150" t="s">
        <v>18508</v>
      </c>
      <c r="E51" s="144"/>
      <c r="F51" t="s">
        <v>18519</v>
      </c>
      <c r="G51" t="s">
        <v>18520</v>
      </c>
      <c r="H51" t="s">
        <v>4847</v>
      </c>
      <c r="I51" t="s">
        <v>18400</v>
      </c>
    </row>
    <row r="52" spans="1:9" x14ac:dyDescent="0.25">
      <c r="A52" s="150" t="s">
        <v>18521</v>
      </c>
      <c r="B52" s="150" t="s">
        <v>18522</v>
      </c>
      <c r="C52" s="150" t="s">
        <v>12</v>
      </c>
      <c r="D52" s="150" t="s">
        <v>18508</v>
      </c>
      <c r="E52" s="144"/>
      <c r="F52" t="s">
        <v>18523</v>
      </c>
      <c r="G52" t="s">
        <v>18524</v>
      </c>
      <c r="H52" t="s">
        <v>18525</v>
      </c>
      <c r="I52" t="s">
        <v>18400</v>
      </c>
    </row>
    <row r="53" spans="1:9" x14ac:dyDescent="0.25">
      <c r="A53" s="150" t="s">
        <v>18526</v>
      </c>
      <c r="B53" s="150" t="s">
        <v>18527</v>
      </c>
      <c r="C53" s="150" t="s">
        <v>12</v>
      </c>
      <c r="D53" s="150" t="s">
        <v>18419</v>
      </c>
      <c r="E53" s="144"/>
      <c r="F53" t="s">
        <v>1339</v>
      </c>
      <c r="G53" t="s">
        <v>1337</v>
      </c>
      <c r="H53" t="s">
        <v>1338</v>
      </c>
      <c r="I53" t="s">
        <v>18400</v>
      </c>
    </row>
    <row r="54" spans="1:9" x14ac:dyDescent="0.25">
      <c r="A54" s="150" t="s">
        <v>18528</v>
      </c>
      <c r="B54" s="150" t="s">
        <v>18529</v>
      </c>
      <c r="C54" s="150" t="s">
        <v>11</v>
      </c>
      <c r="D54" s="150" t="s">
        <v>18417</v>
      </c>
      <c r="E54" s="144"/>
      <c r="F54" t="s">
        <v>2107</v>
      </c>
      <c r="G54" t="s">
        <v>2105</v>
      </c>
      <c r="H54" t="s">
        <v>2106</v>
      </c>
      <c r="I54" t="s">
        <v>18400</v>
      </c>
    </row>
    <row r="55" spans="1:9" x14ac:dyDescent="0.25">
      <c r="A55" s="150" t="s">
        <v>18530</v>
      </c>
      <c r="B55" s="150" t="s">
        <v>18531</v>
      </c>
      <c r="C55" s="150" t="s">
        <v>12</v>
      </c>
      <c r="D55" s="150" t="s">
        <v>18508</v>
      </c>
      <c r="E55" s="144"/>
      <c r="F55" t="s">
        <v>18040</v>
      </c>
      <c r="G55" t="s">
        <v>18038</v>
      </c>
      <c r="H55" t="s">
        <v>18039</v>
      </c>
      <c r="I55" t="s">
        <v>18400</v>
      </c>
    </row>
    <row r="56" spans="1:9" x14ac:dyDescent="0.25">
      <c r="A56" s="150" t="s">
        <v>18532</v>
      </c>
      <c r="B56" s="150" t="s">
        <v>18533</v>
      </c>
      <c r="C56" s="150" t="s">
        <v>18534</v>
      </c>
      <c r="D56" s="150" t="s">
        <v>18508</v>
      </c>
      <c r="E56" s="144"/>
      <c r="F56" t="s">
        <v>1333</v>
      </c>
      <c r="G56" t="s">
        <v>1331</v>
      </c>
      <c r="H56" t="s">
        <v>1332</v>
      </c>
      <c r="I56" t="s">
        <v>18400</v>
      </c>
    </row>
    <row r="57" spans="1:9" x14ac:dyDescent="0.25">
      <c r="A57" s="150" t="s">
        <v>18535</v>
      </c>
      <c r="B57" s="150" t="s">
        <v>18536</v>
      </c>
      <c r="C57" s="150" t="s">
        <v>12</v>
      </c>
      <c r="D57" s="150" t="s">
        <v>18419</v>
      </c>
      <c r="E57" s="144"/>
      <c r="F57" t="s">
        <v>17372</v>
      </c>
      <c r="G57" t="s">
        <v>17370</v>
      </c>
      <c r="H57" t="s">
        <v>17371</v>
      </c>
      <c r="I57" t="s">
        <v>18400</v>
      </c>
    </row>
    <row r="58" spans="1:9" x14ac:dyDescent="0.25">
      <c r="A58" s="150" t="s">
        <v>18537</v>
      </c>
      <c r="B58" s="150" t="s">
        <v>18538</v>
      </c>
      <c r="C58" s="150" t="s">
        <v>12</v>
      </c>
      <c r="D58" s="150" t="s">
        <v>18508</v>
      </c>
      <c r="E58" s="144"/>
      <c r="F58" t="s">
        <v>18539</v>
      </c>
      <c r="G58" t="s">
        <v>18540</v>
      </c>
      <c r="H58" t="s">
        <v>18541</v>
      </c>
      <c r="I58" t="s">
        <v>18400</v>
      </c>
    </row>
    <row r="59" spans="1:9" x14ac:dyDescent="0.25">
      <c r="A59" s="150" t="s">
        <v>18542</v>
      </c>
      <c r="B59" s="150" t="s">
        <v>18543</v>
      </c>
      <c r="C59" s="150" t="s">
        <v>12</v>
      </c>
      <c r="D59" s="150" t="s">
        <v>18508</v>
      </c>
      <c r="E59" s="144"/>
      <c r="F59" t="s">
        <v>1496</v>
      </c>
      <c r="G59" t="s">
        <v>1494</v>
      </c>
      <c r="H59" t="s">
        <v>1495</v>
      </c>
      <c r="I59" t="s">
        <v>18400</v>
      </c>
    </row>
    <row r="60" spans="1:9" x14ac:dyDescent="0.25">
      <c r="A60" s="150" t="s">
        <v>18544</v>
      </c>
      <c r="B60" s="150" t="s">
        <v>18545</v>
      </c>
      <c r="C60" s="150" t="s">
        <v>9</v>
      </c>
      <c r="D60" s="150" t="s">
        <v>18419</v>
      </c>
      <c r="E60" s="144"/>
      <c r="F60" t="s">
        <v>17828</v>
      </c>
      <c r="G60" t="s">
        <v>17827</v>
      </c>
      <c r="H60" t="s">
        <v>4234</v>
      </c>
      <c r="I60" t="s">
        <v>18400</v>
      </c>
    </row>
    <row r="61" spans="1:9" x14ac:dyDescent="0.25">
      <c r="A61" s="150" t="s">
        <v>18546</v>
      </c>
      <c r="B61" s="150" t="s">
        <v>18547</v>
      </c>
      <c r="C61" s="150" t="s">
        <v>9</v>
      </c>
      <c r="D61" s="150" t="s">
        <v>18419</v>
      </c>
      <c r="E61" s="144"/>
      <c r="F61" t="s">
        <v>18548</v>
      </c>
      <c r="G61" t="s">
        <v>18549</v>
      </c>
      <c r="H61" t="s">
        <v>18550</v>
      </c>
      <c r="I61" t="s">
        <v>18400</v>
      </c>
    </row>
    <row r="62" spans="1:9" x14ac:dyDescent="0.25">
      <c r="A62" s="150" t="s">
        <v>18551</v>
      </c>
      <c r="B62" s="150" t="s">
        <v>18552</v>
      </c>
      <c r="C62" s="150" t="s">
        <v>12</v>
      </c>
      <c r="D62" s="150" t="s">
        <v>18419</v>
      </c>
      <c r="E62" s="144"/>
      <c r="F62" t="s">
        <v>17721</v>
      </c>
      <c r="G62" t="s">
        <v>17719</v>
      </c>
      <c r="H62" t="s">
        <v>17720</v>
      </c>
      <c r="I62" t="s">
        <v>18400</v>
      </c>
    </row>
    <row r="63" spans="1:9" x14ac:dyDescent="0.25">
      <c r="A63" s="150" t="s">
        <v>18553</v>
      </c>
      <c r="B63" s="150" t="s">
        <v>18554</v>
      </c>
      <c r="C63" s="150" t="s">
        <v>12</v>
      </c>
      <c r="D63" s="150" t="s">
        <v>18419</v>
      </c>
      <c r="E63" s="144"/>
      <c r="F63" t="s">
        <v>18017</v>
      </c>
      <c r="G63" t="s">
        <v>18016</v>
      </c>
      <c r="H63" t="s">
        <v>1709</v>
      </c>
      <c r="I63" t="s">
        <v>18400</v>
      </c>
    </row>
    <row r="64" spans="1:9" x14ac:dyDescent="0.25">
      <c r="A64" s="150" t="s">
        <v>18555</v>
      </c>
      <c r="B64" s="150" t="s">
        <v>18556</v>
      </c>
      <c r="C64" s="150" t="s">
        <v>12</v>
      </c>
      <c r="D64" s="150" t="s">
        <v>18419</v>
      </c>
      <c r="E64" s="144"/>
      <c r="F64" t="s">
        <v>1860</v>
      </c>
      <c r="G64" t="s">
        <v>1858</v>
      </c>
      <c r="H64" t="s">
        <v>1859</v>
      </c>
      <c r="I64" t="s">
        <v>18400</v>
      </c>
    </row>
    <row r="65" spans="1:9" x14ac:dyDescent="0.25">
      <c r="A65" s="150" t="s">
        <v>18557</v>
      </c>
      <c r="B65" s="150" t="s">
        <v>18558</v>
      </c>
      <c r="C65" s="150" t="s">
        <v>12</v>
      </c>
      <c r="D65" s="150" t="s">
        <v>18419</v>
      </c>
      <c r="E65" s="144"/>
      <c r="F65" t="s">
        <v>2102</v>
      </c>
      <c r="G65" t="s">
        <v>2100</v>
      </c>
      <c r="H65" t="s">
        <v>2101</v>
      </c>
      <c r="I65" t="s">
        <v>18400</v>
      </c>
    </row>
    <row r="66" spans="1:9" x14ac:dyDescent="0.25">
      <c r="A66" s="150" t="s">
        <v>18559</v>
      </c>
      <c r="B66" s="150" t="s">
        <v>18560</v>
      </c>
      <c r="C66" s="150" t="s">
        <v>12</v>
      </c>
      <c r="D66" s="150" t="s">
        <v>18419</v>
      </c>
      <c r="E66" s="144"/>
      <c r="F66" t="s">
        <v>2099</v>
      </c>
      <c r="G66" t="s">
        <v>2097</v>
      </c>
      <c r="H66" t="s">
        <v>2098</v>
      </c>
      <c r="I66" t="s">
        <v>18400</v>
      </c>
    </row>
    <row r="67" spans="1:9" x14ac:dyDescent="0.25">
      <c r="A67" s="150" t="s">
        <v>18561</v>
      </c>
      <c r="B67" s="150" t="s">
        <v>18562</v>
      </c>
      <c r="C67" s="150" t="s">
        <v>12</v>
      </c>
      <c r="D67" s="150" t="s">
        <v>18419</v>
      </c>
      <c r="E67" s="144"/>
      <c r="F67" t="s">
        <v>1857</v>
      </c>
      <c r="G67" t="s">
        <v>1855</v>
      </c>
      <c r="H67" t="s">
        <v>1833</v>
      </c>
      <c r="I67" t="s">
        <v>18400</v>
      </c>
    </row>
    <row r="68" spans="1:9" x14ac:dyDescent="0.25">
      <c r="A68" s="150" t="s">
        <v>18563</v>
      </c>
      <c r="B68" s="150" t="s">
        <v>18564</v>
      </c>
      <c r="C68" s="150" t="s">
        <v>18496</v>
      </c>
      <c r="D68" s="150" t="s">
        <v>18419</v>
      </c>
      <c r="E68" s="144"/>
      <c r="F68" t="s">
        <v>18565</v>
      </c>
      <c r="G68" t="s">
        <v>18566</v>
      </c>
      <c r="H68" t="s">
        <v>18567</v>
      </c>
      <c r="I68" t="s">
        <v>18400</v>
      </c>
    </row>
    <row r="69" spans="1:9" x14ac:dyDescent="0.25">
      <c r="A69" s="150" t="s">
        <v>18568</v>
      </c>
      <c r="B69" s="150" t="s">
        <v>18569</v>
      </c>
      <c r="C69" s="150" t="s">
        <v>9</v>
      </c>
      <c r="D69" s="150" t="s">
        <v>18419</v>
      </c>
      <c r="E69" s="144"/>
      <c r="F69" t="s">
        <v>17700</v>
      </c>
      <c r="G69" t="s">
        <v>17698</v>
      </c>
      <c r="H69" t="s">
        <v>17699</v>
      </c>
      <c r="I69" t="s">
        <v>18400</v>
      </c>
    </row>
    <row r="70" spans="1:9" x14ac:dyDescent="0.25">
      <c r="A70" s="150" t="s">
        <v>18570</v>
      </c>
      <c r="B70" s="150" t="s">
        <v>18571</v>
      </c>
      <c r="C70" s="150" t="s">
        <v>18572</v>
      </c>
      <c r="D70" s="150" t="s">
        <v>18419</v>
      </c>
      <c r="E70" s="144"/>
      <c r="F70" t="s">
        <v>17690</v>
      </c>
      <c r="G70" t="s">
        <v>17689</v>
      </c>
      <c r="H70" t="s">
        <v>4966</v>
      </c>
      <c r="I70" t="s">
        <v>18400</v>
      </c>
    </row>
    <row r="71" spans="1:9" x14ac:dyDescent="0.25">
      <c r="A71" s="150" t="s">
        <v>18573</v>
      </c>
      <c r="B71" s="150" t="s">
        <v>18574</v>
      </c>
      <c r="C71" s="150" t="s">
        <v>12</v>
      </c>
      <c r="D71" s="150" t="s">
        <v>18419</v>
      </c>
      <c r="E71" s="144"/>
      <c r="F71" t="s">
        <v>1488</v>
      </c>
      <c r="G71" t="s">
        <v>1486</v>
      </c>
      <c r="H71" t="s">
        <v>1487</v>
      </c>
      <c r="I71" t="s">
        <v>18400</v>
      </c>
    </row>
    <row r="72" spans="1:9" x14ac:dyDescent="0.25">
      <c r="A72" s="150" t="s">
        <v>18575</v>
      </c>
      <c r="B72" s="150" t="s">
        <v>18576</v>
      </c>
      <c r="C72" s="150" t="s">
        <v>9</v>
      </c>
      <c r="D72" s="150" t="s">
        <v>18508</v>
      </c>
      <c r="E72" s="144"/>
      <c r="F72" t="s">
        <v>2095</v>
      </c>
      <c r="G72" t="s">
        <v>2093</v>
      </c>
      <c r="H72" t="s">
        <v>2094</v>
      </c>
      <c r="I72" t="s">
        <v>18400</v>
      </c>
    </row>
    <row r="73" spans="1:9" x14ac:dyDescent="0.25">
      <c r="A73" s="150" t="s">
        <v>18577</v>
      </c>
      <c r="B73" s="150" t="s">
        <v>18578</v>
      </c>
      <c r="C73" s="150" t="s">
        <v>18496</v>
      </c>
      <c r="D73" s="150" t="s">
        <v>18508</v>
      </c>
      <c r="E73" s="144"/>
      <c r="F73" t="s">
        <v>18579</v>
      </c>
      <c r="G73" t="s">
        <v>18580</v>
      </c>
      <c r="H73" t="s">
        <v>13658</v>
      </c>
      <c r="I73" t="s">
        <v>18400</v>
      </c>
    </row>
    <row r="74" spans="1:9" x14ac:dyDescent="0.25">
      <c r="A74" s="150" t="s">
        <v>18581</v>
      </c>
      <c r="B74" s="150" t="s">
        <v>18582</v>
      </c>
      <c r="C74" s="150" t="s">
        <v>12</v>
      </c>
      <c r="D74" s="150" t="s">
        <v>18508</v>
      </c>
      <c r="E74" s="144"/>
      <c r="F74" t="s">
        <v>17678</v>
      </c>
      <c r="G74" t="s">
        <v>17676</v>
      </c>
      <c r="H74" t="s">
        <v>17677</v>
      </c>
      <c r="I74" t="s">
        <v>18400</v>
      </c>
    </row>
    <row r="75" spans="1:9" x14ac:dyDescent="0.25">
      <c r="A75" s="150" t="s">
        <v>18583</v>
      </c>
      <c r="B75" s="150" t="s">
        <v>18584</v>
      </c>
      <c r="C75" s="150" t="s">
        <v>12</v>
      </c>
      <c r="D75" s="150" t="s">
        <v>18508</v>
      </c>
      <c r="E75" s="144"/>
      <c r="F75" t="s">
        <v>17369</v>
      </c>
      <c r="G75" t="s">
        <v>17368</v>
      </c>
      <c r="H75" t="s">
        <v>13578</v>
      </c>
      <c r="I75" t="s">
        <v>18400</v>
      </c>
    </row>
    <row r="76" spans="1:9" x14ac:dyDescent="0.25">
      <c r="A76" s="150" t="s">
        <v>18585</v>
      </c>
      <c r="B76" s="150" t="s">
        <v>18586</v>
      </c>
      <c r="C76" s="150" t="s">
        <v>9</v>
      </c>
      <c r="D76" s="150" t="s">
        <v>18419</v>
      </c>
      <c r="E76" s="144"/>
      <c r="F76" t="s">
        <v>17670</v>
      </c>
      <c r="G76" t="s">
        <v>17668</v>
      </c>
      <c r="H76" t="s">
        <v>17669</v>
      </c>
      <c r="I76" t="s">
        <v>18400</v>
      </c>
    </row>
    <row r="77" spans="1:9" x14ac:dyDescent="0.25">
      <c r="A77" s="150" t="s">
        <v>18587</v>
      </c>
      <c r="B77" s="150" t="s">
        <v>18588</v>
      </c>
      <c r="C77" s="150" t="s">
        <v>18496</v>
      </c>
      <c r="D77" s="150" t="s">
        <v>18419</v>
      </c>
      <c r="E77" s="144"/>
      <c r="F77" t="s">
        <v>1320</v>
      </c>
      <c r="G77" t="s">
        <v>1318</v>
      </c>
      <c r="H77" t="s">
        <v>1319</v>
      </c>
      <c r="I77" t="s">
        <v>18400</v>
      </c>
    </row>
    <row r="78" spans="1:9" x14ac:dyDescent="0.25">
      <c r="A78" s="150" t="s">
        <v>18589</v>
      </c>
      <c r="B78" s="150" t="s">
        <v>18590</v>
      </c>
      <c r="C78" s="150" t="s">
        <v>12</v>
      </c>
      <c r="D78" s="150" t="s">
        <v>18419</v>
      </c>
      <c r="E78" s="144"/>
      <c r="F78" t="s">
        <v>18591</v>
      </c>
      <c r="G78" t="s">
        <v>18592</v>
      </c>
      <c r="H78" t="s">
        <v>18593</v>
      </c>
      <c r="I78" t="s">
        <v>18400</v>
      </c>
    </row>
    <row r="79" spans="1:9" x14ac:dyDescent="0.25">
      <c r="A79" s="150" t="s">
        <v>18594</v>
      </c>
      <c r="B79" s="150" t="s">
        <v>18595</v>
      </c>
      <c r="C79" s="150" t="s">
        <v>18596</v>
      </c>
      <c r="D79" s="150" t="s">
        <v>18508</v>
      </c>
      <c r="E79" s="144"/>
      <c r="F79" t="s">
        <v>17655</v>
      </c>
      <c r="G79" t="s">
        <v>17653</v>
      </c>
      <c r="H79" t="s">
        <v>17654</v>
      </c>
      <c r="I79" t="s">
        <v>18400</v>
      </c>
    </row>
    <row r="80" spans="1:9" x14ac:dyDescent="0.25">
      <c r="A80" s="150" t="s">
        <v>18597</v>
      </c>
      <c r="B80" s="150" t="s">
        <v>18598</v>
      </c>
      <c r="C80" s="150" t="s">
        <v>18496</v>
      </c>
      <c r="D80" s="150" t="s">
        <v>18508</v>
      </c>
      <c r="E80" s="144"/>
      <c r="F80" t="s">
        <v>2089</v>
      </c>
      <c r="G80" t="s">
        <v>2087</v>
      </c>
      <c r="H80" t="s">
        <v>2088</v>
      </c>
      <c r="I80" t="s">
        <v>18400</v>
      </c>
    </row>
    <row r="81" spans="1:9" x14ac:dyDescent="0.25">
      <c r="A81" s="150" t="s">
        <v>18599</v>
      </c>
      <c r="B81" s="150" t="s">
        <v>18600</v>
      </c>
      <c r="C81" s="150" t="s">
        <v>18601</v>
      </c>
      <c r="D81" s="150" t="s">
        <v>18602</v>
      </c>
      <c r="E81" s="144"/>
      <c r="F81" t="s">
        <v>18603</v>
      </c>
      <c r="G81" t="s">
        <v>18604</v>
      </c>
      <c r="H81" t="s">
        <v>18605</v>
      </c>
      <c r="I81" t="s">
        <v>18400</v>
      </c>
    </row>
    <row r="82" spans="1:9" x14ac:dyDescent="0.25">
      <c r="A82" s="150" t="s">
        <v>18606</v>
      </c>
      <c r="B82" s="150" t="s">
        <v>18607</v>
      </c>
      <c r="C82" s="150" t="s">
        <v>9</v>
      </c>
      <c r="D82" s="150" t="s">
        <v>18602</v>
      </c>
      <c r="E82" s="144"/>
      <c r="F82" t="s">
        <v>14617</v>
      </c>
      <c r="G82" t="s">
        <v>14616</v>
      </c>
      <c r="H82" t="s">
        <v>1484</v>
      </c>
      <c r="I82" t="s">
        <v>18400</v>
      </c>
    </row>
    <row r="83" spans="1:9" x14ac:dyDescent="0.25">
      <c r="A83" s="150" t="s">
        <v>18608</v>
      </c>
      <c r="B83" s="150" t="s">
        <v>18609</v>
      </c>
      <c r="C83" s="150" t="s">
        <v>18496</v>
      </c>
      <c r="D83" s="150" t="s">
        <v>18602</v>
      </c>
      <c r="E83" s="144"/>
      <c r="F83" t="s">
        <v>18610</v>
      </c>
      <c r="G83" t="s">
        <v>18611</v>
      </c>
      <c r="H83" t="s">
        <v>10908</v>
      </c>
      <c r="I83" t="s">
        <v>18400</v>
      </c>
    </row>
    <row r="84" spans="1:9" x14ac:dyDescent="0.25">
      <c r="A84" s="150" t="s">
        <v>18612</v>
      </c>
      <c r="B84" s="150" t="s">
        <v>18613</v>
      </c>
      <c r="C84" s="150" t="s">
        <v>18411</v>
      </c>
      <c r="D84" s="150" t="s">
        <v>18602</v>
      </c>
      <c r="E84" s="144"/>
      <c r="F84" t="s">
        <v>1830</v>
      </c>
      <c r="G84" t="s">
        <v>1829</v>
      </c>
      <c r="H84" t="s">
        <v>405</v>
      </c>
      <c r="I84" t="s">
        <v>18400</v>
      </c>
    </row>
    <row r="85" spans="1:9" x14ac:dyDescent="0.25">
      <c r="A85" s="150" t="s">
        <v>18614</v>
      </c>
      <c r="B85" s="150" t="s">
        <v>18615</v>
      </c>
      <c r="C85" s="150" t="s">
        <v>12</v>
      </c>
      <c r="D85" s="150" t="s">
        <v>18602</v>
      </c>
      <c r="E85" s="144"/>
      <c r="F85" t="s">
        <v>1307</v>
      </c>
      <c r="G85" t="s">
        <v>1305</v>
      </c>
      <c r="H85" t="s">
        <v>1306</v>
      </c>
      <c r="I85" t="s">
        <v>18400</v>
      </c>
    </row>
    <row r="86" spans="1:9" x14ac:dyDescent="0.25">
      <c r="A86" s="150" t="s">
        <v>18616</v>
      </c>
      <c r="B86" s="150" t="s">
        <v>18617</v>
      </c>
      <c r="C86" s="150" t="s">
        <v>6</v>
      </c>
      <c r="D86" s="150" t="s">
        <v>18602</v>
      </c>
      <c r="E86" s="144"/>
      <c r="F86" t="s">
        <v>18618</v>
      </c>
      <c r="G86" t="s">
        <v>18619</v>
      </c>
      <c r="H86" t="s">
        <v>18620</v>
      </c>
      <c r="I86" t="s">
        <v>18400</v>
      </c>
    </row>
    <row r="87" spans="1:9" x14ac:dyDescent="0.25">
      <c r="A87" s="150" t="s">
        <v>18621</v>
      </c>
      <c r="B87" s="150" t="s">
        <v>18622</v>
      </c>
      <c r="C87" s="150" t="s">
        <v>9</v>
      </c>
      <c r="D87" s="150" t="s">
        <v>18602</v>
      </c>
      <c r="E87" s="144"/>
      <c r="F87" t="s">
        <v>18623</v>
      </c>
      <c r="G87" t="s">
        <v>18624</v>
      </c>
      <c r="H87" t="s">
        <v>18625</v>
      </c>
      <c r="I87" t="s">
        <v>18400</v>
      </c>
    </row>
    <row r="88" spans="1:9" x14ac:dyDescent="0.25">
      <c r="A88" s="150" t="s">
        <v>18626</v>
      </c>
      <c r="B88" s="150" t="s">
        <v>18627</v>
      </c>
      <c r="C88" s="150" t="s">
        <v>12</v>
      </c>
      <c r="D88" s="150" t="s">
        <v>18602</v>
      </c>
      <c r="E88" s="144"/>
      <c r="F88" t="s">
        <v>8380</v>
      </c>
      <c r="G88" t="s">
        <v>8378</v>
      </c>
      <c r="H88" t="s">
        <v>8379</v>
      </c>
      <c r="I88" t="s">
        <v>18400</v>
      </c>
    </row>
    <row r="89" spans="1:9" x14ac:dyDescent="0.25">
      <c r="A89" s="150" t="s">
        <v>18628</v>
      </c>
      <c r="B89" s="150" t="s">
        <v>18629</v>
      </c>
      <c r="C89" s="150" t="s">
        <v>9</v>
      </c>
      <c r="D89" s="150" t="s">
        <v>18602</v>
      </c>
      <c r="E89" s="144"/>
      <c r="F89" t="s">
        <v>1485</v>
      </c>
      <c r="G89" t="s">
        <v>1483</v>
      </c>
      <c r="H89" t="s">
        <v>1484</v>
      </c>
      <c r="I89" t="s">
        <v>18400</v>
      </c>
    </row>
    <row r="90" spans="1:9" x14ac:dyDescent="0.25">
      <c r="A90" s="150" t="s">
        <v>18630</v>
      </c>
      <c r="B90" s="150" t="s">
        <v>18631</v>
      </c>
      <c r="C90" s="150" t="s">
        <v>12</v>
      </c>
      <c r="D90" s="150" t="s">
        <v>18602</v>
      </c>
      <c r="E90" s="144"/>
      <c r="F90" t="s">
        <v>18632</v>
      </c>
      <c r="G90" t="s">
        <v>18633</v>
      </c>
      <c r="H90" t="s">
        <v>18634</v>
      </c>
      <c r="I90" t="s">
        <v>18400</v>
      </c>
    </row>
    <row r="91" spans="1:9" x14ac:dyDescent="0.25">
      <c r="A91" s="150" t="s">
        <v>18635</v>
      </c>
      <c r="B91" s="150" t="s">
        <v>18636</v>
      </c>
      <c r="C91" s="150" t="s">
        <v>12</v>
      </c>
      <c r="D91" s="150" t="s">
        <v>18602</v>
      </c>
      <c r="E91" s="144"/>
      <c r="F91" t="s">
        <v>2083</v>
      </c>
      <c r="G91" t="s">
        <v>2081</v>
      </c>
      <c r="H91" t="s">
        <v>2082</v>
      </c>
      <c r="I91" t="s">
        <v>18400</v>
      </c>
    </row>
    <row r="92" spans="1:9" x14ac:dyDescent="0.25">
      <c r="A92" s="150" t="s">
        <v>14075</v>
      </c>
      <c r="B92" s="150" t="s">
        <v>14074</v>
      </c>
      <c r="C92" s="150" t="s">
        <v>12</v>
      </c>
      <c r="D92" s="150" t="s">
        <v>18637</v>
      </c>
      <c r="E92" s="144"/>
      <c r="F92" t="s">
        <v>18638</v>
      </c>
      <c r="G92" t="s">
        <v>18639</v>
      </c>
      <c r="H92" t="s">
        <v>18640</v>
      </c>
      <c r="I92" t="s">
        <v>18400</v>
      </c>
    </row>
    <row r="93" spans="1:9" x14ac:dyDescent="0.25">
      <c r="A93" s="150" t="s">
        <v>18641</v>
      </c>
      <c r="B93" s="150" t="s">
        <v>18642</v>
      </c>
      <c r="C93" s="150" t="s">
        <v>12</v>
      </c>
      <c r="D93" s="150" t="s">
        <v>18637</v>
      </c>
      <c r="E93" s="144"/>
      <c r="F93" t="s">
        <v>18091</v>
      </c>
      <c r="G93" t="s">
        <v>18090</v>
      </c>
      <c r="H93" t="s">
        <v>3476</v>
      </c>
      <c r="I93" t="s">
        <v>18400</v>
      </c>
    </row>
    <row r="94" spans="1:9" x14ac:dyDescent="0.25">
      <c r="A94" s="150" t="s">
        <v>18643</v>
      </c>
      <c r="B94" s="150" t="s">
        <v>18644</v>
      </c>
      <c r="C94" s="150" t="s">
        <v>6</v>
      </c>
      <c r="D94" s="150" t="s">
        <v>18645</v>
      </c>
      <c r="E94" s="144"/>
      <c r="F94" t="s">
        <v>2080</v>
      </c>
      <c r="G94" t="s">
        <v>2078</v>
      </c>
      <c r="H94" t="s">
        <v>2079</v>
      </c>
      <c r="I94" t="s">
        <v>18400</v>
      </c>
    </row>
    <row r="95" spans="1:9" x14ac:dyDescent="0.25">
      <c r="A95" s="150" t="s">
        <v>18646</v>
      </c>
      <c r="B95" s="150" t="s">
        <v>18647</v>
      </c>
      <c r="C95" s="150" t="s">
        <v>11</v>
      </c>
      <c r="D95" s="150" t="s">
        <v>18648</v>
      </c>
      <c r="E95" s="144"/>
      <c r="F95" t="s">
        <v>17611</v>
      </c>
      <c r="G95" t="s">
        <v>17610</v>
      </c>
      <c r="H95" t="s">
        <v>4989</v>
      </c>
      <c r="I95" t="s">
        <v>18400</v>
      </c>
    </row>
    <row r="96" spans="1:9" x14ac:dyDescent="0.25">
      <c r="A96" s="150" t="s">
        <v>18649</v>
      </c>
      <c r="B96" s="150" t="s">
        <v>18650</v>
      </c>
      <c r="C96" s="150" t="s">
        <v>12</v>
      </c>
      <c r="D96" s="150" t="s">
        <v>18651</v>
      </c>
      <c r="E96" s="144"/>
      <c r="F96" t="s">
        <v>18652</v>
      </c>
      <c r="G96" t="s">
        <v>18653</v>
      </c>
      <c r="H96" t="s">
        <v>18654</v>
      </c>
      <c r="I96" t="s">
        <v>18400</v>
      </c>
    </row>
    <row r="97" spans="1:9" x14ac:dyDescent="0.25">
      <c r="A97" s="150" t="s">
        <v>18655</v>
      </c>
      <c r="B97" s="150" t="s">
        <v>18656</v>
      </c>
      <c r="C97" s="150" t="s">
        <v>12</v>
      </c>
      <c r="D97" s="150" t="s">
        <v>18651</v>
      </c>
      <c r="E97" s="144"/>
      <c r="F97" t="s">
        <v>1284</v>
      </c>
      <c r="G97" t="s">
        <v>1283</v>
      </c>
      <c r="H97" t="s">
        <v>610</v>
      </c>
      <c r="I97" t="s">
        <v>18400</v>
      </c>
    </row>
    <row r="98" spans="1:9" x14ac:dyDescent="0.25">
      <c r="A98" s="150" t="s">
        <v>18657</v>
      </c>
      <c r="B98" s="150" t="s">
        <v>18658</v>
      </c>
      <c r="C98" s="150" t="s">
        <v>12</v>
      </c>
      <c r="D98" s="150" t="s">
        <v>18651</v>
      </c>
      <c r="E98" s="144"/>
      <c r="F98" t="s">
        <v>14270</v>
      </c>
      <c r="G98" t="s">
        <v>14269</v>
      </c>
      <c r="H98" t="s">
        <v>13578</v>
      </c>
      <c r="I98" t="s">
        <v>18400</v>
      </c>
    </row>
    <row r="99" spans="1:9" x14ac:dyDescent="0.25">
      <c r="A99" s="150" t="s">
        <v>18659</v>
      </c>
      <c r="B99" s="150" t="s">
        <v>528</v>
      </c>
      <c r="C99" s="150" t="s">
        <v>9</v>
      </c>
      <c r="D99" s="150" t="s">
        <v>18660</v>
      </c>
      <c r="E99" s="144"/>
      <c r="F99" t="s">
        <v>14395</v>
      </c>
      <c r="G99" t="s">
        <v>14394</v>
      </c>
      <c r="H99" t="s">
        <v>795</v>
      </c>
      <c r="I99" t="s">
        <v>18400</v>
      </c>
    </row>
    <row r="100" spans="1:9" x14ac:dyDescent="0.25">
      <c r="A100" s="150" t="s">
        <v>18661</v>
      </c>
      <c r="B100" s="150" t="s">
        <v>18662</v>
      </c>
      <c r="C100" s="150" t="s">
        <v>12</v>
      </c>
      <c r="D100" s="150" t="s">
        <v>18663</v>
      </c>
      <c r="E100" s="144"/>
      <c r="F100" t="s">
        <v>18664</v>
      </c>
      <c r="G100" t="s">
        <v>18665</v>
      </c>
      <c r="H100" t="s">
        <v>18666</v>
      </c>
      <c r="I100" t="s">
        <v>18400</v>
      </c>
    </row>
    <row r="101" spans="1:9" x14ac:dyDescent="0.25">
      <c r="A101" s="150" t="s">
        <v>18667</v>
      </c>
      <c r="B101" s="150" t="s">
        <v>18668</v>
      </c>
      <c r="C101" s="150" t="s">
        <v>9</v>
      </c>
      <c r="D101" s="150" t="s">
        <v>18669</v>
      </c>
      <c r="E101" s="144"/>
      <c r="F101" t="s">
        <v>14544</v>
      </c>
      <c r="G101" t="s">
        <v>14542</v>
      </c>
      <c r="H101" t="s">
        <v>14543</v>
      </c>
      <c r="I101" t="s">
        <v>18400</v>
      </c>
    </row>
    <row r="102" spans="1:9" x14ac:dyDescent="0.25">
      <c r="A102" s="150" t="s">
        <v>18670</v>
      </c>
      <c r="B102" s="150" t="s">
        <v>18671</v>
      </c>
      <c r="C102" s="150" t="s">
        <v>9</v>
      </c>
      <c r="D102" s="150" t="s">
        <v>18672</v>
      </c>
      <c r="E102" s="144"/>
      <c r="F102" t="s">
        <v>14541</v>
      </c>
      <c r="G102" t="s">
        <v>14539</v>
      </c>
      <c r="H102" t="s">
        <v>14540</v>
      </c>
      <c r="I102" t="s">
        <v>18400</v>
      </c>
    </row>
    <row r="103" spans="1:9" x14ac:dyDescent="0.25">
      <c r="A103" s="150" t="s">
        <v>18673</v>
      </c>
      <c r="B103" s="150" t="s">
        <v>18674</v>
      </c>
      <c r="C103" s="150" t="s">
        <v>12</v>
      </c>
      <c r="D103" s="150" t="s">
        <v>18672</v>
      </c>
      <c r="E103" s="144"/>
      <c r="F103" t="s">
        <v>1282</v>
      </c>
      <c r="G103" t="s">
        <v>1280</v>
      </c>
      <c r="H103" t="s">
        <v>1281</v>
      </c>
      <c r="I103" t="s">
        <v>18400</v>
      </c>
    </row>
    <row r="104" spans="1:9" x14ac:dyDescent="0.25">
      <c r="A104" s="150" t="s">
        <v>18675</v>
      </c>
      <c r="B104" s="150" t="s">
        <v>18676</v>
      </c>
      <c r="C104" s="150" t="s">
        <v>12</v>
      </c>
      <c r="D104" s="150" t="s">
        <v>18677</v>
      </c>
      <c r="E104" s="144"/>
      <c r="F104" t="s">
        <v>13757</v>
      </c>
      <c r="G104" t="s">
        <v>13755</v>
      </c>
      <c r="H104" t="s">
        <v>13756</v>
      </c>
      <c r="I104" t="s">
        <v>18400</v>
      </c>
    </row>
    <row r="105" spans="1:9" x14ac:dyDescent="0.25">
      <c r="A105" s="150" t="s">
        <v>18678</v>
      </c>
      <c r="B105" s="150" t="s">
        <v>18679</v>
      </c>
      <c r="C105" s="150" t="s">
        <v>10</v>
      </c>
      <c r="D105" s="150" t="s">
        <v>18672</v>
      </c>
      <c r="E105" s="144"/>
      <c r="F105" t="s">
        <v>14186</v>
      </c>
      <c r="G105" t="s">
        <v>14185</v>
      </c>
      <c r="H105" t="s">
        <v>13866</v>
      </c>
      <c r="I105" t="s">
        <v>18400</v>
      </c>
    </row>
    <row r="106" spans="1:9" x14ac:dyDescent="0.25">
      <c r="A106" s="150" t="s">
        <v>18680</v>
      </c>
      <c r="B106" s="150" t="s">
        <v>18681</v>
      </c>
      <c r="C106" s="150" t="s">
        <v>12</v>
      </c>
      <c r="D106" s="150" t="s">
        <v>18672</v>
      </c>
      <c r="E106" s="144"/>
      <c r="F106" t="s">
        <v>1482</v>
      </c>
      <c r="G106" t="s">
        <v>1481</v>
      </c>
      <c r="H106" t="s">
        <v>1374</v>
      </c>
      <c r="I106" t="s">
        <v>18400</v>
      </c>
    </row>
    <row r="107" spans="1:9" x14ac:dyDescent="0.25">
      <c r="A107" s="150" t="s">
        <v>18682</v>
      </c>
      <c r="B107" s="150" t="s">
        <v>18683</v>
      </c>
      <c r="C107" s="150" t="s">
        <v>12</v>
      </c>
      <c r="D107" s="150" t="s">
        <v>18672</v>
      </c>
      <c r="E107" s="144"/>
      <c r="F107" t="s">
        <v>17602</v>
      </c>
      <c r="G107" t="s">
        <v>17600</v>
      </c>
      <c r="H107" t="s">
        <v>18684</v>
      </c>
      <c r="I107" t="s">
        <v>18400</v>
      </c>
    </row>
    <row r="108" spans="1:9" x14ac:dyDescent="0.25">
      <c r="A108" s="150" t="s">
        <v>18685</v>
      </c>
      <c r="B108" s="150" t="s">
        <v>18686</v>
      </c>
      <c r="C108" s="150" t="s">
        <v>12</v>
      </c>
      <c r="D108" s="150" t="s">
        <v>18672</v>
      </c>
      <c r="E108" s="144"/>
      <c r="F108" t="s">
        <v>14535</v>
      </c>
      <c r="G108" t="s">
        <v>14534</v>
      </c>
      <c r="H108" t="s">
        <v>18687</v>
      </c>
      <c r="I108" t="s">
        <v>18400</v>
      </c>
    </row>
    <row r="109" spans="1:9" x14ac:dyDescent="0.25">
      <c r="A109" s="150" t="s">
        <v>18688</v>
      </c>
      <c r="B109" s="150" t="s">
        <v>18689</v>
      </c>
      <c r="C109" s="150" t="s">
        <v>12</v>
      </c>
      <c r="D109" s="150" t="s">
        <v>18672</v>
      </c>
      <c r="E109" s="144"/>
      <c r="F109" t="s">
        <v>940</v>
      </c>
      <c r="G109" t="s">
        <v>938</v>
      </c>
      <c r="H109" t="s">
        <v>939</v>
      </c>
      <c r="I109" t="s">
        <v>18400</v>
      </c>
    </row>
    <row r="110" spans="1:9" x14ac:dyDescent="0.25">
      <c r="A110" s="150" t="s">
        <v>18690</v>
      </c>
      <c r="B110" s="150" t="s">
        <v>18691</v>
      </c>
      <c r="C110" s="150" t="s">
        <v>12</v>
      </c>
      <c r="D110" s="150" t="s">
        <v>18672</v>
      </c>
      <c r="E110" s="144"/>
      <c r="F110" t="s">
        <v>14533</v>
      </c>
      <c r="G110" t="s">
        <v>14532</v>
      </c>
      <c r="H110" t="s">
        <v>4989</v>
      </c>
      <c r="I110" t="s">
        <v>18400</v>
      </c>
    </row>
    <row r="111" spans="1:9" x14ac:dyDescent="0.25">
      <c r="A111" s="150" t="s">
        <v>18692</v>
      </c>
      <c r="B111" s="150" t="s">
        <v>18693</v>
      </c>
      <c r="C111" s="150" t="s">
        <v>9</v>
      </c>
      <c r="D111" s="150" t="s">
        <v>18651</v>
      </c>
      <c r="E111" s="144"/>
      <c r="F111" t="s">
        <v>17961</v>
      </c>
      <c r="G111" t="s">
        <v>17959</v>
      </c>
      <c r="H111" t="s">
        <v>17960</v>
      </c>
      <c r="I111" t="s">
        <v>18400</v>
      </c>
    </row>
    <row r="112" spans="1:9" x14ac:dyDescent="0.25">
      <c r="A112" s="150" t="s">
        <v>18694</v>
      </c>
      <c r="B112" s="150" t="s">
        <v>18695</v>
      </c>
      <c r="C112" s="150" t="s">
        <v>18696</v>
      </c>
      <c r="D112" s="150" t="s">
        <v>18672</v>
      </c>
      <c r="E112" s="144"/>
      <c r="F112" t="s">
        <v>17599</v>
      </c>
      <c r="G112" t="s">
        <v>17597</v>
      </c>
      <c r="H112" t="s">
        <v>17598</v>
      </c>
      <c r="I112" t="s">
        <v>18400</v>
      </c>
    </row>
    <row r="113" spans="1:9" x14ac:dyDescent="0.25">
      <c r="A113" s="150" t="s">
        <v>18697</v>
      </c>
      <c r="B113" s="150" t="s">
        <v>18698</v>
      </c>
      <c r="C113" s="150" t="s">
        <v>18699</v>
      </c>
      <c r="D113" s="150" t="s">
        <v>18700</v>
      </c>
      <c r="E113" s="144"/>
      <c r="F113" t="s">
        <v>11246</v>
      </c>
      <c r="G113" t="s">
        <v>11244</v>
      </c>
      <c r="H113" t="s">
        <v>11245</v>
      </c>
      <c r="I113" t="s">
        <v>18400</v>
      </c>
    </row>
    <row r="114" spans="1:9" x14ac:dyDescent="0.25">
      <c r="A114" s="150" t="s">
        <v>18701</v>
      </c>
      <c r="B114" s="150" t="s">
        <v>18702</v>
      </c>
      <c r="C114" s="150" t="s">
        <v>12</v>
      </c>
      <c r="D114" s="150" t="s">
        <v>18672</v>
      </c>
      <c r="E114" s="144"/>
      <c r="F114" t="s">
        <v>18703</v>
      </c>
      <c r="G114" t="s">
        <v>18704</v>
      </c>
      <c r="H114" t="s">
        <v>18625</v>
      </c>
      <c r="I114" t="s">
        <v>18400</v>
      </c>
    </row>
    <row r="115" spans="1:9" x14ac:dyDescent="0.25">
      <c r="A115" s="150" t="s">
        <v>18705</v>
      </c>
      <c r="B115" s="150" t="s">
        <v>18706</v>
      </c>
      <c r="C115" s="150" t="s">
        <v>12</v>
      </c>
      <c r="D115" s="150" t="s">
        <v>18707</v>
      </c>
      <c r="E115" s="144"/>
      <c r="F115" t="s">
        <v>1816</v>
      </c>
      <c r="G115" t="s">
        <v>1814</v>
      </c>
      <c r="H115" t="s">
        <v>1815</v>
      </c>
      <c r="I115" t="s">
        <v>18400</v>
      </c>
    </row>
    <row r="116" spans="1:9" x14ac:dyDescent="0.25">
      <c r="A116" s="150" t="s">
        <v>18708</v>
      </c>
      <c r="B116" s="150" t="s">
        <v>18709</v>
      </c>
      <c r="C116" s="150" t="s">
        <v>12</v>
      </c>
      <c r="D116" s="150" t="s">
        <v>18707</v>
      </c>
      <c r="E116" s="144"/>
      <c r="F116" t="s">
        <v>13126</v>
      </c>
      <c r="G116" t="s">
        <v>13124</v>
      </c>
      <c r="H116" t="s">
        <v>13125</v>
      </c>
      <c r="I116" t="s">
        <v>18400</v>
      </c>
    </row>
    <row r="117" spans="1:9" x14ac:dyDescent="0.25">
      <c r="A117" s="150" t="s">
        <v>18710</v>
      </c>
      <c r="B117" s="150" t="s">
        <v>5345</v>
      </c>
      <c r="C117" s="150" t="s">
        <v>12</v>
      </c>
      <c r="D117" s="150" t="s">
        <v>18473</v>
      </c>
      <c r="E117" s="144"/>
      <c r="F117" t="s">
        <v>12745</v>
      </c>
      <c r="G117" t="s">
        <v>12743</v>
      </c>
      <c r="H117" t="s">
        <v>12744</v>
      </c>
      <c r="I117" t="s">
        <v>18400</v>
      </c>
    </row>
    <row r="118" spans="1:9" x14ac:dyDescent="0.25">
      <c r="A118" s="150" t="s">
        <v>18711</v>
      </c>
      <c r="B118" s="150" t="s">
        <v>15486</v>
      </c>
      <c r="C118" s="150" t="s">
        <v>18496</v>
      </c>
      <c r="D118" s="150" t="s">
        <v>18417</v>
      </c>
      <c r="E118" s="144"/>
      <c r="F118" t="s">
        <v>7938</v>
      </c>
      <c r="G118" t="s">
        <v>7936</v>
      </c>
      <c r="H118" t="s">
        <v>7937</v>
      </c>
      <c r="I118" t="s">
        <v>18400</v>
      </c>
    </row>
    <row r="119" spans="1:9" x14ac:dyDescent="0.25">
      <c r="A119" s="150" t="s">
        <v>18712</v>
      </c>
      <c r="B119" s="150" t="s">
        <v>18713</v>
      </c>
      <c r="C119" s="150" t="s">
        <v>10</v>
      </c>
      <c r="D119" s="150" t="s">
        <v>18417</v>
      </c>
      <c r="E119" s="144"/>
      <c r="F119" t="s">
        <v>14497</v>
      </c>
      <c r="G119" t="s">
        <v>14495</v>
      </c>
      <c r="H119" t="s">
        <v>14496</v>
      </c>
      <c r="I119" t="s">
        <v>18400</v>
      </c>
    </row>
    <row r="120" spans="1:9" x14ac:dyDescent="0.25">
      <c r="A120" s="150" t="s">
        <v>18714</v>
      </c>
      <c r="B120" s="150" t="s">
        <v>18715</v>
      </c>
      <c r="C120" s="150" t="s">
        <v>6</v>
      </c>
      <c r="D120" s="150" t="s">
        <v>18417</v>
      </c>
      <c r="E120" s="144"/>
      <c r="F120" t="s">
        <v>14494</v>
      </c>
      <c r="G120" t="s">
        <v>14492</v>
      </c>
      <c r="H120" t="s">
        <v>14493</v>
      </c>
      <c r="I120" t="s">
        <v>18400</v>
      </c>
    </row>
    <row r="121" spans="1:9" x14ac:dyDescent="0.25">
      <c r="A121" s="150" t="s">
        <v>18716</v>
      </c>
      <c r="B121" s="150" t="s">
        <v>18717</v>
      </c>
      <c r="C121" s="150" t="s">
        <v>18718</v>
      </c>
      <c r="D121" s="150" t="s">
        <v>18417</v>
      </c>
      <c r="E121" s="144"/>
      <c r="F121" t="s">
        <v>14491</v>
      </c>
      <c r="G121" t="s">
        <v>14489</v>
      </c>
      <c r="H121" t="s">
        <v>14490</v>
      </c>
      <c r="I121" t="s">
        <v>18400</v>
      </c>
    </row>
    <row r="122" spans="1:9" x14ac:dyDescent="0.25">
      <c r="A122" s="150" t="s">
        <v>18719</v>
      </c>
      <c r="B122" s="150" t="s">
        <v>18720</v>
      </c>
      <c r="C122" s="150" t="s">
        <v>18718</v>
      </c>
      <c r="D122" s="150" t="s">
        <v>18417</v>
      </c>
      <c r="E122" s="144"/>
      <c r="F122" t="s">
        <v>18721</v>
      </c>
      <c r="G122" t="s">
        <v>18722</v>
      </c>
      <c r="H122" t="s">
        <v>18723</v>
      </c>
      <c r="I122" t="s">
        <v>18400</v>
      </c>
    </row>
    <row r="123" spans="1:9" x14ac:dyDescent="0.25">
      <c r="A123" s="150" t="s">
        <v>18724</v>
      </c>
      <c r="B123" s="150" t="s">
        <v>4664</v>
      </c>
      <c r="C123" s="150" t="s">
        <v>18725</v>
      </c>
      <c r="D123" s="150" t="s">
        <v>18419</v>
      </c>
      <c r="E123" s="144"/>
      <c r="F123" t="s">
        <v>14610</v>
      </c>
      <c r="G123" t="s">
        <v>14608</v>
      </c>
      <c r="H123" t="s">
        <v>18726</v>
      </c>
      <c r="I123" t="s">
        <v>18400</v>
      </c>
    </row>
    <row r="124" spans="1:9" x14ac:dyDescent="0.25">
      <c r="A124" s="150" t="s">
        <v>18727</v>
      </c>
      <c r="B124" s="150" t="s">
        <v>18728</v>
      </c>
      <c r="C124" s="150" t="s">
        <v>6</v>
      </c>
      <c r="D124" s="150" t="s">
        <v>18417</v>
      </c>
      <c r="E124" s="144"/>
      <c r="F124" t="s">
        <v>14452</v>
      </c>
      <c r="G124" t="s">
        <v>14450</v>
      </c>
      <c r="H124" t="s">
        <v>14451</v>
      </c>
      <c r="I124" t="s">
        <v>18400</v>
      </c>
    </row>
    <row r="125" spans="1:9" x14ac:dyDescent="0.25">
      <c r="A125" s="150" t="s">
        <v>18729</v>
      </c>
      <c r="B125" s="150" t="s">
        <v>18730</v>
      </c>
      <c r="C125" s="150" t="s">
        <v>18731</v>
      </c>
      <c r="D125" s="150" t="s">
        <v>18419</v>
      </c>
      <c r="E125" s="144"/>
      <c r="F125" t="s">
        <v>13720</v>
      </c>
      <c r="G125" t="s">
        <v>13718</v>
      </c>
      <c r="H125" t="s">
        <v>18732</v>
      </c>
      <c r="I125" t="s">
        <v>18400</v>
      </c>
    </row>
    <row r="126" spans="1:9" x14ac:dyDescent="0.25">
      <c r="A126" s="150" t="s">
        <v>18733</v>
      </c>
      <c r="B126" s="150" t="s">
        <v>6627</v>
      </c>
      <c r="C126" s="150" t="s">
        <v>18731</v>
      </c>
      <c r="D126" s="150" t="s">
        <v>18419</v>
      </c>
      <c r="E126" s="144"/>
      <c r="F126" t="s">
        <v>14449</v>
      </c>
      <c r="G126" t="s">
        <v>14447</v>
      </c>
      <c r="H126" t="s">
        <v>14448</v>
      </c>
      <c r="I126" t="s">
        <v>18400</v>
      </c>
    </row>
    <row r="127" spans="1:9" x14ac:dyDescent="0.25">
      <c r="A127" s="150" t="s">
        <v>18734</v>
      </c>
      <c r="B127" s="150" t="s">
        <v>18735</v>
      </c>
      <c r="C127" s="150" t="s">
        <v>18718</v>
      </c>
      <c r="D127" s="150" t="s">
        <v>18419</v>
      </c>
      <c r="E127" s="144"/>
      <c r="F127" t="s">
        <v>1478</v>
      </c>
      <c r="G127" t="s">
        <v>1477</v>
      </c>
      <c r="H127" t="s">
        <v>1278</v>
      </c>
      <c r="I127" t="s">
        <v>18400</v>
      </c>
    </row>
    <row r="128" spans="1:9" x14ac:dyDescent="0.25">
      <c r="A128" s="150" t="s">
        <v>18736</v>
      </c>
      <c r="B128" s="150" t="s">
        <v>18737</v>
      </c>
      <c r="C128" s="150" t="s">
        <v>15</v>
      </c>
      <c r="D128" s="150" t="s">
        <v>18417</v>
      </c>
      <c r="E128" s="144"/>
      <c r="F128" t="s">
        <v>1802</v>
      </c>
      <c r="G128" t="s">
        <v>1800</v>
      </c>
      <c r="H128" t="s">
        <v>1801</v>
      </c>
      <c r="I128" t="s">
        <v>18400</v>
      </c>
    </row>
    <row r="129" spans="1:9" x14ac:dyDescent="0.25">
      <c r="A129" s="150" t="s">
        <v>18738</v>
      </c>
      <c r="B129" s="150" t="s">
        <v>18739</v>
      </c>
      <c r="C129" s="150" t="s">
        <v>18718</v>
      </c>
      <c r="D129" s="150" t="s">
        <v>18417</v>
      </c>
      <c r="E129" s="144"/>
      <c r="F129" t="s">
        <v>14446</v>
      </c>
      <c r="G129" t="s">
        <v>14445</v>
      </c>
      <c r="H129" t="s">
        <v>823</v>
      </c>
      <c r="I129" t="s">
        <v>18400</v>
      </c>
    </row>
    <row r="130" spans="1:9" x14ac:dyDescent="0.25">
      <c r="A130" s="150" t="s">
        <v>18740</v>
      </c>
      <c r="B130" s="150" t="s">
        <v>808</v>
      </c>
      <c r="C130" s="150" t="s">
        <v>18411</v>
      </c>
      <c r="D130" s="150" t="s">
        <v>18417</v>
      </c>
      <c r="E130" s="144"/>
      <c r="F130" t="s">
        <v>1955</v>
      </c>
      <c r="G130" t="s">
        <v>1953</v>
      </c>
      <c r="H130" t="s">
        <v>1954</v>
      </c>
      <c r="I130" t="s">
        <v>18400</v>
      </c>
    </row>
    <row r="131" spans="1:9" x14ac:dyDescent="0.25">
      <c r="A131" s="150" t="s">
        <v>18741</v>
      </c>
      <c r="B131" s="150" t="s">
        <v>1424</v>
      </c>
      <c r="C131" s="150" t="s">
        <v>18718</v>
      </c>
      <c r="D131" s="150" t="s">
        <v>18417</v>
      </c>
      <c r="E131" s="144"/>
      <c r="F131" t="s">
        <v>18742</v>
      </c>
      <c r="G131" t="s">
        <v>18743</v>
      </c>
      <c r="H131" t="s">
        <v>18744</v>
      </c>
      <c r="I131" t="s">
        <v>18400</v>
      </c>
    </row>
    <row r="132" spans="1:9" x14ac:dyDescent="0.25">
      <c r="A132" s="150" t="s">
        <v>18745</v>
      </c>
      <c r="B132" s="150" t="s">
        <v>18746</v>
      </c>
      <c r="C132" s="150" t="s">
        <v>11</v>
      </c>
      <c r="D132" s="150" t="s">
        <v>18419</v>
      </c>
      <c r="E132" s="144"/>
      <c r="F132" t="s">
        <v>18747</v>
      </c>
      <c r="G132" t="s">
        <v>18748</v>
      </c>
      <c r="H132" t="s">
        <v>1709</v>
      </c>
      <c r="I132" t="s">
        <v>18400</v>
      </c>
    </row>
    <row r="133" spans="1:9" x14ac:dyDescent="0.25">
      <c r="A133" s="150" t="s">
        <v>18749</v>
      </c>
      <c r="B133" s="150" t="s">
        <v>1212</v>
      </c>
      <c r="C133" s="150" t="s">
        <v>9</v>
      </c>
      <c r="D133" s="150" t="s">
        <v>18419</v>
      </c>
      <c r="E133" s="144"/>
      <c r="F133" t="s">
        <v>18750</v>
      </c>
      <c r="G133" t="s">
        <v>18751</v>
      </c>
      <c r="H133" t="s">
        <v>13658</v>
      </c>
      <c r="I133" t="s">
        <v>18400</v>
      </c>
    </row>
    <row r="134" spans="1:9" x14ac:dyDescent="0.25">
      <c r="A134" s="150" t="s">
        <v>18752</v>
      </c>
      <c r="B134" s="150" t="s">
        <v>18753</v>
      </c>
      <c r="C134" s="150" t="s">
        <v>11</v>
      </c>
      <c r="D134" s="150" t="s">
        <v>18419</v>
      </c>
      <c r="E134" s="144"/>
      <c r="F134" t="s">
        <v>18754</v>
      </c>
      <c r="G134" t="s">
        <v>18755</v>
      </c>
      <c r="H134" t="s">
        <v>18756</v>
      </c>
      <c r="I134" t="s">
        <v>18400</v>
      </c>
    </row>
    <row r="135" spans="1:9" x14ac:dyDescent="0.25">
      <c r="A135" s="150" t="s">
        <v>18757</v>
      </c>
      <c r="B135" s="150" t="s">
        <v>18758</v>
      </c>
      <c r="C135" s="150" t="s">
        <v>12</v>
      </c>
      <c r="D135" s="150" t="s">
        <v>18419</v>
      </c>
      <c r="E135" s="144"/>
      <c r="F135" t="s">
        <v>1261</v>
      </c>
      <c r="G135" t="s">
        <v>1259</v>
      </c>
      <c r="H135" t="s">
        <v>1260</v>
      </c>
      <c r="I135" t="s">
        <v>18400</v>
      </c>
    </row>
    <row r="136" spans="1:9" x14ac:dyDescent="0.25">
      <c r="A136" s="150" t="s">
        <v>18759</v>
      </c>
      <c r="B136" s="150" t="s">
        <v>18760</v>
      </c>
      <c r="C136" s="150" t="s">
        <v>11</v>
      </c>
      <c r="D136" s="150" t="s">
        <v>18419</v>
      </c>
      <c r="E136" s="144"/>
      <c r="F136" t="s">
        <v>1794</v>
      </c>
      <c r="G136" t="s">
        <v>1792</v>
      </c>
      <c r="H136" t="s">
        <v>4989</v>
      </c>
      <c r="I136" t="s">
        <v>18400</v>
      </c>
    </row>
    <row r="137" spans="1:9" x14ac:dyDescent="0.25">
      <c r="A137" s="150" t="s">
        <v>18761</v>
      </c>
      <c r="B137" s="150" t="s">
        <v>18762</v>
      </c>
      <c r="C137" s="150" t="s">
        <v>12</v>
      </c>
      <c r="D137" s="150" t="s">
        <v>18419</v>
      </c>
      <c r="E137" s="144"/>
      <c r="F137" t="s">
        <v>18763</v>
      </c>
      <c r="G137" t="s">
        <v>18764</v>
      </c>
      <c r="H137" t="s">
        <v>18765</v>
      </c>
      <c r="I137" t="s">
        <v>18400</v>
      </c>
    </row>
    <row r="138" spans="1:9" x14ac:dyDescent="0.25">
      <c r="A138" s="150" t="s">
        <v>18766</v>
      </c>
      <c r="B138" s="150" t="s">
        <v>18767</v>
      </c>
      <c r="C138" s="150" t="s">
        <v>12</v>
      </c>
      <c r="D138" s="150" t="s">
        <v>18419</v>
      </c>
      <c r="E138" s="144"/>
      <c r="F138" t="s">
        <v>1785</v>
      </c>
      <c r="G138" t="s">
        <v>1783</v>
      </c>
      <c r="H138" t="s">
        <v>1784</v>
      </c>
      <c r="I138" t="s">
        <v>18400</v>
      </c>
    </row>
    <row r="139" spans="1:9" x14ac:dyDescent="0.25">
      <c r="A139" s="150" t="s">
        <v>18768</v>
      </c>
      <c r="B139" s="150" t="s">
        <v>17921</v>
      </c>
      <c r="C139" s="150" t="s">
        <v>12</v>
      </c>
      <c r="D139" s="150" t="s">
        <v>18419</v>
      </c>
      <c r="E139" s="144"/>
      <c r="F139" t="s">
        <v>17587</v>
      </c>
      <c r="G139" t="s">
        <v>17585</v>
      </c>
      <c r="H139" t="s">
        <v>17586</v>
      </c>
      <c r="I139" t="s">
        <v>18400</v>
      </c>
    </row>
    <row r="140" spans="1:9" x14ac:dyDescent="0.25">
      <c r="A140" s="150" t="s">
        <v>18769</v>
      </c>
      <c r="B140" s="150" t="s">
        <v>18770</v>
      </c>
      <c r="C140" s="150" t="s">
        <v>12</v>
      </c>
      <c r="D140" s="150" t="s">
        <v>18419</v>
      </c>
      <c r="E140" s="144"/>
      <c r="F140" t="s">
        <v>14232</v>
      </c>
      <c r="G140" t="s">
        <v>14231</v>
      </c>
      <c r="H140" t="s">
        <v>18771</v>
      </c>
      <c r="I140" t="s">
        <v>18400</v>
      </c>
    </row>
    <row r="141" spans="1:9" x14ac:dyDescent="0.25">
      <c r="A141" s="150" t="s">
        <v>18772</v>
      </c>
      <c r="B141" s="150" t="s">
        <v>18773</v>
      </c>
      <c r="C141" s="150" t="s">
        <v>12</v>
      </c>
      <c r="D141" s="150" t="s">
        <v>18419</v>
      </c>
      <c r="E141" s="144"/>
      <c r="F141" t="s">
        <v>18774</v>
      </c>
      <c r="G141" t="s">
        <v>18775</v>
      </c>
      <c r="H141" t="s">
        <v>18776</v>
      </c>
      <c r="I141" t="s">
        <v>18400</v>
      </c>
    </row>
    <row r="142" spans="1:9" x14ac:dyDescent="0.25">
      <c r="A142" s="150" t="s">
        <v>18777</v>
      </c>
      <c r="B142" s="150" t="s">
        <v>16467</v>
      </c>
      <c r="C142" s="150" t="s">
        <v>11</v>
      </c>
      <c r="D142" s="150" t="s">
        <v>18417</v>
      </c>
      <c r="E142" s="144"/>
      <c r="F142" t="s">
        <v>1248</v>
      </c>
      <c r="G142" t="s">
        <v>1246</v>
      </c>
      <c r="H142" t="s">
        <v>1247</v>
      </c>
      <c r="I142" t="s">
        <v>18400</v>
      </c>
    </row>
    <row r="143" spans="1:9" x14ac:dyDescent="0.25">
      <c r="A143" s="150" t="s">
        <v>18778</v>
      </c>
      <c r="B143" s="150" t="s">
        <v>12771</v>
      </c>
      <c r="C143" s="150" t="s">
        <v>12</v>
      </c>
      <c r="D143" s="150" t="s">
        <v>18419</v>
      </c>
      <c r="E143" s="144"/>
      <c r="F143" t="s">
        <v>18089</v>
      </c>
      <c r="G143" t="s">
        <v>18088</v>
      </c>
      <c r="H143" t="s">
        <v>13453</v>
      </c>
      <c r="I143" t="s">
        <v>18400</v>
      </c>
    </row>
    <row r="144" spans="1:9" x14ac:dyDescent="0.25">
      <c r="A144" s="150" t="s">
        <v>18779</v>
      </c>
      <c r="B144" s="150" t="s">
        <v>10323</v>
      </c>
      <c r="C144" s="150" t="s">
        <v>11</v>
      </c>
      <c r="D144" s="150" t="s">
        <v>18419</v>
      </c>
      <c r="E144" s="144"/>
      <c r="F144" t="s">
        <v>2060</v>
      </c>
      <c r="G144" t="s">
        <v>2059</v>
      </c>
      <c r="H144" t="s">
        <v>592</v>
      </c>
      <c r="I144" t="s">
        <v>18400</v>
      </c>
    </row>
    <row r="145" spans="1:9" x14ac:dyDescent="0.25">
      <c r="A145" s="150" t="s">
        <v>18780</v>
      </c>
      <c r="B145" s="150" t="s">
        <v>968</v>
      </c>
      <c r="C145" s="150" t="s">
        <v>12</v>
      </c>
      <c r="D145" s="150" t="s">
        <v>18419</v>
      </c>
      <c r="E145" s="144"/>
      <c r="F145" t="s">
        <v>1780</v>
      </c>
      <c r="G145" t="s">
        <v>1778</v>
      </c>
      <c r="H145" t="s">
        <v>1779</v>
      </c>
      <c r="I145" t="s">
        <v>18400</v>
      </c>
    </row>
    <row r="146" spans="1:9" x14ac:dyDescent="0.25">
      <c r="A146" s="150" t="s">
        <v>8842</v>
      </c>
      <c r="B146" s="150" t="s">
        <v>18781</v>
      </c>
      <c r="C146" s="150" t="s">
        <v>18782</v>
      </c>
      <c r="D146" s="150" t="s">
        <v>18419</v>
      </c>
      <c r="E146" s="144"/>
      <c r="F146" t="s">
        <v>17581</v>
      </c>
      <c r="G146" t="s">
        <v>17580</v>
      </c>
      <c r="H146" t="s">
        <v>4292</v>
      </c>
      <c r="I146" t="s">
        <v>18400</v>
      </c>
    </row>
    <row r="147" spans="1:9" x14ac:dyDescent="0.25">
      <c r="A147" s="31" t="s">
        <v>18148</v>
      </c>
      <c r="B147" s="30" t="s">
        <v>18147</v>
      </c>
      <c r="C147" s="150"/>
      <c r="D147" s="150" t="s">
        <v>18419</v>
      </c>
      <c r="E147" s="144"/>
      <c r="F147" t="s">
        <v>17579</v>
      </c>
      <c r="G147" t="s">
        <v>17577</v>
      </c>
      <c r="H147" t="s">
        <v>17578</v>
      </c>
      <c r="I147" t="s">
        <v>18400</v>
      </c>
    </row>
    <row r="148" spans="1:9" x14ac:dyDescent="0.25">
      <c r="A148" s="150"/>
      <c r="B148" s="150"/>
      <c r="C148" s="150"/>
      <c r="D148" s="150"/>
      <c r="E148" s="144"/>
      <c r="F148" t="s">
        <v>17931</v>
      </c>
      <c r="G148" t="s">
        <v>17929</v>
      </c>
      <c r="H148" t="s">
        <v>17930</v>
      </c>
      <c r="I148" t="s">
        <v>18400</v>
      </c>
    </row>
    <row r="149" spans="1:9" x14ac:dyDescent="0.25">
      <c r="A149" s="150"/>
      <c r="B149" s="150"/>
      <c r="C149" s="150"/>
      <c r="D149" s="150"/>
      <c r="E149" s="144"/>
      <c r="F149" t="s">
        <v>1465</v>
      </c>
      <c r="G149" t="s">
        <v>1463</v>
      </c>
      <c r="H149" t="s">
        <v>1464</v>
      </c>
      <c r="I149" t="s">
        <v>18400</v>
      </c>
    </row>
    <row r="150" spans="1:9" x14ac:dyDescent="0.25">
      <c r="A150" s="150"/>
      <c r="B150" s="150"/>
      <c r="C150" s="150"/>
      <c r="D150" s="150"/>
      <c r="E150" s="144"/>
      <c r="F150" t="s">
        <v>1777</v>
      </c>
      <c r="G150" t="s">
        <v>1775</v>
      </c>
      <c r="H150" t="s">
        <v>1776</v>
      </c>
      <c r="I150" t="s">
        <v>18400</v>
      </c>
    </row>
    <row r="151" spans="1:9" x14ac:dyDescent="0.25">
      <c r="A151" s="150"/>
      <c r="B151" s="150"/>
      <c r="C151" s="150"/>
      <c r="D151" s="150"/>
      <c r="E151" s="144"/>
      <c r="F151" t="s">
        <v>2058</v>
      </c>
      <c r="G151" t="s">
        <v>2056</v>
      </c>
      <c r="H151" t="s">
        <v>18783</v>
      </c>
      <c r="I151" t="s">
        <v>18400</v>
      </c>
    </row>
    <row r="152" spans="1:9" x14ac:dyDescent="0.25">
      <c r="A152" s="150"/>
      <c r="B152" s="150"/>
      <c r="C152" s="150"/>
      <c r="D152" s="150"/>
      <c r="E152" s="144"/>
      <c r="F152" t="s">
        <v>17576</v>
      </c>
      <c r="G152" t="s">
        <v>17574</v>
      </c>
      <c r="H152" t="s">
        <v>17575</v>
      </c>
      <c r="I152" t="s">
        <v>18400</v>
      </c>
    </row>
    <row r="153" spans="1:9" x14ac:dyDescent="0.25">
      <c r="A153" s="150"/>
      <c r="B153" s="150"/>
      <c r="C153" s="150"/>
      <c r="D153" s="150"/>
      <c r="E153" s="144"/>
      <c r="F153" t="s">
        <v>18784</v>
      </c>
      <c r="G153" t="s">
        <v>18785</v>
      </c>
      <c r="H153" t="s">
        <v>18786</v>
      </c>
      <c r="I153" t="s">
        <v>18400</v>
      </c>
    </row>
    <row r="154" spans="1:9" x14ac:dyDescent="0.25">
      <c r="A154" s="150"/>
      <c r="B154" s="150"/>
      <c r="C154" s="150"/>
      <c r="D154" s="150"/>
      <c r="E154" s="144"/>
      <c r="F154" t="s">
        <v>2055</v>
      </c>
      <c r="G154" t="s">
        <v>2053</v>
      </c>
      <c r="H154" t="s">
        <v>2054</v>
      </c>
      <c r="I154" t="s">
        <v>18400</v>
      </c>
    </row>
    <row r="155" spans="1:9" x14ac:dyDescent="0.25">
      <c r="A155" s="150"/>
      <c r="B155" s="150"/>
      <c r="C155" s="150"/>
      <c r="D155" s="150"/>
      <c r="E155" s="144"/>
      <c r="F155" t="s">
        <v>17573</v>
      </c>
      <c r="G155" t="s">
        <v>17571</v>
      </c>
      <c r="H155" t="s">
        <v>17572</v>
      </c>
      <c r="I155" t="s">
        <v>18400</v>
      </c>
    </row>
    <row r="156" spans="1:9" x14ac:dyDescent="0.25">
      <c r="A156" s="150"/>
      <c r="B156" s="150"/>
      <c r="C156" s="150"/>
      <c r="D156" s="150"/>
      <c r="E156" s="144"/>
      <c r="F156" t="s">
        <v>14603</v>
      </c>
      <c r="G156" t="s">
        <v>14602</v>
      </c>
      <c r="H156" t="s">
        <v>4566</v>
      </c>
      <c r="I156" t="s">
        <v>18400</v>
      </c>
    </row>
    <row r="157" spans="1:9" x14ac:dyDescent="0.25">
      <c r="A157" s="150"/>
      <c r="B157" s="150"/>
      <c r="C157" s="150"/>
      <c r="D157" s="150"/>
      <c r="E157" s="144"/>
      <c r="F157" t="s">
        <v>1233</v>
      </c>
      <c r="G157" t="s">
        <v>1231</v>
      </c>
      <c r="H157" t="s">
        <v>1232</v>
      </c>
      <c r="I157" t="s">
        <v>18400</v>
      </c>
    </row>
    <row r="158" spans="1:9" x14ac:dyDescent="0.25">
      <c r="A158" s="150"/>
      <c r="B158" s="150"/>
      <c r="C158" s="150"/>
      <c r="D158" s="150"/>
      <c r="E158" s="144"/>
      <c r="F158" t="s">
        <v>2052</v>
      </c>
      <c r="G158" t="s">
        <v>2050</v>
      </c>
      <c r="H158" t="s">
        <v>2051</v>
      </c>
      <c r="I158" t="s">
        <v>18400</v>
      </c>
    </row>
    <row r="159" spans="1:9" x14ac:dyDescent="0.25">
      <c r="A159" s="150"/>
      <c r="B159" s="150"/>
      <c r="C159" s="150"/>
      <c r="D159" s="150"/>
      <c r="E159" s="144"/>
      <c r="F159" t="s">
        <v>1774</v>
      </c>
      <c r="G159" t="s">
        <v>1772</v>
      </c>
      <c r="H159" t="s">
        <v>1773</v>
      </c>
      <c r="I159" t="s">
        <v>18400</v>
      </c>
    </row>
    <row r="160" spans="1:9" x14ac:dyDescent="0.25">
      <c r="A160" s="150"/>
      <c r="B160" s="150"/>
      <c r="C160" s="150"/>
      <c r="D160" s="150"/>
      <c r="E160" s="144"/>
      <c r="F160" t="s">
        <v>2049</v>
      </c>
      <c r="G160" t="s">
        <v>2047</v>
      </c>
      <c r="H160" t="s">
        <v>2048</v>
      </c>
      <c r="I160" t="s">
        <v>18400</v>
      </c>
    </row>
    <row r="161" spans="1:9" x14ac:dyDescent="0.25">
      <c r="A161" s="150"/>
      <c r="B161" s="150"/>
      <c r="C161" s="150"/>
      <c r="D161" s="150"/>
      <c r="E161" s="144"/>
      <c r="F161" t="s">
        <v>18787</v>
      </c>
      <c r="G161" t="s">
        <v>18788</v>
      </c>
      <c r="H161" t="s">
        <v>18789</v>
      </c>
      <c r="I161" t="s">
        <v>18400</v>
      </c>
    </row>
    <row r="162" spans="1:9" x14ac:dyDescent="0.25">
      <c r="A162" s="150"/>
      <c r="B162" s="150"/>
      <c r="C162" s="150"/>
      <c r="D162" s="150"/>
      <c r="E162" s="144"/>
      <c r="F162" t="s">
        <v>18790</v>
      </c>
      <c r="G162" t="s">
        <v>18791</v>
      </c>
      <c r="H162" t="s">
        <v>18792</v>
      </c>
      <c r="I162" t="s">
        <v>18400</v>
      </c>
    </row>
    <row r="163" spans="1:9" x14ac:dyDescent="0.25">
      <c r="A163" s="150"/>
      <c r="B163" s="150"/>
      <c r="C163" s="150"/>
      <c r="D163" s="150"/>
      <c r="E163" s="144"/>
      <c r="F163" t="s">
        <v>18793</v>
      </c>
      <c r="G163" t="s">
        <v>18794</v>
      </c>
      <c r="H163" t="s">
        <v>18795</v>
      </c>
      <c r="I163" t="s">
        <v>18400</v>
      </c>
    </row>
    <row r="164" spans="1:9" x14ac:dyDescent="0.25">
      <c r="A164" s="150"/>
      <c r="B164" s="150"/>
      <c r="C164" s="150"/>
      <c r="D164" s="150"/>
      <c r="E164" s="144"/>
      <c r="F164" t="s">
        <v>18796</v>
      </c>
      <c r="G164" t="s">
        <v>18797</v>
      </c>
      <c r="H164" t="s">
        <v>18798</v>
      </c>
      <c r="I164" t="s">
        <v>18400</v>
      </c>
    </row>
    <row r="165" spans="1:9" x14ac:dyDescent="0.25">
      <c r="A165" s="150"/>
      <c r="B165" s="150"/>
      <c r="C165" s="150"/>
      <c r="D165" s="150"/>
      <c r="E165" s="144"/>
      <c r="F165" t="s">
        <v>2044</v>
      </c>
      <c r="G165" t="s">
        <v>2042</v>
      </c>
      <c r="H165" t="s">
        <v>2043</v>
      </c>
      <c r="I165" t="s">
        <v>18400</v>
      </c>
    </row>
    <row r="166" spans="1:9" x14ac:dyDescent="0.25">
      <c r="A166" s="150"/>
      <c r="B166" s="150"/>
      <c r="C166" s="150"/>
      <c r="D166" s="150"/>
      <c r="E166" s="144"/>
      <c r="F166" t="s">
        <v>1230</v>
      </c>
      <c r="G166" t="s">
        <v>1228</v>
      </c>
      <c r="H166" t="s">
        <v>1229</v>
      </c>
      <c r="I166" t="s">
        <v>18400</v>
      </c>
    </row>
    <row r="167" spans="1:9" x14ac:dyDescent="0.25">
      <c r="A167" s="150"/>
      <c r="B167" s="150"/>
      <c r="C167" s="150"/>
      <c r="D167" s="150"/>
      <c r="E167" s="144"/>
      <c r="F167" t="s">
        <v>17570</v>
      </c>
      <c r="G167" t="s">
        <v>17568</v>
      </c>
      <c r="H167" t="s">
        <v>18799</v>
      </c>
      <c r="I167" t="s">
        <v>18400</v>
      </c>
    </row>
    <row r="168" spans="1:9" x14ac:dyDescent="0.25">
      <c r="A168" s="150"/>
      <c r="B168" s="150"/>
      <c r="C168" s="150"/>
      <c r="D168" s="150"/>
      <c r="E168" s="144"/>
      <c r="F168" t="s">
        <v>18800</v>
      </c>
      <c r="G168" t="s">
        <v>18801</v>
      </c>
      <c r="H168" t="s">
        <v>18802</v>
      </c>
      <c r="I168" t="s">
        <v>18400</v>
      </c>
    </row>
    <row r="169" spans="1:9" x14ac:dyDescent="0.25">
      <c r="A169" s="150"/>
      <c r="B169" s="150"/>
      <c r="C169" s="150"/>
      <c r="D169" s="150"/>
      <c r="E169" s="144"/>
      <c r="F169" t="s">
        <v>17567</v>
      </c>
      <c r="G169" t="s">
        <v>17565</v>
      </c>
      <c r="H169" t="s">
        <v>17566</v>
      </c>
      <c r="I169" t="s">
        <v>18400</v>
      </c>
    </row>
    <row r="170" spans="1:9" x14ac:dyDescent="0.25">
      <c r="A170" s="150"/>
      <c r="B170" s="150"/>
      <c r="C170" s="150"/>
      <c r="D170" s="150"/>
      <c r="E170" s="144"/>
      <c r="F170" t="s">
        <v>17562</v>
      </c>
      <c r="G170" t="s">
        <v>17560</v>
      </c>
      <c r="H170" t="s">
        <v>18803</v>
      </c>
      <c r="I170" t="s">
        <v>18400</v>
      </c>
    </row>
    <row r="171" spans="1:9" x14ac:dyDescent="0.25">
      <c r="A171" s="150"/>
      <c r="B171" s="150"/>
      <c r="C171" s="150"/>
      <c r="D171" s="150"/>
      <c r="E171" s="144"/>
      <c r="F171" t="s">
        <v>18804</v>
      </c>
      <c r="G171" t="s">
        <v>18805</v>
      </c>
      <c r="H171" t="s">
        <v>970</v>
      </c>
      <c r="I171" t="s">
        <v>18400</v>
      </c>
    </row>
    <row r="172" spans="1:9" x14ac:dyDescent="0.25">
      <c r="A172" s="150"/>
      <c r="B172" s="150"/>
      <c r="C172" s="150"/>
      <c r="D172" s="150"/>
      <c r="E172" s="144"/>
      <c r="F172" t="s">
        <v>1764</v>
      </c>
      <c r="G172" t="s">
        <v>1762</v>
      </c>
      <c r="H172" t="s">
        <v>18806</v>
      </c>
      <c r="I172" t="s">
        <v>18400</v>
      </c>
    </row>
    <row r="173" spans="1:9" x14ac:dyDescent="0.25">
      <c r="A173" s="150"/>
      <c r="B173" s="150"/>
      <c r="C173" s="150"/>
      <c r="D173" s="150"/>
      <c r="E173" s="144"/>
      <c r="F173" t="s">
        <v>14302</v>
      </c>
      <c r="G173" t="s">
        <v>14301</v>
      </c>
      <c r="H173" t="s">
        <v>632</v>
      </c>
      <c r="I173" t="s">
        <v>18400</v>
      </c>
    </row>
    <row r="174" spans="1:9" x14ac:dyDescent="0.25">
      <c r="A174" s="150"/>
      <c r="B174" s="150"/>
      <c r="C174" s="150"/>
      <c r="D174" s="150"/>
      <c r="E174" s="144"/>
      <c r="F174" t="s">
        <v>14485</v>
      </c>
      <c r="G174" t="s">
        <v>14483</v>
      </c>
      <c r="H174" t="s">
        <v>14484</v>
      </c>
      <c r="I174" t="s">
        <v>18400</v>
      </c>
    </row>
    <row r="175" spans="1:9" x14ac:dyDescent="0.25">
      <c r="A175" s="150"/>
      <c r="B175" s="150"/>
      <c r="C175" s="150"/>
      <c r="D175" s="150"/>
      <c r="E175" s="144"/>
      <c r="F175" t="s">
        <v>17559</v>
      </c>
      <c r="G175" t="s">
        <v>17557</v>
      </c>
      <c r="H175" t="s">
        <v>17558</v>
      </c>
      <c r="I175" t="s">
        <v>18400</v>
      </c>
    </row>
    <row r="176" spans="1:9" x14ac:dyDescent="0.25">
      <c r="A176" s="150"/>
      <c r="B176" s="150"/>
      <c r="C176" s="150"/>
      <c r="D176" s="150"/>
      <c r="E176" s="144"/>
      <c r="F176" t="s">
        <v>17556</v>
      </c>
      <c r="G176" t="s">
        <v>17554</v>
      </c>
      <c r="H176" t="s">
        <v>17555</v>
      </c>
      <c r="I176" t="s">
        <v>18400</v>
      </c>
    </row>
    <row r="177" spans="1:9" x14ac:dyDescent="0.25">
      <c r="A177" s="150"/>
      <c r="B177" s="150"/>
      <c r="C177" s="150"/>
      <c r="D177" s="150"/>
      <c r="E177" s="144"/>
      <c r="F177" t="s">
        <v>1761</v>
      </c>
      <c r="G177" t="s">
        <v>1759</v>
      </c>
      <c r="H177" t="s">
        <v>1760</v>
      </c>
      <c r="I177" t="s">
        <v>18400</v>
      </c>
    </row>
    <row r="178" spans="1:9" x14ac:dyDescent="0.25">
      <c r="A178" s="150"/>
      <c r="B178" s="150"/>
      <c r="C178" s="150"/>
      <c r="D178" s="150"/>
      <c r="E178" s="144"/>
      <c r="F178" t="s">
        <v>2038</v>
      </c>
      <c r="G178" t="s">
        <v>2037</v>
      </c>
      <c r="H178" t="s">
        <v>18807</v>
      </c>
      <c r="I178" t="s">
        <v>18400</v>
      </c>
    </row>
    <row r="179" spans="1:9" x14ac:dyDescent="0.25">
      <c r="A179" s="150"/>
      <c r="B179" s="150"/>
      <c r="C179" s="150"/>
      <c r="D179" s="150"/>
      <c r="E179" s="144"/>
      <c r="F179" t="s">
        <v>1462</v>
      </c>
      <c r="G179" t="s">
        <v>1460</v>
      </c>
      <c r="H179" t="s">
        <v>1461</v>
      </c>
      <c r="I179" t="s">
        <v>18400</v>
      </c>
    </row>
    <row r="180" spans="1:9" x14ac:dyDescent="0.25">
      <c r="A180" s="150"/>
      <c r="B180" s="150"/>
      <c r="C180" s="150"/>
      <c r="D180" s="150"/>
      <c r="E180" s="144"/>
      <c r="F180" t="s">
        <v>18808</v>
      </c>
      <c r="G180" t="s">
        <v>18809</v>
      </c>
      <c r="H180" t="s">
        <v>18810</v>
      </c>
      <c r="I180" t="s">
        <v>18400</v>
      </c>
    </row>
    <row r="181" spans="1:9" x14ac:dyDescent="0.25">
      <c r="A181" s="150"/>
      <c r="B181" s="150"/>
      <c r="C181" s="150"/>
      <c r="D181" s="150"/>
      <c r="E181" s="144"/>
      <c r="F181" t="s">
        <v>12362</v>
      </c>
      <c r="G181" t="s">
        <v>12360</v>
      </c>
      <c r="H181" t="s">
        <v>12361</v>
      </c>
      <c r="I181" t="s">
        <v>18400</v>
      </c>
    </row>
    <row r="182" spans="1:9" x14ac:dyDescent="0.25">
      <c r="A182" s="150"/>
      <c r="B182" s="150"/>
      <c r="C182" s="150"/>
      <c r="D182" s="150"/>
      <c r="E182" s="144"/>
      <c r="F182" t="s">
        <v>14482</v>
      </c>
      <c r="G182" t="s">
        <v>14481</v>
      </c>
      <c r="H182" t="s">
        <v>18771</v>
      </c>
      <c r="I182" t="s">
        <v>18400</v>
      </c>
    </row>
    <row r="183" spans="1:9" x14ac:dyDescent="0.25">
      <c r="A183" s="150"/>
      <c r="B183" s="150"/>
      <c r="C183" s="150"/>
      <c r="D183" s="150"/>
      <c r="E183" s="144"/>
      <c r="F183" t="s">
        <v>1756</v>
      </c>
      <c r="G183" t="s">
        <v>1754</v>
      </c>
      <c r="H183" t="s">
        <v>18811</v>
      </c>
      <c r="I183" t="s">
        <v>18400</v>
      </c>
    </row>
    <row r="184" spans="1:9" x14ac:dyDescent="0.25">
      <c r="A184" s="150"/>
      <c r="B184" s="150"/>
      <c r="C184" s="150"/>
      <c r="D184" s="150"/>
      <c r="E184" s="144"/>
      <c r="F184" t="s">
        <v>17546</v>
      </c>
      <c r="G184" t="s">
        <v>17544</v>
      </c>
      <c r="H184" t="s">
        <v>17545</v>
      </c>
      <c r="I184" t="s">
        <v>18400</v>
      </c>
    </row>
    <row r="185" spans="1:9" x14ac:dyDescent="0.25">
      <c r="A185" s="150"/>
      <c r="B185" s="150"/>
      <c r="C185" s="150"/>
      <c r="D185" s="150"/>
      <c r="E185" s="144"/>
      <c r="F185" t="s">
        <v>1459</v>
      </c>
      <c r="G185" t="s">
        <v>1457</v>
      </c>
      <c r="H185" t="s">
        <v>1458</v>
      </c>
      <c r="I185" t="s">
        <v>18400</v>
      </c>
    </row>
    <row r="186" spans="1:9" x14ac:dyDescent="0.25">
      <c r="A186" s="150"/>
      <c r="B186" s="150"/>
      <c r="C186" s="150"/>
      <c r="D186" s="150"/>
      <c r="E186" s="144"/>
      <c r="F186" t="s">
        <v>1753</v>
      </c>
      <c r="G186" t="s">
        <v>1751</v>
      </c>
      <c r="H186" t="s">
        <v>1752</v>
      </c>
      <c r="I186" t="s">
        <v>18400</v>
      </c>
    </row>
    <row r="187" spans="1:9" x14ac:dyDescent="0.25">
      <c r="A187" s="150"/>
      <c r="B187" s="150"/>
      <c r="C187" s="150"/>
      <c r="D187" s="150"/>
      <c r="E187" s="144"/>
      <c r="F187" t="s">
        <v>1748</v>
      </c>
      <c r="G187" t="s">
        <v>1746</v>
      </c>
      <c r="H187" t="s">
        <v>1747</v>
      </c>
      <c r="I187" t="s">
        <v>18400</v>
      </c>
    </row>
    <row r="188" spans="1:9" x14ac:dyDescent="0.25">
      <c r="A188" s="150"/>
      <c r="B188" s="150"/>
      <c r="C188" s="150"/>
      <c r="D188" s="150"/>
      <c r="E188" s="144"/>
      <c r="F188" t="s">
        <v>2036</v>
      </c>
      <c r="G188" t="s">
        <v>2035</v>
      </c>
      <c r="H188" t="s">
        <v>632</v>
      </c>
      <c r="I188" t="s">
        <v>18400</v>
      </c>
    </row>
    <row r="189" spans="1:9" x14ac:dyDescent="0.25">
      <c r="A189" s="150"/>
      <c r="B189" s="150"/>
      <c r="C189" s="150"/>
      <c r="D189" s="150"/>
      <c r="E189" s="144"/>
      <c r="F189" t="s">
        <v>18812</v>
      </c>
      <c r="G189" t="s">
        <v>18813</v>
      </c>
      <c r="H189" t="s">
        <v>18814</v>
      </c>
      <c r="I189" t="s">
        <v>18400</v>
      </c>
    </row>
    <row r="190" spans="1:9" x14ac:dyDescent="0.25">
      <c r="A190" s="150"/>
      <c r="B190" s="150"/>
      <c r="C190" s="150"/>
      <c r="D190" s="150"/>
      <c r="E190" s="144"/>
      <c r="F190" t="s">
        <v>18815</v>
      </c>
      <c r="G190" t="s">
        <v>18816</v>
      </c>
      <c r="H190" t="s">
        <v>18817</v>
      </c>
      <c r="I190" t="s">
        <v>18400</v>
      </c>
    </row>
    <row r="191" spans="1:9" x14ac:dyDescent="0.25">
      <c r="A191" s="150"/>
      <c r="B191" s="150"/>
      <c r="C191" s="150"/>
      <c r="D191" s="150"/>
      <c r="E191" s="144"/>
      <c r="F191" t="s">
        <v>12256</v>
      </c>
      <c r="G191" t="s">
        <v>12254</v>
      </c>
      <c r="H191" t="s">
        <v>18818</v>
      </c>
      <c r="I191" t="s">
        <v>18400</v>
      </c>
    </row>
    <row r="192" spans="1:9" x14ac:dyDescent="0.25">
      <c r="A192" s="150"/>
      <c r="B192" s="150"/>
      <c r="C192" s="150"/>
      <c r="D192" s="150"/>
      <c r="E192" s="144"/>
      <c r="F192" t="s">
        <v>18819</v>
      </c>
      <c r="G192" t="s">
        <v>18820</v>
      </c>
      <c r="H192" t="s">
        <v>18821</v>
      </c>
      <c r="I192" t="s">
        <v>18400</v>
      </c>
    </row>
    <row r="193" spans="1:9" x14ac:dyDescent="0.25">
      <c r="A193" s="150"/>
      <c r="B193" s="150"/>
      <c r="C193" s="150"/>
      <c r="D193" s="150"/>
      <c r="E193" s="144"/>
      <c r="F193" t="s">
        <v>18822</v>
      </c>
      <c r="G193" t="s">
        <v>18823</v>
      </c>
      <c r="H193" t="s">
        <v>18824</v>
      </c>
      <c r="I193" t="s">
        <v>18400</v>
      </c>
    </row>
    <row r="194" spans="1:9" x14ac:dyDescent="0.25">
      <c r="A194" s="150"/>
      <c r="B194" s="150"/>
      <c r="C194" s="150"/>
      <c r="D194" s="150"/>
      <c r="E194" s="144"/>
      <c r="F194" t="s">
        <v>18825</v>
      </c>
      <c r="G194" t="s">
        <v>18826</v>
      </c>
      <c r="H194" t="s">
        <v>18827</v>
      </c>
      <c r="I194" t="s">
        <v>18400</v>
      </c>
    </row>
    <row r="195" spans="1:9" x14ac:dyDescent="0.25">
      <c r="A195" s="150"/>
      <c r="B195" s="150"/>
      <c r="C195" s="150"/>
      <c r="D195" s="150"/>
      <c r="E195" s="144"/>
      <c r="F195" t="s">
        <v>18828</v>
      </c>
      <c r="G195" t="s">
        <v>18829</v>
      </c>
      <c r="H195" t="s">
        <v>18830</v>
      </c>
      <c r="I195" t="s">
        <v>18400</v>
      </c>
    </row>
    <row r="196" spans="1:9" x14ac:dyDescent="0.25">
      <c r="A196" s="150"/>
      <c r="B196" s="150"/>
      <c r="C196" s="150"/>
      <c r="D196" s="150"/>
      <c r="E196" s="144"/>
      <c r="F196" t="s">
        <v>5291</v>
      </c>
      <c r="G196" t="s">
        <v>5289</v>
      </c>
      <c r="H196" t="s">
        <v>5290</v>
      </c>
      <c r="I196" t="s">
        <v>18400</v>
      </c>
    </row>
    <row r="197" spans="1:9" x14ac:dyDescent="0.25">
      <c r="A197" s="150"/>
      <c r="B197" s="150"/>
      <c r="C197" s="150"/>
      <c r="D197" s="150"/>
      <c r="E197" s="144"/>
      <c r="F197" t="s">
        <v>12253</v>
      </c>
      <c r="G197" t="s">
        <v>12251</v>
      </c>
      <c r="H197" t="s">
        <v>12252</v>
      </c>
      <c r="I197" t="s">
        <v>18400</v>
      </c>
    </row>
    <row r="198" spans="1:9" x14ac:dyDescent="0.25">
      <c r="A198" s="150"/>
      <c r="B198" s="150"/>
      <c r="C198" s="150"/>
      <c r="D198" s="150"/>
      <c r="E198" s="144"/>
      <c r="F198" t="s">
        <v>17899</v>
      </c>
      <c r="G198" t="s">
        <v>17897</v>
      </c>
      <c r="H198" t="s">
        <v>17898</v>
      </c>
      <c r="I198" t="s">
        <v>18400</v>
      </c>
    </row>
    <row r="199" spans="1:9" x14ac:dyDescent="0.25">
      <c r="A199" s="150"/>
      <c r="B199" s="150"/>
      <c r="C199" s="150"/>
      <c r="D199" s="150"/>
      <c r="E199" s="144"/>
      <c r="F199" t="s">
        <v>18831</v>
      </c>
      <c r="G199" t="s">
        <v>18832</v>
      </c>
      <c r="H199" t="s">
        <v>18833</v>
      </c>
      <c r="I199" t="s">
        <v>18400</v>
      </c>
    </row>
    <row r="200" spans="1:9" x14ac:dyDescent="0.25">
      <c r="A200" s="150"/>
      <c r="B200" s="150"/>
      <c r="C200" s="150"/>
      <c r="D200" s="150"/>
      <c r="E200" s="144"/>
      <c r="F200" t="s">
        <v>18834</v>
      </c>
      <c r="G200" t="s">
        <v>18835</v>
      </c>
      <c r="H200" t="s">
        <v>18836</v>
      </c>
      <c r="I200" t="s">
        <v>18400</v>
      </c>
    </row>
    <row r="201" spans="1:9" x14ac:dyDescent="0.25">
      <c r="A201" s="150"/>
      <c r="B201" s="150"/>
      <c r="C201" s="150"/>
      <c r="D201" s="150"/>
      <c r="E201" s="144"/>
      <c r="F201" t="s">
        <v>14530</v>
      </c>
      <c r="G201" t="s">
        <v>14528</v>
      </c>
      <c r="H201" t="s">
        <v>18837</v>
      </c>
      <c r="I201" t="s">
        <v>18400</v>
      </c>
    </row>
    <row r="202" spans="1:9" x14ac:dyDescent="0.25">
      <c r="A202" s="150"/>
      <c r="B202" s="150"/>
      <c r="C202" s="150"/>
      <c r="D202" s="150"/>
      <c r="E202" s="144"/>
      <c r="F202" t="s">
        <v>12547</v>
      </c>
      <c r="G202" t="s">
        <v>12545</v>
      </c>
      <c r="H202" t="s">
        <v>12546</v>
      </c>
      <c r="I202" t="s">
        <v>18400</v>
      </c>
    </row>
    <row r="203" spans="1:9" x14ac:dyDescent="0.25">
      <c r="A203" s="150"/>
      <c r="B203" s="150"/>
      <c r="C203" s="150"/>
      <c r="D203" s="150"/>
      <c r="E203" s="144"/>
      <c r="F203" t="s">
        <v>11812</v>
      </c>
      <c r="G203" t="s">
        <v>11810</v>
      </c>
      <c r="H203" t="s">
        <v>11811</v>
      </c>
      <c r="I203" t="s">
        <v>18400</v>
      </c>
    </row>
    <row r="204" spans="1:9" x14ac:dyDescent="0.25">
      <c r="A204" s="150"/>
      <c r="B204" s="150"/>
      <c r="C204" s="150"/>
      <c r="D204" s="150"/>
      <c r="E204" s="144"/>
      <c r="F204" t="s">
        <v>17395</v>
      </c>
      <c r="G204" t="s">
        <v>17393</v>
      </c>
      <c r="H204" t="s">
        <v>17394</v>
      </c>
      <c r="I204" t="s">
        <v>18400</v>
      </c>
    </row>
    <row r="205" spans="1:9" x14ac:dyDescent="0.25">
      <c r="A205" s="150"/>
      <c r="B205" s="150"/>
      <c r="C205" s="150"/>
      <c r="D205" s="150"/>
      <c r="E205" s="144"/>
      <c r="F205" t="s">
        <v>17296</v>
      </c>
      <c r="G205" t="s">
        <v>17295</v>
      </c>
      <c r="H205" t="s">
        <v>13578</v>
      </c>
      <c r="I205" t="s">
        <v>18400</v>
      </c>
    </row>
    <row r="206" spans="1:9" x14ac:dyDescent="0.25">
      <c r="A206" s="150"/>
      <c r="B206" s="150"/>
      <c r="C206" s="150"/>
      <c r="D206" s="150"/>
      <c r="E206" s="144"/>
      <c r="F206" t="s">
        <v>18838</v>
      </c>
      <c r="G206" t="s">
        <v>18839</v>
      </c>
      <c r="H206" t="s">
        <v>15810</v>
      </c>
      <c r="I206" t="s">
        <v>18400</v>
      </c>
    </row>
    <row r="207" spans="1:9" x14ac:dyDescent="0.25">
      <c r="A207" s="150"/>
      <c r="B207" s="150"/>
      <c r="C207" s="150"/>
      <c r="D207" s="150"/>
      <c r="E207" s="144"/>
      <c r="F207" t="s">
        <v>17541</v>
      </c>
      <c r="G207" t="s">
        <v>17539</v>
      </c>
      <c r="H207" t="s">
        <v>17540</v>
      </c>
      <c r="I207" t="s">
        <v>18400</v>
      </c>
    </row>
    <row r="208" spans="1:9" x14ac:dyDescent="0.25">
      <c r="A208" s="150"/>
      <c r="B208" s="150"/>
      <c r="C208" s="150"/>
      <c r="D208" s="150"/>
      <c r="E208" s="144"/>
      <c r="F208" t="s">
        <v>18840</v>
      </c>
      <c r="G208" t="s">
        <v>18841</v>
      </c>
      <c r="H208" t="s">
        <v>18842</v>
      </c>
      <c r="I208" t="s">
        <v>18400</v>
      </c>
    </row>
    <row r="209" spans="1:9" x14ac:dyDescent="0.25">
      <c r="A209" s="150"/>
      <c r="B209" s="150"/>
      <c r="C209" s="150"/>
      <c r="D209" s="150"/>
      <c r="E209" s="144"/>
      <c r="F209" t="s">
        <v>12359</v>
      </c>
      <c r="G209" t="s">
        <v>12357</v>
      </c>
      <c r="H209" t="s">
        <v>12358</v>
      </c>
      <c r="I209" t="s">
        <v>18400</v>
      </c>
    </row>
    <row r="210" spans="1:9" x14ac:dyDescent="0.25">
      <c r="A210" s="150"/>
      <c r="B210" s="150"/>
      <c r="C210" s="150"/>
      <c r="D210" s="150"/>
      <c r="E210" s="144"/>
      <c r="F210" t="s">
        <v>2029</v>
      </c>
      <c r="G210" t="s">
        <v>2027</v>
      </c>
      <c r="H210" t="s">
        <v>2028</v>
      </c>
      <c r="I210" t="s">
        <v>18400</v>
      </c>
    </row>
    <row r="211" spans="1:9" x14ac:dyDescent="0.25">
      <c r="A211" s="150"/>
      <c r="B211" s="150"/>
      <c r="C211" s="150"/>
      <c r="D211" s="150"/>
      <c r="E211" s="144"/>
      <c r="F211" t="s">
        <v>12250</v>
      </c>
      <c r="G211" t="s">
        <v>12248</v>
      </c>
      <c r="H211" t="s">
        <v>18843</v>
      </c>
      <c r="I211" t="s">
        <v>18400</v>
      </c>
    </row>
    <row r="212" spans="1:9" x14ac:dyDescent="0.25">
      <c r="A212" s="150"/>
      <c r="B212" s="150"/>
      <c r="C212" s="150"/>
      <c r="D212" s="150"/>
      <c r="E212" s="144"/>
      <c r="F212" t="s">
        <v>18135</v>
      </c>
      <c r="G212" t="s">
        <v>18134</v>
      </c>
      <c r="H212" t="s">
        <v>18844</v>
      </c>
      <c r="I212" t="s">
        <v>18400</v>
      </c>
    </row>
    <row r="213" spans="1:9" x14ac:dyDescent="0.25">
      <c r="A213" s="150"/>
      <c r="B213" s="150"/>
      <c r="C213" s="150"/>
      <c r="D213" s="150"/>
      <c r="E213" s="144"/>
      <c r="F213" t="s">
        <v>18845</v>
      </c>
      <c r="G213" t="s">
        <v>18846</v>
      </c>
      <c r="H213" t="s">
        <v>18847</v>
      </c>
      <c r="I213" t="s">
        <v>18400</v>
      </c>
    </row>
    <row r="214" spans="1:9" x14ac:dyDescent="0.25">
      <c r="A214" s="150"/>
      <c r="B214" s="150"/>
      <c r="C214" s="150"/>
      <c r="D214" s="150"/>
      <c r="E214" s="144"/>
      <c r="F214" t="s">
        <v>18848</v>
      </c>
      <c r="G214" t="s">
        <v>18849</v>
      </c>
      <c r="H214" t="s">
        <v>18850</v>
      </c>
      <c r="I214" t="s">
        <v>18400</v>
      </c>
    </row>
    <row r="215" spans="1:9" x14ac:dyDescent="0.25">
      <c r="A215" s="150"/>
      <c r="B215" s="150"/>
      <c r="C215" s="150"/>
      <c r="D215" s="150"/>
      <c r="E215" s="144"/>
      <c r="F215" t="s">
        <v>18851</v>
      </c>
      <c r="G215" t="s">
        <v>18852</v>
      </c>
      <c r="H215" t="s">
        <v>18853</v>
      </c>
      <c r="I215" t="s">
        <v>18400</v>
      </c>
    </row>
    <row r="216" spans="1:9" x14ac:dyDescent="0.25">
      <c r="A216" s="150"/>
      <c r="B216" s="150"/>
      <c r="C216" s="150"/>
      <c r="D216" s="150"/>
      <c r="E216" s="144"/>
      <c r="F216" t="s">
        <v>17356</v>
      </c>
      <c r="G216" t="s">
        <v>17354</v>
      </c>
      <c r="H216" t="s">
        <v>17355</v>
      </c>
      <c r="I216" t="s">
        <v>18400</v>
      </c>
    </row>
    <row r="217" spans="1:9" x14ac:dyDescent="0.25">
      <c r="A217" s="150"/>
      <c r="B217" s="150"/>
      <c r="C217" s="150"/>
      <c r="D217" s="150"/>
      <c r="E217" s="144"/>
      <c r="F217" t="s">
        <v>18854</v>
      </c>
      <c r="G217" t="s">
        <v>18855</v>
      </c>
      <c r="H217" t="s">
        <v>4052</v>
      </c>
      <c r="I217" t="s">
        <v>18400</v>
      </c>
    </row>
    <row r="218" spans="1:9" x14ac:dyDescent="0.25">
      <c r="A218" s="150"/>
      <c r="B218" s="150"/>
      <c r="C218" s="150"/>
      <c r="D218" s="150"/>
      <c r="E218" s="144"/>
      <c r="F218" t="s">
        <v>18856</v>
      </c>
      <c r="G218" t="s">
        <v>18857</v>
      </c>
      <c r="H218" t="s">
        <v>18858</v>
      </c>
      <c r="I218" t="s">
        <v>18400</v>
      </c>
    </row>
    <row r="219" spans="1:9" x14ac:dyDescent="0.25">
      <c r="A219" s="150"/>
      <c r="B219" s="150"/>
      <c r="C219" s="150"/>
      <c r="D219" s="150"/>
      <c r="E219" s="144"/>
      <c r="F219" t="s">
        <v>17536</v>
      </c>
      <c r="G219" t="s">
        <v>17534</v>
      </c>
      <c r="H219" t="s">
        <v>17535</v>
      </c>
      <c r="I219" t="s">
        <v>18400</v>
      </c>
    </row>
    <row r="220" spans="1:9" x14ac:dyDescent="0.25">
      <c r="A220" s="150"/>
      <c r="B220" s="150"/>
      <c r="C220" s="150"/>
      <c r="D220" s="150"/>
      <c r="E220" s="144"/>
      <c r="F220" t="s">
        <v>17533</v>
      </c>
      <c r="G220" t="s">
        <v>17531</v>
      </c>
      <c r="H220" t="s">
        <v>17532</v>
      </c>
      <c r="I220" t="s">
        <v>18400</v>
      </c>
    </row>
    <row r="221" spans="1:9" x14ac:dyDescent="0.25">
      <c r="A221" s="150"/>
      <c r="B221" s="150"/>
      <c r="C221" s="150"/>
      <c r="D221" s="150"/>
      <c r="E221" s="144"/>
      <c r="F221" t="s">
        <v>18859</v>
      </c>
      <c r="G221" t="s">
        <v>18860</v>
      </c>
      <c r="H221" t="s">
        <v>18861</v>
      </c>
      <c r="I221" t="s">
        <v>18400</v>
      </c>
    </row>
    <row r="222" spans="1:9" x14ac:dyDescent="0.25">
      <c r="A222" s="150"/>
      <c r="B222" s="150"/>
      <c r="C222" s="150"/>
      <c r="D222" s="150"/>
      <c r="E222" s="144"/>
      <c r="F222" t="s">
        <v>12245</v>
      </c>
      <c r="G222" t="s">
        <v>12243</v>
      </c>
      <c r="H222" t="s">
        <v>12244</v>
      </c>
      <c r="I222" t="s">
        <v>18400</v>
      </c>
    </row>
    <row r="223" spans="1:9" x14ac:dyDescent="0.25">
      <c r="A223" s="150"/>
      <c r="B223" s="150"/>
      <c r="C223" s="150"/>
      <c r="D223" s="150"/>
      <c r="E223" s="144"/>
      <c r="F223" t="s">
        <v>4458</v>
      </c>
      <c r="G223" t="s">
        <v>4456</v>
      </c>
      <c r="H223" t="s">
        <v>4457</v>
      </c>
      <c r="I223" t="s">
        <v>18400</v>
      </c>
    </row>
    <row r="224" spans="1:9" x14ac:dyDescent="0.25">
      <c r="A224" s="150"/>
      <c r="B224" s="150"/>
      <c r="C224" s="150"/>
      <c r="D224" s="150"/>
      <c r="E224" s="144"/>
      <c r="F224" t="s">
        <v>18862</v>
      </c>
      <c r="G224" t="s">
        <v>18863</v>
      </c>
      <c r="H224" t="s">
        <v>18864</v>
      </c>
      <c r="I224" t="s">
        <v>18400</v>
      </c>
    </row>
    <row r="225" spans="1:9" x14ac:dyDescent="0.25">
      <c r="A225" s="150"/>
      <c r="B225" s="150"/>
      <c r="C225" s="150"/>
      <c r="D225" s="150"/>
      <c r="E225" s="144"/>
      <c r="F225" t="s">
        <v>18865</v>
      </c>
      <c r="G225" t="s">
        <v>18866</v>
      </c>
      <c r="H225" t="s">
        <v>18867</v>
      </c>
      <c r="I225" t="s">
        <v>18400</v>
      </c>
    </row>
    <row r="226" spans="1:9" x14ac:dyDescent="0.25">
      <c r="A226" s="150"/>
      <c r="B226" s="150"/>
      <c r="C226" s="150"/>
      <c r="D226" s="150"/>
      <c r="E226" s="144"/>
      <c r="F226" t="s">
        <v>15574</v>
      </c>
      <c r="G226" t="s">
        <v>15572</v>
      </c>
      <c r="H226" t="s">
        <v>15573</v>
      </c>
      <c r="I226" t="s">
        <v>18400</v>
      </c>
    </row>
    <row r="227" spans="1:9" x14ac:dyDescent="0.25">
      <c r="A227" s="150"/>
      <c r="B227" s="150"/>
      <c r="C227" s="150"/>
      <c r="D227" s="150"/>
      <c r="E227" s="144"/>
      <c r="F227" t="s">
        <v>12241</v>
      </c>
      <c r="G227" t="s">
        <v>12239</v>
      </c>
      <c r="H227" t="s">
        <v>12240</v>
      </c>
      <c r="I227" t="s">
        <v>18400</v>
      </c>
    </row>
    <row r="228" spans="1:9" x14ac:dyDescent="0.25">
      <c r="A228" s="150"/>
      <c r="B228" s="150"/>
      <c r="C228" s="150"/>
      <c r="D228" s="150"/>
      <c r="E228" s="144"/>
      <c r="F228" t="s">
        <v>1188</v>
      </c>
      <c r="G228" t="s">
        <v>1186</v>
      </c>
      <c r="H228" t="s">
        <v>1187</v>
      </c>
      <c r="I228" t="s">
        <v>18400</v>
      </c>
    </row>
    <row r="229" spans="1:9" x14ac:dyDescent="0.25">
      <c r="A229" s="150"/>
      <c r="B229" s="150"/>
      <c r="C229" s="150"/>
      <c r="D229" s="150"/>
      <c r="E229" s="144"/>
      <c r="F229" t="s">
        <v>18868</v>
      </c>
      <c r="G229" t="s">
        <v>18869</v>
      </c>
      <c r="H229" t="s">
        <v>18870</v>
      </c>
      <c r="I229" t="s">
        <v>18400</v>
      </c>
    </row>
    <row r="230" spans="1:9" x14ac:dyDescent="0.25">
      <c r="A230" s="150"/>
      <c r="B230" s="150"/>
      <c r="C230" s="150"/>
      <c r="D230" s="150"/>
      <c r="E230" s="144"/>
      <c r="F230" t="s">
        <v>18871</v>
      </c>
      <c r="G230" t="s">
        <v>18872</v>
      </c>
      <c r="H230" t="s">
        <v>18873</v>
      </c>
      <c r="I230" t="s">
        <v>18400</v>
      </c>
    </row>
    <row r="231" spans="1:9" x14ac:dyDescent="0.25">
      <c r="A231" s="150"/>
      <c r="B231" s="150"/>
      <c r="C231" s="150"/>
      <c r="D231" s="150"/>
      <c r="E231" s="144"/>
      <c r="F231" t="s">
        <v>17351</v>
      </c>
      <c r="G231" t="s">
        <v>17349</v>
      </c>
      <c r="H231" t="s">
        <v>17350</v>
      </c>
      <c r="I231" t="s">
        <v>18400</v>
      </c>
    </row>
    <row r="232" spans="1:9" x14ac:dyDescent="0.25">
      <c r="A232" s="150"/>
      <c r="B232" s="150"/>
      <c r="C232" s="150"/>
      <c r="D232" s="150"/>
      <c r="E232" s="144"/>
      <c r="F232" t="s">
        <v>18874</v>
      </c>
      <c r="G232" t="s">
        <v>18875</v>
      </c>
      <c r="H232" t="s">
        <v>18876</v>
      </c>
      <c r="I232" t="s">
        <v>18400</v>
      </c>
    </row>
    <row r="233" spans="1:9" x14ac:dyDescent="0.25">
      <c r="A233" s="150"/>
      <c r="B233" s="150"/>
      <c r="C233" s="150"/>
      <c r="D233" s="150"/>
      <c r="E233" s="144"/>
      <c r="F233" t="s">
        <v>16462</v>
      </c>
      <c r="G233" t="s">
        <v>16460</v>
      </c>
      <c r="H233" t="s">
        <v>16461</v>
      </c>
      <c r="I233" t="s">
        <v>18400</v>
      </c>
    </row>
    <row r="234" spans="1:9" x14ac:dyDescent="0.25">
      <c r="A234" s="150"/>
      <c r="B234" s="150"/>
      <c r="C234" s="150"/>
      <c r="D234" s="150"/>
      <c r="E234" s="144"/>
      <c r="F234" t="s">
        <v>18877</v>
      </c>
      <c r="G234" t="s">
        <v>18878</v>
      </c>
      <c r="H234" t="s">
        <v>18879</v>
      </c>
      <c r="I234" t="s">
        <v>18400</v>
      </c>
    </row>
    <row r="235" spans="1:9" x14ac:dyDescent="0.25">
      <c r="A235" s="150"/>
      <c r="B235" s="150"/>
      <c r="C235" s="150"/>
      <c r="D235" s="150"/>
      <c r="E235" s="144"/>
      <c r="F235" t="s">
        <v>18880</v>
      </c>
      <c r="G235" t="s">
        <v>18881</v>
      </c>
      <c r="H235" t="s">
        <v>18882</v>
      </c>
      <c r="I235" t="s">
        <v>18400</v>
      </c>
    </row>
    <row r="236" spans="1:9" x14ac:dyDescent="0.25">
      <c r="A236" s="150"/>
      <c r="B236" s="150"/>
      <c r="C236" s="150"/>
      <c r="D236" s="150"/>
      <c r="E236" s="144"/>
      <c r="F236" t="s">
        <v>12401</v>
      </c>
      <c r="G236" t="s">
        <v>12399</v>
      </c>
      <c r="H236" t="s">
        <v>12400</v>
      </c>
      <c r="I236" t="s">
        <v>18400</v>
      </c>
    </row>
    <row r="237" spans="1:9" x14ac:dyDescent="0.25">
      <c r="A237" s="150"/>
      <c r="B237" s="150"/>
      <c r="C237" s="150"/>
      <c r="D237" s="150"/>
      <c r="E237" s="144"/>
      <c r="F237" t="s">
        <v>18883</v>
      </c>
      <c r="G237" t="s">
        <v>18884</v>
      </c>
      <c r="H237" t="s">
        <v>18885</v>
      </c>
      <c r="I237" t="s">
        <v>18400</v>
      </c>
    </row>
    <row r="238" spans="1:9" x14ac:dyDescent="0.25">
      <c r="A238" s="150"/>
      <c r="B238" s="150"/>
      <c r="C238" s="150"/>
      <c r="D238" s="150"/>
      <c r="E238" s="144"/>
      <c r="F238" t="s">
        <v>12190</v>
      </c>
      <c r="G238" t="s">
        <v>12188</v>
      </c>
      <c r="H238" t="s">
        <v>12189</v>
      </c>
      <c r="I238" t="s">
        <v>18400</v>
      </c>
    </row>
    <row r="239" spans="1:9" x14ac:dyDescent="0.25">
      <c r="A239" s="150"/>
      <c r="B239" s="150"/>
      <c r="C239" s="150"/>
      <c r="D239" s="150"/>
      <c r="E239" s="144"/>
      <c r="F239" t="s">
        <v>18886</v>
      </c>
      <c r="G239" t="s">
        <v>18887</v>
      </c>
      <c r="H239" t="s">
        <v>18888</v>
      </c>
      <c r="I239" t="s">
        <v>18400</v>
      </c>
    </row>
    <row r="240" spans="1:9" x14ac:dyDescent="0.25">
      <c r="A240" s="150"/>
      <c r="B240" s="150"/>
      <c r="C240" s="150"/>
      <c r="D240" s="150"/>
      <c r="E240" s="144"/>
      <c r="F240" t="s">
        <v>17519</v>
      </c>
      <c r="G240" t="s">
        <v>17518</v>
      </c>
      <c r="H240" t="s">
        <v>181</v>
      </c>
      <c r="I240" t="s">
        <v>18400</v>
      </c>
    </row>
    <row r="241" spans="1:9" x14ac:dyDescent="0.25">
      <c r="A241" s="150"/>
      <c r="B241" s="150"/>
      <c r="C241" s="150"/>
      <c r="D241" s="150"/>
      <c r="E241" s="144"/>
      <c r="F241" t="s">
        <v>18889</v>
      </c>
      <c r="G241" t="s">
        <v>18890</v>
      </c>
      <c r="H241" t="s">
        <v>18891</v>
      </c>
      <c r="I241" t="s">
        <v>18400</v>
      </c>
    </row>
    <row r="242" spans="1:9" x14ac:dyDescent="0.25">
      <c r="A242" s="150"/>
      <c r="B242" s="150"/>
      <c r="C242" s="150"/>
      <c r="D242" s="150"/>
      <c r="E242" s="144"/>
      <c r="F242" t="s">
        <v>18892</v>
      </c>
      <c r="G242" t="s">
        <v>18893</v>
      </c>
      <c r="H242" t="s">
        <v>18894</v>
      </c>
      <c r="I242" t="s">
        <v>18400</v>
      </c>
    </row>
    <row r="243" spans="1:9" x14ac:dyDescent="0.25">
      <c r="A243" s="150"/>
      <c r="B243" s="150"/>
      <c r="C243" s="150"/>
      <c r="D243" s="150"/>
      <c r="E243" s="144"/>
      <c r="F243" t="s">
        <v>12500</v>
      </c>
      <c r="G243" t="s">
        <v>12498</v>
      </c>
      <c r="H243" t="s">
        <v>12499</v>
      </c>
      <c r="I243" t="s">
        <v>18400</v>
      </c>
    </row>
    <row r="244" spans="1:9" x14ac:dyDescent="0.25">
      <c r="A244" s="150"/>
      <c r="B244" s="150"/>
      <c r="C244" s="150"/>
      <c r="D244" s="150"/>
      <c r="E244" s="144"/>
      <c r="F244" t="s">
        <v>18087</v>
      </c>
      <c r="G244" t="s">
        <v>18086</v>
      </c>
      <c r="H244" t="s">
        <v>1504</v>
      </c>
      <c r="I244" t="s">
        <v>18400</v>
      </c>
    </row>
    <row r="245" spans="1:9" x14ac:dyDescent="0.25">
      <c r="A245" s="150"/>
      <c r="B245" s="150"/>
      <c r="C245" s="150"/>
      <c r="D245" s="150"/>
      <c r="E245" s="144"/>
      <c r="F245" t="s">
        <v>18895</v>
      </c>
      <c r="G245" t="s">
        <v>18896</v>
      </c>
      <c r="H245" t="s">
        <v>18897</v>
      </c>
      <c r="I245" t="s">
        <v>18400</v>
      </c>
    </row>
    <row r="246" spans="1:9" x14ac:dyDescent="0.25">
      <c r="A246" s="150"/>
      <c r="B246" s="150"/>
      <c r="C246" s="150"/>
      <c r="D246" s="150"/>
      <c r="E246" s="144"/>
      <c r="F246" t="s">
        <v>14268</v>
      </c>
      <c r="G246" t="s">
        <v>14266</v>
      </c>
      <c r="H246" t="s">
        <v>18898</v>
      </c>
      <c r="I246" t="s">
        <v>18400</v>
      </c>
    </row>
    <row r="247" spans="1:9" x14ac:dyDescent="0.25">
      <c r="A247" s="150"/>
      <c r="B247" s="150"/>
      <c r="C247" s="150"/>
      <c r="D247" s="150"/>
      <c r="E247" s="144"/>
      <c r="F247" t="s">
        <v>12421</v>
      </c>
      <c r="G247" t="s">
        <v>12419</v>
      </c>
      <c r="H247" t="s">
        <v>12420</v>
      </c>
      <c r="I247" t="s">
        <v>18400</v>
      </c>
    </row>
    <row r="248" spans="1:9" x14ac:dyDescent="0.25">
      <c r="A248" s="150"/>
      <c r="B248" s="150"/>
      <c r="C248" s="150"/>
      <c r="D248" s="150"/>
      <c r="E248" s="144"/>
      <c r="F248" t="s">
        <v>18133</v>
      </c>
      <c r="G248" t="s">
        <v>18131</v>
      </c>
      <c r="H248" t="s">
        <v>18132</v>
      </c>
      <c r="I248" t="s">
        <v>18400</v>
      </c>
    </row>
    <row r="249" spans="1:9" x14ac:dyDescent="0.25">
      <c r="A249" s="150"/>
      <c r="B249" s="150"/>
      <c r="C249" s="150"/>
      <c r="D249" s="150"/>
      <c r="E249" s="144"/>
      <c r="F249" t="s">
        <v>14263</v>
      </c>
      <c r="G249" t="s">
        <v>14262</v>
      </c>
      <c r="H249" t="s">
        <v>823</v>
      </c>
      <c r="I249" t="s">
        <v>18400</v>
      </c>
    </row>
    <row r="250" spans="1:9" x14ac:dyDescent="0.25">
      <c r="A250" s="150"/>
      <c r="B250" s="150"/>
      <c r="C250" s="150"/>
      <c r="D250" s="150"/>
      <c r="E250" s="144"/>
      <c r="F250" t="s">
        <v>14343</v>
      </c>
      <c r="G250" t="s">
        <v>14342</v>
      </c>
      <c r="H250" t="s">
        <v>18899</v>
      </c>
      <c r="I250" t="s">
        <v>18400</v>
      </c>
    </row>
    <row r="251" spans="1:9" x14ac:dyDescent="0.25">
      <c r="A251" s="150"/>
      <c r="B251" s="150"/>
      <c r="C251" s="150"/>
      <c r="D251" s="150"/>
      <c r="E251" s="144"/>
      <c r="F251" t="s">
        <v>14230</v>
      </c>
      <c r="G251" t="s">
        <v>14228</v>
      </c>
      <c r="H251" t="s">
        <v>14229</v>
      </c>
      <c r="I251" t="s">
        <v>18400</v>
      </c>
    </row>
    <row r="252" spans="1:9" x14ac:dyDescent="0.25">
      <c r="A252" s="150"/>
      <c r="B252" s="150"/>
      <c r="C252" s="150"/>
      <c r="D252" s="150"/>
      <c r="E252" s="144"/>
      <c r="F252" t="s">
        <v>14227</v>
      </c>
      <c r="G252" t="s">
        <v>14225</v>
      </c>
      <c r="H252" t="s">
        <v>18900</v>
      </c>
      <c r="I252" t="s">
        <v>18400</v>
      </c>
    </row>
    <row r="253" spans="1:9" x14ac:dyDescent="0.25">
      <c r="A253" s="150"/>
      <c r="B253" s="150"/>
      <c r="C253" s="150"/>
      <c r="D253" s="150"/>
      <c r="E253" s="144"/>
      <c r="F253" t="s">
        <v>12238</v>
      </c>
      <c r="G253" t="s">
        <v>12236</v>
      </c>
      <c r="H253" t="s">
        <v>12237</v>
      </c>
      <c r="I253" t="s">
        <v>18400</v>
      </c>
    </row>
    <row r="254" spans="1:9" x14ac:dyDescent="0.25">
      <c r="A254" s="150"/>
      <c r="B254" s="150"/>
      <c r="C254" s="150"/>
      <c r="D254" s="150"/>
      <c r="E254" s="144"/>
      <c r="F254" t="s">
        <v>17515</v>
      </c>
      <c r="G254" t="s">
        <v>17514</v>
      </c>
      <c r="H254" t="s">
        <v>13125</v>
      </c>
      <c r="I254" t="s">
        <v>18400</v>
      </c>
    </row>
    <row r="255" spans="1:9" x14ac:dyDescent="0.25">
      <c r="A255" s="150"/>
      <c r="B255" s="150"/>
      <c r="C255" s="150"/>
      <c r="D255" s="150"/>
      <c r="E255" s="144"/>
      <c r="F255" t="s">
        <v>14224</v>
      </c>
      <c r="G255" t="s">
        <v>14223</v>
      </c>
      <c r="H255" t="s">
        <v>18901</v>
      </c>
      <c r="I255" t="s">
        <v>18400</v>
      </c>
    </row>
    <row r="256" spans="1:9" x14ac:dyDescent="0.25">
      <c r="A256" s="150"/>
      <c r="B256" s="150"/>
      <c r="C256" s="150"/>
      <c r="D256" s="150"/>
      <c r="E256" s="144"/>
      <c r="F256" t="s">
        <v>18902</v>
      </c>
      <c r="G256" t="s">
        <v>18903</v>
      </c>
      <c r="H256" t="s">
        <v>13578</v>
      </c>
      <c r="I256" t="s">
        <v>18400</v>
      </c>
    </row>
    <row r="257" spans="1:9" x14ac:dyDescent="0.25">
      <c r="A257" s="150"/>
      <c r="B257" s="150"/>
      <c r="C257" s="150"/>
      <c r="D257" s="150"/>
      <c r="E257" s="144"/>
      <c r="F257" t="s">
        <v>18904</v>
      </c>
      <c r="G257" t="s">
        <v>18905</v>
      </c>
      <c r="H257" t="s">
        <v>18006</v>
      </c>
      <c r="I257" t="s">
        <v>18400</v>
      </c>
    </row>
    <row r="258" spans="1:9" x14ac:dyDescent="0.25">
      <c r="A258" s="150"/>
      <c r="B258" s="150"/>
      <c r="C258" s="150"/>
      <c r="D258" s="150"/>
      <c r="E258" s="144"/>
      <c r="F258" t="s">
        <v>18906</v>
      </c>
      <c r="G258" t="s">
        <v>18907</v>
      </c>
      <c r="H258" t="s">
        <v>18908</v>
      </c>
      <c r="I258" t="s">
        <v>18400</v>
      </c>
    </row>
    <row r="259" spans="1:9" x14ac:dyDescent="0.25">
      <c r="A259" s="150"/>
      <c r="B259" s="150"/>
      <c r="C259" s="150"/>
      <c r="D259" s="150"/>
      <c r="E259" s="144"/>
      <c r="F259" t="s">
        <v>14260</v>
      </c>
      <c r="G259" t="s">
        <v>14258</v>
      </c>
      <c r="H259" t="s">
        <v>14259</v>
      </c>
      <c r="I259" t="s">
        <v>18400</v>
      </c>
    </row>
    <row r="260" spans="1:9" x14ac:dyDescent="0.25">
      <c r="A260" s="150"/>
      <c r="B260" s="150"/>
      <c r="C260" s="150"/>
      <c r="D260" s="150"/>
      <c r="E260" s="144"/>
      <c r="F260" t="s">
        <v>18909</v>
      </c>
      <c r="G260" t="s">
        <v>18910</v>
      </c>
      <c r="H260" t="s">
        <v>18911</v>
      </c>
      <c r="I260" t="s">
        <v>18400</v>
      </c>
    </row>
    <row r="261" spans="1:9" x14ac:dyDescent="0.25">
      <c r="A261" s="150"/>
      <c r="B261" s="150"/>
      <c r="C261" s="150"/>
      <c r="D261" s="150"/>
      <c r="E261" s="144"/>
      <c r="F261" t="s">
        <v>12235</v>
      </c>
      <c r="G261" t="s">
        <v>12233</v>
      </c>
      <c r="H261" t="s">
        <v>12234</v>
      </c>
      <c r="I261" t="s">
        <v>18400</v>
      </c>
    </row>
    <row r="262" spans="1:9" x14ac:dyDescent="0.25">
      <c r="A262" s="150"/>
      <c r="B262" s="150"/>
      <c r="C262" s="150"/>
      <c r="D262" s="150"/>
      <c r="E262" s="144"/>
      <c r="F262" t="s">
        <v>18912</v>
      </c>
      <c r="G262" t="s">
        <v>18913</v>
      </c>
      <c r="H262" t="s">
        <v>18914</v>
      </c>
      <c r="I262" t="s">
        <v>18400</v>
      </c>
    </row>
    <row r="263" spans="1:9" x14ac:dyDescent="0.25">
      <c r="A263" s="150"/>
      <c r="B263" s="150"/>
      <c r="C263" s="150"/>
      <c r="D263" s="150"/>
      <c r="E263" s="144"/>
      <c r="F263" t="s">
        <v>2020</v>
      </c>
      <c r="G263" t="s">
        <v>2018</v>
      </c>
      <c r="H263" t="s">
        <v>2019</v>
      </c>
      <c r="I263" t="s">
        <v>18400</v>
      </c>
    </row>
    <row r="264" spans="1:9" x14ac:dyDescent="0.25">
      <c r="A264" s="150"/>
      <c r="B264" s="150"/>
      <c r="C264" s="150"/>
      <c r="D264" s="150"/>
      <c r="E264" s="144"/>
      <c r="F264" t="s">
        <v>18915</v>
      </c>
      <c r="G264" t="s">
        <v>18916</v>
      </c>
      <c r="H264" t="s">
        <v>15252</v>
      </c>
      <c r="I264" t="s">
        <v>18400</v>
      </c>
    </row>
    <row r="265" spans="1:9" x14ac:dyDescent="0.25">
      <c r="A265" s="150"/>
      <c r="B265" s="150"/>
      <c r="C265" s="150"/>
      <c r="D265" s="150"/>
      <c r="E265" s="144"/>
      <c r="F265" t="s">
        <v>18917</v>
      </c>
      <c r="G265" t="s">
        <v>18918</v>
      </c>
      <c r="H265" t="s">
        <v>18919</v>
      </c>
      <c r="I265" t="s">
        <v>18400</v>
      </c>
    </row>
    <row r="266" spans="1:9" x14ac:dyDescent="0.25">
      <c r="A266" s="150"/>
      <c r="B266" s="150"/>
      <c r="C266" s="150"/>
      <c r="D266" s="150"/>
      <c r="E266" s="144"/>
      <c r="F266" t="s">
        <v>14299</v>
      </c>
      <c r="G266" t="s">
        <v>14297</v>
      </c>
      <c r="H266" t="s">
        <v>18920</v>
      </c>
      <c r="I266" t="s">
        <v>18400</v>
      </c>
    </row>
    <row r="267" spans="1:9" x14ac:dyDescent="0.25">
      <c r="A267" s="150"/>
      <c r="B267" s="150"/>
      <c r="C267" s="150"/>
      <c r="D267" s="150"/>
      <c r="E267" s="144"/>
      <c r="F267" t="s">
        <v>18921</v>
      </c>
      <c r="G267" t="s">
        <v>18922</v>
      </c>
      <c r="H267" t="s">
        <v>18923</v>
      </c>
      <c r="I267" t="s">
        <v>18400</v>
      </c>
    </row>
    <row r="268" spans="1:9" x14ac:dyDescent="0.25">
      <c r="A268" s="150"/>
      <c r="B268" s="150"/>
      <c r="C268" s="150"/>
      <c r="D268" s="150"/>
      <c r="E268" s="144"/>
      <c r="F268" t="s">
        <v>14292</v>
      </c>
      <c r="G268" t="s">
        <v>14291</v>
      </c>
      <c r="H268" t="s">
        <v>934</v>
      </c>
      <c r="I268" t="s">
        <v>18400</v>
      </c>
    </row>
    <row r="269" spans="1:9" x14ac:dyDescent="0.25">
      <c r="A269" s="150"/>
      <c r="B269" s="150"/>
      <c r="C269" s="150"/>
      <c r="D269" s="150"/>
      <c r="E269" s="144"/>
      <c r="F269" t="s">
        <v>14341</v>
      </c>
      <c r="G269" t="s">
        <v>14340</v>
      </c>
      <c r="H269" t="s">
        <v>1123</v>
      </c>
      <c r="I269" t="s">
        <v>18400</v>
      </c>
    </row>
    <row r="270" spans="1:9" x14ac:dyDescent="0.25">
      <c r="A270" s="150"/>
      <c r="B270" s="150"/>
      <c r="C270" s="150"/>
      <c r="D270" s="150"/>
      <c r="E270" s="144"/>
      <c r="F270" t="s">
        <v>14339</v>
      </c>
      <c r="G270" t="s">
        <v>14338</v>
      </c>
      <c r="H270" t="s">
        <v>18924</v>
      </c>
      <c r="I270" t="s">
        <v>18400</v>
      </c>
    </row>
    <row r="271" spans="1:9" x14ac:dyDescent="0.25">
      <c r="A271" s="150"/>
      <c r="B271" s="150"/>
      <c r="C271" s="150"/>
      <c r="D271" s="150"/>
      <c r="E271" s="144"/>
      <c r="F271" t="s">
        <v>18925</v>
      </c>
      <c r="G271" t="s">
        <v>18926</v>
      </c>
      <c r="H271" t="s">
        <v>18927</v>
      </c>
      <c r="I271" t="s">
        <v>18400</v>
      </c>
    </row>
    <row r="272" spans="1:9" x14ac:dyDescent="0.25">
      <c r="A272" s="150"/>
      <c r="B272" s="150"/>
      <c r="C272" s="150"/>
      <c r="D272" s="150"/>
      <c r="E272" s="144"/>
      <c r="F272" t="s">
        <v>14337</v>
      </c>
      <c r="G272" t="s">
        <v>14335</v>
      </c>
      <c r="H272" t="s">
        <v>14336</v>
      </c>
      <c r="I272" t="s">
        <v>18400</v>
      </c>
    </row>
    <row r="273" spans="1:9" x14ac:dyDescent="0.25">
      <c r="A273" s="150"/>
      <c r="B273" s="150"/>
      <c r="C273" s="150"/>
      <c r="D273" s="150"/>
      <c r="E273" s="144"/>
      <c r="F273" t="s">
        <v>14334</v>
      </c>
      <c r="G273" t="s">
        <v>14333</v>
      </c>
      <c r="H273" t="s">
        <v>2082</v>
      </c>
      <c r="I273" t="s">
        <v>18400</v>
      </c>
    </row>
    <row r="274" spans="1:9" x14ac:dyDescent="0.25">
      <c r="A274" s="150"/>
      <c r="B274" s="150"/>
      <c r="C274" s="150"/>
      <c r="D274" s="150"/>
      <c r="E274" s="144"/>
      <c r="F274" t="s">
        <v>14257</v>
      </c>
      <c r="G274" t="s">
        <v>14255</v>
      </c>
      <c r="H274" t="s">
        <v>14256</v>
      </c>
      <c r="I274" t="s">
        <v>18400</v>
      </c>
    </row>
    <row r="275" spans="1:9" x14ac:dyDescent="0.25">
      <c r="A275" s="150"/>
      <c r="B275" s="150"/>
      <c r="C275" s="150"/>
      <c r="D275" s="150"/>
      <c r="E275" s="144"/>
      <c r="F275" t="s">
        <v>18928</v>
      </c>
      <c r="G275" t="s">
        <v>18929</v>
      </c>
      <c r="H275" t="s">
        <v>13327</v>
      </c>
      <c r="I275" t="s">
        <v>18400</v>
      </c>
    </row>
    <row r="276" spans="1:9" x14ac:dyDescent="0.25">
      <c r="A276" s="150"/>
      <c r="B276" s="150"/>
      <c r="C276" s="150"/>
      <c r="D276" s="150"/>
      <c r="E276" s="144"/>
      <c r="F276" t="s">
        <v>10925</v>
      </c>
      <c r="G276" t="s">
        <v>10923</v>
      </c>
      <c r="H276" t="s">
        <v>10924</v>
      </c>
      <c r="I276" t="s">
        <v>18400</v>
      </c>
    </row>
    <row r="277" spans="1:9" x14ac:dyDescent="0.25">
      <c r="A277" s="150"/>
      <c r="B277" s="150"/>
      <c r="C277" s="150"/>
      <c r="D277" s="150"/>
      <c r="E277" s="144"/>
      <c r="F277" t="s">
        <v>1448</v>
      </c>
      <c r="G277" t="s">
        <v>1446</v>
      </c>
      <c r="H277" t="s">
        <v>1447</v>
      </c>
      <c r="I277" t="s">
        <v>18400</v>
      </c>
    </row>
    <row r="278" spans="1:9" x14ac:dyDescent="0.25">
      <c r="A278" s="150"/>
      <c r="B278" s="150"/>
      <c r="C278" s="150"/>
      <c r="D278" s="150"/>
      <c r="E278" s="144"/>
      <c r="F278" t="s">
        <v>18930</v>
      </c>
      <c r="G278" t="s">
        <v>18931</v>
      </c>
      <c r="H278" t="s">
        <v>5429</v>
      </c>
      <c r="I278" t="s">
        <v>18400</v>
      </c>
    </row>
    <row r="279" spans="1:9" x14ac:dyDescent="0.25">
      <c r="A279" s="150"/>
      <c r="B279" s="150"/>
      <c r="C279" s="150"/>
      <c r="D279" s="150"/>
      <c r="E279" s="144"/>
      <c r="F279" t="s">
        <v>18932</v>
      </c>
      <c r="G279" t="s">
        <v>18933</v>
      </c>
      <c r="H279" t="s">
        <v>18934</v>
      </c>
      <c r="I279" t="s">
        <v>18400</v>
      </c>
    </row>
    <row r="280" spans="1:9" x14ac:dyDescent="0.25">
      <c r="A280" s="150"/>
      <c r="B280" s="150"/>
      <c r="C280" s="150"/>
      <c r="D280" s="150"/>
      <c r="E280" s="144"/>
      <c r="F280" t="s">
        <v>18935</v>
      </c>
      <c r="G280" t="s">
        <v>18936</v>
      </c>
      <c r="H280" t="s">
        <v>18937</v>
      </c>
      <c r="I280" t="s">
        <v>18400</v>
      </c>
    </row>
    <row r="281" spans="1:9" x14ac:dyDescent="0.25">
      <c r="A281" s="150"/>
      <c r="B281" s="150"/>
      <c r="C281" s="150"/>
      <c r="D281" s="150"/>
      <c r="E281" s="144"/>
      <c r="F281" t="s">
        <v>2009</v>
      </c>
      <c r="G281" t="s">
        <v>2007</v>
      </c>
      <c r="H281" t="s">
        <v>2008</v>
      </c>
      <c r="I281" t="s">
        <v>18400</v>
      </c>
    </row>
    <row r="282" spans="1:9" x14ac:dyDescent="0.25">
      <c r="A282" s="150"/>
      <c r="B282" s="150"/>
      <c r="C282" s="150"/>
      <c r="D282" s="150"/>
      <c r="E282" s="144"/>
      <c r="F282" t="s">
        <v>17504</v>
      </c>
      <c r="G282" t="s">
        <v>17502</v>
      </c>
      <c r="H282" t="s">
        <v>17503</v>
      </c>
      <c r="I282" t="s">
        <v>18400</v>
      </c>
    </row>
    <row r="283" spans="1:9" x14ac:dyDescent="0.25">
      <c r="A283" s="150"/>
      <c r="B283" s="150"/>
      <c r="C283" s="150"/>
      <c r="D283" s="150"/>
      <c r="E283" s="144"/>
      <c r="F283" t="s">
        <v>17292</v>
      </c>
      <c r="G283" t="s">
        <v>17290</v>
      </c>
      <c r="H283" t="s">
        <v>17291</v>
      </c>
      <c r="I283" t="s">
        <v>18400</v>
      </c>
    </row>
    <row r="284" spans="1:9" x14ac:dyDescent="0.25">
      <c r="A284" s="150"/>
      <c r="B284" s="150"/>
      <c r="C284" s="150"/>
      <c r="D284" s="150"/>
      <c r="E284" s="144"/>
      <c r="F284" t="s">
        <v>18938</v>
      </c>
      <c r="G284" t="s">
        <v>18939</v>
      </c>
      <c r="H284" t="s">
        <v>18940</v>
      </c>
      <c r="I284" t="s">
        <v>18400</v>
      </c>
    </row>
    <row r="285" spans="1:9" x14ac:dyDescent="0.25">
      <c r="A285" s="150"/>
      <c r="B285" s="150"/>
      <c r="C285" s="150"/>
      <c r="D285" s="150"/>
      <c r="E285" s="144"/>
      <c r="F285" t="s">
        <v>18941</v>
      </c>
      <c r="G285" t="s">
        <v>18942</v>
      </c>
      <c r="H285" t="s">
        <v>18943</v>
      </c>
      <c r="I285" t="s">
        <v>18400</v>
      </c>
    </row>
    <row r="286" spans="1:9" x14ac:dyDescent="0.25">
      <c r="A286" s="150"/>
      <c r="B286" s="150"/>
      <c r="C286" s="150"/>
      <c r="D286" s="150"/>
      <c r="E286" s="144"/>
      <c r="F286" t="s">
        <v>1950</v>
      </c>
      <c r="G286" t="s">
        <v>1948</v>
      </c>
      <c r="H286" t="s">
        <v>1949</v>
      </c>
      <c r="I286" t="s">
        <v>18400</v>
      </c>
    </row>
    <row r="287" spans="1:9" x14ac:dyDescent="0.25">
      <c r="A287" s="150"/>
      <c r="B287" s="150"/>
      <c r="C287" s="150"/>
      <c r="D287" s="150"/>
      <c r="E287" s="144"/>
      <c r="F287" t="s">
        <v>2139</v>
      </c>
      <c r="G287" t="s">
        <v>2137</v>
      </c>
      <c r="H287" t="s">
        <v>2138</v>
      </c>
      <c r="I287" t="s">
        <v>18400</v>
      </c>
    </row>
    <row r="288" spans="1:9" x14ac:dyDescent="0.25">
      <c r="A288" s="150"/>
      <c r="B288" s="150"/>
      <c r="C288" s="150"/>
      <c r="D288" s="150"/>
      <c r="E288" s="144"/>
      <c r="F288" t="s">
        <v>17347</v>
      </c>
      <c r="G288" t="s">
        <v>17345</v>
      </c>
      <c r="H288" t="s">
        <v>17346</v>
      </c>
      <c r="I288" t="s">
        <v>18400</v>
      </c>
    </row>
    <row r="289" spans="1:9" x14ac:dyDescent="0.25">
      <c r="A289" s="150"/>
      <c r="B289" s="150"/>
      <c r="C289" s="150"/>
      <c r="D289" s="150"/>
      <c r="E289" s="144"/>
      <c r="F289" t="s">
        <v>1990</v>
      </c>
      <c r="G289" t="s">
        <v>1988</v>
      </c>
      <c r="H289" t="s">
        <v>1989</v>
      </c>
      <c r="I289" t="s">
        <v>18400</v>
      </c>
    </row>
    <row r="290" spans="1:9" x14ac:dyDescent="0.25">
      <c r="A290" s="150"/>
      <c r="B290" s="150"/>
      <c r="C290" s="150"/>
      <c r="D290" s="150"/>
      <c r="E290" s="144"/>
      <c r="F290" t="s">
        <v>1445</v>
      </c>
      <c r="G290" t="s">
        <v>1443</v>
      </c>
      <c r="H290" t="s">
        <v>1444</v>
      </c>
      <c r="I290" t="s">
        <v>18400</v>
      </c>
    </row>
    <row r="291" spans="1:9" x14ac:dyDescent="0.25">
      <c r="A291" s="150"/>
      <c r="B291" s="150"/>
      <c r="C291" s="150"/>
      <c r="D291" s="150"/>
      <c r="E291" s="144"/>
      <c r="F291" t="s">
        <v>1931</v>
      </c>
      <c r="G291" t="s">
        <v>1929</v>
      </c>
      <c r="H291" t="s">
        <v>1930</v>
      </c>
      <c r="I291" t="s">
        <v>18400</v>
      </c>
    </row>
    <row r="292" spans="1:9" x14ac:dyDescent="0.25">
      <c r="A292" s="150"/>
      <c r="B292" s="150"/>
      <c r="C292" s="150"/>
      <c r="D292" s="150"/>
      <c r="E292" s="144"/>
      <c r="F292" t="s">
        <v>1981</v>
      </c>
      <c r="G292" t="s">
        <v>1979</v>
      </c>
      <c r="H292" t="s">
        <v>1980</v>
      </c>
      <c r="I292" t="s">
        <v>18400</v>
      </c>
    </row>
    <row r="293" spans="1:9" x14ac:dyDescent="0.25">
      <c r="A293" s="150"/>
      <c r="B293" s="150"/>
      <c r="C293" s="150"/>
      <c r="D293" s="150"/>
      <c r="E293" s="144"/>
      <c r="F293" t="s">
        <v>17497</v>
      </c>
      <c r="G293" t="s">
        <v>17495</v>
      </c>
      <c r="H293" t="s">
        <v>17496</v>
      </c>
      <c r="I293" t="s">
        <v>18400</v>
      </c>
    </row>
    <row r="294" spans="1:9" x14ac:dyDescent="0.25">
      <c r="A294" s="150"/>
      <c r="B294" s="150"/>
      <c r="C294" s="150"/>
      <c r="D294" s="150"/>
      <c r="E294" s="144"/>
      <c r="F294" t="s">
        <v>1926</v>
      </c>
      <c r="G294" t="s">
        <v>1924</v>
      </c>
      <c r="H294" t="s">
        <v>1925</v>
      </c>
      <c r="I294" t="s">
        <v>18400</v>
      </c>
    </row>
    <row r="295" spans="1:9" x14ac:dyDescent="0.25">
      <c r="A295" s="150"/>
      <c r="B295" s="150"/>
      <c r="C295" s="150"/>
      <c r="D295" s="150"/>
      <c r="E295" s="144"/>
      <c r="F295" t="s">
        <v>18944</v>
      </c>
      <c r="G295" t="s">
        <v>18945</v>
      </c>
      <c r="H295" t="s">
        <v>18946</v>
      </c>
      <c r="I295" t="s">
        <v>18400</v>
      </c>
    </row>
    <row r="296" spans="1:9" x14ac:dyDescent="0.25">
      <c r="A296" s="150"/>
      <c r="B296" s="150"/>
      <c r="C296" s="150"/>
      <c r="D296" s="150"/>
      <c r="E296" s="144"/>
      <c r="F296" t="s">
        <v>18947</v>
      </c>
      <c r="G296" t="s">
        <v>18948</v>
      </c>
      <c r="H296" t="s">
        <v>18949</v>
      </c>
      <c r="I296" t="s">
        <v>18400</v>
      </c>
    </row>
    <row r="297" spans="1:9" x14ac:dyDescent="0.25">
      <c r="A297" s="150"/>
      <c r="B297" s="150"/>
      <c r="C297" s="150"/>
      <c r="D297" s="150"/>
      <c r="E297" s="144"/>
      <c r="F297" t="s">
        <v>18950</v>
      </c>
      <c r="G297" t="s">
        <v>18951</v>
      </c>
      <c r="H297" t="s">
        <v>18952</v>
      </c>
      <c r="I297" t="s">
        <v>18400</v>
      </c>
    </row>
    <row r="298" spans="1:9" x14ac:dyDescent="0.25">
      <c r="A298" s="150"/>
      <c r="B298" s="150"/>
      <c r="C298" s="150"/>
      <c r="D298" s="150"/>
      <c r="E298" s="144"/>
      <c r="F298" t="s">
        <v>18953</v>
      </c>
      <c r="G298" t="s">
        <v>18954</v>
      </c>
      <c r="H298" t="s">
        <v>18955</v>
      </c>
      <c r="I298" t="s">
        <v>18400</v>
      </c>
    </row>
    <row r="299" spans="1:9" x14ac:dyDescent="0.25">
      <c r="A299" s="150"/>
      <c r="B299" s="150"/>
      <c r="C299" s="150"/>
      <c r="D299" s="150"/>
      <c r="E299" s="144"/>
      <c r="F299" t="s">
        <v>18956</v>
      </c>
      <c r="G299" t="s">
        <v>18957</v>
      </c>
      <c r="H299" t="s">
        <v>18958</v>
      </c>
      <c r="I299" t="s">
        <v>18400</v>
      </c>
    </row>
    <row r="300" spans="1:9" x14ac:dyDescent="0.25">
      <c r="A300" s="150"/>
      <c r="B300" s="150"/>
      <c r="C300" s="150"/>
      <c r="D300" s="150"/>
      <c r="E300" s="144"/>
      <c r="F300" t="s">
        <v>18959</v>
      </c>
      <c r="G300" t="s">
        <v>18960</v>
      </c>
      <c r="H300" t="s">
        <v>18961</v>
      </c>
      <c r="I300" t="s">
        <v>18400</v>
      </c>
    </row>
    <row r="301" spans="1:9" x14ac:dyDescent="0.25">
      <c r="A301" s="150"/>
      <c r="B301" s="150"/>
      <c r="C301" s="150"/>
      <c r="D301" s="150"/>
      <c r="E301" s="144"/>
      <c r="F301" t="s">
        <v>18962</v>
      </c>
      <c r="G301" t="s">
        <v>18963</v>
      </c>
      <c r="H301" t="s">
        <v>2023</v>
      </c>
      <c r="I301" t="s">
        <v>18400</v>
      </c>
    </row>
    <row r="302" spans="1:9" x14ac:dyDescent="0.25">
      <c r="A302" s="150"/>
      <c r="B302" s="150"/>
      <c r="C302" s="150"/>
      <c r="D302" s="150"/>
      <c r="E302" s="144"/>
      <c r="F302" t="s">
        <v>1440</v>
      </c>
      <c r="G302" t="s">
        <v>1438</v>
      </c>
      <c r="H302" t="s">
        <v>1439</v>
      </c>
      <c r="I302" t="s">
        <v>18400</v>
      </c>
    </row>
    <row r="303" spans="1:9" x14ac:dyDescent="0.25">
      <c r="A303" s="150"/>
      <c r="B303" s="150"/>
      <c r="C303" s="150"/>
      <c r="D303" s="150"/>
      <c r="E303" s="144"/>
      <c r="F303" t="s">
        <v>18964</v>
      </c>
      <c r="G303" t="s">
        <v>18965</v>
      </c>
      <c r="H303" t="s">
        <v>18966</v>
      </c>
      <c r="I303" t="s">
        <v>18400</v>
      </c>
    </row>
    <row r="304" spans="1:9" x14ac:dyDescent="0.25">
      <c r="A304" s="150"/>
      <c r="B304" s="150"/>
      <c r="C304" s="150"/>
      <c r="D304" s="150"/>
      <c r="E304" s="144"/>
      <c r="F304" t="s">
        <v>18967</v>
      </c>
      <c r="G304" t="s">
        <v>18968</v>
      </c>
      <c r="H304" t="s">
        <v>18969</v>
      </c>
      <c r="I304" t="s">
        <v>18400</v>
      </c>
    </row>
    <row r="305" spans="1:9" x14ac:dyDescent="0.25">
      <c r="A305" s="150"/>
      <c r="B305" s="150"/>
      <c r="C305" s="150"/>
      <c r="D305" s="150"/>
      <c r="E305" s="144"/>
      <c r="F305" t="s">
        <v>12232</v>
      </c>
      <c r="G305" t="s">
        <v>12230</v>
      </c>
      <c r="H305" t="s">
        <v>18970</v>
      </c>
      <c r="I305" t="s">
        <v>18400</v>
      </c>
    </row>
    <row r="306" spans="1:9" x14ac:dyDescent="0.25">
      <c r="A306" s="150"/>
      <c r="B306" s="150"/>
      <c r="C306" s="150"/>
      <c r="D306" s="150"/>
      <c r="E306" s="144"/>
      <c r="F306" t="s">
        <v>18971</v>
      </c>
      <c r="G306" t="s">
        <v>18972</v>
      </c>
      <c r="H306" t="s">
        <v>18973</v>
      </c>
      <c r="I306" t="s">
        <v>18400</v>
      </c>
    </row>
    <row r="307" spans="1:9" x14ac:dyDescent="0.25">
      <c r="A307" s="150"/>
      <c r="B307" s="150"/>
      <c r="C307" s="150"/>
      <c r="D307" s="150"/>
      <c r="E307" s="144"/>
      <c r="F307" t="s">
        <v>1945</v>
      </c>
      <c r="G307" t="s">
        <v>1943</v>
      </c>
      <c r="H307" t="s">
        <v>1944</v>
      </c>
      <c r="I307" t="s">
        <v>18400</v>
      </c>
    </row>
    <row r="308" spans="1:9" x14ac:dyDescent="0.25">
      <c r="A308" s="150"/>
      <c r="B308" s="150"/>
      <c r="C308" s="150"/>
      <c r="D308" s="150"/>
      <c r="E308" s="144"/>
      <c r="F308" t="s">
        <v>17490</v>
      </c>
      <c r="G308" t="s">
        <v>17488</v>
      </c>
      <c r="H308" t="s">
        <v>17489</v>
      </c>
      <c r="I308" t="s">
        <v>18400</v>
      </c>
    </row>
    <row r="309" spans="1:9" x14ac:dyDescent="0.25">
      <c r="A309" s="150"/>
      <c r="B309" s="150"/>
      <c r="C309" s="150"/>
      <c r="D309" s="150"/>
      <c r="E309" s="144"/>
      <c r="F309" t="s">
        <v>1940</v>
      </c>
      <c r="G309" t="s">
        <v>1938</v>
      </c>
      <c r="H309" t="s">
        <v>1939</v>
      </c>
      <c r="I309" t="s">
        <v>18400</v>
      </c>
    </row>
    <row r="310" spans="1:9" x14ac:dyDescent="0.25">
      <c r="A310" s="150"/>
      <c r="B310" s="150"/>
      <c r="C310" s="150"/>
      <c r="D310" s="150"/>
      <c r="E310" s="144"/>
      <c r="F310" t="s">
        <v>1937</v>
      </c>
      <c r="G310" t="s">
        <v>1936</v>
      </c>
      <c r="H310" t="s">
        <v>756</v>
      </c>
      <c r="I310" t="s">
        <v>18400</v>
      </c>
    </row>
    <row r="311" spans="1:9" x14ac:dyDescent="0.25">
      <c r="A311" s="150"/>
      <c r="B311" s="150"/>
      <c r="C311" s="150"/>
      <c r="D311" s="150"/>
      <c r="E311" s="144"/>
      <c r="F311" t="s">
        <v>14140</v>
      </c>
      <c r="G311" t="s">
        <v>14139</v>
      </c>
      <c r="H311" t="s">
        <v>4054</v>
      </c>
      <c r="I311" t="s">
        <v>18400</v>
      </c>
    </row>
    <row r="312" spans="1:9" x14ac:dyDescent="0.25">
      <c r="A312" s="150"/>
      <c r="B312" s="150"/>
      <c r="C312" s="150"/>
      <c r="D312" s="150"/>
      <c r="E312" s="144"/>
      <c r="F312" t="s">
        <v>18974</v>
      </c>
      <c r="G312" t="s">
        <v>18975</v>
      </c>
      <c r="H312" t="s">
        <v>15890</v>
      </c>
      <c r="I312" t="s">
        <v>18400</v>
      </c>
    </row>
    <row r="313" spans="1:9" x14ac:dyDescent="0.25">
      <c r="A313" s="150"/>
      <c r="B313" s="150"/>
      <c r="C313" s="150"/>
      <c r="D313" s="150"/>
      <c r="E313" s="144"/>
      <c r="F313" t="s">
        <v>18976</v>
      </c>
      <c r="G313" t="s">
        <v>18977</v>
      </c>
      <c r="H313" t="s">
        <v>18978</v>
      </c>
      <c r="I313" t="s">
        <v>18400</v>
      </c>
    </row>
    <row r="314" spans="1:9" x14ac:dyDescent="0.25">
      <c r="A314" s="150"/>
      <c r="B314" s="150"/>
      <c r="C314" s="150"/>
      <c r="D314" s="150"/>
      <c r="E314" s="144"/>
      <c r="F314" t="s">
        <v>1437</v>
      </c>
      <c r="G314" t="s">
        <v>1435</v>
      </c>
      <c r="H314" t="s">
        <v>1436</v>
      </c>
      <c r="I314" t="s">
        <v>18400</v>
      </c>
    </row>
    <row r="315" spans="1:9" x14ac:dyDescent="0.25">
      <c r="A315" s="150"/>
      <c r="B315" s="150"/>
      <c r="C315" s="150"/>
      <c r="D315" s="150"/>
      <c r="E315" s="144"/>
      <c r="F315" t="s">
        <v>1708</v>
      </c>
      <c r="G315" t="s">
        <v>1707</v>
      </c>
      <c r="H315" t="s">
        <v>18979</v>
      </c>
      <c r="I315" t="s">
        <v>18400</v>
      </c>
    </row>
    <row r="316" spans="1:9" x14ac:dyDescent="0.25">
      <c r="A316" s="150"/>
      <c r="B316" s="150"/>
      <c r="C316" s="150"/>
      <c r="D316" s="150"/>
      <c r="E316" s="144"/>
      <c r="F316" t="s">
        <v>18980</v>
      </c>
      <c r="G316" t="s">
        <v>17866</v>
      </c>
      <c r="H316" t="s">
        <v>18981</v>
      </c>
      <c r="I316" t="s">
        <v>18400</v>
      </c>
    </row>
    <row r="317" spans="1:9" x14ac:dyDescent="0.25">
      <c r="A317" s="150"/>
      <c r="B317" s="150"/>
      <c r="C317" s="150"/>
      <c r="D317" s="150"/>
      <c r="E317" s="144"/>
      <c r="F317" t="s">
        <v>1705</v>
      </c>
      <c r="G317" t="s">
        <v>1703</v>
      </c>
      <c r="H317" t="s">
        <v>1704</v>
      </c>
      <c r="I317" t="s">
        <v>18400</v>
      </c>
    </row>
    <row r="318" spans="1:9" x14ac:dyDescent="0.25">
      <c r="A318" s="150"/>
      <c r="B318" s="150"/>
      <c r="C318" s="150"/>
      <c r="D318" s="150"/>
      <c r="E318" s="144"/>
      <c r="F318" t="s">
        <v>18982</v>
      </c>
      <c r="G318" t="s">
        <v>18983</v>
      </c>
      <c r="H318" t="s">
        <v>18984</v>
      </c>
      <c r="I318" t="s">
        <v>18400</v>
      </c>
    </row>
    <row r="319" spans="1:9" x14ac:dyDescent="0.25">
      <c r="A319" s="150"/>
      <c r="B319" s="150"/>
      <c r="C319" s="150"/>
      <c r="D319" s="150"/>
      <c r="E319" s="144"/>
      <c r="F319" t="s">
        <v>18985</v>
      </c>
      <c r="G319" t="s">
        <v>18986</v>
      </c>
      <c r="H319" t="s">
        <v>18987</v>
      </c>
      <c r="I319" t="s">
        <v>18400</v>
      </c>
    </row>
    <row r="320" spans="1:9" x14ac:dyDescent="0.25">
      <c r="A320" s="150"/>
      <c r="B320" s="150"/>
      <c r="C320" s="150"/>
      <c r="D320" s="150"/>
      <c r="E320" s="144"/>
      <c r="F320" t="s">
        <v>18988</v>
      </c>
      <c r="G320" t="s">
        <v>18989</v>
      </c>
      <c r="H320" t="s">
        <v>18990</v>
      </c>
      <c r="I320" t="s">
        <v>18400</v>
      </c>
    </row>
    <row r="321" spans="1:9" x14ac:dyDescent="0.25">
      <c r="A321" s="150"/>
      <c r="B321" s="150"/>
      <c r="C321" s="150"/>
      <c r="D321" s="150"/>
      <c r="E321" s="144"/>
      <c r="F321" t="s">
        <v>12111</v>
      </c>
      <c r="G321" t="s">
        <v>12109</v>
      </c>
      <c r="H321" t="s">
        <v>12110</v>
      </c>
      <c r="I321" t="s">
        <v>18400</v>
      </c>
    </row>
    <row r="322" spans="1:9" x14ac:dyDescent="0.25">
      <c r="A322" s="150"/>
      <c r="B322" s="150"/>
      <c r="C322" s="150"/>
      <c r="D322" s="150"/>
      <c r="E322" s="144"/>
      <c r="F322" t="s">
        <v>18991</v>
      </c>
      <c r="G322" t="s">
        <v>18992</v>
      </c>
      <c r="H322" t="s">
        <v>18993</v>
      </c>
      <c r="I322" t="s">
        <v>18400</v>
      </c>
    </row>
    <row r="323" spans="1:9" x14ac:dyDescent="0.25">
      <c r="A323" s="150"/>
      <c r="B323" s="150"/>
      <c r="C323" s="150"/>
      <c r="D323" s="150"/>
      <c r="E323" s="144"/>
      <c r="F323" t="s">
        <v>17482</v>
      </c>
      <c r="G323" t="s">
        <v>17480</v>
      </c>
      <c r="H323" t="s">
        <v>18994</v>
      </c>
      <c r="I323" t="s">
        <v>18400</v>
      </c>
    </row>
    <row r="324" spans="1:9" x14ac:dyDescent="0.25">
      <c r="A324" s="150"/>
      <c r="B324" s="150"/>
      <c r="C324" s="150"/>
      <c r="D324" s="150"/>
      <c r="E324" s="144"/>
      <c r="F324" t="s">
        <v>12187</v>
      </c>
      <c r="G324" t="s">
        <v>12185</v>
      </c>
      <c r="H324" t="s">
        <v>12186</v>
      </c>
      <c r="I324" t="s">
        <v>18400</v>
      </c>
    </row>
    <row r="325" spans="1:9" x14ac:dyDescent="0.25">
      <c r="A325" s="150"/>
      <c r="B325" s="150"/>
      <c r="C325" s="150"/>
      <c r="D325" s="150"/>
      <c r="E325" s="144"/>
      <c r="F325" t="s">
        <v>18995</v>
      </c>
      <c r="G325" t="s">
        <v>11789</v>
      </c>
      <c r="H325" t="s">
        <v>18996</v>
      </c>
      <c r="I325" t="s">
        <v>18400</v>
      </c>
    </row>
    <row r="326" spans="1:9" x14ac:dyDescent="0.25">
      <c r="A326" s="150"/>
      <c r="B326" s="150"/>
      <c r="C326" s="150"/>
      <c r="D326" s="150"/>
      <c r="E326" s="144"/>
      <c r="F326" t="s">
        <v>1434</v>
      </c>
      <c r="G326" t="s">
        <v>1433</v>
      </c>
      <c r="H326" t="s">
        <v>18997</v>
      </c>
      <c r="I326" t="s">
        <v>18400</v>
      </c>
    </row>
    <row r="327" spans="1:9" x14ac:dyDescent="0.25">
      <c r="A327" s="150"/>
      <c r="B327" s="150"/>
      <c r="C327" s="150"/>
      <c r="D327" s="150"/>
      <c r="E327" s="144"/>
      <c r="F327" t="s">
        <v>18998</v>
      </c>
      <c r="G327" t="s">
        <v>18999</v>
      </c>
      <c r="H327" t="s">
        <v>19000</v>
      </c>
      <c r="I327" t="s">
        <v>18400</v>
      </c>
    </row>
    <row r="328" spans="1:9" x14ac:dyDescent="0.25">
      <c r="A328" s="150"/>
      <c r="B328" s="150"/>
      <c r="C328" s="150"/>
      <c r="D328" s="150"/>
      <c r="E328" s="144"/>
      <c r="F328" t="s">
        <v>19001</v>
      </c>
      <c r="G328" t="s">
        <v>19002</v>
      </c>
      <c r="H328" t="s">
        <v>19003</v>
      </c>
      <c r="I328" t="s">
        <v>18400</v>
      </c>
    </row>
    <row r="329" spans="1:9" x14ac:dyDescent="0.25">
      <c r="A329" s="150"/>
      <c r="B329" s="150"/>
      <c r="C329" s="150"/>
      <c r="D329" s="150"/>
      <c r="E329" s="144"/>
      <c r="F329" t="s">
        <v>19004</v>
      </c>
      <c r="G329" t="s">
        <v>19005</v>
      </c>
      <c r="H329" t="s">
        <v>19006</v>
      </c>
      <c r="I329" t="s">
        <v>18400</v>
      </c>
    </row>
    <row r="330" spans="1:9" x14ac:dyDescent="0.25">
      <c r="A330" s="150"/>
      <c r="B330" s="150"/>
      <c r="C330" s="150"/>
      <c r="D330" s="150"/>
      <c r="E330" s="144"/>
      <c r="F330" t="s">
        <v>19007</v>
      </c>
      <c r="G330" t="s">
        <v>19008</v>
      </c>
      <c r="H330" t="s">
        <v>19009</v>
      </c>
      <c r="I330" t="s">
        <v>18400</v>
      </c>
    </row>
    <row r="331" spans="1:9" x14ac:dyDescent="0.25">
      <c r="A331" s="150"/>
      <c r="B331" s="150"/>
      <c r="C331" s="150"/>
      <c r="D331" s="150"/>
      <c r="E331" s="144"/>
      <c r="F331" t="s">
        <v>12292</v>
      </c>
      <c r="G331" t="s">
        <v>12290</v>
      </c>
      <c r="H331" t="s">
        <v>12291</v>
      </c>
      <c r="I331" t="s">
        <v>18400</v>
      </c>
    </row>
    <row r="332" spans="1:9" x14ac:dyDescent="0.25">
      <c r="A332" s="150"/>
      <c r="B332" s="150"/>
      <c r="C332" s="150"/>
      <c r="D332" s="150"/>
      <c r="E332" s="144"/>
      <c r="F332" t="s">
        <v>19010</v>
      </c>
      <c r="G332" t="s">
        <v>19011</v>
      </c>
      <c r="H332" t="s">
        <v>19012</v>
      </c>
      <c r="I332" t="s">
        <v>18400</v>
      </c>
    </row>
    <row r="333" spans="1:9" x14ac:dyDescent="0.25">
      <c r="A333" s="150"/>
      <c r="B333" s="150"/>
      <c r="C333" s="150"/>
      <c r="D333" s="150"/>
      <c r="E333" s="144"/>
      <c r="F333" t="s">
        <v>18007</v>
      </c>
      <c r="G333" t="s">
        <v>18005</v>
      </c>
      <c r="H333" t="s">
        <v>18006</v>
      </c>
      <c r="I333" t="s">
        <v>18400</v>
      </c>
    </row>
    <row r="334" spans="1:9" x14ac:dyDescent="0.25">
      <c r="A334" s="150"/>
      <c r="B334" s="150"/>
      <c r="C334" s="150"/>
      <c r="D334" s="150"/>
      <c r="E334" s="144"/>
      <c r="F334" t="s">
        <v>19013</v>
      </c>
      <c r="G334" t="s">
        <v>11989</v>
      </c>
      <c r="H334" t="s">
        <v>19014</v>
      </c>
      <c r="I334" t="s">
        <v>18400</v>
      </c>
    </row>
    <row r="335" spans="1:9" x14ac:dyDescent="0.25">
      <c r="A335" s="150"/>
      <c r="B335" s="150"/>
      <c r="C335" s="150"/>
      <c r="D335" s="150"/>
      <c r="E335" s="144"/>
      <c r="F335" t="s">
        <v>12285</v>
      </c>
      <c r="G335" t="s">
        <v>12283</v>
      </c>
      <c r="H335" t="s">
        <v>12284</v>
      </c>
      <c r="I335" t="s">
        <v>18400</v>
      </c>
    </row>
    <row r="336" spans="1:9" x14ac:dyDescent="0.25">
      <c r="A336" s="150"/>
      <c r="B336" s="150"/>
      <c r="C336" s="150"/>
      <c r="D336" s="150"/>
      <c r="E336" s="144"/>
      <c r="F336" t="s">
        <v>12106</v>
      </c>
      <c r="G336" t="s">
        <v>12104</v>
      </c>
      <c r="H336" t="s">
        <v>12105</v>
      </c>
      <c r="I336" t="s">
        <v>18400</v>
      </c>
    </row>
    <row r="337" spans="1:9" x14ac:dyDescent="0.25">
      <c r="A337" s="150"/>
      <c r="B337" s="150"/>
      <c r="C337" s="150"/>
      <c r="D337" s="150"/>
      <c r="E337" s="144"/>
      <c r="F337" t="s">
        <v>19015</v>
      </c>
      <c r="G337" t="s">
        <v>19016</v>
      </c>
      <c r="H337" t="s">
        <v>19017</v>
      </c>
      <c r="I337" t="s">
        <v>18400</v>
      </c>
    </row>
    <row r="338" spans="1:9" x14ac:dyDescent="0.25">
      <c r="A338" s="150"/>
      <c r="B338" s="150"/>
      <c r="C338" s="150"/>
      <c r="D338" s="150"/>
      <c r="E338" s="144"/>
      <c r="F338" t="s">
        <v>19018</v>
      </c>
      <c r="G338" t="s">
        <v>19019</v>
      </c>
      <c r="H338" t="s">
        <v>19020</v>
      </c>
      <c r="I338" t="s">
        <v>18400</v>
      </c>
    </row>
    <row r="339" spans="1:9" x14ac:dyDescent="0.25">
      <c r="A339" s="150"/>
      <c r="B339" s="150"/>
      <c r="C339" s="150"/>
      <c r="D339" s="150"/>
      <c r="E339" s="144"/>
      <c r="F339" t="s">
        <v>19021</v>
      </c>
      <c r="G339" t="s">
        <v>19022</v>
      </c>
      <c r="H339" t="s">
        <v>19023</v>
      </c>
      <c r="I339" t="s">
        <v>18400</v>
      </c>
    </row>
    <row r="340" spans="1:9" x14ac:dyDescent="0.25">
      <c r="A340" s="150"/>
      <c r="B340" s="150"/>
      <c r="C340" s="150"/>
      <c r="D340" s="150"/>
      <c r="E340" s="144"/>
      <c r="F340" t="s">
        <v>19024</v>
      </c>
      <c r="G340" t="s">
        <v>19025</v>
      </c>
      <c r="H340" t="s">
        <v>19026</v>
      </c>
      <c r="I340" t="s">
        <v>18400</v>
      </c>
    </row>
    <row r="341" spans="1:9" x14ac:dyDescent="0.25">
      <c r="A341" s="150"/>
      <c r="B341" s="150"/>
      <c r="C341" s="150"/>
      <c r="D341" s="150"/>
      <c r="E341" s="144"/>
      <c r="F341" t="s">
        <v>19027</v>
      </c>
      <c r="G341" t="s">
        <v>19028</v>
      </c>
      <c r="H341" t="s">
        <v>19029</v>
      </c>
      <c r="I341" t="s">
        <v>18400</v>
      </c>
    </row>
    <row r="342" spans="1:9" x14ac:dyDescent="0.25">
      <c r="A342" s="150"/>
      <c r="B342" s="150"/>
      <c r="C342" s="150"/>
      <c r="D342" s="150"/>
      <c r="E342" s="144"/>
      <c r="F342" t="s">
        <v>19030</v>
      </c>
      <c r="G342" t="s">
        <v>19031</v>
      </c>
      <c r="H342" t="s">
        <v>19032</v>
      </c>
      <c r="I342" t="s">
        <v>18400</v>
      </c>
    </row>
    <row r="343" spans="1:9" x14ac:dyDescent="0.25">
      <c r="A343" s="150"/>
      <c r="B343" s="150"/>
      <c r="C343" s="150"/>
      <c r="D343" s="150"/>
      <c r="E343" s="144"/>
      <c r="F343" t="s">
        <v>12282</v>
      </c>
      <c r="G343" t="s">
        <v>12280</v>
      </c>
      <c r="H343" t="s">
        <v>12281</v>
      </c>
      <c r="I343" t="s">
        <v>18400</v>
      </c>
    </row>
    <row r="344" spans="1:9" x14ac:dyDescent="0.25">
      <c r="A344" s="150"/>
      <c r="B344" s="150"/>
      <c r="C344" s="150"/>
      <c r="D344" s="150"/>
      <c r="E344" s="144"/>
      <c r="F344" t="s">
        <v>1691</v>
      </c>
      <c r="G344" t="s">
        <v>1689</v>
      </c>
      <c r="H344" t="s">
        <v>1690</v>
      </c>
      <c r="I344" t="s">
        <v>18400</v>
      </c>
    </row>
    <row r="345" spans="1:9" x14ac:dyDescent="0.25">
      <c r="A345" s="150"/>
      <c r="B345" s="150"/>
      <c r="C345" s="150"/>
      <c r="D345" s="150"/>
      <c r="E345" s="144"/>
      <c r="F345" t="s">
        <v>19033</v>
      </c>
      <c r="G345" t="s">
        <v>19034</v>
      </c>
      <c r="H345" t="s">
        <v>19035</v>
      </c>
      <c r="I345" t="s">
        <v>18400</v>
      </c>
    </row>
    <row r="346" spans="1:9" x14ac:dyDescent="0.25">
      <c r="A346" s="150"/>
      <c r="B346" s="150"/>
      <c r="C346" s="150"/>
      <c r="D346" s="150"/>
      <c r="E346" s="144"/>
      <c r="F346" t="s">
        <v>19036</v>
      </c>
      <c r="G346" t="s">
        <v>19037</v>
      </c>
      <c r="H346" t="s">
        <v>19038</v>
      </c>
      <c r="I346" t="s">
        <v>18400</v>
      </c>
    </row>
    <row r="347" spans="1:9" x14ac:dyDescent="0.25">
      <c r="A347" s="150"/>
      <c r="B347" s="150"/>
      <c r="C347" s="150"/>
      <c r="D347" s="150"/>
      <c r="E347" s="144"/>
      <c r="F347" t="s">
        <v>14524</v>
      </c>
      <c r="G347" t="s">
        <v>14522</v>
      </c>
      <c r="H347" t="s">
        <v>14523</v>
      </c>
      <c r="I347" t="s">
        <v>18400</v>
      </c>
    </row>
    <row r="348" spans="1:9" x14ac:dyDescent="0.25">
      <c r="A348" s="150"/>
      <c r="B348" s="150"/>
      <c r="C348" s="150"/>
      <c r="D348" s="150"/>
      <c r="E348" s="144"/>
      <c r="F348" t="s">
        <v>14521</v>
      </c>
      <c r="G348" t="s">
        <v>14520</v>
      </c>
      <c r="H348" t="s">
        <v>4398</v>
      </c>
      <c r="I348" t="s">
        <v>18400</v>
      </c>
    </row>
    <row r="349" spans="1:9" x14ac:dyDescent="0.25">
      <c r="A349" s="150"/>
      <c r="B349" s="150"/>
      <c r="C349" s="150"/>
      <c r="D349" s="150"/>
      <c r="E349" s="144"/>
      <c r="F349" t="s">
        <v>13157</v>
      </c>
      <c r="G349" t="s">
        <v>13155</v>
      </c>
      <c r="H349" t="s">
        <v>13156</v>
      </c>
      <c r="I349" t="s">
        <v>18400</v>
      </c>
    </row>
    <row r="350" spans="1:9" x14ac:dyDescent="0.25">
      <c r="A350" s="150"/>
      <c r="B350" s="150"/>
      <c r="C350" s="150"/>
      <c r="D350" s="150"/>
      <c r="E350" s="144"/>
      <c r="F350" t="s">
        <v>19039</v>
      </c>
      <c r="G350" t="s">
        <v>11748</v>
      </c>
      <c r="H350" t="s">
        <v>17904</v>
      </c>
      <c r="I350" t="s">
        <v>18400</v>
      </c>
    </row>
    <row r="351" spans="1:9" x14ac:dyDescent="0.25">
      <c r="A351" s="150"/>
      <c r="B351" s="150"/>
      <c r="C351" s="150"/>
      <c r="D351" s="150"/>
      <c r="E351" s="144"/>
      <c r="F351" t="s">
        <v>19040</v>
      </c>
      <c r="G351" t="s">
        <v>19041</v>
      </c>
      <c r="H351" t="s">
        <v>19042</v>
      </c>
      <c r="I351" t="s">
        <v>18400</v>
      </c>
    </row>
    <row r="352" spans="1:9" x14ac:dyDescent="0.25">
      <c r="A352" s="150"/>
      <c r="B352" s="150"/>
      <c r="C352" s="150"/>
      <c r="D352" s="150"/>
      <c r="E352" s="144"/>
      <c r="F352" t="s">
        <v>12228</v>
      </c>
      <c r="G352" t="s">
        <v>12226</v>
      </c>
      <c r="H352" t="s">
        <v>12227</v>
      </c>
      <c r="I352" t="s">
        <v>18400</v>
      </c>
    </row>
    <row r="353" spans="1:9" x14ac:dyDescent="0.25">
      <c r="A353" s="150"/>
      <c r="B353" s="150"/>
      <c r="C353" s="150"/>
      <c r="D353" s="150"/>
      <c r="E353" s="144"/>
      <c r="F353" t="s">
        <v>19043</v>
      </c>
      <c r="G353" t="s">
        <v>19044</v>
      </c>
      <c r="H353" t="s">
        <v>19045</v>
      </c>
      <c r="I353" t="s">
        <v>18400</v>
      </c>
    </row>
    <row r="354" spans="1:9" x14ac:dyDescent="0.25">
      <c r="A354" s="150"/>
      <c r="B354" s="150"/>
      <c r="C354" s="150"/>
      <c r="D354" s="150"/>
      <c r="E354" s="144"/>
      <c r="F354" t="s">
        <v>14433</v>
      </c>
      <c r="G354" t="s">
        <v>14431</v>
      </c>
      <c r="H354" t="s">
        <v>14432</v>
      </c>
      <c r="I354" t="s">
        <v>18400</v>
      </c>
    </row>
    <row r="355" spans="1:9" x14ac:dyDescent="0.25">
      <c r="A355" s="150"/>
      <c r="B355" s="150"/>
      <c r="C355" s="150"/>
      <c r="D355" s="150"/>
      <c r="E355" s="144"/>
      <c r="F355" t="s">
        <v>14519</v>
      </c>
      <c r="G355" t="s">
        <v>14517</v>
      </c>
      <c r="H355" t="s">
        <v>14518</v>
      </c>
      <c r="I355" t="s">
        <v>18400</v>
      </c>
    </row>
    <row r="356" spans="1:9" x14ac:dyDescent="0.25">
      <c r="A356" s="150"/>
      <c r="B356" s="150"/>
      <c r="C356" s="150"/>
      <c r="D356" s="150"/>
      <c r="E356" s="144"/>
      <c r="F356" t="s">
        <v>14428</v>
      </c>
      <c r="G356" t="s">
        <v>14427</v>
      </c>
      <c r="H356" t="s">
        <v>19046</v>
      </c>
      <c r="I356" t="s">
        <v>18400</v>
      </c>
    </row>
    <row r="357" spans="1:9" x14ac:dyDescent="0.25">
      <c r="A357" s="150"/>
      <c r="B357" s="150"/>
      <c r="C357" s="150"/>
      <c r="D357" s="150"/>
      <c r="E357" s="144"/>
      <c r="F357" t="s">
        <v>19047</v>
      </c>
      <c r="G357" t="s">
        <v>19048</v>
      </c>
      <c r="H357" t="s">
        <v>19049</v>
      </c>
      <c r="I357" t="s">
        <v>18400</v>
      </c>
    </row>
    <row r="358" spans="1:9" x14ac:dyDescent="0.25">
      <c r="A358" s="150"/>
      <c r="B358" s="150"/>
      <c r="C358" s="150"/>
      <c r="D358" s="150"/>
      <c r="E358" s="144"/>
      <c r="F358" t="s">
        <v>19050</v>
      </c>
      <c r="G358" t="s">
        <v>19051</v>
      </c>
      <c r="H358" t="s">
        <v>19052</v>
      </c>
      <c r="I358" t="s">
        <v>18400</v>
      </c>
    </row>
    <row r="359" spans="1:9" x14ac:dyDescent="0.25">
      <c r="A359" s="150"/>
      <c r="B359" s="150"/>
      <c r="C359" s="150"/>
      <c r="D359" s="150"/>
      <c r="E359" s="144"/>
      <c r="F359" t="s">
        <v>14286</v>
      </c>
      <c r="G359" t="s">
        <v>14284</v>
      </c>
      <c r="H359" t="s">
        <v>14285</v>
      </c>
      <c r="I359" t="s">
        <v>18400</v>
      </c>
    </row>
    <row r="360" spans="1:9" x14ac:dyDescent="0.25">
      <c r="A360" s="150"/>
      <c r="B360" s="150"/>
      <c r="C360" s="150"/>
      <c r="D360" s="150"/>
      <c r="E360" s="144"/>
      <c r="F360" t="s">
        <v>14222</v>
      </c>
      <c r="G360" t="s">
        <v>14220</v>
      </c>
      <c r="H360" t="s">
        <v>19053</v>
      </c>
      <c r="I360" t="s">
        <v>18400</v>
      </c>
    </row>
    <row r="361" spans="1:9" x14ac:dyDescent="0.25">
      <c r="A361" s="150"/>
      <c r="B361" s="150"/>
      <c r="C361" s="150"/>
      <c r="D361" s="150"/>
      <c r="E361" s="144"/>
      <c r="F361" t="s">
        <v>19054</v>
      </c>
      <c r="G361" t="s">
        <v>19055</v>
      </c>
      <c r="H361" t="s">
        <v>19056</v>
      </c>
      <c r="I361" t="s">
        <v>18400</v>
      </c>
    </row>
    <row r="362" spans="1:9" x14ac:dyDescent="0.25">
      <c r="A362" s="150"/>
      <c r="B362" s="150"/>
      <c r="C362" s="150"/>
      <c r="D362" s="150"/>
      <c r="E362" s="144"/>
      <c r="F362" t="s">
        <v>12279</v>
      </c>
      <c r="G362" t="s">
        <v>12277</v>
      </c>
      <c r="H362" t="s">
        <v>19057</v>
      </c>
      <c r="I362" t="s">
        <v>18400</v>
      </c>
    </row>
    <row r="363" spans="1:9" x14ac:dyDescent="0.25">
      <c r="A363" s="150"/>
      <c r="B363" s="150"/>
      <c r="C363" s="150"/>
      <c r="D363" s="150"/>
      <c r="E363" s="144"/>
      <c r="F363" t="s">
        <v>16889</v>
      </c>
      <c r="G363" t="s">
        <v>16887</v>
      </c>
      <c r="H363" t="s">
        <v>16888</v>
      </c>
      <c r="I363" t="s">
        <v>18400</v>
      </c>
    </row>
    <row r="364" spans="1:9" x14ac:dyDescent="0.25">
      <c r="A364" s="150"/>
      <c r="B364" s="150"/>
      <c r="C364" s="150"/>
      <c r="D364" s="150"/>
      <c r="E364" s="144"/>
      <c r="F364" t="s">
        <v>19058</v>
      </c>
      <c r="G364" t="s">
        <v>19059</v>
      </c>
      <c r="H364" t="s">
        <v>19060</v>
      </c>
      <c r="I364" t="s">
        <v>18400</v>
      </c>
    </row>
    <row r="365" spans="1:9" x14ac:dyDescent="0.25">
      <c r="A365" s="150"/>
      <c r="B365" s="150"/>
      <c r="C365" s="150"/>
      <c r="D365" s="150"/>
      <c r="E365" s="144"/>
      <c r="F365" t="s">
        <v>12493</v>
      </c>
      <c r="G365" t="s">
        <v>12491</v>
      </c>
      <c r="H365" t="s">
        <v>12492</v>
      </c>
      <c r="I365" t="s">
        <v>18400</v>
      </c>
    </row>
    <row r="366" spans="1:9" x14ac:dyDescent="0.25">
      <c r="A366" s="150"/>
      <c r="B366" s="150"/>
      <c r="C366" s="150"/>
      <c r="D366" s="150"/>
      <c r="E366" s="144"/>
      <c r="F366" t="s">
        <v>14424</v>
      </c>
      <c r="G366" t="s">
        <v>14423</v>
      </c>
      <c r="H366" t="s">
        <v>4332</v>
      </c>
      <c r="I366" t="s">
        <v>18400</v>
      </c>
    </row>
    <row r="367" spans="1:9" x14ac:dyDescent="0.25">
      <c r="A367" s="150"/>
      <c r="B367" s="150"/>
      <c r="C367" s="150"/>
      <c r="D367" s="150"/>
      <c r="E367" s="144"/>
      <c r="F367" t="s">
        <v>19061</v>
      </c>
      <c r="G367" t="s">
        <v>19062</v>
      </c>
      <c r="H367" t="s">
        <v>19063</v>
      </c>
      <c r="I367" t="s">
        <v>18400</v>
      </c>
    </row>
    <row r="368" spans="1:9" x14ac:dyDescent="0.25">
      <c r="A368" s="150"/>
      <c r="B368" s="150"/>
      <c r="C368" s="150"/>
      <c r="D368" s="150"/>
      <c r="E368" s="144"/>
      <c r="F368" t="s">
        <v>13956</v>
      </c>
      <c r="G368" t="s">
        <v>13954</v>
      </c>
      <c r="H368" t="s">
        <v>19064</v>
      </c>
      <c r="I368" t="s">
        <v>18400</v>
      </c>
    </row>
    <row r="369" spans="1:9" x14ac:dyDescent="0.25">
      <c r="A369" s="150"/>
      <c r="B369" s="150"/>
      <c r="C369" s="150"/>
      <c r="D369" s="150"/>
      <c r="E369" s="144"/>
      <c r="F369" t="s">
        <v>18057</v>
      </c>
      <c r="G369" t="s">
        <v>18055</v>
      </c>
      <c r="H369" t="s">
        <v>18056</v>
      </c>
      <c r="I369" t="s">
        <v>18400</v>
      </c>
    </row>
    <row r="370" spans="1:9" x14ac:dyDescent="0.25">
      <c r="A370" s="150"/>
      <c r="B370" s="150"/>
      <c r="C370" s="150"/>
      <c r="D370" s="150"/>
      <c r="E370" s="144"/>
      <c r="F370" t="s">
        <v>1684</v>
      </c>
      <c r="G370" t="s">
        <v>1682</v>
      </c>
      <c r="H370" t="s">
        <v>1683</v>
      </c>
      <c r="I370" t="s">
        <v>18400</v>
      </c>
    </row>
    <row r="371" spans="1:9" x14ac:dyDescent="0.25">
      <c r="A371" s="150"/>
      <c r="B371" s="150"/>
      <c r="C371" s="150"/>
      <c r="D371" s="150"/>
      <c r="E371" s="144"/>
      <c r="F371" t="s">
        <v>19065</v>
      </c>
      <c r="G371" t="s">
        <v>19066</v>
      </c>
      <c r="H371" t="s">
        <v>19067</v>
      </c>
      <c r="I371" t="s">
        <v>18400</v>
      </c>
    </row>
    <row r="372" spans="1:9" x14ac:dyDescent="0.25">
      <c r="A372" s="150"/>
      <c r="B372" s="150"/>
      <c r="C372" s="150"/>
      <c r="D372" s="150"/>
      <c r="E372" s="144"/>
      <c r="F372" t="s">
        <v>19068</v>
      </c>
      <c r="G372" t="s">
        <v>14558</v>
      </c>
      <c r="H372" t="s">
        <v>13929</v>
      </c>
      <c r="I372" t="s">
        <v>18400</v>
      </c>
    </row>
    <row r="373" spans="1:9" x14ac:dyDescent="0.25">
      <c r="A373" s="150"/>
      <c r="B373" s="150"/>
      <c r="C373" s="150"/>
      <c r="D373" s="150"/>
      <c r="E373" s="144"/>
      <c r="F373" t="s">
        <v>19069</v>
      </c>
      <c r="G373" t="s">
        <v>19070</v>
      </c>
      <c r="H373" t="s">
        <v>19071</v>
      </c>
      <c r="I373" t="s">
        <v>18400</v>
      </c>
    </row>
    <row r="374" spans="1:9" x14ac:dyDescent="0.25">
      <c r="A374" s="150"/>
      <c r="B374" s="150"/>
      <c r="C374" s="150"/>
      <c r="D374" s="150"/>
      <c r="E374" s="144"/>
      <c r="F374" t="s">
        <v>19072</v>
      </c>
      <c r="G374" t="s">
        <v>19073</v>
      </c>
      <c r="H374" t="s">
        <v>19074</v>
      </c>
      <c r="I374" t="s">
        <v>18400</v>
      </c>
    </row>
    <row r="375" spans="1:9" x14ac:dyDescent="0.25">
      <c r="A375" s="150"/>
      <c r="B375" s="150"/>
      <c r="C375" s="150"/>
      <c r="D375" s="150"/>
      <c r="E375" s="144"/>
      <c r="F375" t="s">
        <v>19075</v>
      </c>
      <c r="G375" t="s">
        <v>19076</v>
      </c>
      <c r="H375" t="s">
        <v>19077</v>
      </c>
      <c r="I375" t="s">
        <v>18400</v>
      </c>
    </row>
    <row r="376" spans="1:9" x14ac:dyDescent="0.25">
      <c r="A376" s="150"/>
      <c r="B376" s="150"/>
      <c r="C376" s="150"/>
      <c r="D376" s="150"/>
      <c r="E376" s="144"/>
      <c r="F376" t="s">
        <v>19078</v>
      </c>
      <c r="G376" t="s">
        <v>19079</v>
      </c>
      <c r="H376" t="s">
        <v>19080</v>
      </c>
      <c r="I376" t="s">
        <v>18400</v>
      </c>
    </row>
    <row r="377" spans="1:9" x14ac:dyDescent="0.25">
      <c r="A377" s="150"/>
      <c r="B377" s="150"/>
      <c r="C377" s="150"/>
      <c r="D377" s="150"/>
      <c r="E377" s="144"/>
      <c r="F377" t="s">
        <v>19081</v>
      </c>
      <c r="G377" t="s">
        <v>19082</v>
      </c>
      <c r="H377" t="s">
        <v>2098</v>
      </c>
      <c r="I377" t="s">
        <v>18400</v>
      </c>
    </row>
    <row r="378" spans="1:9" x14ac:dyDescent="0.25">
      <c r="A378" s="150"/>
      <c r="B378" s="150"/>
      <c r="C378" s="150"/>
      <c r="D378" s="150"/>
      <c r="E378" s="144"/>
      <c r="F378" t="s">
        <v>19083</v>
      </c>
      <c r="G378" t="s">
        <v>19084</v>
      </c>
      <c r="H378" t="s">
        <v>970</v>
      </c>
      <c r="I378" t="s">
        <v>18400</v>
      </c>
    </row>
    <row r="379" spans="1:9" x14ac:dyDescent="0.25">
      <c r="A379" s="150"/>
      <c r="B379" s="150"/>
      <c r="C379" s="150"/>
      <c r="D379" s="150"/>
      <c r="E379" s="144"/>
      <c r="F379" t="s">
        <v>14219</v>
      </c>
      <c r="G379" t="s">
        <v>14218</v>
      </c>
      <c r="H379" t="s">
        <v>898</v>
      </c>
      <c r="I379" t="s">
        <v>18400</v>
      </c>
    </row>
    <row r="380" spans="1:9" x14ac:dyDescent="0.25">
      <c r="A380" s="150"/>
      <c r="B380" s="150"/>
      <c r="C380" s="150"/>
      <c r="D380" s="150"/>
      <c r="E380" s="144"/>
      <c r="F380" t="s">
        <v>14332</v>
      </c>
      <c r="G380" t="s">
        <v>14330</v>
      </c>
      <c r="H380" t="s">
        <v>14331</v>
      </c>
      <c r="I380" t="s">
        <v>18400</v>
      </c>
    </row>
    <row r="381" spans="1:9" x14ac:dyDescent="0.25">
      <c r="A381" s="150"/>
      <c r="B381" s="150"/>
      <c r="C381" s="150"/>
      <c r="D381" s="150"/>
      <c r="E381" s="144"/>
      <c r="F381" t="s">
        <v>14329</v>
      </c>
      <c r="G381" t="s">
        <v>14327</v>
      </c>
      <c r="H381" t="s">
        <v>14328</v>
      </c>
      <c r="I381" t="s">
        <v>18400</v>
      </c>
    </row>
    <row r="382" spans="1:9" x14ac:dyDescent="0.25">
      <c r="A382" s="150"/>
      <c r="B382" s="150"/>
      <c r="C382" s="150"/>
      <c r="D382" s="150"/>
      <c r="E382" s="144"/>
      <c r="F382" t="s">
        <v>19085</v>
      </c>
      <c r="G382" t="s">
        <v>19086</v>
      </c>
      <c r="H382" t="s">
        <v>19087</v>
      </c>
      <c r="I382" t="s">
        <v>18400</v>
      </c>
    </row>
    <row r="383" spans="1:9" x14ac:dyDescent="0.25">
      <c r="A383" s="150"/>
      <c r="B383" s="150"/>
      <c r="C383" s="150"/>
      <c r="D383" s="150"/>
      <c r="E383" s="144"/>
      <c r="F383" t="s">
        <v>19088</v>
      </c>
      <c r="G383" t="s">
        <v>19089</v>
      </c>
      <c r="H383" t="s">
        <v>19090</v>
      </c>
      <c r="I383" t="s">
        <v>18400</v>
      </c>
    </row>
    <row r="384" spans="1:9" x14ac:dyDescent="0.25">
      <c r="A384" s="150"/>
      <c r="B384" s="150"/>
      <c r="C384" s="150"/>
      <c r="D384" s="150"/>
      <c r="E384" s="144"/>
      <c r="F384" t="s">
        <v>12079</v>
      </c>
      <c r="G384" t="s">
        <v>12077</v>
      </c>
      <c r="H384" t="s">
        <v>12078</v>
      </c>
      <c r="I384" t="s">
        <v>18400</v>
      </c>
    </row>
    <row r="385" spans="1:9" x14ac:dyDescent="0.25">
      <c r="A385" s="150"/>
      <c r="B385" s="150"/>
      <c r="C385" s="150"/>
      <c r="D385" s="150"/>
      <c r="E385" s="144"/>
      <c r="F385" t="s">
        <v>12076</v>
      </c>
      <c r="G385" t="s">
        <v>12074</v>
      </c>
      <c r="H385" t="s">
        <v>12075</v>
      </c>
      <c r="I385" t="s">
        <v>18400</v>
      </c>
    </row>
    <row r="386" spans="1:9" x14ac:dyDescent="0.25">
      <c r="A386" s="150"/>
      <c r="B386" s="150"/>
      <c r="C386" s="150"/>
      <c r="D386" s="150"/>
      <c r="E386" s="144"/>
      <c r="F386" t="s">
        <v>1432</v>
      </c>
      <c r="G386" t="s">
        <v>1430</v>
      </c>
      <c r="H386" t="s">
        <v>1431</v>
      </c>
      <c r="I386" t="s">
        <v>18400</v>
      </c>
    </row>
    <row r="387" spans="1:9" x14ac:dyDescent="0.25">
      <c r="A387" s="150"/>
      <c r="B387" s="150"/>
      <c r="C387" s="150"/>
      <c r="D387" s="150"/>
      <c r="E387" s="144"/>
      <c r="F387" t="s">
        <v>19091</v>
      </c>
      <c r="G387" t="s">
        <v>19092</v>
      </c>
      <c r="H387" t="s">
        <v>19093</v>
      </c>
      <c r="I387" t="s">
        <v>18400</v>
      </c>
    </row>
    <row r="388" spans="1:9" x14ac:dyDescent="0.25">
      <c r="A388" s="150"/>
      <c r="B388" s="150"/>
      <c r="C388" s="150"/>
      <c r="D388" s="150"/>
      <c r="E388" s="144"/>
      <c r="F388" t="s">
        <v>12152</v>
      </c>
      <c r="G388" t="s">
        <v>12150</v>
      </c>
      <c r="H388" t="s">
        <v>12151</v>
      </c>
      <c r="I388" t="s">
        <v>18400</v>
      </c>
    </row>
    <row r="389" spans="1:9" x14ac:dyDescent="0.25">
      <c r="A389" s="150"/>
      <c r="B389" s="150"/>
      <c r="C389" s="150"/>
      <c r="D389" s="150"/>
      <c r="E389" s="144"/>
      <c r="F389" t="s">
        <v>19094</v>
      </c>
      <c r="G389" t="s">
        <v>19095</v>
      </c>
      <c r="H389" t="s">
        <v>19096</v>
      </c>
      <c r="I389" t="s">
        <v>18400</v>
      </c>
    </row>
    <row r="390" spans="1:9" x14ac:dyDescent="0.25">
      <c r="A390" s="150"/>
      <c r="B390" s="150"/>
      <c r="C390" s="150"/>
      <c r="D390" s="150"/>
      <c r="E390" s="144"/>
      <c r="F390" t="s">
        <v>19097</v>
      </c>
      <c r="G390" t="s">
        <v>19098</v>
      </c>
      <c r="H390" t="s">
        <v>19099</v>
      </c>
      <c r="I390" t="s">
        <v>18400</v>
      </c>
    </row>
    <row r="391" spans="1:9" x14ac:dyDescent="0.25">
      <c r="A391" s="150"/>
      <c r="B391" s="150"/>
      <c r="C391" s="150"/>
      <c r="D391" s="150"/>
      <c r="E391" s="144"/>
      <c r="F391" t="s">
        <v>12069</v>
      </c>
      <c r="G391" t="s">
        <v>12067</v>
      </c>
      <c r="H391" t="s">
        <v>12068</v>
      </c>
      <c r="I391" t="s">
        <v>18400</v>
      </c>
    </row>
    <row r="392" spans="1:9" x14ac:dyDescent="0.25">
      <c r="A392" s="150"/>
      <c r="B392" s="150"/>
      <c r="C392" s="150"/>
      <c r="D392" s="150"/>
      <c r="E392" s="144"/>
      <c r="F392" t="s">
        <v>19100</v>
      </c>
      <c r="G392" t="s">
        <v>19101</v>
      </c>
      <c r="H392" t="s">
        <v>19102</v>
      </c>
      <c r="I392" t="s">
        <v>18400</v>
      </c>
    </row>
    <row r="393" spans="1:9" x14ac:dyDescent="0.25">
      <c r="A393" s="150"/>
      <c r="B393" s="150"/>
      <c r="C393" s="150"/>
      <c r="D393" s="150"/>
      <c r="E393" s="144"/>
      <c r="F393" t="s">
        <v>19103</v>
      </c>
      <c r="G393" t="s">
        <v>19104</v>
      </c>
      <c r="H393" t="s">
        <v>19105</v>
      </c>
      <c r="I393" t="s">
        <v>18400</v>
      </c>
    </row>
    <row r="394" spans="1:9" x14ac:dyDescent="0.25">
      <c r="A394" s="150"/>
      <c r="B394" s="150"/>
      <c r="C394" s="150"/>
      <c r="D394" s="150"/>
      <c r="E394" s="144"/>
      <c r="F394" t="s">
        <v>18423</v>
      </c>
      <c r="G394" t="s">
        <v>19106</v>
      </c>
      <c r="H394" t="s">
        <v>19107</v>
      </c>
      <c r="I394" t="s">
        <v>18400</v>
      </c>
    </row>
    <row r="395" spans="1:9" x14ac:dyDescent="0.25">
      <c r="A395" s="150"/>
      <c r="B395" s="150"/>
      <c r="C395" s="150"/>
      <c r="D395" s="150"/>
      <c r="E395" s="144"/>
      <c r="F395" t="s">
        <v>19108</v>
      </c>
      <c r="G395" t="s">
        <v>9917</v>
      </c>
      <c r="H395" t="s">
        <v>19109</v>
      </c>
      <c r="I395" t="s">
        <v>18400</v>
      </c>
    </row>
    <row r="396" spans="1:9" x14ac:dyDescent="0.25">
      <c r="A396" s="150"/>
      <c r="B396" s="150"/>
      <c r="C396" s="150"/>
      <c r="D396" s="150"/>
      <c r="E396" s="144"/>
      <c r="F396" t="s">
        <v>19110</v>
      </c>
      <c r="G396" t="s">
        <v>19111</v>
      </c>
      <c r="H396" t="s">
        <v>19112</v>
      </c>
      <c r="I396" t="s">
        <v>18400</v>
      </c>
    </row>
    <row r="397" spans="1:9" x14ac:dyDescent="0.25">
      <c r="A397" s="150"/>
      <c r="B397" s="150"/>
      <c r="C397" s="150"/>
      <c r="D397" s="150"/>
      <c r="E397" s="144"/>
      <c r="F397" t="s">
        <v>19113</v>
      </c>
      <c r="G397" t="s">
        <v>19114</v>
      </c>
      <c r="H397" t="s">
        <v>19115</v>
      </c>
      <c r="I397" t="s">
        <v>18400</v>
      </c>
    </row>
    <row r="398" spans="1:9" x14ac:dyDescent="0.25">
      <c r="A398" s="150"/>
      <c r="B398" s="150"/>
      <c r="C398" s="150"/>
      <c r="D398" s="150"/>
      <c r="E398" s="144"/>
      <c r="F398" t="s">
        <v>19116</v>
      </c>
      <c r="G398" t="s">
        <v>12474</v>
      </c>
      <c r="H398" t="s">
        <v>19117</v>
      </c>
      <c r="I398" t="s">
        <v>18400</v>
      </c>
    </row>
    <row r="399" spans="1:9" x14ac:dyDescent="0.25">
      <c r="A399" s="150"/>
      <c r="B399" s="150"/>
      <c r="C399" s="150"/>
      <c r="D399" s="150"/>
      <c r="E399" s="144"/>
      <c r="F399" t="s">
        <v>19118</v>
      </c>
      <c r="G399" t="s">
        <v>19119</v>
      </c>
      <c r="H399" t="s">
        <v>19120</v>
      </c>
      <c r="I399" t="s">
        <v>18400</v>
      </c>
    </row>
    <row r="400" spans="1:9" x14ac:dyDescent="0.25">
      <c r="A400" s="150"/>
      <c r="B400" s="150"/>
      <c r="C400" s="150"/>
      <c r="D400" s="150"/>
      <c r="E400" s="144"/>
      <c r="F400" t="s">
        <v>12064</v>
      </c>
      <c r="G400" t="s">
        <v>12062</v>
      </c>
      <c r="H400" t="s">
        <v>12063</v>
      </c>
      <c r="I400" t="s">
        <v>18400</v>
      </c>
    </row>
    <row r="401" spans="1:9" x14ac:dyDescent="0.25">
      <c r="A401" s="150"/>
      <c r="B401" s="150"/>
      <c r="C401" s="150"/>
      <c r="D401" s="150"/>
      <c r="E401" s="144"/>
      <c r="F401" t="s">
        <v>12418</v>
      </c>
      <c r="G401" t="s">
        <v>12416</v>
      </c>
      <c r="H401" t="s">
        <v>19121</v>
      </c>
      <c r="I401" t="s">
        <v>18400</v>
      </c>
    </row>
    <row r="402" spans="1:9" x14ac:dyDescent="0.25">
      <c r="A402" s="150"/>
      <c r="B402" s="150"/>
      <c r="C402" s="150"/>
      <c r="D402" s="150"/>
      <c r="E402" s="144"/>
      <c r="F402" t="s">
        <v>12061</v>
      </c>
      <c r="G402" t="s">
        <v>12059</v>
      </c>
      <c r="H402" t="s">
        <v>12060</v>
      </c>
      <c r="I402" t="s">
        <v>18400</v>
      </c>
    </row>
    <row r="403" spans="1:9" x14ac:dyDescent="0.25">
      <c r="A403" s="150"/>
      <c r="B403" s="150"/>
      <c r="C403" s="150"/>
      <c r="D403" s="150"/>
      <c r="E403" s="144"/>
      <c r="F403" t="s">
        <v>19122</v>
      </c>
      <c r="G403" t="s">
        <v>19123</v>
      </c>
      <c r="H403" t="s">
        <v>19124</v>
      </c>
      <c r="I403" t="s">
        <v>18400</v>
      </c>
    </row>
    <row r="404" spans="1:9" x14ac:dyDescent="0.25">
      <c r="A404" s="150"/>
      <c r="B404" s="150"/>
      <c r="C404" s="150"/>
      <c r="D404" s="150"/>
      <c r="E404" s="144"/>
      <c r="F404" t="s">
        <v>18082</v>
      </c>
      <c r="G404" t="s">
        <v>18080</v>
      </c>
      <c r="H404" t="s">
        <v>18081</v>
      </c>
      <c r="I404" t="s">
        <v>18400</v>
      </c>
    </row>
    <row r="405" spans="1:9" x14ac:dyDescent="0.25">
      <c r="A405" s="150"/>
      <c r="B405" s="150"/>
      <c r="C405" s="150"/>
      <c r="D405" s="150"/>
      <c r="E405" s="144"/>
      <c r="F405" t="s">
        <v>12272</v>
      </c>
      <c r="G405" t="s">
        <v>12270</v>
      </c>
      <c r="H405" t="s">
        <v>12271</v>
      </c>
      <c r="I405" t="s">
        <v>18400</v>
      </c>
    </row>
    <row r="406" spans="1:9" x14ac:dyDescent="0.25">
      <c r="A406" s="150"/>
      <c r="B406" s="150"/>
      <c r="C406" s="150"/>
      <c r="D406" s="150"/>
      <c r="E406" s="144"/>
      <c r="F406" t="s">
        <v>19125</v>
      </c>
      <c r="G406" t="s">
        <v>19126</v>
      </c>
      <c r="H406" t="s">
        <v>19127</v>
      </c>
      <c r="I406" t="s">
        <v>18400</v>
      </c>
    </row>
    <row r="407" spans="1:9" x14ac:dyDescent="0.25">
      <c r="A407" s="150"/>
      <c r="B407" s="150"/>
      <c r="C407" s="150"/>
      <c r="D407" s="150"/>
      <c r="E407" s="144"/>
      <c r="F407" t="s">
        <v>19128</v>
      </c>
      <c r="G407" t="s">
        <v>12128</v>
      </c>
      <c r="H407" t="s">
        <v>19129</v>
      </c>
      <c r="I407" t="s">
        <v>18400</v>
      </c>
    </row>
    <row r="408" spans="1:9" x14ac:dyDescent="0.25">
      <c r="A408" s="150"/>
      <c r="B408" s="150"/>
      <c r="C408" s="150"/>
      <c r="D408" s="150"/>
      <c r="E408" s="144"/>
      <c r="F408" t="s">
        <v>12147</v>
      </c>
      <c r="G408" t="s">
        <v>12145</v>
      </c>
      <c r="H408" t="s">
        <v>12146</v>
      </c>
      <c r="I408" t="s">
        <v>18400</v>
      </c>
    </row>
    <row r="409" spans="1:9" x14ac:dyDescent="0.25">
      <c r="A409" s="150"/>
      <c r="B409" s="150"/>
      <c r="C409" s="150"/>
      <c r="D409" s="150"/>
      <c r="E409" s="144"/>
      <c r="F409" t="s">
        <v>12269</v>
      </c>
      <c r="G409" t="s">
        <v>12267</v>
      </c>
      <c r="H409" t="s">
        <v>12268</v>
      </c>
      <c r="I409" t="s">
        <v>18400</v>
      </c>
    </row>
    <row r="410" spans="1:9" x14ac:dyDescent="0.25">
      <c r="A410" s="150"/>
      <c r="B410" s="150"/>
      <c r="C410" s="150"/>
      <c r="D410" s="150"/>
      <c r="E410" s="144"/>
      <c r="F410" t="s">
        <v>19130</v>
      </c>
      <c r="G410" t="s">
        <v>17797</v>
      </c>
      <c r="H410" t="s">
        <v>19131</v>
      </c>
      <c r="I410" t="s">
        <v>18400</v>
      </c>
    </row>
    <row r="411" spans="1:9" x14ac:dyDescent="0.25">
      <c r="A411" s="150"/>
      <c r="B411" s="150"/>
      <c r="C411" s="150"/>
      <c r="D411" s="150"/>
      <c r="E411" s="144"/>
      <c r="F411" t="s">
        <v>14326</v>
      </c>
      <c r="G411" t="s">
        <v>14325</v>
      </c>
      <c r="H411" t="s">
        <v>1409</v>
      </c>
      <c r="I411" t="s">
        <v>18400</v>
      </c>
    </row>
    <row r="412" spans="1:9" x14ac:dyDescent="0.25">
      <c r="A412" s="150"/>
      <c r="B412" s="150"/>
      <c r="C412" s="150"/>
      <c r="D412" s="150"/>
      <c r="E412" s="144"/>
      <c r="F412" t="s">
        <v>14324</v>
      </c>
      <c r="G412" t="s">
        <v>14322</v>
      </c>
      <c r="H412" t="s">
        <v>14323</v>
      </c>
      <c r="I412" t="s">
        <v>18400</v>
      </c>
    </row>
    <row r="413" spans="1:9" x14ac:dyDescent="0.25">
      <c r="A413" s="150"/>
      <c r="B413" s="150"/>
      <c r="C413" s="150"/>
      <c r="D413" s="150"/>
      <c r="E413" s="144"/>
      <c r="F413" t="s">
        <v>19132</v>
      </c>
      <c r="G413" t="s">
        <v>19133</v>
      </c>
      <c r="H413" t="s">
        <v>19134</v>
      </c>
      <c r="I413" t="s">
        <v>18400</v>
      </c>
    </row>
    <row r="414" spans="1:9" x14ac:dyDescent="0.25">
      <c r="A414" s="150"/>
      <c r="B414" s="150"/>
      <c r="C414" s="150"/>
      <c r="D414" s="150"/>
      <c r="E414" s="144"/>
      <c r="F414" t="s">
        <v>19135</v>
      </c>
      <c r="G414" t="s">
        <v>19136</v>
      </c>
      <c r="H414" t="s">
        <v>19137</v>
      </c>
      <c r="I414" t="s">
        <v>18400</v>
      </c>
    </row>
    <row r="415" spans="1:9" x14ac:dyDescent="0.25">
      <c r="A415" s="150"/>
      <c r="B415" s="150"/>
      <c r="C415" s="150"/>
      <c r="D415" s="150"/>
      <c r="E415" s="144"/>
      <c r="F415" t="s">
        <v>19138</v>
      </c>
      <c r="G415" t="s">
        <v>19139</v>
      </c>
      <c r="H415" t="s">
        <v>19140</v>
      </c>
      <c r="I415" t="s">
        <v>18400</v>
      </c>
    </row>
    <row r="416" spans="1:9" x14ac:dyDescent="0.25">
      <c r="A416" s="150"/>
      <c r="B416" s="150"/>
      <c r="C416" s="150"/>
      <c r="D416" s="150"/>
      <c r="E416" s="144"/>
      <c r="F416" t="s">
        <v>4938</v>
      </c>
      <c r="G416" t="s">
        <v>4936</v>
      </c>
      <c r="H416" t="s">
        <v>4937</v>
      </c>
      <c r="I416" t="s">
        <v>18400</v>
      </c>
    </row>
    <row r="417" spans="1:9" x14ac:dyDescent="0.25">
      <c r="A417" s="150"/>
      <c r="B417" s="150"/>
      <c r="C417" s="150"/>
      <c r="D417" s="150"/>
      <c r="E417" s="144"/>
      <c r="F417" t="s">
        <v>1811</v>
      </c>
      <c r="G417" t="s">
        <v>1809</v>
      </c>
      <c r="H417" t="s">
        <v>1810</v>
      </c>
      <c r="I417" t="s">
        <v>18400</v>
      </c>
    </row>
    <row r="418" spans="1:9" x14ac:dyDescent="0.25">
      <c r="A418" s="150"/>
      <c r="B418" s="150"/>
      <c r="C418" s="150"/>
      <c r="D418" s="150"/>
      <c r="E418" s="144"/>
      <c r="F418" t="s">
        <v>1137</v>
      </c>
      <c r="G418" t="s">
        <v>1135</v>
      </c>
      <c r="H418" t="s">
        <v>1136</v>
      </c>
      <c r="I418" t="s">
        <v>18400</v>
      </c>
    </row>
    <row r="419" spans="1:9" x14ac:dyDescent="0.25">
      <c r="A419" s="150"/>
      <c r="B419" s="150"/>
      <c r="C419" s="150"/>
      <c r="D419" s="150"/>
      <c r="E419" s="144"/>
      <c r="F419" t="s">
        <v>19141</v>
      </c>
      <c r="G419" t="s">
        <v>19142</v>
      </c>
      <c r="H419" t="s">
        <v>19143</v>
      </c>
      <c r="I419" t="s">
        <v>18400</v>
      </c>
    </row>
    <row r="420" spans="1:9" x14ac:dyDescent="0.25">
      <c r="A420" s="150"/>
      <c r="B420" s="150"/>
      <c r="C420" s="150"/>
      <c r="D420" s="150"/>
      <c r="E420" s="144"/>
      <c r="F420" t="s">
        <v>19144</v>
      </c>
      <c r="G420" t="s">
        <v>19145</v>
      </c>
      <c r="H420" t="s">
        <v>19146</v>
      </c>
      <c r="I420" t="s">
        <v>18400</v>
      </c>
    </row>
    <row r="421" spans="1:9" x14ac:dyDescent="0.25">
      <c r="A421" s="150"/>
      <c r="B421" s="150"/>
      <c r="C421" s="150"/>
      <c r="D421" s="150"/>
      <c r="E421" s="144"/>
      <c r="F421" t="s">
        <v>14589</v>
      </c>
      <c r="G421" t="s">
        <v>14587</v>
      </c>
      <c r="H421" t="s">
        <v>14588</v>
      </c>
      <c r="I421" t="s">
        <v>18400</v>
      </c>
    </row>
    <row r="422" spans="1:9" x14ac:dyDescent="0.25">
      <c r="A422" s="150"/>
      <c r="B422" s="150"/>
      <c r="C422" s="150"/>
      <c r="D422" s="150"/>
      <c r="E422" s="144"/>
      <c r="F422" t="s">
        <v>19147</v>
      </c>
      <c r="G422" t="s">
        <v>19148</v>
      </c>
      <c r="H422" t="s">
        <v>19149</v>
      </c>
      <c r="I422" t="s">
        <v>18400</v>
      </c>
    </row>
    <row r="423" spans="1:9" x14ac:dyDescent="0.25">
      <c r="A423" s="150"/>
      <c r="B423" s="150"/>
      <c r="C423" s="150"/>
      <c r="D423" s="150"/>
      <c r="E423" s="144"/>
      <c r="F423" t="s">
        <v>19150</v>
      </c>
      <c r="G423" t="s">
        <v>19151</v>
      </c>
      <c r="H423" t="s">
        <v>6547</v>
      </c>
      <c r="I423" t="s">
        <v>18400</v>
      </c>
    </row>
    <row r="424" spans="1:9" x14ac:dyDescent="0.25">
      <c r="A424" s="150"/>
      <c r="B424" s="150"/>
      <c r="C424" s="150"/>
      <c r="D424" s="150"/>
      <c r="E424" s="144"/>
      <c r="F424" t="s">
        <v>13923</v>
      </c>
      <c r="G424" t="s">
        <v>13921</v>
      </c>
      <c r="H424" t="s">
        <v>13922</v>
      </c>
      <c r="I424" t="s">
        <v>18400</v>
      </c>
    </row>
    <row r="425" spans="1:9" x14ac:dyDescent="0.25">
      <c r="A425" s="150"/>
      <c r="B425" s="150"/>
      <c r="C425" s="150"/>
      <c r="D425" s="150"/>
      <c r="E425" s="144"/>
      <c r="F425" t="s">
        <v>19152</v>
      </c>
      <c r="G425" t="s">
        <v>19153</v>
      </c>
      <c r="H425" t="s">
        <v>14124</v>
      </c>
      <c r="I425" t="s">
        <v>18400</v>
      </c>
    </row>
    <row r="426" spans="1:9" x14ac:dyDescent="0.25">
      <c r="A426" s="150"/>
      <c r="B426" s="150"/>
      <c r="C426" s="150"/>
      <c r="D426" s="150"/>
      <c r="E426" s="144"/>
      <c r="F426" t="s">
        <v>1771</v>
      </c>
      <c r="G426" t="s">
        <v>1769</v>
      </c>
      <c r="H426" t="s">
        <v>1770</v>
      </c>
      <c r="I426" t="s">
        <v>18400</v>
      </c>
    </row>
    <row r="427" spans="1:9" x14ac:dyDescent="0.25">
      <c r="A427" s="150"/>
      <c r="B427" s="150"/>
      <c r="C427" s="150"/>
      <c r="D427" s="150"/>
      <c r="E427" s="144"/>
      <c r="F427" t="s">
        <v>19154</v>
      </c>
      <c r="G427" t="s">
        <v>19155</v>
      </c>
      <c r="H427" t="s">
        <v>19156</v>
      </c>
      <c r="I427" t="s">
        <v>18400</v>
      </c>
    </row>
    <row r="428" spans="1:9" x14ac:dyDescent="0.25">
      <c r="A428" s="150"/>
      <c r="B428" s="150"/>
      <c r="C428" s="150"/>
      <c r="D428" s="150"/>
      <c r="E428" s="144"/>
      <c r="F428" t="s">
        <v>19157</v>
      </c>
      <c r="G428" t="s">
        <v>19158</v>
      </c>
      <c r="H428" t="s">
        <v>19159</v>
      </c>
      <c r="I428" t="s">
        <v>18400</v>
      </c>
    </row>
    <row r="429" spans="1:9" x14ac:dyDescent="0.25">
      <c r="A429" s="150"/>
      <c r="B429" s="150"/>
      <c r="C429" s="150"/>
      <c r="D429" s="150"/>
      <c r="E429" s="144"/>
      <c r="F429" t="s">
        <v>14199</v>
      </c>
      <c r="G429" t="s">
        <v>14197</v>
      </c>
      <c r="H429" t="s">
        <v>14198</v>
      </c>
      <c r="I429" t="s">
        <v>18400</v>
      </c>
    </row>
    <row r="430" spans="1:9" x14ac:dyDescent="0.25">
      <c r="A430" s="150"/>
      <c r="B430" s="150"/>
      <c r="C430" s="150"/>
      <c r="D430" s="150"/>
      <c r="E430" s="144"/>
      <c r="F430" t="s">
        <v>17987</v>
      </c>
      <c r="G430" t="s">
        <v>17985</v>
      </c>
      <c r="H430" t="s">
        <v>17986</v>
      </c>
      <c r="I430" t="s">
        <v>18400</v>
      </c>
    </row>
    <row r="431" spans="1:9" x14ac:dyDescent="0.25">
      <c r="A431" s="150"/>
      <c r="B431" s="150"/>
      <c r="C431" s="150"/>
      <c r="D431" s="150"/>
      <c r="E431" s="144"/>
      <c r="F431" t="s">
        <v>19160</v>
      </c>
      <c r="G431" t="s">
        <v>19161</v>
      </c>
      <c r="H431" t="s">
        <v>5883</v>
      </c>
      <c r="I431" t="s">
        <v>18400</v>
      </c>
    </row>
    <row r="432" spans="1:9" x14ac:dyDescent="0.25">
      <c r="A432" s="150"/>
      <c r="B432" s="150"/>
      <c r="C432" s="150"/>
      <c r="D432" s="150"/>
      <c r="E432" s="144"/>
      <c r="F432" t="s">
        <v>1768</v>
      </c>
      <c r="G432" t="s">
        <v>1766</v>
      </c>
      <c r="H432" t="s">
        <v>1767</v>
      </c>
      <c r="I432" t="s">
        <v>18400</v>
      </c>
    </row>
    <row r="433" spans="1:9" x14ac:dyDescent="0.25">
      <c r="A433" s="150"/>
      <c r="B433" s="150"/>
      <c r="C433" s="150"/>
      <c r="D433" s="150"/>
      <c r="E433" s="144"/>
      <c r="F433" t="s">
        <v>19162</v>
      </c>
      <c r="G433" t="s">
        <v>19163</v>
      </c>
      <c r="H433" t="s">
        <v>19164</v>
      </c>
      <c r="I433" t="s">
        <v>18400</v>
      </c>
    </row>
    <row r="434" spans="1:9" x14ac:dyDescent="0.25">
      <c r="A434" s="150"/>
      <c r="B434" s="150"/>
      <c r="C434" s="150"/>
      <c r="D434" s="150"/>
      <c r="E434" s="144"/>
      <c r="F434" t="s">
        <v>14586</v>
      </c>
      <c r="G434" t="s">
        <v>14584</v>
      </c>
      <c r="H434" t="s">
        <v>14585</v>
      </c>
      <c r="I434" t="s">
        <v>18400</v>
      </c>
    </row>
    <row r="435" spans="1:9" x14ac:dyDescent="0.25">
      <c r="A435" s="150"/>
      <c r="B435" s="150"/>
      <c r="C435" s="150"/>
      <c r="D435" s="150"/>
      <c r="E435" s="144"/>
      <c r="F435" t="s">
        <v>19165</v>
      </c>
      <c r="G435" t="s">
        <v>19166</v>
      </c>
      <c r="H435" t="s">
        <v>19167</v>
      </c>
      <c r="I435" t="s">
        <v>18400</v>
      </c>
    </row>
    <row r="436" spans="1:9" x14ac:dyDescent="0.25">
      <c r="A436" s="150"/>
      <c r="B436" s="150"/>
      <c r="C436" s="150"/>
      <c r="D436" s="150"/>
      <c r="E436" s="144"/>
      <c r="F436" t="s">
        <v>19168</v>
      </c>
      <c r="G436" t="s">
        <v>19169</v>
      </c>
      <c r="H436" t="s">
        <v>19170</v>
      </c>
      <c r="I436" t="s">
        <v>18400</v>
      </c>
    </row>
    <row r="437" spans="1:9" x14ac:dyDescent="0.25">
      <c r="A437" s="150"/>
      <c r="B437" s="150"/>
      <c r="C437" s="150"/>
      <c r="D437" s="150"/>
      <c r="E437" s="144"/>
      <c r="F437" t="s">
        <v>19171</v>
      </c>
      <c r="G437" t="s">
        <v>19172</v>
      </c>
      <c r="H437" t="s">
        <v>19173</v>
      </c>
      <c r="I437" t="s">
        <v>18400</v>
      </c>
    </row>
    <row r="438" spans="1:9" x14ac:dyDescent="0.25">
      <c r="A438" s="150"/>
      <c r="B438" s="150"/>
      <c r="C438" s="150"/>
      <c r="D438" s="150"/>
      <c r="E438" s="144"/>
      <c r="F438" t="s">
        <v>19174</v>
      </c>
      <c r="G438" t="s">
        <v>19175</v>
      </c>
      <c r="H438" t="s">
        <v>19176</v>
      </c>
      <c r="I438" t="s">
        <v>18400</v>
      </c>
    </row>
    <row r="439" spans="1:9" x14ac:dyDescent="0.25">
      <c r="A439" s="150"/>
      <c r="B439" s="150"/>
      <c r="C439" s="150"/>
      <c r="D439" s="150"/>
      <c r="E439" s="144"/>
      <c r="F439" t="s">
        <v>19177</v>
      </c>
      <c r="G439" t="s">
        <v>19178</v>
      </c>
      <c r="H439" t="s">
        <v>19179</v>
      </c>
      <c r="I439" t="s">
        <v>18400</v>
      </c>
    </row>
    <row r="440" spans="1:9" x14ac:dyDescent="0.25">
      <c r="A440" s="150"/>
      <c r="B440" s="150"/>
      <c r="C440" s="150"/>
      <c r="D440" s="150"/>
      <c r="E440" s="144"/>
      <c r="F440" t="s">
        <v>19180</v>
      </c>
      <c r="G440" t="s">
        <v>19181</v>
      </c>
      <c r="H440" t="s">
        <v>19182</v>
      </c>
      <c r="I440" t="s">
        <v>18400</v>
      </c>
    </row>
    <row r="441" spans="1:9" x14ac:dyDescent="0.25">
      <c r="A441" s="150"/>
      <c r="B441" s="150"/>
      <c r="C441" s="150"/>
      <c r="D441" s="150"/>
      <c r="E441" s="144"/>
      <c r="F441" t="s">
        <v>19183</v>
      </c>
      <c r="G441" t="s">
        <v>19184</v>
      </c>
      <c r="H441" t="s">
        <v>19185</v>
      </c>
      <c r="I441" t="s">
        <v>18400</v>
      </c>
    </row>
    <row r="442" spans="1:9" x14ac:dyDescent="0.25">
      <c r="A442" s="150"/>
      <c r="B442" s="150"/>
      <c r="C442" s="150"/>
      <c r="D442" s="150"/>
      <c r="E442" s="144"/>
      <c r="F442" t="s">
        <v>19186</v>
      </c>
      <c r="G442" t="s">
        <v>19187</v>
      </c>
      <c r="H442" t="s">
        <v>19188</v>
      </c>
      <c r="I442" t="s">
        <v>18400</v>
      </c>
    </row>
    <row r="443" spans="1:9" x14ac:dyDescent="0.25">
      <c r="A443" s="150"/>
      <c r="B443" s="150"/>
      <c r="C443" s="150"/>
      <c r="D443" s="150"/>
      <c r="E443" s="144"/>
      <c r="F443" t="s">
        <v>19189</v>
      </c>
      <c r="G443" t="s">
        <v>19190</v>
      </c>
      <c r="H443" t="s">
        <v>19191</v>
      </c>
      <c r="I443" t="s">
        <v>18400</v>
      </c>
    </row>
  </sheetData>
  <mergeCells count="2">
    <mergeCell ref="A1:D1"/>
    <mergeCell ref="F1:I1"/>
  </mergeCells>
  <conditionalFormatting sqref="G3:G11">
    <cfRule type="duplicateValues" dxfId="8" priority="2" stopIfTrue="1"/>
  </conditionalFormatting>
  <conditionalFormatting sqref="G12:G443">
    <cfRule type="duplicateValues" dxfId="7" priority="1" stopIfTrue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5E03-CBE2-490F-9CA0-E67FB2E80C48}">
  <sheetPr codeName="Sheet6">
    <pageSetUpPr fitToPage="1"/>
  </sheetPr>
  <dimension ref="A1:ER13"/>
  <sheetViews>
    <sheetView tabSelected="1" topLeftCell="B1" zoomScaleNormal="100" zoomScaleSheetLayoutView="100" workbookViewId="0">
      <selection activeCell="AG26" sqref="AG26"/>
    </sheetView>
  </sheetViews>
  <sheetFormatPr defaultColWidth="9.140625" defaultRowHeight="11.25" outlineLevelRow="1" outlineLevelCol="1" x14ac:dyDescent="0.2"/>
  <cols>
    <col min="1" max="1" width="5.7109375" style="1" hidden="1" customWidth="1" outlineLevel="1"/>
    <col min="2" max="2" width="5.7109375" style="1" customWidth="1" collapsed="1"/>
    <col min="3" max="3" width="8.7109375" style="5" hidden="1" customWidth="1" outlineLevel="1" collapsed="1"/>
    <col min="4" max="4" width="8.7109375" style="5" customWidth="1" collapsed="1"/>
    <col min="5" max="5" width="6.42578125" style="5" hidden="1" customWidth="1" outlineLevel="1"/>
    <col min="6" max="6" width="6.85546875" style="1" bestFit="1" customWidth="1" collapsed="1"/>
    <col min="7" max="7" width="13.140625" style="1" customWidth="1"/>
    <col min="8" max="8" width="6.5703125" style="1" hidden="1" customWidth="1" outlineLevel="1"/>
    <col min="9" max="9" width="11" style="1" hidden="1" customWidth="1" outlineLevel="1"/>
    <col min="10" max="10" width="8.5703125" style="4" customWidth="1" collapsed="1"/>
    <col min="11" max="11" width="12.7109375" style="1" hidden="1" customWidth="1" outlineLevel="1"/>
    <col min="12" max="12" width="8.85546875" style="4" customWidth="1" collapsed="1"/>
    <col min="13" max="13" width="12.140625" style="4" hidden="1" customWidth="1" outlineLevel="1"/>
    <col min="14" max="14" width="7.5703125" style="1" hidden="1" customWidth="1" outlineLevel="1"/>
    <col min="15" max="15" width="10.42578125" style="1" hidden="1" customWidth="1" outlineLevel="1"/>
    <col min="16" max="16" width="6.42578125" style="1" customWidth="1" collapsed="1"/>
    <col min="17" max="18" width="8.5703125" style="1" hidden="1" customWidth="1" outlineLevel="1"/>
    <col min="19" max="19" width="14" style="1" hidden="1" customWidth="1" outlineLevel="1"/>
    <col min="20" max="22" width="9.140625" style="1" hidden="1" customWidth="1" outlineLevel="1"/>
    <col min="23" max="23" width="11.42578125" style="1" hidden="1" customWidth="1" outlineLevel="1"/>
    <col min="24" max="24" width="12" style="1" hidden="1" customWidth="1" outlineLevel="1"/>
    <col min="25" max="29" width="8.5703125" style="1" hidden="1" customWidth="1" outlineLevel="1"/>
    <col min="30" max="30" width="5.5703125" style="1" hidden="1" customWidth="1" outlineLevel="1"/>
    <col min="31" max="32" width="8.5703125" style="1" hidden="1" customWidth="1" outlineLevel="1"/>
    <col min="33" max="33" width="11.42578125" style="1" customWidth="1" collapsed="1"/>
    <col min="34" max="35" width="6.5703125" style="1" customWidth="1" outlineLevel="1"/>
    <col min="36" max="36" width="10.42578125" style="1" customWidth="1"/>
    <col min="37" max="37" width="7.42578125" style="1" customWidth="1"/>
    <col min="38" max="38" width="0.7109375" style="1" customWidth="1"/>
    <col min="39" max="39" width="7.85546875" style="1" bestFit="1" customWidth="1"/>
    <col min="40" max="40" width="8" style="2" customWidth="1"/>
    <col min="41" max="41" width="7.85546875" style="1" bestFit="1" customWidth="1"/>
    <col min="42" max="42" width="7.7109375" style="2" customWidth="1"/>
    <col min="43" max="43" width="5" style="1" hidden="1" customWidth="1" outlineLevel="1"/>
    <col min="44" max="44" width="6.140625" style="2" hidden="1" customWidth="1" outlineLevel="1"/>
    <col min="45" max="45" width="5.5703125" style="1" customWidth="1" collapsed="1"/>
    <col min="46" max="46" width="6.7109375" style="2" customWidth="1"/>
    <col min="47" max="47" width="7.7109375" style="1" customWidth="1"/>
    <col min="48" max="48" width="7.85546875" style="2" bestFit="1" customWidth="1"/>
    <col min="49" max="49" width="7.7109375" style="1" customWidth="1"/>
    <col min="50" max="50" width="7.7109375" style="2" customWidth="1"/>
    <col min="51" max="51" width="7" style="2" customWidth="1"/>
    <col min="52" max="52" width="6.5703125" style="2" bestFit="1" customWidth="1"/>
    <col min="53" max="53" width="7.7109375" style="2" customWidth="1"/>
    <col min="54" max="54" width="7.5703125" style="2" customWidth="1"/>
    <col min="55" max="55" width="7.5703125" style="2" hidden="1" customWidth="1" outlineLevel="1"/>
    <col min="56" max="56" width="6.42578125" style="2" hidden="1" customWidth="1" outlineLevel="1"/>
    <col min="57" max="57" width="8.5703125" style="2" bestFit="1" customWidth="1" collapsed="1"/>
    <col min="58" max="58" width="7.85546875" style="2" customWidth="1"/>
    <col min="59" max="59" width="10" style="1" hidden="1" customWidth="1" outlineLevel="1"/>
    <col min="60" max="60" width="8.7109375" style="2" hidden="1" customWidth="1" outlineLevel="1"/>
    <col min="61" max="61" width="10" style="1" hidden="1" customWidth="1" outlineLevel="1"/>
    <col min="62" max="62" width="8.7109375" style="2" hidden="1" customWidth="1" outlineLevel="1"/>
    <col min="63" max="63" width="10" style="1" hidden="1" customWidth="1" outlineLevel="1"/>
    <col min="64" max="64" width="8.7109375" style="2" hidden="1" customWidth="1" outlineLevel="1"/>
    <col min="65" max="65" width="10" style="1" hidden="1" customWidth="1" outlineLevel="1"/>
    <col min="66" max="66" width="8.7109375" style="2" hidden="1" customWidth="1" outlineLevel="1"/>
    <col min="67" max="67" width="10" style="1" hidden="1" customWidth="1" outlineLevel="1"/>
    <col min="68" max="68" width="8.7109375" style="2" hidden="1" customWidth="1" outlineLevel="1"/>
    <col min="69" max="69" width="10" style="1" hidden="1" customWidth="1" outlineLevel="1"/>
    <col min="70" max="70" width="8.7109375" style="2" hidden="1" customWidth="1" outlineLevel="1"/>
    <col min="71" max="71" width="7.7109375" style="2" hidden="1" customWidth="1" outlineLevel="1" collapsed="1"/>
    <col min="72" max="72" width="7.5703125" style="2" hidden="1" customWidth="1" outlineLevel="1"/>
    <col min="73" max="75" width="6" style="2" hidden="1" customWidth="1" outlineLevel="1"/>
    <col min="76" max="76" width="6.5703125" style="2" hidden="1" customWidth="1" outlineLevel="1" collapsed="1"/>
    <col min="77" max="77" width="8.7109375" style="1" hidden="1" customWidth="1" outlineLevel="1" collapsed="1"/>
    <col min="78" max="78" width="8.7109375" style="2" hidden="1" customWidth="1" outlineLevel="1"/>
    <col min="79" max="79" width="8.7109375" style="1" bestFit="1" customWidth="1" collapsed="1"/>
    <col min="80" max="81" width="8" style="1" hidden="1" customWidth="1" outlineLevel="1"/>
    <col min="82" max="83" width="7.5703125" style="1" hidden="1" customWidth="1" outlineLevel="1"/>
    <col min="84" max="84" width="7.7109375" style="1" customWidth="1" collapsed="1"/>
    <col min="85" max="85" width="0.5703125" style="1" customWidth="1"/>
    <col min="86" max="86" width="8" style="2" customWidth="1"/>
    <col min="87" max="88" width="8" style="2" hidden="1" customWidth="1" outlineLevel="1"/>
    <col min="89" max="89" width="6.85546875" style="2" hidden="1" customWidth="1" outlineLevel="1"/>
    <col min="90" max="96" width="8" style="2" hidden="1" customWidth="1" outlineLevel="1"/>
    <col min="97" max="97" width="1" style="3" hidden="1" customWidth="1" outlineLevel="1"/>
    <col min="98" max="100" width="9" style="2" hidden="1" customWidth="1" outlineLevel="1"/>
    <col min="101" max="101" width="0.5703125" style="1" customWidth="1" collapsed="1"/>
    <col min="102" max="102" width="7.42578125" style="1" customWidth="1"/>
    <col min="103" max="103" width="6.42578125" style="1" customWidth="1"/>
    <col min="104" max="104" width="5.7109375" style="1" customWidth="1"/>
    <col min="105" max="105" width="5.5703125" style="1" customWidth="1"/>
    <col min="106" max="106" width="6.28515625" style="2" hidden="1" customWidth="1" outlineLevel="1"/>
    <col min="107" max="107" width="6.5703125" style="1" hidden="1" customWidth="1" outlineLevel="1"/>
    <col min="108" max="109" width="5.85546875" style="1" hidden="1" customWidth="1" outlineLevel="1"/>
    <col min="110" max="110" width="8" style="2" hidden="1" customWidth="1" outlineLevel="1"/>
    <col min="111" max="111" width="7" style="1" hidden="1" customWidth="1" outlineLevel="1"/>
    <col min="112" max="113" width="8" style="1" hidden="1" customWidth="1" outlineLevel="1"/>
    <col min="114" max="114" width="8" style="2" hidden="1" customWidth="1" outlineLevel="1"/>
    <col min="115" max="115" width="6.140625" style="1" hidden="1" customWidth="1" outlineLevel="1"/>
    <col min="116" max="117" width="4.5703125" style="1" hidden="1" customWidth="1" outlineLevel="1"/>
    <col min="118" max="118" width="4" style="2" hidden="1" customWidth="1" outlineLevel="1"/>
    <col min="119" max="119" width="6.140625" style="1" hidden="1" customWidth="1" outlineLevel="1"/>
    <col min="120" max="121" width="5.85546875" style="1" hidden="1" customWidth="1" outlineLevel="1"/>
    <col min="122" max="122" width="0.42578125" style="1" customWidth="1" collapsed="1"/>
    <col min="123" max="123" width="6.85546875" style="2" customWidth="1"/>
    <col min="124" max="124" width="7.7109375" style="2" customWidth="1"/>
    <col min="125" max="125" width="7.85546875" style="2" customWidth="1"/>
    <col min="126" max="127" width="7" style="2" customWidth="1"/>
    <col min="128" max="128" width="7.42578125" style="2" customWidth="1"/>
    <col min="129" max="129" width="7.28515625" style="2" customWidth="1"/>
    <col min="130" max="130" width="8" style="2" customWidth="1"/>
    <col min="131" max="131" width="6.5703125" style="2" customWidth="1"/>
    <col min="132" max="132" width="6.28515625" style="2" hidden="1" customWidth="1" outlineLevel="1"/>
    <col min="133" max="133" width="8.28515625" style="3" customWidth="1" collapsed="1"/>
    <col min="134" max="134" width="4.5703125" style="2" hidden="1" customWidth="1" outlineLevel="1"/>
    <col min="135" max="135" width="5.7109375" style="2" hidden="1" customWidth="1" outlineLevel="1"/>
    <col min="136" max="136" width="8.5703125" style="2" bestFit="1" customWidth="1" collapsed="1"/>
    <col min="137" max="137" width="8.5703125" style="2" hidden="1" customWidth="1" outlineLevel="1"/>
    <col min="138" max="138" width="6.42578125" style="2" hidden="1" customWidth="1" outlineLevel="1"/>
    <col min="139" max="139" width="6.7109375" style="2" hidden="1" customWidth="1" outlineLevel="1"/>
    <col min="140" max="140" width="8.5703125" style="2" hidden="1" customWidth="1" outlineLevel="1"/>
    <col min="141" max="141" width="0.85546875" style="1" customWidth="1" collapsed="1"/>
    <col min="142" max="142" width="8.42578125" style="1" hidden="1" customWidth="1" outlineLevel="1"/>
    <col min="143" max="143" width="7.5703125" style="1" hidden="1" customWidth="1" outlineLevel="1"/>
    <col min="144" max="144" width="8" style="1" hidden="1" customWidth="1" outlineLevel="1"/>
    <col min="145" max="145" width="6.28515625" style="1" hidden="1" customWidth="1" outlineLevel="1"/>
    <col min="146" max="147" width="9.28515625" style="1" hidden="1" customWidth="1" outlineLevel="1"/>
    <col min="148" max="148" width="9.140625" style="1" collapsed="1"/>
    <col min="149" max="16384" width="9.140625" style="1"/>
  </cols>
  <sheetData>
    <row r="1" spans="1:147" ht="15" x14ac:dyDescent="0.25">
      <c r="B1" s="142" t="s">
        <v>18390</v>
      </c>
      <c r="E1" s="142"/>
      <c r="F1" s="142"/>
      <c r="I1" s="1" t="s">
        <v>18389</v>
      </c>
      <c r="J1" s="4" t="s">
        <v>18388</v>
      </c>
      <c r="K1" s="1" t="s">
        <v>18387</v>
      </c>
      <c r="AM1" s="141">
        <f>+AM8/BY$8</f>
        <v>0.56760360379474761</v>
      </c>
      <c r="AN1" s="141"/>
      <c r="AO1" s="141">
        <f>+AO8/AM8</f>
        <v>0.43795945123378749</v>
      </c>
      <c r="AP1" s="141"/>
      <c r="AQ1" s="2" t="s">
        <v>18386</v>
      </c>
      <c r="AS1" s="2"/>
      <c r="AT1" s="141"/>
      <c r="AU1" s="141">
        <f>AU8/AM8</f>
        <v>0.14398089619328555</v>
      </c>
      <c r="AV1" s="141"/>
      <c r="AW1" s="2"/>
      <c r="AX1" s="141"/>
      <c r="BA1" s="2" t="s">
        <v>18386</v>
      </c>
      <c r="BG1" s="2"/>
      <c r="BI1" s="2"/>
      <c r="BK1" s="2"/>
      <c r="BM1" s="2"/>
      <c r="BO1" s="2"/>
      <c r="BQ1" s="2"/>
      <c r="BT1" s="2" t="s">
        <v>18386</v>
      </c>
      <c r="BU1" s="2" t="s">
        <v>18386</v>
      </c>
      <c r="BY1" s="2" t="s">
        <v>18386</v>
      </c>
      <c r="CA1" s="2"/>
      <c r="CB1" s="2"/>
      <c r="CC1" s="2"/>
      <c r="CD1" s="2"/>
      <c r="CE1" s="2"/>
      <c r="CF1" s="2"/>
      <c r="CG1" s="2"/>
      <c r="CI1" s="2" t="s">
        <v>18383</v>
      </c>
      <c r="CJ1" s="2" t="s">
        <v>18382</v>
      </c>
      <c r="CK1" s="2" t="s">
        <v>18385</v>
      </c>
      <c r="CL1" s="2" t="s">
        <v>18384</v>
      </c>
      <c r="CM1" s="2" t="s">
        <v>18385</v>
      </c>
      <c r="CN1" s="2" t="s">
        <v>18385</v>
      </c>
      <c r="CO1" s="2" t="s">
        <v>18385</v>
      </c>
      <c r="CP1" s="2" t="s">
        <v>18385</v>
      </c>
      <c r="CQ1" s="2" t="s">
        <v>18385</v>
      </c>
      <c r="CR1" s="2" t="s">
        <v>18384</v>
      </c>
      <c r="CT1" s="2" t="s">
        <v>18383</v>
      </c>
      <c r="CU1" s="2" t="s">
        <v>18382</v>
      </c>
      <c r="DX1" s="140" t="s">
        <v>18381</v>
      </c>
      <c r="DY1" s="32">
        <f>DS1+EC1+ED1+EF1</f>
        <v>0</v>
      </c>
    </row>
    <row r="2" spans="1:147" x14ac:dyDescent="0.2">
      <c r="G2" s="139"/>
      <c r="AM2" s="1" t="s">
        <v>18380</v>
      </c>
      <c r="AN2" s="2" t="s">
        <v>18379</v>
      </c>
      <c r="AO2" s="1" t="s">
        <v>18378</v>
      </c>
      <c r="AP2" s="2" t="s">
        <v>18377</v>
      </c>
      <c r="AQ2" s="1" t="s">
        <v>18376</v>
      </c>
      <c r="AR2" s="2" t="s">
        <v>18375</v>
      </c>
      <c r="AS2" s="1" t="s">
        <v>18374</v>
      </c>
      <c r="AT2" s="2" t="s">
        <v>18373</v>
      </c>
      <c r="AU2" s="1" t="s">
        <v>18372</v>
      </c>
      <c r="AV2" s="2" t="s">
        <v>18371</v>
      </c>
      <c r="AW2" s="1" t="s">
        <v>18370</v>
      </c>
      <c r="AX2" s="2" t="s">
        <v>18369</v>
      </c>
      <c r="AY2" s="1" t="s">
        <v>18368</v>
      </c>
      <c r="AZ2" s="2" t="s">
        <v>18367</v>
      </c>
      <c r="BA2" s="1" t="s">
        <v>18366</v>
      </c>
      <c r="BB2" s="2" t="s">
        <v>18365</v>
      </c>
      <c r="BE2" s="1" t="s">
        <v>18364</v>
      </c>
      <c r="BF2" s="2" t="s">
        <v>18363</v>
      </c>
      <c r="BG2" s="1" t="s">
        <v>18368</v>
      </c>
      <c r="BH2" s="2" t="s">
        <v>18367</v>
      </c>
      <c r="BI2" s="1" t="s">
        <v>18366</v>
      </c>
      <c r="BJ2" s="2" t="s">
        <v>18365</v>
      </c>
      <c r="BK2" s="1" t="s">
        <v>18364</v>
      </c>
      <c r="BL2" s="2" t="s">
        <v>18363</v>
      </c>
      <c r="BM2" s="1" t="s">
        <v>18362</v>
      </c>
      <c r="BN2" s="2" t="s">
        <v>18361</v>
      </c>
      <c r="BO2" s="1" t="s">
        <v>18360</v>
      </c>
      <c r="BP2" s="2" t="s">
        <v>18359</v>
      </c>
      <c r="BQ2" s="1" t="s">
        <v>18358</v>
      </c>
      <c r="BR2" s="2" t="s">
        <v>18357</v>
      </c>
      <c r="BV2" s="3"/>
      <c r="BY2" s="1" t="s">
        <v>18356</v>
      </c>
      <c r="CA2" s="1" t="s">
        <v>18355</v>
      </c>
      <c r="CF2" s="1" t="s">
        <v>18354</v>
      </c>
      <c r="CI2" s="2" t="s">
        <v>18353</v>
      </c>
      <c r="CJ2" s="2" t="s">
        <v>18352</v>
      </c>
      <c r="CK2" s="2" t="s">
        <v>18351</v>
      </c>
      <c r="CL2" s="2" t="s">
        <v>18350</v>
      </c>
      <c r="CM2" s="2" t="s">
        <v>18349</v>
      </c>
      <c r="CN2" s="2" t="s">
        <v>18348</v>
      </c>
      <c r="CO2" s="2" t="s">
        <v>18347</v>
      </c>
      <c r="CP2" s="2" t="s">
        <v>18346</v>
      </c>
      <c r="CQ2" s="2" t="s">
        <v>18345</v>
      </c>
      <c r="CR2" s="2" t="s">
        <v>18344</v>
      </c>
      <c r="CT2" s="2" t="s">
        <v>18343</v>
      </c>
      <c r="CU2" s="2" t="s">
        <v>18342</v>
      </c>
      <c r="DX2" s="3" t="s">
        <v>18341</v>
      </c>
      <c r="DY2" s="32">
        <f>MIN((DS2+EC2+ED2+EF2),DW2)</f>
        <v>0</v>
      </c>
      <c r="EK2" s="2"/>
    </row>
    <row r="3" spans="1:147" hidden="1" outlineLevel="1" x14ac:dyDescent="0.2">
      <c r="A3" s="1" t="str">
        <f>A6</f>
        <v>SR, NO</v>
      </c>
      <c r="B3" s="1" t="str">
        <f>B6</f>
        <v>LOC CD</v>
      </c>
      <c r="C3" s="1" t="str">
        <f>C6</f>
        <v>LOCATION</v>
      </c>
      <c r="D3" s="1"/>
      <c r="E3" s="1" t="str">
        <f>E6</f>
        <v>STATE</v>
      </c>
      <c r="F3" s="1" t="str">
        <f>F6</f>
        <v>E.CODE</v>
      </c>
      <c r="G3" s="1" t="str">
        <f>G6</f>
        <v>NAME</v>
      </c>
      <c r="H3" s="1" t="str">
        <f>H6</f>
        <v>GENDER</v>
      </c>
      <c r="I3" s="1" t="str">
        <f>I6</f>
        <v>D.O.B</v>
      </c>
      <c r="J3" s="1" t="str">
        <f>J6</f>
        <v>JOINING DATE</v>
      </c>
      <c r="K3" s="1" t="str">
        <f>K6</f>
        <v>MOBILE NO.</v>
      </c>
      <c r="L3" s="137" t="s">
        <v>18338</v>
      </c>
      <c r="M3" s="1"/>
      <c r="N3" s="1" t="str">
        <f>N6</f>
        <v>SUB-DEPT.</v>
      </c>
      <c r="O3" s="1" t="str">
        <f>O6</f>
        <v>DESIGNATION</v>
      </c>
      <c r="P3" s="1" t="str">
        <f>P6</f>
        <v>STATUS</v>
      </c>
      <c r="Q3" s="1" t="str">
        <f>Q6</f>
        <v>Name of Bank</v>
      </c>
      <c r="R3" s="1" t="str">
        <f>R6</f>
        <v>IFSC Code</v>
      </c>
      <c r="S3" s="1" t="str">
        <f>S6</f>
        <v>A/c No.</v>
      </c>
      <c r="T3" s="1" t="str">
        <f>T6</f>
        <v>U.A.N NO</v>
      </c>
      <c r="U3" s="1" t="str">
        <f>U6</f>
        <v>P.F.NO.</v>
      </c>
      <c r="V3" s="1" t="str">
        <f>V6</f>
        <v>E.S.I NO</v>
      </c>
      <c r="W3" s="1" t="str">
        <f>W6</f>
        <v>PAN NO</v>
      </c>
      <c r="X3" s="1" t="str">
        <f>X6</f>
        <v>AADHAR NO</v>
      </c>
      <c r="Y3" s="1" t="str">
        <f>Y6</f>
        <v>P.F. Applicable?</v>
      </c>
      <c r="Z3" s="1" t="str">
        <f>Z6</f>
        <v>E.S.I. Applicable?</v>
      </c>
      <c r="AA3" s="1" t="str">
        <f>AA6</f>
        <v>F.P.F. Applicable?</v>
      </c>
      <c r="AB3" s="1" t="str">
        <f>AB6</f>
        <v>O.T.. Applicable?</v>
      </c>
      <c r="AC3" s="1" t="str">
        <f>AC6</f>
        <v>P.TAX. Applicable?</v>
      </c>
      <c r="AF3" s="1" t="str">
        <f>AF6</f>
        <v>WK-OFF PAY APPLICABLE?</v>
      </c>
      <c r="AG3" s="1" t="str">
        <f>AG6</f>
        <v>AUTO
REMARKS</v>
      </c>
      <c r="AJ3" s="1" t="str">
        <f>AJ6</f>
        <v>HR REMARKS</v>
      </c>
      <c r="AK3" s="1" t="s">
        <v>18330</v>
      </c>
      <c r="AM3" s="2" t="str">
        <f>$AM$5&amp;AM6</f>
        <v>BGT VS ACTBasic Salary Rate</v>
      </c>
      <c r="AN3" s="2" t="str">
        <f>$AN$5&amp;AN6</f>
        <v>BASIC
SALARY</v>
      </c>
      <c r="AO3" s="2" t="str">
        <f>$AM$5&amp;AO6</f>
        <v>BGT VS ACTH.R.A. Rate</v>
      </c>
      <c r="AP3" s="2" t="str">
        <f>$AN$5&amp;AP6</f>
        <v>H.R.A.</v>
      </c>
      <c r="AQ3" s="2" t="str">
        <f>$AM$5&amp;AQ6</f>
        <v>BGT VS ACTD.A. RATE</v>
      </c>
      <c r="AR3" s="2" t="str">
        <f>$AN$5&amp;AR6</f>
        <v>D.A</v>
      </c>
      <c r="AS3" s="2" t="str">
        <f>$AM$5&amp;AS6</f>
        <v>BGT VS ACTC.C.A. Rate</v>
      </c>
      <c r="AT3" s="2" t="str">
        <f>$AN$5&amp;AT6</f>
        <v>C.C.A.</v>
      </c>
      <c r="AU3" s="2" t="str">
        <f>$AM$5&amp;AU6</f>
        <v>BGT VS ACTSPECIAL
ALLOWANCE RATE</v>
      </c>
      <c r="AV3" s="2" t="str">
        <f>$AN$5&amp;AV6</f>
        <v>SPECIAL
ALLOWANCE</v>
      </c>
      <c r="AW3" s="2" t="str">
        <f>$AM$5&amp;AW6</f>
        <v>BGT VS ACTREIMB RATE</v>
      </c>
      <c r="AX3" s="2" t="str">
        <f>$AN$5&amp;AX6</f>
        <v>REIMB</v>
      </c>
      <c r="BA3" s="2" t="str">
        <f>$BA$5&amp;BA6</f>
        <v>GRATUITY EARNED
RATE</v>
      </c>
      <c r="BB3" s="2" t="str">
        <f>$BA$5&amp;BB6</f>
        <v>GRATUITY EARNED</v>
      </c>
      <c r="BG3" s="2" t="str">
        <f>$AM$5&amp;BG6</f>
        <v>BGT VS ACTFuel and Maintenance</v>
      </c>
      <c r="BH3" s="2" t="str">
        <f>$AN$5&amp;BH6</f>
        <v>Fuel and Maintenance (REIMB)</v>
      </c>
      <c r="BI3" s="2" t="str">
        <f>$AM$5&amp;BI6</f>
        <v>BGT VS ACTBooks and Periodicals</v>
      </c>
      <c r="BJ3" s="2" t="str">
        <f>$AN$5&amp;BJ6</f>
        <v>Books and Periodicals (REIMB)</v>
      </c>
      <c r="BK3" s="2" t="str">
        <f>$AM$5&amp;BK6</f>
        <v>BGT VS ACTProfessional Attire</v>
      </c>
      <c r="BL3" s="2" t="str">
        <f>$AN$5&amp;BL6</f>
        <v>Professional Attire (REIMB)</v>
      </c>
      <c r="BM3" s="2" t="str">
        <f>$AM$5&amp;BM6</f>
        <v>BGT VS ACTDriver Wages</v>
      </c>
      <c r="BN3" s="2" t="str">
        <f>$AN$5&amp;BN6</f>
        <v>Driver Wages (REIMB)</v>
      </c>
      <c r="BO3" s="2" t="str">
        <f>$AM$5&amp;BO6</f>
        <v>BGT VS ACTMobile Bill</v>
      </c>
      <c r="BP3" s="2" t="str">
        <f>$AN$5&amp;BP6</f>
        <v>Mobile Bill (REIMB)</v>
      </c>
      <c r="BQ3" s="2" t="str">
        <f>$AM$5&amp;BQ6</f>
        <v>BGT VS ACTMeal Voucher</v>
      </c>
      <c r="BR3" s="2" t="str">
        <f>$AN$5&amp;BR6</f>
        <v>Meal Voucher (REIMB)</v>
      </c>
      <c r="BS3" s="2" t="str">
        <f>$AN$5&amp;BS6</f>
        <v>OVERTIME</v>
      </c>
      <c r="BT3" s="2" t="str">
        <f>$AN$5&amp;BT6</f>
        <v>INCENTIVE AMT</v>
      </c>
      <c r="BU3" s="2" t="str">
        <f>$AN$5&amp;BU6</f>
        <v>FOODING ALL</v>
      </c>
      <c r="BW3" s="2" t="str">
        <f>$AN$5&amp;BW6</f>
        <v>ARRERS</v>
      </c>
      <c r="BX3" s="2" t="str">
        <f>$AN$5&amp;BX6</f>
        <v>EXTRA DAYS ALLOWANCE</v>
      </c>
      <c r="BY3" s="2" t="str">
        <f>$AM$5&amp;BY6</f>
        <v>BGT VS ACTCTC-MTH-AS-PER-OFFER-LETTER- SALARY RATE</v>
      </c>
      <c r="BZ3" s="2" t="str">
        <f>$AN$5&amp;BZ6</f>
        <v>MTH-AS-PER-ACTUAL- SALARY</v>
      </c>
      <c r="CA3" s="2" t="str">
        <f>$AN$5&amp;CA6</f>
        <v>CTC
SALARY</v>
      </c>
      <c r="CB3" s="2" t="str">
        <f>$AN$5&amp;BY5</f>
        <v>SALARY PAYABLE</v>
      </c>
      <c r="CC3" s="2" t="str">
        <f>$AN$5&amp;CC7</f>
        <v>ACT</v>
      </c>
      <c r="CD3" s="2"/>
      <c r="CE3" s="2"/>
      <c r="CF3" s="2"/>
      <c r="CG3" s="2"/>
      <c r="CH3" s="2" t="str">
        <f>$CH$5&amp;CH6</f>
        <v>PART-8 DEDUCTION ( PF/ESIC/TDS/LOAN/BONUS)TOTAL DEDUCTION</v>
      </c>
      <c r="CI3" s="2" t="str">
        <f>$CH$5&amp;CI6</f>
        <v>PART-8 DEDUCTION ( PF/ESIC/TDS/LOAN/BONUS)PF</v>
      </c>
      <c r="CJ3" s="2" t="str">
        <f>$CH$5&amp;CJ6</f>
        <v>PART-8 DEDUCTION ( PF/ESIC/TDS/LOAN/BONUS)ESI</v>
      </c>
      <c r="CK3" s="2" t="str">
        <f>$CH$5&amp;CK6</f>
        <v>PART-8 DEDUCTION ( PF/ESIC/TDS/LOAN/BONUS)TDS</v>
      </c>
      <c r="CL3" s="2" t="str">
        <f>$CH$5&amp;CL6</f>
        <v>PART-8 DEDUCTION ( PF/ESIC/TDS/LOAN/BONUS)P-TAX</v>
      </c>
      <c r="CM3" s="2" t="str">
        <f>$CH$5&amp;CM6</f>
        <v>PART-8 DEDUCTION ( PF/ESIC/TDS/LOAN/BONUS)CASH SHORT</v>
      </c>
      <c r="CN3" s="2" t="str">
        <f>$CH$5&amp;CN6</f>
        <v>PART-8 DEDUCTION ( PF/ESIC/TDS/LOAN/BONUS)DIESEL</v>
      </c>
      <c r="CO3" s="2" t="str">
        <f>$CH$5&amp;CO6</f>
        <v>PART-8 DEDUCTION ( PF/ESIC/TDS/LOAN/BONUS)PENALTY</v>
      </c>
      <c r="CP3" s="2" t="str">
        <f>$CH$5&amp;CP6</f>
        <v>PART-8 DEDUCTION ( PF/ESIC/TDS/LOAN/BONUS)LOAN</v>
      </c>
      <c r="CQ3" s="2" t="str">
        <f>$CH$5&amp;CQ6</f>
        <v>PART-8 DEDUCTION ( PF/ESIC/TDS/LOAN/BONUS)MONTHLY ADVANCE</v>
      </c>
      <c r="CR3" s="2" t="str">
        <f>$CH$5&amp;CR6</f>
        <v>PART-8 DEDUCTION ( PF/ESIC/TDS/LOAN/BONUS)LWF</v>
      </c>
      <c r="CT3" s="2" t="str">
        <f>$CH$5&amp;CT6</f>
        <v>PART-8 DEDUCTION ( PF/ESIC/TDS/LOAN/BONUS)PF (EMPLOYER)</v>
      </c>
      <c r="CU3" s="2" t="str">
        <f>$CH$5&amp;CU6</f>
        <v>PART-8 DEDUCTION ( PF/ESIC/TDS/LOAN/BONUS)ESIC (EMPLOYER)</v>
      </c>
      <c r="CX3" s="2" t="str">
        <f>$CX$5&amp;CX6</f>
        <v>PART 4 ( LEAVE REPORT)TOTAL LEAVE</v>
      </c>
      <c r="CY3" s="2" t="str">
        <f>$CX$5&amp;CY6</f>
        <v>PART 4 ( LEAVE REPORT)</v>
      </c>
      <c r="CZ3" s="2" t="str">
        <f>$CX$5&amp;CZ6</f>
        <v>PART 4 ( LEAVE REPORT)</v>
      </c>
      <c r="DA3" s="2" t="str">
        <f>$CX$5&amp;DA6</f>
        <v>PART 4 ( LEAVE REPORT)</v>
      </c>
      <c r="DB3" s="2" t="str">
        <f>$CX$5&amp;DB7</f>
        <v>PART 4 ( LEAVE REPORT)LEAVE OP_BAL</v>
      </c>
      <c r="DC3" s="2" t="str">
        <f>$CX$5&amp;DC7</f>
        <v>PART 4 ( LEAVE REPORT)LEAVE CLS_BAL</v>
      </c>
      <c r="DD3" s="2" t="str">
        <f>$CX$5&amp;DD7</f>
        <v xml:space="preserve">PART 4 ( LEAVE REPORT)LEAVE EARN </v>
      </c>
      <c r="DE3" s="2" t="str">
        <f>$CX$5&amp;DE7</f>
        <v>PART 4 ( LEAVE REPORT)LEAVE AVAILED</v>
      </c>
      <c r="DF3" s="2" t="str">
        <f>$CX$5&amp;DF7</f>
        <v>PART 4 ( LEAVE REPORT)LEAVE OP_BAL</v>
      </c>
      <c r="DG3" s="2" t="str">
        <f>$CX$5&amp;DG7</f>
        <v>PART 4 ( LEAVE REPORT)LEAVE CLS_BAL</v>
      </c>
      <c r="DH3" s="2" t="str">
        <f>$CX$5&amp;DH7</f>
        <v xml:space="preserve">PART 4 ( LEAVE REPORT)LEAVE EARN </v>
      </c>
      <c r="DI3" s="2" t="str">
        <f>$CX$5&amp;DI7</f>
        <v>PART 4 ( LEAVE REPORT)LEAVE AVAILED</v>
      </c>
      <c r="DJ3" s="2" t="str">
        <f>$CX$5&amp;DJ7</f>
        <v>PART 4 ( LEAVE REPORT)LEAVE OP_BAL</v>
      </c>
      <c r="DK3" s="2" t="str">
        <f>$CX$5&amp;DK7</f>
        <v>PART 4 ( LEAVE REPORT)LEAVE CLS_BAL</v>
      </c>
      <c r="DL3" s="2" t="str">
        <f>$CX$5&amp;DL7</f>
        <v xml:space="preserve">PART 4 ( LEAVE REPORT)LEAVE EARN </v>
      </c>
      <c r="DM3" s="2" t="str">
        <f>$CX$5&amp;DM7</f>
        <v>PART 4 ( LEAVE REPORT)LEAVE AVAILED</v>
      </c>
      <c r="DN3" s="2" t="str">
        <f>$CX$5&amp;DN7</f>
        <v>PART 4 ( LEAVE REPORT)LEAVE OP_BAL</v>
      </c>
      <c r="DO3" s="2" t="str">
        <f>$CX$5&amp;DO7</f>
        <v>PART 4 ( LEAVE REPORT)LEAVE CLS_BAL</v>
      </c>
      <c r="DP3" s="2" t="str">
        <f>$CX$5&amp;DP7</f>
        <v xml:space="preserve">PART 4 ( LEAVE REPORT)LEAVE EARN </v>
      </c>
      <c r="DQ3" s="2" t="str">
        <f>$CX$5&amp;DQ7</f>
        <v>PART 4 ( LEAVE REPORT)LEAVE AVAILED</v>
      </c>
      <c r="DS3" s="2" t="str">
        <f>$DS$5&amp;DS6</f>
        <v>PART-7 : PAYABLE DAYS WORKINGTTL PRESENT
DAYS</v>
      </c>
      <c r="DT3" s="2" t="str">
        <f>$DS$5&amp;DT6</f>
        <v>PART-7 : PAYABLE DAYS WORKINGMACHINE PRESENT
DAYS</v>
      </c>
      <c r="DU3" s="2" t="str">
        <f>$DS$5&amp;DU6</f>
        <v>PART-7 : PAYABLE DAYS WORKINGMANUAL PRESENT
DAYS</v>
      </c>
      <c r="DX3" s="2" t="str">
        <f>$DS$5&amp;DX6</f>
        <v>PART-7 : PAYABLE DAYS WORKINGPAYABLE DAYS</v>
      </c>
      <c r="DY3" s="2" t="str">
        <f>$DS$5&amp;DY6</f>
        <v>PART-7 : PAYABLE DAYS WORKINGTTL PAYABLE DAYS</v>
      </c>
      <c r="DZ3" s="2" t="str">
        <f>$DS$5&amp;DZ6</f>
        <v>PART-7 : PAYABLE DAYS WORKINGABSENT</v>
      </c>
      <c r="EA3" s="2" t="str">
        <f>$DS$5&amp;EA6</f>
        <v>PART-7 : PAYABLE DAYS WORKINGEXTRA DAY CNT</v>
      </c>
      <c r="EB3" s="2" t="str">
        <f>$DS$5&amp;EB6</f>
        <v>PART-7 : PAYABLE DAYS WORKINGBGT
DAYS
WKL-OF</v>
      </c>
      <c r="EC3" s="3" t="str">
        <f>$DS$5&amp;EC6</f>
        <v>PART-7 : PAYABLE DAYS WORKINGACT DAYS
WK-OFF (WO LEAVE)</v>
      </c>
      <c r="ED3" s="2" t="str">
        <f>$DS$5&amp;ED6</f>
        <v>PART-7 : PAYABLE DAYS WORKINGHLD</v>
      </c>
      <c r="EE3" s="2" t="str">
        <f>$DS$5&amp;EE6</f>
        <v>PART-7 : PAYABLE DAYS WORKINGPOW</v>
      </c>
      <c r="EF3" s="2" t="str">
        <f>$DS$5&amp;EF6</f>
        <v>PART-7 : PAYABLE DAYS WORKINGTOTAL LEAVE AVAILED</v>
      </c>
      <c r="EG3" s="2" t="str">
        <f>$DS$5&amp;EG7</f>
        <v>PART-7 : PAYABLE DAYS WORKINGEL</v>
      </c>
      <c r="EH3" s="2" t="str">
        <f>$DS$5&amp;EH7</f>
        <v>PART-7 : PAYABLE DAYS WORKINGCL</v>
      </c>
      <c r="EI3" s="2" t="str">
        <f>$DS$5&amp;EI7</f>
        <v>PART-7 : PAYABLE DAYS WORKINGCO</v>
      </c>
      <c r="EJ3" s="2" t="str">
        <f>$DS$5&amp;EJ7</f>
        <v>PART-7 : PAYABLE DAYS WORKINGSL</v>
      </c>
      <c r="EK3" s="2"/>
      <c r="EL3" s="2" t="str">
        <f>EL6</f>
        <v>SALARY PAID-1</v>
      </c>
      <c r="EM3" s="2"/>
      <c r="EN3" s="2"/>
      <c r="EO3" s="2" t="str">
        <f>EO6</f>
        <v>SALARY PAID-2</v>
      </c>
      <c r="EP3" s="2" t="str">
        <f>EP6</f>
        <v>SALARY PAID-TTL</v>
      </c>
      <c r="EQ3" s="2" t="str">
        <f>EQ6</f>
        <v>DIFF</v>
      </c>
    </row>
    <row r="4" spans="1:147" hidden="1" outlineLevel="1" x14ac:dyDescent="0.2">
      <c r="A4" s="1" t="s">
        <v>18304</v>
      </c>
      <c r="B4" s="1" t="s">
        <v>18340</v>
      </c>
      <c r="C4" s="137" t="s">
        <v>18292</v>
      </c>
      <c r="D4" s="137"/>
      <c r="E4" s="137" t="s">
        <v>18290</v>
      </c>
      <c r="F4" s="137" t="s">
        <v>18339</v>
      </c>
      <c r="G4" s="137" t="s">
        <v>18288</v>
      </c>
      <c r="H4" s="137" t="s">
        <v>18287</v>
      </c>
      <c r="I4" s="137" t="s">
        <v>18286</v>
      </c>
      <c r="J4" s="137" t="s">
        <v>18285</v>
      </c>
      <c r="K4" s="137" t="s">
        <v>18284</v>
      </c>
      <c r="L4" s="137" t="s">
        <v>18338</v>
      </c>
      <c r="M4" s="137" t="s">
        <v>18282</v>
      </c>
      <c r="N4" s="137" t="s">
        <v>18282</v>
      </c>
      <c r="O4" s="137" t="s">
        <v>18280</v>
      </c>
      <c r="P4" s="137" t="s">
        <v>18279</v>
      </c>
      <c r="Q4" s="137" t="s">
        <v>18278</v>
      </c>
      <c r="R4" s="137" t="s">
        <v>18277</v>
      </c>
      <c r="S4" s="137" t="s">
        <v>18276</v>
      </c>
      <c r="T4" s="137" t="s">
        <v>18337</v>
      </c>
      <c r="U4" s="137" t="s">
        <v>18336</v>
      </c>
      <c r="V4" s="137" t="s">
        <v>18335</v>
      </c>
      <c r="W4" s="137" t="s">
        <v>18334</v>
      </c>
      <c r="X4" s="137" t="s">
        <v>18333</v>
      </c>
      <c r="Y4" s="137" t="s">
        <v>18270</v>
      </c>
      <c r="Z4" s="137" t="s">
        <v>18269</v>
      </c>
      <c r="AA4" s="137" t="s">
        <v>18268</v>
      </c>
      <c r="AB4" s="137" t="s">
        <v>18332</v>
      </c>
      <c r="AC4" s="137" t="s">
        <v>18331</v>
      </c>
      <c r="AD4" s="136" t="s">
        <v>18304</v>
      </c>
      <c r="AE4" s="136" t="s">
        <v>18304</v>
      </c>
      <c r="AF4" s="137" t="s">
        <v>18263</v>
      </c>
      <c r="AG4" s="136" t="s">
        <v>18304</v>
      </c>
      <c r="AH4" s="136"/>
      <c r="AI4" s="136"/>
      <c r="AJ4" s="136" t="s">
        <v>18304</v>
      </c>
      <c r="AK4" s="1" t="s">
        <v>18330</v>
      </c>
      <c r="AL4" s="136" t="s">
        <v>18304</v>
      </c>
      <c r="AM4" s="137" t="s">
        <v>18257</v>
      </c>
      <c r="AN4" s="137" t="s">
        <v>18329</v>
      </c>
      <c r="AO4" s="137" t="s">
        <v>18255</v>
      </c>
      <c r="AP4" s="137" t="s">
        <v>18254</v>
      </c>
      <c r="AQ4" s="137" t="s">
        <v>18253</v>
      </c>
      <c r="AR4" s="137" t="s">
        <v>18252</v>
      </c>
      <c r="AS4" s="137" t="s">
        <v>18251</v>
      </c>
      <c r="AT4" s="137" t="s">
        <v>18250</v>
      </c>
      <c r="AU4" s="137" t="s">
        <v>18328</v>
      </c>
      <c r="AV4" s="137" t="s">
        <v>18327</v>
      </c>
      <c r="AW4" s="137" t="s">
        <v>18247</v>
      </c>
      <c r="AX4" s="137" t="s">
        <v>18326</v>
      </c>
      <c r="AY4" s="136" t="s">
        <v>18304</v>
      </c>
      <c r="AZ4" s="136" t="s">
        <v>18304</v>
      </c>
      <c r="BA4" s="136" t="s">
        <v>18304</v>
      </c>
      <c r="BB4" s="136" t="s">
        <v>18304</v>
      </c>
      <c r="BC4" s="136" t="s">
        <v>18304</v>
      </c>
      <c r="BD4" s="136" t="s">
        <v>18304</v>
      </c>
      <c r="BE4" s="136" t="s">
        <v>18304</v>
      </c>
      <c r="BF4" s="136" t="s">
        <v>18304</v>
      </c>
      <c r="BG4" s="137" t="s">
        <v>18238</v>
      </c>
      <c r="BH4" s="137" t="s">
        <v>18237</v>
      </c>
      <c r="BI4" s="137" t="s">
        <v>18236</v>
      </c>
      <c r="BJ4" s="137" t="s">
        <v>18235</v>
      </c>
      <c r="BK4" s="137" t="s">
        <v>18234</v>
      </c>
      <c r="BL4" s="137" t="s">
        <v>18233</v>
      </c>
      <c r="BM4" s="137" t="s">
        <v>18232</v>
      </c>
      <c r="BN4" s="137" t="s">
        <v>18231</v>
      </c>
      <c r="BO4" s="137" t="s">
        <v>18223</v>
      </c>
      <c r="BP4" s="137" t="s">
        <v>18229</v>
      </c>
      <c r="BQ4" s="137" t="s">
        <v>18228</v>
      </c>
      <c r="BR4" s="137" t="s">
        <v>18227</v>
      </c>
      <c r="BS4" s="137" t="s">
        <v>18325</v>
      </c>
      <c r="BT4" s="137" t="s">
        <v>18225</v>
      </c>
      <c r="BU4" s="137" t="s">
        <v>18224</v>
      </c>
      <c r="BV4" s="137"/>
      <c r="BW4" s="137" t="s">
        <v>18222</v>
      </c>
      <c r="BX4" s="137" t="s">
        <v>18221</v>
      </c>
      <c r="BY4" s="136" t="s">
        <v>18304</v>
      </c>
      <c r="BZ4" s="136" t="s">
        <v>18304</v>
      </c>
      <c r="CA4" s="136" t="s">
        <v>18304</v>
      </c>
      <c r="CB4" s="136" t="s">
        <v>18304</v>
      </c>
      <c r="CC4" s="136" t="s">
        <v>18304</v>
      </c>
      <c r="CD4" s="136" t="s">
        <v>18304</v>
      </c>
      <c r="CE4" s="136"/>
      <c r="CF4" s="136" t="s">
        <v>18304</v>
      </c>
      <c r="CG4" s="136"/>
      <c r="CH4" s="136" t="s">
        <v>18304</v>
      </c>
      <c r="CI4" s="137" t="s">
        <v>18212</v>
      </c>
      <c r="CJ4" s="137" t="s">
        <v>18211</v>
      </c>
      <c r="CK4" s="137" t="s">
        <v>18210</v>
      </c>
      <c r="CL4" s="137" t="s">
        <v>18209</v>
      </c>
      <c r="CM4" s="137" t="s">
        <v>18208</v>
      </c>
      <c r="CN4" s="137" t="s">
        <v>18207</v>
      </c>
      <c r="CO4" s="137" t="s">
        <v>18206</v>
      </c>
      <c r="CP4" s="137" t="s">
        <v>18205</v>
      </c>
      <c r="CQ4" s="137" t="s">
        <v>18204</v>
      </c>
      <c r="CR4" s="137" t="s">
        <v>18203</v>
      </c>
      <c r="CS4" s="138"/>
      <c r="CT4" s="137" t="s">
        <v>18202</v>
      </c>
      <c r="CU4" s="137" t="s">
        <v>18201</v>
      </c>
      <c r="CV4" s="137"/>
      <c r="CW4" s="136" t="s">
        <v>18304</v>
      </c>
      <c r="CX4" s="136" t="s">
        <v>18304</v>
      </c>
      <c r="CY4" s="136" t="s">
        <v>18304</v>
      </c>
      <c r="CZ4" s="136" t="s">
        <v>18304</v>
      </c>
      <c r="DA4" s="136" t="s">
        <v>18304</v>
      </c>
      <c r="DB4" s="137" t="s">
        <v>18324</v>
      </c>
      <c r="DC4" s="137" t="s">
        <v>18323</v>
      </c>
      <c r="DD4" s="137" t="s">
        <v>18322</v>
      </c>
      <c r="DE4" s="137" t="s">
        <v>18321</v>
      </c>
      <c r="DF4" s="137" t="s">
        <v>18320</v>
      </c>
      <c r="DG4" s="136" t="s">
        <v>18304</v>
      </c>
      <c r="DH4" s="137" t="s">
        <v>18319</v>
      </c>
      <c r="DI4" s="137" t="s">
        <v>18318</v>
      </c>
      <c r="DJ4" s="137" t="s">
        <v>18317</v>
      </c>
      <c r="DK4" s="137" t="s">
        <v>18316</v>
      </c>
      <c r="DL4" s="137" t="s">
        <v>18315</v>
      </c>
      <c r="DM4" s="137" t="s">
        <v>18314</v>
      </c>
      <c r="DN4" s="137" t="s">
        <v>18313</v>
      </c>
      <c r="DO4" s="137" t="s">
        <v>18312</v>
      </c>
      <c r="DP4" s="137" t="s">
        <v>18311</v>
      </c>
      <c r="DQ4" s="137" t="s">
        <v>18310</v>
      </c>
      <c r="DR4" s="136" t="s">
        <v>18304</v>
      </c>
      <c r="DS4" s="136" t="s">
        <v>18304</v>
      </c>
      <c r="DT4" s="137" t="s">
        <v>18309</v>
      </c>
      <c r="DU4" s="137" t="s">
        <v>18308</v>
      </c>
      <c r="DV4" s="137" t="s">
        <v>18307</v>
      </c>
      <c r="DW4" s="137"/>
      <c r="DX4" s="137" t="s">
        <v>18193</v>
      </c>
      <c r="DY4" s="136"/>
      <c r="DZ4" s="137" t="s">
        <v>18191</v>
      </c>
      <c r="EA4" s="137" t="s">
        <v>18190</v>
      </c>
      <c r="EB4" s="137" t="s">
        <v>18306</v>
      </c>
      <c r="EC4" s="138" t="s">
        <v>18305</v>
      </c>
      <c r="ED4" s="137" t="s">
        <v>18187</v>
      </c>
      <c r="EE4" s="137" t="s">
        <v>18186</v>
      </c>
      <c r="EF4" s="137" t="s">
        <v>18185</v>
      </c>
      <c r="EG4" s="136" t="s">
        <v>18304</v>
      </c>
      <c r="EH4" s="136" t="s">
        <v>18304</v>
      </c>
      <c r="EI4" s="136" t="s">
        <v>18304</v>
      </c>
      <c r="EJ4" s="136" t="s">
        <v>18304</v>
      </c>
      <c r="EK4" s="136" t="s">
        <v>18304</v>
      </c>
      <c r="EP4" s="136" t="s">
        <v>18304</v>
      </c>
      <c r="EQ4" s="136" t="s">
        <v>18304</v>
      </c>
    </row>
    <row r="5" spans="1:147" ht="15" customHeight="1" collapsed="1" x14ac:dyDescent="0.2">
      <c r="A5" s="133" t="s">
        <v>18303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5"/>
      <c r="AL5" s="134"/>
      <c r="AM5" s="122" t="s">
        <v>18302</v>
      </c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33" t="s">
        <v>18301</v>
      </c>
      <c r="AZ5" s="133"/>
      <c r="BA5" s="133"/>
      <c r="BB5" s="133"/>
      <c r="BC5" s="133"/>
      <c r="BD5" s="133"/>
      <c r="BE5" s="133"/>
      <c r="BF5" s="133"/>
      <c r="BG5" s="132" t="s">
        <v>18300</v>
      </c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1"/>
      <c r="BS5" s="130" t="s">
        <v>18299</v>
      </c>
      <c r="BT5" s="129"/>
      <c r="BU5" s="129"/>
      <c r="BV5" s="129"/>
      <c r="BW5" s="129"/>
      <c r="BX5" s="128"/>
      <c r="BY5" s="122" t="s">
        <v>18298</v>
      </c>
      <c r="BZ5" s="121"/>
      <c r="CA5" s="121"/>
      <c r="CB5" s="121"/>
      <c r="CC5" s="121"/>
      <c r="CD5" s="121"/>
      <c r="CE5" s="121"/>
      <c r="CF5" s="127"/>
      <c r="CG5" s="126"/>
      <c r="CH5" s="125" t="s">
        <v>18297</v>
      </c>
      <c r="CI5" s="124"/>
      <c r="CJ5" s="124"/>
      <c r="CK5" s="124"/>
      <c r="CL5" s="124"/>
      <c r="CM5" s="124"/>
      <c r="CN5" s="124"/>
      <c r="CO5" s="124"/>
      <c r="CP5" s="124"/>
      <c r="CQ5" s="124"/>
      <c r="CR5" s="124"/>
      <c r="CS5" s="124"/>
      <c r="CT5" s="124"/>
      <c r="CU5" s="124"/>
      <c r="CV5" s="124"/>
      <c r="CW5" s="123"/>
      <c r="CX5" s="122" t="s">
        <v>18296</v>
      </c>
      <c r="CY5" s="121"/>
      <c r="CZ5" s="121"/>
      <c r="DA5" s="121"/>
      <c r="DB5" s="121"/>
      <c r="DC5" s="121"/>
      <c r="DD5" s="121"/>
      <c r="DE5" s="121"/>
      <c r="DF5" s="121"/>
      <c r="DG5" s="121"/>
      <c r="DH5" s="121"/>
      <c r="DI5" s="121"/>
      <c r="DJ5" s="121"/>
      <c r="DK5" s="121"/>
      <c r="DL5" s="121"/>
      <c r="DM5" s="121"/>
      <c r="DN5" s="121"/>
      <c r="DO5" s="121"/>
      <c r="DP5" s="121"/>
      <c r="DQ5" s="121"/>
      <c r="DR5" s="120"/>
      <c r="DS5" s="118" t="s">
        <v>18295</v>
      </c>
      <c r="DT5" s="118"/>
      <c r="DU5" s="118"/>
      <c r="DV5" s="118"/>
      <c r="DW5" s="118"/>
      <c r="DX5" s="118"/>
      <c r="DY5" s="118"/>
      <c r="DZ5" s="118"/>
      <c r="EA5" s="118"/>
      <c r="EB5" s="118"/>
      <c r="EC5" s="119"/>
      <c r="ED5" s="118"/>
      <c r="EE5" s="118"/>
      <c r="EF5" s="118"/>
      <c r="EG5" s="118"/>
      <c r="EH5" s="118"/>
      <c r="EI5" s="118"/>
      <c r="EJ5" s="118"/>
      <c r="EL5" s="117"/>
      <c r="EM5" s="117"/>
      <c r="EN5" s="117"/>
      <c r="EO5" s="117"/>
      <c r="EQ5" s="2"/>
    </row>
    <row r="6" spans="1:147" s="59" customFormat="1" ht="25.5" customHeight="1" x14ac:dyDescent="0.25">
      <c r="A6" s="94" t="s">
        <v>18294</v>
      </c>
      <c r="B6" s="94" t="s">
        <v>18293</v>
      </c>
      <c r="C6" s="94" t="s">
        <v>18292</v>
      </c>
      <c r="D6" s="94" t="s">
        <v>18291</v>
      </c>
      <c r="E6" s="94" t="s">
        <v>18290</v>
      </c>
      <c r="F6" s="94" t="s">
        <v>18289</v>
      </c>
      <c r="G6" s="115" t="s">
        <v>18288</v>
      </c>
      <c r="H6" s="115" t="s">
        <v>18287</v>
      </c>
      <c r="I6" s="116" t="s">
        <v>18286</v>
      </c>
      <c r="J6" s="116" t="s">
        <v>18285</v>
      </c>
      <c r="K6" s="115" t="s">
        <v>18284</v>
      </c>
      <c r="L6" s="114" t="s">
        <v>18283</v>
      </c>
      <c r="M6" s="113" t="s">
        <v>18282</v>
      </c>
      <c r="N6" s="113" t="s">
        <v>18281</v>
      </c>
      <c r="O6" s="89" t="s">
        <v>18280</v>
      </c>
      <c r="P6" s="89" t="s">
        <v>18279</v>
      </c>
      <c r="Q6" s="76" t="s">
        <v>18278</v>
      </c>
      <c r="R6" s="76" t="s">
        <v>18277</v>
      </c>
      <c r="S6" s="76" t="s">
        <v>18276</v>
      </c>
      <c r="T6" s="112" t="s">
        <v>18275</v>
      </c>
      <c r="U6" s="112" t="s">
        <v>18274</v>
      </c>
      <c r="V6" s="112" t="s">
        <v>18273</v>
      </c>
      <c r="W6" s="112" t="s">
        <v>18272</v>
      </c>
      <c r="X6" s="112" t="s">
        <v>18271</v>
      </c>
      <c r="Y6" s="76" t="s">
        <v>18270</v>
      </c>
      <c r="Z6" s="76" t="s">
        <v>18269</v>
      </c>
      <c r="AA6" s="112" t="s">
        <v>18268</v>
      </c>
      <c r="AB6" s="76" t="s">
        <v>18267</v>
      </c>
      <c r="AC6" s="76" t="s">
        <v>18266</v>
      </c>
      <c r="AD6" s="76" t="s">
        <v>18265</v>
      </c>
      <c r="AE6" s="76" t="s">
        <v>18264</v>
      </c>
      <c r="AF6" s="76" t="s">
        <v>18263</v>
      </c>
      <c r="AG6" s="65" t="s">
        <v>18262</v>
      </c>
      <c r="AH6" s="65" t="s">
        <v>18261</v>
      </c>
      <c r="AI6" s="65" t="s">
        <v>18260</v>
      </c>
      <c r="AJ6" s="111" t="s">
        <v>18259</v>
      </c>
      <c r="AK6" s="110" t="s">
        <v>18258</v>
      </c>
      <c r="AL6" s="103"/>
      <c r="AM6" s="108" t="s">
        <v>18257</v>
      </c>
      <c r="AN6" s="90" t="s">
        <v>18256</v>
      </c>
      <c r="AO6" s="108" t="s">
        <v>18255</v>
      </c>
      <c r="AP6" s="90" t="s">
        <v>18254</v>
      </c>
      <c r="AQ6" s="108" t="s">
        <v>18253</v>
      </c>
      <c r="AR6" s="90" t="s">
        <v>18252</v>
      </c>
      <c r="AS6" s="108" t="s">
        <v>18251</v>
      </c>
      <c r="AT6" s="90" t="s">
        <v>18250</v>
      </c>
      <c r="AU6" s="108" t="s">
        <v>18249</v>
      </c>
      <c r="AV6" s="90" t="s">
        <v>18248</v>
      </c>
      <c r="AW6" s="108" t="s">
        <v>18247</v>
      </c>
      <c r="AX6" s="90" t="s">
        <v>18183</v>
      </c>
      <c r="AY6" s="108" t="s">
        <v>18246</v>
      </c>
      <c r="AZ6" s="62" t="s">
        <v>18245</v>
      </c>
      <c r="BA6" s="108" t="s">
        <v>18244</v>
      </c>
      <c r="BB6" s="62" t="s">
        <v>18243</v>
      </c>
      <c r="BC6" s="109" t="s">
        <v>18242</v>
      </c>
      <c r="BD6" s="65" t="s">
        <v>18241</v>
      </c>
      <c r="BE6" s="108" t="s">
        <v>18240</v>
      </c>
      <c r="BF6" s="62" t="s">
        <v>18239</v>
      </c>
      <c r="BG6" s="107" t="s">
        <v>18238</v>
      </c>
      <c r="BH6" s="106" t="s">
        <v>18237</v>
      </c>
      <c r="BI6" s="107" t="s">
        <v>18236</v>
      </c>
      <c r="BJ6" s="106" t="s">
        <v>18235</v>
      </c>
      <c r="BK6" s="107" t="s">
        <v>18234</v>
      </c>
      <c r="BL6" s="106" t="s">
        <v>18233</v>
      </c>
      <c r="BM6" s="107" t="s">
        <v>18232</v>
      </c>
      <c r="BN6" s="106" t="s">
        <v>18231</v>
      </c>
      <c r="BO6" s="107" t="s">
        <v>18230</v>
      </c>
      <c r="BP6" s="106" t="s">
        <v>18229</v>
      </c>
      <c r="BQ6" s="107" t="s">
        <v>18228</v>
      </c>
      <c r="BR6" s="106" t="s">
        <v>18227</v>
      </c>
      <c r="BS6" s="105" t="s">
        <v>18226</v>
      </c>
      <c r="BT6" s="105" t="s">
        <v>18225</v>
      </c>
      <c r="BU6" s="105" t="s">
        <v>18224</v>
      </c>
      <c r="BV6" s="105" t="s">
        <v>18223</v>
      </c>
      <c r="BW6" s="105" t="s">
        <v>18222</v>
      </c>
      <c r="BX6" s="105" t="s">
        <v>18221</v>
      </c>
      <c r="BY6" s="104" t="s">
        <v>18220</v>
      </c>
      <c r="BZ6" s="104" t="s">
        <v>18219</v>
      </c>
      <c r="CA6" s="76" t="s">
        <v>18218</v>
      </c>
      <c r="CB6" s="104" t="s">
        <v>18217</v>
      </c>
      <c r="CC6" s="104"/>
      <c r="CD6" s="76" t="s">
        <v>18216</v>
      </c>
      <c r="CE6" s="62" t="s">
        <v>18215</v>
      </c>
      <c r="CF6" s="62" t="s">
        <v>18214</v>
      </c>
      <c r="CG6" s="103"/>
      <c r="CH6" s="76" t="s">
        <v>18213</v>
      </c>
      <c r="CI6" s="76" t="s">
        <v>18212</v>
      </c>
      <c r="CJ6" s="76" t="s">
        <v>18211</v>
      </c>
      <c r="CK6" s="76" t="s">
        <v>18210</v>
      </c>
      <c r="CL6" s="76" t="s">
        <v>18209</v>
      </c>
      <c r="CM6" s="76" t="s">
        <v>18208</v>
      </c>
      <c r="CN6" s="76" t="s">
        <v>18207</v>
      </c>
      <c r="CO6" s="76" t="s">
        <v>18206</v>
      </c>
      <c r="CP6" s="76" t="s">
        <v>18205</v>
      </c>
      <c r="CQ6" s="76" t="s">
        <v>18204</v>
      </c>
      <c r="CR6" s="76" t="s">
        <v>18203</v>
      </c>
      <c r="CS6" s="103"/>
      <c r="CT6" s="76" t="s">
        <v>18202</v>
      </c>
      <c r="CU6" s="76" t="s">
        <v>18201</v>
      </c>
      <c r="CV6" s="76" t="s">
        <v>18200</v>
      </c>
      <c r="CW6" s="63"/>
      <c r="CX6" s="102" t="s">
        <v>18199</v>
      </c>
      <c r="CY6" s="101"/>
      <c r="CZ6" s="101"/>
      <c r="DA6" s="100"/>
      <c r="DB6" s="99" t="s">
        <v>18168</v>
      </c>
      <c r="DC6" s="98"/>
      <c r="DD6" s="98"/>
      <c r="DE6" s="97"/>
      <c r="DF6" s="99" t="s">
        <v>18167</v>
      </c>
      <c r="DG6" s="98"/>
      <c r="DH6" s="98"/>
      <c r="DI6" s="97"/>
      <c r="DJ6" s="99" t="s">
        <v>18166</v>
      </c>
      <c r="DK6" s="98"/>
      <c r="DL6" s="98"/>
      <c r="DM6" s="97"/>
      <c r="DN6" s="99" t="s">
        <v>18165</v>
      </c>
      <c r="DO6" s="98"/>
      <c r="DP6" s="98"/>
      <c r="DQ6" s="97"/>
      <c r="DR6" s="96"/>
      <c r="DS6" s="65" t="s">
        <v>18198</v>
      </c>
      <c r="DT6" s="65" t="s">
        <v>18197</v>
      </c>
      <c r="DU6" s="65" t="s">
        <v>18196</v>
      </c>
      <c r="DV6" s="65" t="s">
        <v>18195</v>
      </c>
      <c r="DW6" s="65" t="s">
        <v>18194</v>
      </c>
      <c r="DX6" s="65" t="s">
        <v>18193</v>
      </c>
      <c r="DY6" s="65" t="s">
        <v>18192</v>
      </c>
      <c r="DZ6" s="65" t="s">
        <v>18191</v>
      </c>
      <c r="EA6" s="65" t="s">
        <v>18190</v>
      </c>
      <c r="EB6" s="94" t="s">
        <v>18189</v>
      </c>
      <c r="EC6" s="95" t="s">
        <v>18188</v>
      </c>
      <c r="ED6" s="94" t="s">
        <v>18187</v>
      </c>
      <c r="EE6" s="65" t="s">
        <v>18186</v>
      </c>
      <c r="EF6" s="65" t="s">
        <v>18185</v>
      </c>
      <c r="EG6" s="93" t="s">
        <v>18169</v>
      </c>
      <c r="EH6" s="92"/>
      <c r="EI6" s="92"/>
      <c r="EJ6" s="91"/>
      <c r="EK6" s="63"/>
      <c r="EL6" s="65" t="s">
        <v>18184</v>
      </c>
      <c r="EM6" s="90" t="s">
        <v>18183</v>
      </c>
      <c r="EN6" s="90" t="s">
        <v>18182</v>
      </c>
      <c r="EO6" s="65" t="s">
        <v>18181</v>
      </c>
      <c r="EP6" s="65" t="s">
        <v>18180</v>
      </c>
      <c r="EQ6" s="89" t="s">
        <v>18179</v>
      </c>
    </row>
    <row r="7" spans="1:147" s="59" customFormat="1" ht="31.5" customHeight="1" x14ac:dyDescent="0.25">
      <c r="A7" s="65"/>
      <c r="B7" s="65"/>
      <c r="C7" s="65"/>
      <c r="D7" s="65"/>
      <c r="E7" s="65"/>
      <c r="F7" s="65"/>
      <c r="G7" s="87"/>
      <c r="H7" s="87"/>
      <c r="I7" s="88"/>
      <c r="J7" s="88"/>
      <c r="K7" s="87"/>
      <c r="L7" s="86"/>
      <c r="M7" s="85"/>
      <c r="N7" s="85"/>
      <c r="O7" s="84"/>
      <c r="P7" s="60"/>
      <c r="Q7" s="71"/>
      <c r="R7" s="71"/>
      <c r="S7" s="71"/>
      <c r="T7" s="83"/>
      <c r="U7" s="83"/>
      <c r="V7" s="83"/>
      <c r="W7" s="83"/>
      <c r="X7" s="83"/>
      <c r="Y7" s="71"/>
      <c r="Z7" s="71"/>
      <c r="AA7" s="83"/>
      <c r="AB7" s="71"/>
      <c r="AC7" s="71"/>
      <c r="AD7" s="71"/>
      <c r="AE7" s="71"/>
      <c r="AF7" s="71"/>
      <c r="AG7" s="61"/>
      <c r="AH7" s="61"/>
      <c r="AI7" s="61"/>
      <c r="AJ7" s="82"/>
      <c r="AK7" s="81"/>
      <c r="AL7" s="80"/>
      <c r="AM7" s="78"/>
      <c r="AN7" s="62"/>
      <c r="AO7" s="78"/>
      <c r="AP7" s="62"/>
      <c r="AQ7" s="78"/>
      <c r="AR7" s="62"/>
      <c r="AS7" s="78"/>
      <c r="AT7" s="62"/>
      <c r="AU7" s="78"/>
      <c r="AV7" s="62"/>
      <c r="AW7" s="78"/>
      <c r="AX7" s="62"/>
      <c r="AY7" s="78"/>
      <c r="AZ7" s="74"/>
      <c r="BA7" s="78"/>
      <c r="BB7" s="74"/>
      <c r="BC7" s="79"/>
      <c r="BD7" s="61"/>
      <c r="BE7" s="78"/>
      <c r="BF7" s="74"/>
      <c r="BG7" s="76"/>
      <c r="BH7" s="62"/>
      <c r="BI7" s="76"/>
      <c r="BJ7" s="62"/>
      <c r="BK7" s="76"/>
      <c r="BL7" s="62"/>
      <c r="BM7" s="76"/>
      <c r="BN7" s="62"/>
      <c r="BO7" s="76"/>
      <c r="BP7" s="62"/>
      <c r="BQ7" s="76"/>
      <c r="BR7" s="62"/>
      <c r="BS7" s="77"/>
      <c r="BT7" s="77"/>
      <c r="BU7" s="77"/>
      <c r="BV7" s="77"/>
      <c r="BW7" s="77"/>
      <c r="BX7" s="77"/>
      <c r="BY7" s="76"/>
      <c r="BZ7" s="76"/>
      <c r="CA7" s="73"/>
      <c r="CB7" s="75" t="s">
        <v>18178</v>
      </c>
      <c r="CC7" s="75" t="s">
        <v>18177</v>
      </c>
      <c r="CD7" s="73"/>
      <c r="CE7" s="74"/>
      <c r="CF7" s="74"/>
      <c r="CG7" s="72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3"/>
      <c r="CS7" s="72"/>
      <c r="CT7" s="71"/>
      <c r="CU7" s="71"/>
      <c r="CV7" s="71"/>
      <c r="CW7" s="63"/>
      <c r="CX7" s="70" t="s">
        <v>18176</v>
      </c>
      <c r="CY7" s="70" t="s">
        <v>18175</v>
      </c>
      <c r="CZ7" s="70" t="s">
        <v>18174</v>
      </c>
      <c r="DA7" s="70" t="s">
        <v>18173</v>
      </c>
      <c r="DB7" s="69" t="s">
        <v>18172</v>
      </c>
      <c r="DC7" s="69" t="s">
        <v>18171</v>
      </c>
      <c r="DD7" s="69" t="s">
        <v>18170</v>
      </c>
      <c r="DE7" s="69" t="s">
        <v>18169</v>
      </c>
      <c r="DF7" s="69" t="s">
        <v>18172</v>
      </c>
      <c r="DG7" s="69" t="s">
        <v>18171</v>
      </c>
      <c r="DH7" s="69" t="s">
        <v>18170</v>
      </c>
      <c r="DI7" s="69" t="s">
        <v>18169</v>
      </c>
      <c r="DJ7" s="69" t="s">
        <v>18172</v>
      </c>
      <c r="DK7" s="69" t="s">
        <v>18171</v>
      </c>
      <c r="DL7" s="69" t="s">
        <v>18170</v>
      </c>
      <c r="DM7" s="69" t="s">
        <v>18169</v>
      </c>
      <c r="DN7" s="69" t="s">
        <v>18172</v>
      </c>
      <c r="DO7" s="69" t="s">
        <v>18171</v>
      </c>
      <c r="DP7" s="69" t="s">
        <v>18170</v>
      </c>
      <c r="DQ7" s="69" t="s">
        <v>18169</v>
      </c>
      <c r="DR7" s="68"/>
      <c r="DS7" s="61"/>
      <c r="DT7" s="61"/>
      <c r="DU7" s="61"/>
      <c r="DV7" s="67"/>
      <c r="DW7" s="61"/>
      <c r="DX7" s="61"/>
      <c r="DY7" s="61"/>
      <c r="DZ7" s="61"/>
      <c r="EA7" s="61"/>
      <c r="EB7" s="65"/>
      <c r="EC7" s="66"/>
      <c r="ED7" s="65"/>
      <c r="EE7" s="61"/>
      <c r="EF7" s="61"/>
      <c r="EG7" s="64" t="s">
        <v>18168</v>
      </c>
      <c r="EH7" s="64" t="s">
        <v>18167</v>
      </c>
      <c r="EI7" s="64" t="s">
        <v>18166</v>
      </c>
      <c r="EJ7" s="64" t="s">
        <v>18165</v>
      </c>
      <c r="EK7" s="63"/>
      <c r="EL7" s="61"/>
      <c r="EM7" s="62"/>
      <c r="EN7" s="62"/>
      <c r="EO7" s="61"/>
      <c r="EP7" s="61"/>
      <c r="EQ7" s="60"/>
    </row>
    <row r="8" spans="1:147" x14ac:dyDescent="0.2">
      <c r="A8" s="33"/>
      <c r="B8" s="33"/>
      <c r="C8" s="42"/>
      <c r="D8" s="42"/>
      <c r="E8" s="42"/>
      <c r="F8" s="48"/>
      <c r="G8" s="47" t="s">
        <v>18164</v>
      </c>
      <c r="H8" s="46"/>
      <c r="I8" s="46"/>
      <c r="J8" s="44"/>
      <c r="K8" s="45"/>
      <c r="L8" s="54"/>
      <c r="M8" s="44"/>
      <c r="N8" s="33"/>
      <c r="O8" s="33" t="s">
        <v>18164</v>
      </c>
      <c r="P8" s="33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53"/>
      <c r="AH8" s="53"/>
      <c r="AI8" s="53"/>
      <c r="AJ8" s="53"/>
      <c r="AK8" s="53"/>
      <c r="AL8" s="52"/>
      <c r="AM8" s="55">
        <f>SUM(AM12:AM1048576)/100000</f>
        <v>0.42714000000000002</v>
      </c>
      <c r="AN8" s="55">
        <f>SUM(AN12:AN1048576)/100000</f>
        <v>0.40278520000000007</v>
      </c>
      <c r="AO8" s="55">
        <f>SUM(AO12:AO1048576)/100000</f>
        <v>0.18706999999999999</v>
      </c>
      <c r="AP8" s="55">
        <f>SUM(AP12:AP1048576)/100000</f>
        <v>0.17916680000000001</v>
      </c>
      <c r="AQ8" s="55">
        <f>SUM(AQ12:AQ1048576)/100000</f>
        <v>0</v>
      </c>
      <c r="AR8" s="55">
        <f>SUM(AR12:AR1048576)/100000</f>
        <v>0</v>
      </c>
      <c r="AS8" s="55">
        <f>SUM(AS12:AS1048576)/100000</f>
        <v>0</v>
      </c>
      <c r="AT8" s="55">
        <f>SUM(AT12:AT1048576)/100000</f>
        <v>0</v>
      </c>
      <c r="AU8" s="55">
        <f>SUM(AU12:AU1048576)/100000</f>
        <v>6.1499999999999999E-2</v>
      </c>
      <c r="AV8" s="55">
        <f>SUM(AV12:AV1048576)/100000</f>
        <v>6.1499999999999999E-2</v>
      </c>
      <c r="AW8" s="55">
        <f>SUM(AW12:AW1048576)/100000</f>
        <v>0</v>
      </c>
      <c r="AX8" s="55">
        <f>SUM(AX12:AX1048576)/100000</f>
        <v>0</v>
      </c>
      <c r="AY8" s="55">
        <f>SUM(AY12:AY1048576)/100000</f>
        <v>5.6286643000000004E-2</v>
      </c>
      <c r="AZ8" s="55">
        <f>SUM(AZ12:AZ1048576)/100000</f>
        <v>5.3599551599999996E-2</v>
      </c>
      <c r="BA8" s="55">
        <f>SUM(BA12:BA1048576)/100000</f>
        <v>2.0535576923076924E-2</v>
      </c>
      <c r="BB8" s="55">
        <f>SUM(BB12:BB1048576)/100000</f>
        <v>2.0535576923076924E-2</v>
      </c>
      <c r="BC8" s="55"/>
      <c r="BD8" s="51"/>
      <c r="BE8" s="55">
        <f>SUM(BE12:BE1048576)/100000</f>
        <v>0</v>
      </c>
      <c r="BF8" s="55">
        <f>SUM(BF12:BF1048576)/100000</f>
        <v>0</v>
      </c>
      <c r="BG8" s="55">
        <f>SUM(BG12:BG1048576)/100000</f>
        <v>0</v>
      </c>
      <c r="BH8" s="55">
        <f>SUM(BH12:BH1048576)/100000</f>
        <v>0</v>
      </c>
      <c r="BI8" s="55">
        <f>SUM(BI12:BI1048576)/100000</f>
        <v>0</v>
      </c>
      <c r="BJ8" s="55">
        <f>SUM(BJ12:BJ1048576)/100000</f>
        <v>0</v>
      </c>
      <c r="BK8" s="55">
        <f>SUM(BK12:BK1048576)/100000</f>
        <v>0</v>
      </c>
      <c r="BL8" s="55">
        <f>SUM(BL12:BL1048576)/100000</f>
        <v>0</v>
      </c>
      <c r="BM8" s="55">
        <f>SUM(BM12:BM1048576)/100000</f>
        <v>0</v>
      </c>
      <c r="BN8" s="55">
        <f>SUM(BN12:BN1048576)/100000</f>
        <v>0</v>
      </c>
      <c r="BO8" s="55">
        <f>SUM(BO12:BO1048576)/100000</f>
        <v>0</v>
      </c>
      <c r="BP8" s="55">
        <f>SUM(BP12:BP1048576)/100000</f>
        <v>0</v>
      </c>
      <c r="BQ8" s="55">
        <f>SUM(BQ12:BQ1048576)/100000</f>
        <v>0</v>
      </c>
      <c r="BR8" s="55">
        <f>SUM(BR12:BR1048576)/100000</f>
        <v>0</v>
      </c>
      <c r="BS8" s="55">
        <f>SUM(BS12:BS1048576)/100000</f>
        <v>0</v>
      </c>
      <c r="BT8" s="55">
        <f>SUM(BT12:BT1048576)/100000</f>
        <v>0</v>
      </c>
      <c r="BU8" s="55">
        <f>SUM(BU12:BU1048576)/100000</f>
        <v>0</v>
      </c>
      <c r="BV8" s="55">
        <f>SUM(BV12:BV1048576)/100000</f>
        <v>0</v>
      </c>
      <c r="BW8" s="55">
        <f>SUM(BW12:BW1048576)/100000</f>
        <v>0</v>
      </c>
      <c r="BX8" s="55">
        <f>SUM(BX12:BX1048576)/100000</f>
        <v>0</v>
      </c>
      <c r="BY8" s="55">
        <f>SUM(BY12:BY1048576)/100000</f>
        <v>0.75253221992307695</v>
      </c>
      <c r="BZ8" s="55">
        <f>SUM(BZ12:BZ1048576)/100000</f>
        <v>0.71758712852307693</v>
      </c>
      <c r="CA8" s="55">
        <f>SUM(CA12:CA1048576)/100000</f>
        <v>0.75900260452307688</v>
      </c>
      <c r="CB8" s="55">
        <f>SUM(CB12:CB1048576)/100000</f>
        <v>0.67571000000000003</v>
      </c>
      <c r="CC8" s="55">
        <f>SUM(CC12:CC1048576)/100000</f>
        <v>0.64345200000000002</v>
      </c>
      <c r="CD8" s="55">
        <f>SUM(CD12:CD1048576)/100000</f>
        <v>0.64345200000000002</v>
      </c>
      <c r="CE8" s="55">
        <f>SUM(CE12:CE1048576)/100000</f>
        <v>0.60865647599999995</v>
      </c>
      <c r="CF8" s="55">
        <f>SUM(CF12:CF1048576)/100000</f>
        <v>0.60865647599999995</v>
      </c>
      <c r="CG8" s="56"/>
      <c r="CH8" s="55">
        <f>SUM(CH12:CH1048576)/100000</f>
        <v>3.4795524000000001E-2</v>
      </c>
      <c r="CI8" s="55">
        <f>SUM(CI12:CI1048576)/100000</f>
        <v>3.3197424000000003E-2</v>
      </c>
      <c r="CJ8" s="55">
        <f>SUM(CJ12:CJ1048576)/100000</f>
        <v>1.2581000000000001E-3</v>
      </c>
      <c r="CK8" s="55">
        <f>SUM(CK12:CK1048576)/100000</f>
        <v>0</v>
      </c>
      <c r="CL8" s="55">
        <f>SUM(CL12:CL1048576)/100000</f>
        <v>0</v>
      </c>
      <c r="CM8" s="55">
        <f>SUM(CM12:CM1048576)/100000</f>
        <v>0</v>
      </c>
      <c r="CN8" s="55">
        <f>SUM(CN12:CN1048576)/100000</f>
        <v>0</v>
      </c>
      <c r="CO8" s="55">
        <f>SUM(CO12:CO1048576)/100000</f>
        <v>0</v>
      </c>
      <c r="CP8" s="55">
        <f>SUM(CP12:CP1048576)/100000</f>
        <v>0</v>
      </c>
      <c r="CQ8" s="55">
        <f>SUM(CQ12:CQ1048576)/100000</f>
        <v>0</v>
      </c>
      <c r="CR8" s="55">
        <f>SUM(CR12:CR1048576)/100000</f>
        <v>3.4000000000000002E-4</v>
      </c>
      <c r="CS8" s="56"/>
      <c r="CT8" s="55">
        <f>SUM(CT12:CT1048576)/100000</f>
        <v>3.5963875999999999E-2</v>
      </c>
      <c r="CU8" s="55">
        <f>SUM(CU12:CU1048576)/100000</f>
        <v>5.4516E-3</v>
      </c>
      <c r="CV8" s="55">
        <f>SUM(CV12:CV1048576)/100000</f>
        <v>0</v>
      </c>
      <c r="CW8" s="25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7"/>
      <c r="DS8" s="55">
        <f>SUM(DS12:DS1048576)/1000</f>
        <v>3.6499999999999998E-2</v>
      </c>
      <c r="DT8" s="55">
        <f>SUM(DT12:DT1048576)/1000</f>
        <v>3.6499999999999998E-2</v>
      </c>
      <c r="DU8" s="55">
        <f>SUM(DU12:DU1048576)/1000</f>
        <v>0</v>
      </c>
      <c r="DV8" s="55">
        <f>SUM(DV12:DV1048576)/1000</f>
        <v>0</v>
      </c>
      <c r="DW8" s="55">
        <f>SUM(DW12:DW1048576)/1000</f>
        <v>6.2E-2</v>
      </c>
      <c r="DX8" s="55">
        <f>SUM(DX12:DX1048576)/1000</f>
        <v>5.7000000000000002E-2</v>
      </c>
      <c r="DY8" s="55">
        <f>SUM(DY12:DY1048576)/1000</f>
        <v>5.7000000000000002E-2</v>
      </c>
      <c r="DZ8" s="55">
        <f>SUM(DZ12:DZ1048576)/1000</f>
        <v>1.95E-2</v>
      </c>
      <c r="EA8" s="55">
        <f>SUM(EA12:EA1048576)/1000</f>
        <v>0</v>
      </c>
      <c r="EB8" s="55">
        <f>SUM(EB12:EB1048576)/1000</f>
        <v>0</v>
      </c>
      <c r="EC8" s="56">
        <f>SUM(EC12:EC1048576)/1000</f>
        <v>6.0000000000000001E-3</v>
      </c>
      <c r="ED8" s="55">
        <f>SUM(ED12:ED1048576)/1000</f>
        <v>0</v>
      </c>
      <c r="EE8" s="55">
        <f>SUM(EE12:EE1048576)/1000</f>
        <v>-6.0000000000000001E-3</v>
      </c>
      <c r="EF8" s="55">
        <f>SUM(EF12:EF1048576)/1000</f>
        <v>1.4500000000000001E-2</v>
      </c>
      <c r="EG8" s="55">
        <f>SUM(EG12:EG1048576)/1000</f>
        <v>1.2999999999999999E-2</v>
      </c>
      <c r="EH8" s="55">
        <f>SUM(EH12:EH1048576)/1000</f>
        <v>1.5E-3</v>
      </c>
      <c r="EI8" s="55">
        <f>SUM(EI12:EI1048576)/1000</f>
        <v>0</v>
      </c>
      <c r="EJ8" s="55">
        <f>SUM(EJ12:EJ1048576)/1000</f>
        <v>0</v>
      </c>
      <c r="EK8" s="25"/>
      <c r="EL8" s="55">
        <f>SUM(EL12:EL1048576)/100000</f>
        <v>0</v>
      </c>
      <c r="EM8" s="55">
        <f>SUM(EM12:EM1048576)/100000</f>
        <v>0</v>
      </c>
      <c r="EN8" s="55">
        <f>SUM(EN12:EN1048576)/100000</f>
        <v>0</v>
      </c>
      <c r="EO8" s="55">
        <f>SUM(EO12:EO1048576)/100000</f>
        <v>0</v>
      </c>
      <c r="EP8" s="55">
        <f>SUM(EP12:EP1048576)/100000</f>
        <v>0</v>
      </c>
      <c r="EQ8" s="55">
        <f>SUM(EQ12:EQ1048576)/100000</f>
        <v>0</v>
      </c>
    </row>
    <row r="9" spans="1:147" x14ac:dyDescent="0.2">
      <c r="A9" s="33"/>
      <c r="B9" s="33"/>
      <c r="C9" s="42"/>
      <c r="D9" s="42"/>
      <c r="E9" s="42"/>
      <c r="F9" s="48"/>
      <c r="G9" s="47" t="s">
        <v>18162</v>
      </c>
      <c r="H9" s="46"/>
      <c r="I9" s="46"/>
      <c r="J9" s="44" t="s">
        <v>18163</v>
      </c>
      <c r="K9" s="45"/>
      <c r="L9" s="54"/>
      <c r="M9" s="44"/>
      <c r="N9" s="33"/>
      <c r="O9" s="33" t="s">
        <v>18162</v>
      </c>
      <c r="P9" s="33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53"/>
      <c r="AH9" s="53"/>
      <c r="AI9" s="53"/>
      <c r="AJ9" s="53"/>
      <c r="AK9" s="53"/>
      <c r="AL9" s="52"/>
      <c r="AM9" s="49">
        <f>SUBTOTAL(109,AM12:AM1048576)/100000</f>
        <v>0.42714000000000002</v>
      </c>
      <c r="AN9" s="49">
        <f>SUBTOTAL(109,AN12:AN1048576)/100000</f>
        <v>0.40278520000000007</v>
      </c>
      <c r="AO9" s="49">
        <f>SUBTOTAL(109,AO12:AO1048576)/100000</f>
        <v>0.18706999999999999</v>
      </c>
      <c r="AP9" s="49">
        <f>SUBTOTAL(109,AP12:AP1048576)/100000</f>
        <v>0.17916680000000001</v>
      </c>
      <c r="AQ9" s="49">
        <f>SUBTOTAL(109,AQ12:AQ1048576)/100000</f>
        <v>0</v>
      </c>
      <c r="AR9" s="49">
        <f>SUBTOTAL(109,AR12:AR1048576)/100000</f>
        <v>0</v>
      </c>
      <c r="AS9" s="49">
        <f>SUBTOTAL(109,AS12:AS1048576)/100000</f>
        <v>0</v>
      </c>
      <c r="AT9" s="49">
        <f>SUBTOTAL(109,AT12:AT1048576)/100000</f>
        <v>0</v>
      </c>
      <c r="AU9" s="49">
        <f>SUBTOTAL(109,AU12:AU1048576)/100000</f>
        <v>6.1499999999999999E-2</v>
      </c>
      <c r="AV9" s="49">
        <f>SUBTOTAL(109,AV12:AV1048576)/100000</f>
        <v>6.1499999999999999E-2</v>
      </c>
      <c r="AW9" s="49">
        <f>SUBTOTAL(109,AW12:AW1048576)/100000</f>
        <v>0</v>
      </c>
      <c r="AX9" s="49">
        <f>SUBTOTAL(109,AX12:AX1048576)/100000</f>
        <v>0</v>
      </c>
      <c r="AY9" s="49">
        <f>SUBTOTAL(109,AY12:AY1048576)/100000</f>
        <v>5.6286643000000004E-2</v>
      </c>
      <c r="AZ9" s="49">
        <f>SUBTOTAL(109,AZ12:AZ1048576)/100000</f>
        <v>5.3599551599999996E-2</v>
      </c>
      <c r="BA9" s="49">
        <f>SUBTOTAL(109,BA12:BA1048576)/100000</f>
        <v>2.0535576923076924E-2</v>
      </c>
      <c r="BB9" s="49">
        <f>SUBTOTAL(109,BB12:BB1048576)/100000</f>
        <v>2.0535576923076924E-2</v>
      </c>
      <c r="BC9" s="49"/>
      <c r="BD9" s="51"/>
      <c r="BE9" s="49">
        <f>SUBTOTAL(109,BE12:BE1048576)/100000</f>
        <v>0</v>
      </c>
      <c r="BF9" s="49">
        <f>SUBTOTAL(109,BF12:BF1048576)/100000</f>
        <v>0</v>
      </c>
      <c r="BG9" s="49">
        <f>SUBTOTAL(109,BG12:BG1048576)/100000</f>
        <v>0</v>
      </c>
      <c r="BH9" s="49">
        <f>SUBTOTAL(109,BH12:BH1048576)/100000</f>
        <v>0</v>
      </c>
      <c r="BI9" s="49">
        <f>SUBTOTAL(109,BI12:BI1048576)/100000</f>
        <v>0</v>
      </c>
      <c r="BJ9" s="49">
        <f>SUBTOTAL(109,BJ12:BJ1048576)/100000</f>
        <v>0</v>
      </c>
      <c r="BK9" s="49">
        <f>SUBTOTAL(109,BK12:BK1048576)/100000</f>
        <v>0</v>
      </c>
      <c r="BL9" s="49">
        <f>SUBTOTAL(109,BL12:BL1048576)/100000</f>
        <v>0</v>
      </c>
      <c r="BM9" s="49">
        <f>SUBTOTAL(109,BM12:BM1048576)/100000</f>
        <v>0</v>
      </c>
      <c r="BN9" s="49">
        <f>SUBTOTAL(109,BN12:BN1048576)/100000</f>
        <v>0</v>
      </c>
      <c r="BO9" s="49">
        <f>SUBTOTAL(109,BO12:BO1048576)/100000</f>
        <v>0</v>
      </c>
      <c r="BP9" s="49">
        <f>SUBTOTAL(109,BP12:BP1048576)/100000</f>
        <v>0</v>
      </c>
      <c r="BQ9" s="49">
        <f>SUBTOTAL(109,BQ12:BQ1048576)/100000</f>
        <v>0</v>
      </c>
      <c r="BR9" s="49">
        <f>SUBTOTAL(109,BR12:BR1048576)/100000</f>
        <v>0</v>
      </c>
      <c r="BS9" s="49">
        <f>SUBTOTAL(109,BS12:BS1048576)/100000</f>
        <v>0</v>
      </c>
      <c r="BT9" s="49">
        <f>SUBTOTAL(109,BT12:BT1048576)/100000</f>
        <v>0</v>
      </c>
      <c r="BU9" s="49">
        <f>SUBTOTAL(109,BU12:BU1048576)/100000</f>
        <v>0</v>
      </c>
      <c r="BV9" s="49">
        <f>SUBTOTAL(109,BV12:BV1048576)/100000</f>
        <v>0</v>
      </c>
      <c r="BW9" s="49">
        <f>SUBTOTAL(109,BW12:BW1048576)/100000</f>
        <v>0</v>
      </c>
      <c r="BX9" s="49">
        <f>SUBTOTAL(109,BX12:BX1048576)/100000</f>
        <v>0</v>
      </c>
      <c r="BY9" s="49">
        <f>SUBTOTAL(109,BY12:BY1048576)/100000</f>
        <v>0.75253221992307695</v>
      </c>
      <c r="BZ9" s="49">
        <f>SUBTOTAL(109,BZ12:BZ1048576)/100000</f>
        <v>0.71758712852307693</v>
      </c>
      <c r="CA9" s="49">
        <f>SUBTOTAL(109,CA12:CA1048576)/100000</f>
        <v>0.75900260452307688</v>
      </c>
      <c r="CB9" s="49">
        <f>SUBTOTAL(109,CB12:CB1048576)/100000</f>
        <v>0.67571000000000003</v>
      </c>
      <c r="CC9" s="49">
        <f>SUBTOTAL(109,CC12:CC1048576)/100000</f>
        <v>0.64345200000000002</v>
      </c>
      <c r="CD9" s="49">
        <f>SUBTOTAL(109,CD12:CD1048576)/100000</f>
        <v>0.64345200000000002</v>
      </c>
      <c r="CE9" s="49">
        <f>SUBTOTAL(109,CE12:CE1048576)/100000</f>
        <v>0.60865647599999995</v>
      </c>
      <c r="CF9" s="49">
        <f>SUBTOTAL(109,CF12:CF1048576)/100000</f>
        <v>0.60865647599999995</v>
      </c>
      <c r="CG9" s="50"/>
      <c r="CH9" s="49">
        <f>SUBTOTAL(109,CH12:CH1048576)/100000</f>
        <v>3.4795524000000001E-2</v>
      </c>
      <c r="CI9" s="49">
        <f>SUBTOTAL(109,CI12:CI1048576)/100000</f>
        <v>3.3197424000000003E-2</v>
      </c>
      <c r="CJ9" s="49">
        <f>SUBTOTAL(109,CJ12:CJ1048576)/100000</f>
        <v>1.2581000000000001E-3</v>
      </c>
      <c r="CK9" s="49">
        <f>SUBTOTAL(109,CK12:CK1048576)/100000</f>
        <v>0</v>
      </c>
      <c r="CL9" s="49">
        <f>SUBTOTAL(109,CL12:CL1048576)/100000</f>
        <v>0</v>
      </c>
      <c r="CM9" s="49">
        <f>SUBTOTAL(109,CM12:CM1048576)/100000</f>
        <v>0</v>
      </c>
      <c r="CN9" s="49">
        <f>SUBTOTAL(109,CN12:CN1048576)/100000</f>
        <v>0</v>
      </c>
      <c r="CO9" s="49">
        <f>SUBTOTAL(109,CO12:CO1048576)/100000</f>
        <v>0</v>
      </c>
      <c r="CP9" s="49">
        <f>SUBTOTAL(109,CP12:CP1048576)/100000</f>
        <v>0</v>
      </c>
      <c r="CQ9" s="49">
        <f>SUBTOTAL(109,CQ12:CQ1048576)/100000</f>
        <v>0</v>
      </c>
      <c r="CR9" s="49">
        <f>SUBTOTAL(109,CR12:CR1048576)/100000</f>
        <v>3.4000000000000002E-4</v>
      </c>
      <c r="CS9" s="50"/>
      <c r="CT9" s="49">
        <f>SUBTOTAL(109,CT12:CT1048576)/100000</f>
        <v>3.5963875999999999E-2</v>
      </c>
      <c r="CU9" s="49">
        <f>SUBTOTAL(109,CU12:CU1048576)/100000</f>
        <v>5.4516E-3</v>
      </c>
      <c r="CV9" s="49">
        <f>SUBTOTAL(109,CV12:CV1048576)/100000</f>
        <v>0</v>
      </c>
      <c r="CW9" s="25"/>
      <c r="CX9" s="39"/>
      <c r="CY9" s="39"/>
      <c r="CZ9" s="39"/>
      <c r="DA9" s="39"/>
      <c r="DB9" s="34"/>
      <c r="DC9" s="39"/>
      <c r="DD9" s="39"/>
      <c r="DE9" s="39"/>
      <c r="DF9" s="34"/>
      <c r="DG9" s="39"/>
      <c r="DH9" s="39"/>
      <c r="DI9" s="39"/>
      <c r="DJ9" s="34"/>
      <c r="DK9" s="39"/>
      <c r="DL9" s="39"/>
      <c r="DM9" s="39"/>
      <c r="DN9" s="34"/>
      <c r="DO9" s="39"/>
      <c r="DP9" s="39"/>
      <c r="DQ9" s="39"/>
      <c r="DR9" s="38"/>
      <c r="DS9" s="49">
        <f>SUBTOTAL(109,DS12:DS1048576)/1000</f>
        <v>3.6499999999999998E-2</v>
      </c>
      <c r="DT9" s="49">
        <f>SUBTOTAL(109,DT12:DT1048576)/1000</f>
        <v>3.6499999999999998E-2</v>
      </c>
      <c r="DU9" s="49">
        <f>SUBTOTAL(109,DU12:DU1048576)/1000</f>
        <v>0</v>
      </c>
      <c r="DV9" s="49">
        <f>SUBTOTAL(109,DV12:DV1048576)/1000</f>
        <v>0</v>
      </c>
      <c r="DW9" s="49">
        <f>SUBTOTAL(109,DW12:DW1048576)/1000</f>
        <v>6.2E-2</v>
      </c>
      <c r="DX9" s="49">
        <f>SUBTOTAL(109,DX12:DX1048576)/1000</f>
        <v>5.7000000000000002E-2</v>
      </c>
      <c r="DY9" s="49">
        <f>SUBTOTAL(109,DY12:DY1048576)/1000</f>
        <v>5.7000000000000002E-2</v>
      </c>
      <c r="DZ9" s="49">
        <f>SUBTOTAL(109,DZ12:DZ1048576)/1000</f>
        <v>1.95E-2</v>
      </c>
      <c r="EA9" s="49">
        <f>SUBTOTAL(109,EA12:EA1048576)/1000</f>
        <v>0</v>
      </c>
      <c r="EB9" s="49">
        <f>SUBTOTAL(109,EB12:EB1048576)/1000</f>
        <v>0</v>
      </c>
      <c r="EC9" s="50">
        <f>SUBTOTAL(109,EC12:EC1048576)/1000</f>
        <v>6.0000000000000001E-3</v>
      </c>
      <c r="ED9" s="49">
        <f>SUBTOTAL(109,ED12:ED1048576)/1000</f>
        <v>0</v>
      </c>
      <c r="EE9" s="49">
        <f>SUBTOTAL(109,EE12:EE1048576)/1000</f>
        <v>-6.0000000000000001E-3</v>
      </c>
      <c r="EF9" s="49">
        <f>SUBTOTAL(109,EF12:EF1048576)/1000</f>
        <v>1.4500000000000001E-2</v>
      </c>
      <c r="EG9" s="49">
        <f>SUBTOTAL(109,EG12:EG1048576)/1000</f>
        <v>1.2999999999999999E-2</v>
      </c>
      <c r="EH9" s="49">
        <f>SUBTOTAL(109,EH12:EH1048576)/1000</f>
        <v>1.5E-3</v>
      </c>
      <c r="EI9" s="49">
        <f>SUBTOTAL(109,EI12:EI1048576)/1000</f>
        <v>0</v>
      </c>
      <c r="EJ9" s="49">
        <f>SUBTOTAL(109,EJ12:EJ1048576)/1000</f>
        <v>0</v>
      </c>
      <c r="EK9" s="25"/>
      <c r="EL9" s="49">
        <f>SUBTOTAL(109,EL12:EL1048576)/100000</f>
        <v>0</v>
      </c>
      <c r="EM9" s="49">
        <f>SUBTOTAL(109,EM12:EM1048576)/100000</f>
        <v>0</v>
      </c>
      <c r="EN9" s="49">
        <f>SUBTOTAL(109,EN12:EN1048576)/100000</f>
        <v>0</v>
      </c>
      <c r="EO9" s="49">
        <f>SUBTOTAL(109,EO12:EO1048576)/100000</f>
        <v>0</v>
      </c>
      <c r="EP9" s="49">
        <f>SUBTOTAL(109,EP12:EP1048576)/100000</f>
        <v>0</v>
      </c>
      <c r="EQ9" s="49">
        <f>SUBTOTAL(109,EQ12:EQ1048576)/100000</f>
        <v>0</v>
      </c>
    </row>
    <row r="10" spans="1:147" hidden="1" outlineLevel="1" x14ac:dyDescent="0.2">
      <c r="A10" s="33"/>
      <c r="B10" s="33"/>
      <c r="C10" s="42"/>
      <c r="D10" s="42"/>
      <c r="E10" s="42"/>
      <c r="F10" s="48"/>
      <c r="G10" s="47" t="s">
        <v>18161</v>
      </c>
      <c r="H10" s="46"/>
      <c r="I10" s="46"/>
      <c r="J10" s="44">
        <v>0</v>
      </c>
      <c r="K10" s="45"/>
      <c r="L10" s="44"/>
      <c r="M10" s="44"/>
      <c r="N10" s="33"/>
      <c r="O10" s="33"/>
      <c r="P10" s="33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33"/>
      <c r="AH10" s="33"/>
      <c r="AI10" s="33"/>
      <c r="AJ10" s="33"/>
      <c r="AK10" s="33"/>
      <c r="AL10" s="43"/>
      <c r="AM10" s="42"/>
      <c r="AN10" s="34"/>
      <c r="AO10" s="42"/>
      <c r="AP10" s="34"/>
      <c r="AQ10" s="42"/>
      <c r="AR10" s="34"/>
      <c r="AS10" s="42"/>
      <c r="AT10" s="34"/>
      <c r="AU10" s="42"/>
      <c r="AV10" s="34"/>
      <c r="AW10" s="42"/>
      <c r="AX10" s="34"/>
      <c r="AY10" s="34"/>
      <c r="AZ10" s="34"/>
      <c r="BA10" s="37"/>
      <c r="BB10" s="37"/>
      <c r="BC10" s="37"/>
      <c r="BD10" s="37"/>
      <c r="BE10" s="37"/>
      <c r="BF10" s="37"/>
      <c r="BG10" s="42"/>
      <c r="BH10" s="34"/>
      <c r="BI10" s="42"/>
      <c r="BJ10" s="34"/>
      <c r="BK10" s="42"/>
      <c r="BL10" s="34"/>
      <c r="BM10" s="42"/>
      <c r="BN10" s="34"/>
      <c r="BO10" s="42"/>
      <c r="BP10" s="34"/>
      <c r="BQ10" s="42"/>
      <c r="BR10" s="34"/>
      <c r="BS10" s="34"/>
      <c r="BT10" s="34"/>
      <c r="BU10" s="34"/>
      <c r="BV10" s="34"/>
      <c r="BW10" s="34"/>
      <c r="BX10" s="34"/>
      <c r="BY10" s="42" t="s">
        <v>18160</v>
      </c>
      <c r="BZ10" s="34" t="s">
        <v>18160</v>
      </c>
      <c r="CA10" s="42"/>
      <c r="CB10" s="42"/>
      <c r="CC10" s="42"/>
      <c r="CD10" s="42"/>
      <c r="CE10" s="42"/>
      <c r="CF10" s="42"/>
      <c r="CG10" s="41"/>
      <c r="CH10" s="34" t="s">
        <v>18160</v>
      </c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40"/>
      <c r="CT10" s="34"/>
      <c r="CU10" s="34"/>
      <c r="CV10" s="34"/>
      <c r="CW10" s="25"/>
      <c r="CX10" s="39" t="s">
        <v>18160</v>
      </c>
      <c r="CY10" s="39" t="s">
        <v>18160</v>
      </c>
      <c r="CZ10" s="39" t="s">
        <v>18160</v>
      </c>
      <c r="DA10" s="39" t="s">
        <v>18160</v>
      </c>
      <c r="DB10" s="34"/>
      <c r="DC10" s="39"/>
      <c r="DD10" s="39" t="s">
        <v>18160</v>
      </c>
      <c r="DE10" s="39"/>
      <c r="DF10" s="34"/>
      <c r="DG10" s="39" t="s">
        <v>18160</v>
      </c>
      <c r="DH10" s="39" t="s">
        <v>18160</v>
      </c>
      <c r="DI10" s="39"/>
      <c r="DJ10" s="34"/>
      <c r="DK10" s="39"/>
      <c r="DL10" s="39"/>
      <c r="DM10" s="39"/>
      <c r="DN10" s="34"/>
      <c r="DO10" s="39"/>
      <c r="DP10" s="39"/>
      <c r="DQ10" s="39"/>
      <c r="DR10" s="38"/>
      <c r="DS10" s="37"/>
      <c r="DT10" s="37"/>
      <c r="DU10" s="33"/>
      <c r="DV10" s="33"/>
      <c r="DW10" s="33"/>
      <c r="DX10" s="34"/>
      <c r="DY10" s="33" t="s">
        <v>18160</v>
      </c>
      <c r="DZ10" s="34"/>
      <c r="EA10" s="33"/>
      <c r="EB10" s="36"/>
      <c r="EC10" s="35"/>
      <c r="ED10" s="33"/>
      <c r="EE10" s="33"/>
      <c r="EF10" s="34"/>
      <c r="EG10" s="33" t="s">
        <v>18160</v>
      </c>
      <c r="EH10" s="33" t="s">
        <v>18160</v>
      </c>
      <c r="EI10" s="33" t="s">
        <v>18160</v>
      </c>
      <c r="EJ10" s="33" t="s">
        <v>18160</v>
      </c>
      <c r="EK10" s="25"/>
      <c r="EL10" s="33"/>
      <c r="EM10" s="33"/>
      <c r="EN10" s="33"/>
      <c r="EO10" s="33"/>
      <c r="EP10" s="33" t="s">
        <v>18160</v>
      </c>
      <c r="EQ10" s="33" t="s">
        <v>18160</v>
      </c>
    </row>
    <row r="11" spans="1:147" collapsed="1" x14ac:dyDescent="0.2">
      <c r="A11" s="31">
        <f>ROW()-11</f>
        <v>0</v>
      </c>
      <c r="B11" s="23"/>
      <c r="C11" s="6"/>
      <c r="D11" s="6"/>
      <c r="E11" s="6"/>
      <c r="F11" s="23"/>
      <c r="G11" s="30">
        <v>0</v>
      </c>
      <c r="H11" s="30">
        <v>0</v>
      </c>
      <c r="I11" s="28">
        <v>0</v>
      </c>
      <c r="J11" s="29">
        <v>0</v>
      </c>
      <c r="K11" s="26"/>
      <c r="L11" s="28">
        <v>0</v>
      </c>
      <c r="M11" s="28"/>
      <c r="N11" s="6">
        <v>0</v>
      </c>
      <c r="O11" s="6">
        <v>0</v>
      </c>
      <c r="P11" s="6" t="s">
        <v>0</v>
      </c>
      <c r="Q11" s="6">
        <v>0</v>
      </c>
      <c r="R11" s="6">
        <v>0</v>
      </c>
      <c r="S11" s="27"/>
      <c r="T11" s="27"/>
      <c r="U11" s="6"/>
      <c r="V11" s="26"/>
      <c r="W11" s="6">
        <v>0</v>
      </c>
      <c r="X11" s="27"/>
      <c r="Y11" s="6">
        <v>0</v>
      </c>
      <c r="Z11" s="6">
        <v>0</v>
      </c>
      <c r="AA11" s="6"/>
      <c r="AB11" s="6"/>
      <c r="AC11" s="6"/>
      <c r="AD11" s="6" t="str">
        <f>IFERROR(VLOOKUP(F11,[1]Sheet3!$I$3:$K$1048576,2,0),"")</f>
        <v/>
      </c>
      <c r="AE11" s="6" t="str">
        <f>IFERROR(VLOOKUP(F11,[1]Sheet3!$I$3:$K$1048576,3,0),"")</f>
        <v/>
      </c>
      <c r="AF11" s="6"/>
      <c r="AG11" s="26" t="str">
        <f>IF(OR(LEFT(F11,1)="N",N11="NAPS",O11="APPRENTICE"),"HOLD DUE TO NAPS",IF(DS11=0,"HOLD DUE TO ZERO ATTENDENCE",IF(DS11&lt;=3,"HOLD DUE TO LOW ATTENDENCE",IF(IFERROR(RIGHT(L11,4)+0,0)&gt;0,"HOLD DUE TO FNF",IF(LEN(R11)&lt;&gt;11,"HOLD DUE TO IFSC CODE",IF(BY11=0,"HOLD - GROSS SALARY MISSING",IF(AJ11&lt;&gt;"NA","HOLD DUE TO LP",
IF(OR(F11="V00001",F11="V00002",F11="V22129"),"HOLD - MGMT","PAYMENT RELEASE"))))))))</f>
        <v>HOLD DUE TO ZERO ATTENDENCE</v>
      </c>
      <c r="AH11" s="26">
        <f>_xlfn.XLOOKUP(F11,[1]Sheet2!A:A,[1]Sheet2!D:D,"NA",0,1)</f>
        <v>0</v>
      </c>
      <c r="AI11" s="26"/>
      <c r="AJ11" s="26"/>
      <c r="AK11" s="26"/>
      <c r="AL11" s="25"/>
      <c r="AM11" s="23"/>
      <c r="AN11" s="21"/>
      <c r="AO11" s="23"/>
      <c r="AP11" s="21"/>
      <c r="AQ11" s="23"/>
      <c r="AR11" s="21"/>
      <c r="AS11" s="23"/>
      <c r="AT11" s="21"/>
      <c r="AU11" s="23"/>
      <c r="AV11" s="21"/>
      <c r="AW11" s="23"/>
      <c r="AX11" s="19"/>
      <c r="AY11" s="19">
        <f>IF(AE11="YES",SUM(AM11+AO11+AQ11+AS11+AU11+AW11)*8.33%,0)</f>
        <v>0</v>
      </c>
      <c r="AZ11" s="19">
        <f>IF(AE11="YES",SUM(AN11+AP11+AR11+AT11+AV11+AX11)*8.33%,0)</f>
        <v>0</v>
      </c>
      <c r="BA11" s="21">
        <f>(AM11/26*15)/12</f>
        <v>0</v>
      </c>
      <c r="BB11" s="21">
        <f>(AM11/26*15)/12</f>
        <v>0</v>
      </c>
      <c r="BC11" s="21">
        <f>IFERROR(VLOOKUP(F11,[1]Sheet3!$A$3:$F$1048576,5,0),0)</f>
        <v>0</v>
      </c>
      <c r="BD11" s="24">
        <f>IFERROR(VLOOKUP(F11,[1]Sheet3!$A$3:$F$1048576,6,0),0)</f>
        <v>0</v>
      </c>
      <c r="BE11" s="21">
        <f>(BC11*BD11)/DW11*DW11</f>
        <v>0</v>
      </c>
      <c r="BF11" s="21">
        <f>(BC11*BD11)/DW11*DX11</f>
        <v>0</v>
      </c>
      <c r="BG11" s="23"/>
      <c r="BH11" s="21"/>
      <c r="BI11" s="23"/>
      <c r="BJ11" s="21"/>
      <c r="BK11" s="23"/>
      <c r="BL11" s="21"/>
      <c r="BM11" s="23"/>
      <c r="BN11" s="21"/>
      <c r="BO11" s="23"/>
      <c r="BP11" s="21"/>
      <c r="BQ11" s="23"/>
      <c r="BR11" s="21"/>
      <c r="BS11" s="19"/>
      <c r="BT11" s="19"/>
      <c r="BU11" s="19"/>
      <c r="BV11" s="19"/>
      <c r="BW11" s="19"/>
      <c r="BX11" s="19"/>
      <c r="BY11" s="23">
        <f>SUM(AM11,AO11,AQ11,AS11,AU11,AW11)+AY11+BA11</f>
        <v>0</v>
      </c>
      <c r="BZ11" s="23">
        <f>SUM(AN11,AP11,AR11,AT11,AV11,AX11)+SUM(BS11:BX11)+AZ11+BB11</f>
        <v>0</v>
      </c>
      <c r="CA11" s="23">
        <f>+BZ11+CT11+CU11+BF11+CV11</f>
        <v>0</v>
      </c>
      <c r="CB11" s="23">
        <f>AM11+AO11+AQ11+AS11+AU11+AW11</f>
        <v>0</v>
      </c>
      <c r="CC11" s="23">
        <f>AN11+AP11+AR11+AT11+AV11+AX11</f>
        <v>0</v>
      </c>
      <c r="CD11" s="23">
        <f>SUM(AN11,AP11,AR11,AT11,AV11,AX11)+SUM(BS11:BX11)</f>
        <v>0</v>
      </c>
      <c r="CE11" s="23">
        <f>CF11+AX11</f>
        <v>0</v>
      </c>
      <c r="CF11" s="23">
        <f>AN11+AP11+AR11+AT11+AV11+BS11+BT11+BU11+BV11+BW11+BX11-CH11</f>
        <v>0</v>
      </c>
      <c r="CG11" s="22"/>
      <c r="CH11" s="21">
        <f>SUM(CI11:CR11)</f>
        <v>0</v>
      </c>
      <c r="CI11" s="21"/>
      <c r="CJ11" s="19"/>
      <c r="CK11" s="19"/>
      <c r="CL11" s="19"/>
      <c r="CM11" s="19"/>
      <c r="CN11" s="19"/>
      <c r="CO11" s="19"/>
      <c r="CP11" s="19"/>
      <c r="CQ11" s="19"/>
      <c r="CR11" s="19"/>
      <c r="CS11" s="20"/>
      <c r="CT11" s="19"/>
      <c r="CU11" s="19"/>
      <c r="CV11" s="19"/>
      <c r="CW11" s="18"/>
      <c r="CX11" s="15">
        <f>DB11+DF11+DJ11+DN11</f>
        <v>0</v>
      </c>
      <c r="CY11" s="15">
        <f>DC11+DG11+DK11+DO11</f>
        <v>0</v>
      </c>
      <c r="CZ11" s="15">
        <f>DD11+DH11+DL11+DP11</f>
        <v>0</v>
      </c>
      <c r="DA11" s="15">
        <f>DE11+DI11+DM11+DQ11</f>
        <v>0</v>
      </c>
      <c r="DB11" s="16"/>
      <c r="DC11" s="15"/>
      <c r="DD11" s="15">
        <f>1.25*IFERROR(DX11/30,0)</f>
        <v>0</v>
      </c>
      <c r="DE11" s="15"/>
      <c r="DF11" s="16"/>
      <c r="DG11" s="15">
        <f>DF11+DH11-DI11</f>
        <v>0</v>
      </c>
      <c r="DH11" s="17">
        <f>0.58*IFERROR(DX11/30,0)</f>
        <v>0</v>
      </c>
      <c r="DI11" s="17"/>
      <c r="DJ11" s="16"/>
      <c r="DK11" s="15"/>
      <c r="DL11" s="17"/>
      <c r="DM11" s="17"/>
      <c r="DN11" s="16"/>
      <c r="DO11" s="15"/>
      <c r="DP11" s="14"/>
      <c r="DQ11" s="14"/>
      <c r="DR11" s="13"/>
      <c r="DS11" s="10">
        <f>SUM(DT11:DV11)</f>
        <v>0</v>
      </c>
      <c r="DT11" s="10" t="s">
        <v>18159</v>
      </c>
      <c r="DU11" s="10"/>
      <c r="DV11" s="10"/>
      <c r="DW11" s="10">
        <v>31</v>
      </c>
      <c r="DX11" s="10"/>
      <c r="DY11" s="10">
        <f>MIN((DS11+EC11+ED11+EF11),DW11)</f>
        <v>0</v>
      </c>
      <c r="DZ11" s="32">
        <f>DW11-(DS11+EC11+ED11)</f>
        <v>31</v>
      </c>
      <c r="EA11" s="32">
        <f>MAX(DY11-DW11,0)</f>
        <v>0</v>
      </c>
      <c r="EB11" s="10"/>
      <c r="EC11" s="12"/>
      <c r="ED11" s="11"/>
      <c r="EE11" s="11"/>
      <c r="EF11" s="10"/>
      <c r="EG11" s="10">
        <f>DE11</f>
        <v>0</v>
      </c>
      <c r="EH11" s="9">
        <f>DI11</f>
        <v>0</v>
      </c>
      <c r="EI11" s="10">
        <f>DM11</f>
        <v>0</v>
      </c>
      <c r="EJ11" s="9">
        <f>DQ11</f>
        <v>0</v>
      </c>
      <c r="EK11" s="8"/>
      <c r="EL11" s="7"/>
      <c r="EM11" s="7"/>
      <c r="EN11" s="7"/>
      <c r="EO11" s="7"/>
      <c r="EP11" s="7">
        <f>EL11+EO11</f>
        <v>0</v>
      </c>
      <c r="EQ11" s="6">
        <f>IF(EL11+EO11&gt;0,#REF!-EL11-EO11,0)</f>
        <v>0</v>
      </c>
    </row>
    <row r="12" spans="1:147" x14ac:dyDescent="0.2">
      <c r="A12" s="31">
        <f>ROW()-11</f>
        <v>1</v>
      </c>
      <c r="B12" s="23" t="s">
        <v>1401</v>
      </c>
      <c r="C12" s="6" t="s">
        <v>1400</v>
      </c>
      <c r="D12" s="6"/>
      <c r="E12" s="6" t="s">
        <v>1399</v>
      </c>
      <c r="F12" s="31" t="s">
        <v>18158</v>
      </c>
      <c r="G12" s="30" t="s">
        <v>18157</v>
      </c>
      <c r="H12" s="30" t="s">
        <v>7</v>
      </c>
      <c r="I12" s="28" t="s">
        <v>6140</v>
      </c>
      <c r="J12" s="29" t="s">
        <v>18156</v>
      </c>
      <c r="K12" s="26" t="s">
        <v>18155</v>
      </c>
      <c r="L12" s="28" t="s">
        <v>0</v>
      </c>
      <c r="M12" s="28" t="s">
        <v>1402</v>
      </c>
      <c r="N12" s="6" t="s">
        <v>1402</v>
      </c>
      <c r="O12" s="6" t="s">
        <v>18154</v>
      </c>
      <c r="P12" s="6" t="s">
        <v>5</v>
      </c>
      <c r="Q12" s="6" t="s">
        <v>4</v>
      </c>
      <c r="R12" s="6" t="s">
        <v>18153</v>
      </c>
      <c r="S12" s="27" t="s">
        <v>18152</v>
      </c>
      <c r="T12" s="27" t="s">
        <v>18151</v>
      </c>
      <c r="U12" s="6" t="s">
        <v>3</v>
      </c>
      <c r="V12" s="26" t="s">
        <v>3</v>
      </c>
      <c r="W12" s="6" t="s">
        <v>18150</v>
      </c>
      <c r="X12" s="27" t="s">
        <v>18149</v>
      </c>
      <c r="Y12" s="6" t="s">
        <v>2</v>
      </c>
      <c r="Z12" s="6" t="s">
        <v>1</v>
      </c>
      <c r="AA12" s="6" t="s">
        <v>1</v>
      </c>
      <c r="AB12" s="6" t="s">
        <v>1</v>
      </c>
      <c r="AC12" s="6" t="s">
        <v>1</v>
      </c>
      <c r="AD12" s="6" t="str">
        <f>IFERROR(VLOOKUP(F12,[1]Sheet3!$I$3:$K$1048576,2,0),"")</f>
        <v>CTC</v>
      </c>
      <c r="AE12" s="6" t="str">
        <f>IFERROR(VLOOKUP(F12,[1]Sheet3!$I$3:$K$1048576,3,0),"")</f>
        <v>YES</v>
      </c>
      <c r="AF12" s="6" t="s">
        <v>1</v>
      </c>
      <c r="AG12" s="26" t="str">
        <f>IF(OR(LEFT(F12,1)="N",N12="NAPS",O12="APPRENTICE"),"HOLD DUE TO NAPS",IF(DS12=0,"HOLD DUE TO ZERO ATTENDENCE",IF(DS12&lt;=3,"HOLD DUE TO LOW ATTENDENCE",IF(IFERROR(RIGHT(L12,4)+0,0)&gt;0,"HOLD DUE TO FNF",IF(LEN(R12)&lt;&gt;11,"HOLD DUE TO IFSC CODE",IF(BY12=0,"HOLD - GROSS SALARY MISSING",IF(AH12&lt;&gt;"NA","HOLD DUE TO LP",
IF(OR(F12="V00001",F12="V00002",F12="V22129"),"HOLD - MGMT","PAYMENT RELEASE"))))))))</f>
        <v>HOLD DUE TO LP</v>
      </c>
      <c r="AH12" s="26">
        <f>_xlfn.XLOOKUP(F11,Sheet2!A:A,Sheet2!D:D,"NA",0,1)</f>
        <v>0</v>
      </c>
      <c r="AI12" s="26"/>
      <c r="AJ12" s="26" t="str">
        <f>_xlfn.XLOOKUP(F12,[1]Sheet2!A:A,[1]Sheet2!D:D,"NA",0,1)</f>
        <v>NA</v>
      </c>
      <c r="AK12" s="26"/>
      <c r="AL12" s="25"/>
      <c r="AM12" s="23">
        <v>27614</v>
      </c>
      <c r="AN12" s="21">
        <v>27614</v>
      </c>
      <c r="AO12" s="23">
        <v>13807</v>
      </c>
      <c r="AP12" s="21">
        <v>13807</v>
      </c>
      <c r="AQ12" s="23">
        <v>0</v>
      </c>
      <c r="AR12" s="21">
        <v>0</v>
      </c>
      <c r="AS12" s="23">
        <v>0</v>
      </c>
      <c r="AT12" s="21">
        <v>0</v>
      </c>
      <c r="AU12" s="23">
        <v>6150</v>
      </c>
      <c r="AV12" s="21">
        <v>6150</v>
      </c>
      <c r="AW12" s="23">
        <v>0</v>
      </c>
      <c r="AX12" s="19">
        <v>0</v>
      </c>
      <c r="AY12" s="19">
        <f>IF(AE12="YES",SUM(AM12+AO12+AQ12+AS12+AU12+AW12)*8.33%,0)</f>
        <v>3962.6642999999999</v>
      </c>
      <c r="AZ12" s="19">
        <f>IF(AE12="YES",SUM(AN12+AP12+AR12+AT12+AV12+AX12)*8.33%,0)</f>
        <v>3962.6642999999999</v>
      </c>
      <c r="BA12" s="21">
        <f>(AM12/26*15)/12</f>
        <v>1327.5961538461538</v>
      </c>
      <c r="BB12" s="21">
        <f>(AM12/26*15)/12</f>
        <v>1327.5961538461538</v>
      </c>
      <c r="BC12" s="21">
        <f>IFERROR(VLOOKUP(F12,[1]Sheet3!$A$3:$F$1048576,5,0),0)</f>
        <v>0</v>
      </c>
      <c r="BD12" s="24">
        <f>IFERROR(VLOOKUP(F12,[1]Sheet3!$A$3:$F$1048576,6,0),0)</f>
        <v>0</v>
      </c>
      <c r="BE12" s="21">
        <f>(BC12*BD12)/DW12*DW12</f>
        <v>0</v>
      </c>
      <c r="BF12" s="21">
        <f>(BC12*BD12)/DW12*DX12</f>
        <v>0</v>
      </c>
      <c r="BG12" s="23">
        <v>0</v>
      </c>
      <c r="BH12" s="21">
        <v>0</v>
      </c>
      <c r="BI12" s="23">
        <v>0</v>
      </c>
      <c r="BJ12" s="21">
        <v>0</v>
      </c>
      <c r="BK12" s="23">
        <v>0</v>
      </c>
      <c r="BL12" s="21">
        <v>0</v>
      </c>
      <c r="BM12" s="23">
        <v>0</v>
      </c>
      <c r="BN12" s="21">
        <v>0</v>
      </c>
      <c r="BO12" s="23">
        <v>0</v>
      </c>
      <c r="BP12" s="21">
        <v>0</v>
      </c>
      <c r="BQ12" s="23">
        <v>0</v>
      </c>
      <c r="BR12" s="21">
        <v>0</v>
      </c>
      <c r="BS12" s="19">
        <v>0</v>
      </c>
      <c r="BT12" s="19">
        <v>0</v>
      </c>
      <c r="BU12" s="19">
        <v>0</v>
      </c>
      <c r="BV12" s="19"/>
      <c r="BW12" s="19">
        <v>0</v>
      </c>
      <c r="BX12" s="19">
        <v>0</v>
      </c>
      <c r="BY12" s="23">
        <f>SUM(AM12,AO12,AQ12,AS12,AU12,AW12)+AY12+BA12</f>
        <v>52861.260453846153</v>
      </c>
      <c r="BZ12" s="23">
        <f>SUM(AN12,AP12,AR12,AT12,AV12,AX12)+SUM(BS12:BX12)+AZ12+BB12</f>
        <v>52861.260453846153</v>
      </c>
      <c r="CA12" s="23">
        <f>+BZ12+CT12+CU12+BF12+CV12</f>
        <v>54811.260453846153</v>
      </c>
      <c r="CB12" s="23">
        <f>AM12+AO12+AQ12+AS12+AU12+AW12</f>
        <v>47571</v>
      </c>
      <c r="CC12" s="23">
        <f>AN12+AP12+AR12+AT12+AV12+AX12</f>
        <v>47571</v>
      </c>
      <c r="CD12" s="23">
        <f>SUM(AN12,AP12,AR12,AT12,AV12,AX12)+SUM(BS12:BX12)</f>
        <v>47571</v>
      </c>
      <c r="CE12" s="23">
        <f>CF12+AX12</f>
        <v>45737</v>
      </c>
      <c r="CF12" s="23">
        <f>AN12+AP12+AR12+AT12+AV12+BS12+BT12+BU12+BV12+BW12+BX12-CH12</f>
        <v>45737</v>
      </c>
      <c r="CG12" s="22"/>
      <c r="CH12" s="21">
        <f>SUM(CI12:CR12)</f>
        <v>1834</v>
      </c>
      <c r="CI12" s="21">
        <v>1800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34</v>
      </c>
      <c r="CS12" s="20"/>
      <c r="CT12" s="19">
        <v>1950</v>
      </c>
      <c r="CU12" s="19">
        <v>0</v>
      </c>
      <c r="CV12" s="19"/>
      <c r="CW12" s="18"/>
      <c r="CX12" s="15">
        <f>DB12+DF12+DJ12+DN12</f>
        <v>8.52</v>
      </c>
      <c r="CY12" s="15">
        <f>DC12+DG12+DK12+DO12</f>
        <v>3.8499999999999996</v>
      </c>
      <c r="CZ12" s="15">
        <f>DD12+DH12+DL12+DP12</f>
        <v>1.83</v>
      </c>
      <c r="DA12" s="15">
        <f>DE12+DI12+DM12+DQ12</f>
        <v>6.5</v>
      </c>
      <c r="DB12" s="16">
        <v>7.3</v>
      </c>
      <c r="DC12" s="15">
        <v>3.05</v>
      </c>
      <c r="DD12" s="15">
        <v>1.25</v>
      </c>
      <c r="DE12" s="15">
        <v>5.5</v>
      </c>
      <c r="DF12" s="16">
        <v>1.22</v>
      </c>
      <c r="DG12" s="15">
        <f>DF12+DH12-DI12</f>
        <v>0.79999999999999982</v>
      </c>
      <c r="DH12" s="17">
        <v>0.57999999999999996</v>
      </c>
      <c r="DI12" s="17">
        <v>1</v>
      </c>
      <c r="DJ12" s="16">
        <v>0</v>
      </c>
      <c r="DK12" s="15">
        <v>0</v>
      </c>
      <c r="DL12" s="17">
        <v>0</v>
      </c>
      <c r="DM12" s="17">
        <v>0</v>
      </c>
      <c r="DN12" s="16">
        <v>0</v>
      </c>
      <c r="DO12" s="15">
        <v>0</v>
      </c>
      <c r="DP12" s="14">
        <v>0</v>
      </c>
      <c r="DQ12" s="14">
        <v>0</v>
      </c>
      <c r="DR12" s="13"/>
      <c r="DS12" s="10">
        <f>SUM(DT12:DV12)</f>
        <v>18.5</v>
      </c>
      <c r="DT12" s="10">
        <v>18.5</v>
      </c>
      <c r="DU12" s="10">
        <v>0</v>
      </c>
      <c r="DV12" s="10">
        <v>0</v>
      </c>
      <c r="DW12" s="10">
        <v>31</v>
      </c>
      <c r="DX12" s="10">
        <v>31</v>
      </c>
      <c r="DY12" s="10">
        <f>DS12+EC12+ED12+EF12</f>
        <v>31</v>
      </c>
      <c r="DZ12" s="10">
        <f>DW12-(DS12+EC12+ED12)</f>
        <v>6.5</v>
      </c>
      <c r="EA12" s="10">
        <f>MAX(DY12-DW12,0)</f>
        <v>0</v>
      </c>
      <c r="EB12" s="10">
        <v>0</v>
      </c>
      <c r="EC12" s="12">
        <v>6</v>
      </c>
      <c r="ED12" s="11">
        <v>0</v>
      </c>
      <c r="EE12" s="11">
        <v>-6</v>
      </c>
      <c r="EF12" s="10">
        <v>6.5</v>
      </c>
      <c r="EG12" s="10">
        <f>DE12</f>
        <v>5.5</v>
      </c>
      <c r="EH12" s="9">
        <f>DI12</f>
        <v>1</v>
      </c>
      <c r="EI12" s="10">
        <f>DM12</f>
        <v>0</v>
      </c>
      <c r="EJ12" s="9">
        <f>DQ12</f>
        <v>0</v>
      </c>
      <c r="EK12" s="8"/>
      <c r="EL12" s="7"/>
      <c r="EM12" s="7"/>
      <c r="EN12" s="7"/>
      <c r="EO12" s="7"/>
      <c r="EP12" s="7">
        <f>EL12+EO12</f>
        <v>0</v>
      </c>
      <c r="EQ12" s="6">
        <f>IF(EL12+EO12&gt;0,#REF!-EL12-EO12,0)</f>
        <v>0</v>
      </c>
    </row>
    <row r="13" spans="1:147" x14ac:dyDescent="0.2">
      <c r="A13" s="31">
        <f>ROW()-11</f>
        <v>2</v>
      </c>
      <c r="B13" s="23" t="s">
        <v>17924</v>
      </c>
      <c r="C13" s="6" t="s">
        <v>17923</v>
      </c>
      <c r="D13" s="6"/>
      <c r="E13" s="6" t="s">
        <v>0</v>
      </c>
      <c r="F13" s="31" t="s">
        <v>18148</v>
      </c>
      <c r="G13" s="30" t="s">
        <v>18147</v>
      </c>
      <c r="H13" s="30" t="s">
        <v>7</v>
      </c>
      <c r="I13" s="28" t="s">
        <v>18146</v>
      </c>
      <c r="J13" s="29" t="s">
        <v>1517</v>
      </c>
      <c r="K13" s="26" t="s">
        <v>18145</v>
      </c>
      <c r="L13" s="28" t="s">
        <v>0</v>
      </c>
      <c r="M13" s="28" t="s">
        <v>1053</v>
      </c>
      <c r="N13" s="6" t="s">
        <v>1053</v>
      </c>
      <c r="O13" s="6" t="s">
        <v>1898</v>
      </c>
      <c r="P13" s="6" t="s">
        <v>5</v>
      </c>
      <c r="Q13" s="6" t="s">
        <v>35</v>
      </c>
      <c r="R13" s="6" t="s">
        <v>18144</v>
      </c>
      <c r="S13" s="27" t="s">
        <v>18143</v>
      </c>
      <c r="T13" s="27" t="s">
        <v>18142</v>
      </c>
      <c r="U13" s="6" t="s">
        <v>3</v>
      </c>
      <c r="V13" s="26" t="s">
        <v>18141</v>
      </c>
      <c r="W13" s="6" t="s">
        <v>18140</v>
      </c>
      <c r="X13" s="27" t="s">
        <v>18139</v>
      </c>
      <c r="Y13" s="6" t="s">
        <v>2</v>
      </c>
      <c r="Z13" s="6" t="s">
        <v>2</v>
      </c>
      <c r="AA13" s="6" t="s">
        <v>1</v>
      </c>
      <c r="AB13" s="6" t="s">
        <v>1</v>
      </c>
      <c r="AC13" s="6" t="s">
        <v>1</v>
      </c>
      <c r="AD13" s="6" t="str">
        <f>IFERROR(VLOOKUP(F13,[1]Sheet3!$I$3:$K$1048576,2,0),"")</f>
        <v>CTC</v>
      </c>
      <c r="AE13" s="6" t="str">
        <f>IFERROR(VLOOKUP(F13,[1]Sheet3!$I$3:$K$1048576,3,0),"")</f>
        <v>YES</v>
      </c>
      <c r="AF13" s="6" t="s">
        <v>1</v>
      </c>
      <c r="AG13" s="26" t="str">
        <f>IF(OR(LEFT(F13,1)="N",N13="NAPS",O13="APPRENTICE"),"HOLD DUE TO NAPS",IF(DS13=0,"HOLD DUE TO ZERO ATTENDENCE",IF(DS13&lt;=3,"HOLD DUE TO LOW ATTENDENCE",IF(IFERROR(RIGHT(L13,4)+0,0)&gt;0,"HOLD DUE TO FNF",IF(LEN(R13)&lt;&gt;11,"HOLD DUE TO IFSC CODE",IF(BY13=0,"HOLD - GROSS SALARY MISSING",IF(AH13&lt;&gt;"NA","HOLD DUE TO LP",
IF(OR(F13="V00001",F13="V00002",F13="V22129"),"HOLD - MGMT","PAYMENT RELEASE"))))))))</f>
        <v>HOLD DUE TO LP</v>
      </c>
      <c r="AH13" s="26" t="str">
        <f>_xlfn.XLOOKUP(F13,Sheet2!A:A,Sheet2!D:D,"NA",0,1)</f>
        <v>ABSCONDING</v>
      </c>
      <c r="AI13" s="26"/>
      <c r="AJ13" s="26" t="str">
        <f>_xlfn.XLOOKUP(F13,[1]Sheet2!A:A,[1]Sheet2!D:D,"NA",0,1)</f>
        <v>NA</v>
      </c>
      <c r="AK13" s="26"/>
      <c r="AL13" s="25"/>
      <c r="AM13" s="23">
        <v>15100</v>
      </c>
      <c r="AN13" s="21">
        <v>12664.52</v>
      </c>
      <c r="AO13" s="23">
        <v>4900</v>
      </c>
      <c r="AP13" s="21">
        <v>4109.68</v>
      </c>
      <c r="AQ13" s="23">
        <v>0</v>
      </c>
      <c r="AR13" s="21">
        <v>0</v>
      </c>
      <c r="AS13" s="23">
        <v>0</v>
      </c>
      <c r="AT13" s="21">
        <v>0</v>
      </c>
      <c r="AU13" s="23">
        <v>0</v>
      </c>
      <c r="AV13" s="21">
        <v>0</v>
      </c>
      <c r="AW13" s="23">
        <v>0</v>
      </c>
      <c r="AX13" s="19">
        <v>0</v>
      </c>
      <c r="AY13" s="19">
        <f>IF(AE13="YES",SUM(AM13+AO13+AQ13+AS13+AU13+AW13)*8.33%,0)</f>
        <v>1666</v>
      </c>
      <c r="AZ13" s="19">
        <f>IF(AE13="YES",SUM(AN13+AP13+AR13+AT13+AV13+AX13)*8.33%,0)</f>
        <v>1397.2908600000001</v>
      </c>
      <c r="BA13" s="21">
        <f>(AM13/26*15)/12</f>
        <v>725.96153846153845</v>
      </c>
      <c r="BB13" s="21">
        <f>(AM13/26*15)/12</f>
        <v>725.96153846153845</v>
      </c>
      <c r="BC13" s="21">
        <f>IFERROR(VLOOKUP(F13,[1]Sheet3!$A$3:$F$1048576,5,0),0)</f>
        <v>0</v>
      </c>
      <c r="BD13" s="24">
        <f>IFERROR(VLOOKUP(F13,[1]Sheet3!$A$3:$F$1048576,6,0),0)</f>
        <v>0</v>
      </c>
      <c r="BE13" s="21">
        <f>(BC13*BD13)/DW13*DW13</f>
        <v>0</v>
      </c>
      <c r="BF13" s="21">
        <f>(BC13*BD13)/DW13*DX13</f>
        <v>0</v>
      </c>
      <c r="BG13" s="23">
        <v>0</v>
      </c>
      <c r="BH13" s="21">
        <v>0</v>
      </c>
      <c r="BI13" s="23">
        <v>0</v>
      </c>
      <c r="BJ13" s="21">
        <v>0</v>
      </c>
      <c r="BK13" s="23">
        <v>0</v>
      </c>
      <c r="BL13" s="21">
        <v>0</v>
      </c>
      <c r="BM13" s="23">
        <v>0</v>
      </c>
      <c r="BN13" s="21">
        <v>0</v>
      </c>
      <c r="BO13" s="23">
        <v>0</v>
      </c>
      <c r="BP13" s="21">
        <v>0</v>
      </c>
      <c r="BQ13" s="23">
        <v>0</v>
      </c>
      <c r="BR13" s="21">
        <v>0</v>
      </c>
      <c r="BS13" s="19">
        <v>0</v>
      </c>
      <c r="BT13" s="19">
        <v>0</v>
      </c>
      <c r="BU13" s="19">
        <v>0</v>
      </c>
      <c r="BV13" s="19"/>
      <c r="BW13" s="19">
        <v>0</v>
      </c>
      <c r="BX13" s="19">
        <v>0</v>
      </c>
      <c r="BY13" s="23">
        <f>SUM(AM13,AO13,AQ13,AS13,AU13,AW13)+AY13+BA13</f>
        <v>22391.961538461539</v>
      </c>
      <c r="BZ13" s="23">
        <f>SUM(AN13,AP13,AR13,AT13,AV13,AX13)+SUM(BS13:BX13)+AZ13+BB13</f>
        <v>18897.452398461541</v>
      </c>
      <c r="CA13" s="23">
        <f>+BZ13+CT13+CU13+BF13+CV13</f>
        <v>21088.999998461539</v>
      </c>
      <c r="CB13" s="23">
        <f>AM13+AO13+AQ13+AS13+AU13+AW13</f>
        <v>20000</v>
      </c>
      <c r="CC13" s="23">
        <f>AN13+AP13+AR13+AT13+AV13+AX13</f>
        <v>16774.2</v>
      </c>
      <c r="CD13" s="23">
        <f>SUM(AN13,AP13,AR13,AT13,AV13,AX13)+SUM(BS13:BX13)</f>
        <v>16774.2</v>
      </c>
      <c r="CE13" s="23">
        <f>CF13+AX13</f>
        <v>15128.6476</v>
      </c>
      <c r="CF13" s="23">
        <f>AN13+AP13+AR13+AT13+AV13+BS13+BT13+BU13+BV13+BW13+BX13-CH13</f>
        <v>15128.6476</v>
      </c>
      <c r="CG13" s="22"/>
      <c r="CH13" s="21">
        <f>SUM(CI13:CR13)</f>
        <v>1645.5524</v>
      </c>
      <c r="CI13" s="21">
        <v>1519.7424000000001</v>
      </c>
      <c r="CJ13" s="19">
        <v>125.81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20"/>
      <c r="CT13" s="19">
        <v>1646.3876</v>
      </c>
      <c r="CU13" s="19">
        <v>545.16</v>
      </c>
      <c r="CV13" s="19"/>
      <c r="CW13" s="18"/>
      <c r="CX13" s="15">
        <f>DB13+DF13+DJ13+DN13</f>
        <v>8.2200000000000006</v>
      </c>
      <c r="CY13" s="15">
        <f>DC13+DG13+DK13+DO13</f>
        <v>1.76</v>
      </c>
      <c r="CZ13" s="15">
        <f>DD13+DH13+DL13+DP13</f>
        <v>1.54</v>
      </c>
      <c r="DA13" s="15">
        <f>DE13+DI13+DM13+DQ13</f>
        <v>8</v>
      </c>
      <c r="DB13" s="16">
        <v>7.5</v>
      </c>
      <c r="DC13" s="15">
        <v>1.05</v>
      </c>
      <c r="DD13" s="15">
        <v>1.05</v>
      </c>
      <c r="DE13" s="15">
        <v>7.5</v>
      </c>
      <c r="DF13" s="16">
        <v>0.72</v>
      </c>
      <c r="DG13" s="15">
        <f>DF13+DH13-DI13</f>
        <v>0.71</v>
      </c>
      <c r="DH13" s="17">
        <v>0.49</v>
      </c>
      <c r="DI13" s="17">
        <v>0.5</v>
      </c>
      <c r="DJ13" s="16">
        <v>0</v>
      </c>
      <c r="DK13" s="15">
        <v>0</v>
      </c>
      <c r="DL13" s="17">
        <v>0</v>
      </c>
      <c r="DM13" s="17">
        <v>0</v>
      </c>
      <c r="DN13" s="16">
        <v>0</v>
      </c>
      <c r="DO13" s="15">
        <v>0</v>
      </c>
      <c r="DP13" s="14">
        <v>0</v>
      </c>
      <c r="DQ13" s="14">
        <v>0</v>
      </c>
      <c r="DR13" s="13"/>
      <c r="DS13" s="10">
        <f>SUM(DT13:DV13)</f>
        <v>18</v>
      </c>
      <c r="DT13" s="10">
        <v>18</v>
      </c>
      <c r="DU13" s="10">
        <v>0</v>
      </c>
      <c r="DV13" s="10">
        <v>0</v>
      </c>
      <c r="DW13" s="10">
        <v>31</v>
      </c>
      <c r="DX13" s="10">
        <v>26</v>
      </c>
      <c r="DY13" s="10">
        <f>DS13+EC13+ED13+EF13</f>
        <v>26</v>
      </c>
      <c r="DZ13" s="10">
        <f>DW13-(DS13+EC13+ED13)</f>
        <v>13</v>
      </c>
      <c r="EA13" s="10">
        <f>MAX(DY13-DW13,0)</f>
        <v>0</v>
      </c>
      <c r="EB13" s="10">
        <v>0</v>
      </c>
      <c r="EC13" s="12">
        <v>0</v>
      </c>
      <c r="ED13" s="11">
        <v>0</v>
      </c>
      <c r="EE13" s="11">
        <v>0</v>
      </c>
      <c r="EF13" s="10">
        <v>8</v>
      </c>
      <c r="EG13" s="10">
        <f>DE13</f>
        <v>7.5</v>
      </c>
      <c r="EH13" s="9">
        <f>DI13</f>
        <v>0.5</v>
      </c>
      <c r="EI13" s="10">
        <f>DM13</f>
        <v>0</v>
      </c>
      <c r="EJ13" s="9">
        <f>DQ13</f>
        <v>0</v>
      </c>
      <c r="EK13" s="8"/>
      <c r="EL13" s="7"/>
      <c r="EM13" s="7"/>
      <c r="EN13" s="7"/>
      <c r="EO13" s="7"/>
      <c r="EP13" s="7">
        <f>EL13+EO13</f>
        <v>0</v>
      </c>
      <c r="EQ13" s="6">
        <f>IF(EL13+EO13&gt;0,#REF!-EL13-EO13,0)</f>
        <v>0</v>
      </c>
    </row>
  </sheetData>
  <autoFilter ref="A11:EQ13" xr:uid="{F787EDB4-9DBF-43CC-B5CA-76413CBE01D4}"/>
  <mergeCells count="124">
    <mergeCell ref="AM5:AX5"/>
    <mergeCell ref="AY5:BF5"/>
    <mergeCell ref="BG5:BR5"/>
    <mergeCell ref="BS5:BX5"/>
    <mergeCell ref="BY5:CF5"/>
    <mergeCell ref="CX5:DQ5"/>
    <mergeCell ref="A6:A7"/>
    <mergeCell ref="B6:B7"/>
    <mergeCell ref="C6:C7"/>
    <mergeCell ref="D6:D7"/>
    <mergeCell ref="E6:E7"/>
    <mergeCell ref="F6:F7"/>
    <mergeCell ref="G6:G7"/>
    <mergeCell ref="H6:H7"/>
    <mergeCell ref="A5:AJ5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Y6:Y7"/>
    <mergeCell ref="Z6:Z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C6"/>
    <mergeCell ref="CD6:CD7"/>
    <mergeCell ref="CF6:CF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T6:CT7"/>
    <mergeCell ref="CU6:CU7"/>
    <mergeCell ref="CX6:DA6"/>
    <mergeCell ref="DB6:DE6"/>
    <mergeCell ref="DF6:DI6"/>
    <mergeCell ref="DJ6:DM6"/>
    <mergeCell ref="DN6:DQ6"/>
    <mergeCell ref="DS6:DS7"/>
    <mergeCell ref="DT6:DT7"/>
    <mergeCell ref="DU6:DU7"/>
    <mergeCell ref="DV6:DV7"/>
    <mergeCell ref="DW6:DW7"/>
    <mergeCell ref="DX6:DX7"/>
    <mergeCell ref="DY6:DY7"/>
    <mergeCell ref="EO6:EO7"/>
    <mergeCell ref="DZ6:DZ7"/>
    <mergeCell ref="EA6:EA7"/>
    <mergeCell ref="EB6:EB7"/>
    <mergeCell ref="EC6:EC7"/>
    <mergeCell ref="ED6:ED7"/>
    <mergeCell ref="EE6:EE7"/>
    <mergeCell ref="EP6:EP7"/>
    <mergeCell ref="EQ6:EQ7"/>
    <mergeCell ref="CH5:CV5"/>
    <mergeCell ref="CV6:CV7"/>
    <mergeCell ref="CE6:CE7"/>
    <mergeCell ref="EF6:EF7"/>
    <mergeCell ref="EG6:EJ6"/>
    <mergeCell ref="EL6:EL7"/>
    <mergeCell ref="EM6:EM7"/>
    <mergeCell ref="EN6:EN7"/>
  </mergeCells>
  <pageMargins left="0.7" right="0.7" top="0.75" bottom="0.75" header="0.3" footer="0.3"/>
  <pageSetup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SALARY WORKING-FINAL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Rajneesh Sharma1</dc:creator>
  <cp:lastModifiedBy>Rajneesh Sharma</cp:lastModifiedBy>
  <dcterms:created xsi:type="dcterms:W3CDTF">2015-06-05T18:17:20Z</dcterms:created>
  <dcterms:modified xsi:type="dcterms:W3CDTF">2026-06-23T06:32:00Z</dcterms:modified>
</cp:coreProperties>
</file>